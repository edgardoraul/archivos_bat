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E21" i="14" l="1"/>
  <c r="E23" i="14"/>
  <c r="A50" i="14" l="1"/>
  <c r="E42" i="14"/>
  <c r="E43" i="14"/>
  <c r="E44" i="14"/>
  <c r="E45" i="14"/>
  <c r="E46" i="14"/>
  <c r="E47" i="14"/>
  <c r="E48" i="14"/>
  <c r="E49" i="14"/>
  <c r="E22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9" i="14"/>
  <c r="E12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<sst xmlns="http://schemas.openxmlformats.org/spreadsheetml/2006/main" count="39064" uniqueCount="15656">
  <si>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</si>
  <si>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</si>
  <si>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</si>
  <si>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</si>
  <si>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</si>
  <si>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</si>
  <si>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</si>
  <si>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</si>
  <si>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</si>
  <si>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</si>
  <si>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</si>
  <si>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</si>
  <si>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</si>
  <si>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</si>
  <si>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</si>
  <si>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</si>
  <si>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</si>
  <si>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</si>
  <si>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</si>
  <si>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</si>
  <si>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</si>
  <si>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</si>
  <si>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</si>
  <si>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</si>
  <si>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</si>
  <si>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</si>
  <si>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</si>
  <si>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</si>
  <si>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</si>
  <si>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</si>
  <si>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</si>
  <si>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</si>
  <si>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</si>
  <si>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</si>
  <si>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</si>
  <si>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</si>
  <si>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</si>
  <si>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</si>
  <si>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</si>
  <si>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</si>
  <si>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</si>
  <si>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</si>
  <si>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</si>
  <si>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</si>
  <si>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</si>
  <si>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</si>
  <si>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</si>
  <si>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</si>
  <si>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</si>
  <si>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</si>
  <si>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</si>
  <si>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</si>
  <si>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</si>
  <si>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</si>
  <si>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</si>
  <si>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</si>
  <si>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</si>
  <si>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</si>
  <si>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</si>
  <si>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</si>
  <si>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</si>
  <si>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</si>
  <si>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</si>
  <si>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</si>
  <si>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</si>
  <si>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</si>
  <si>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</si>
  <si>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</si>
  <si>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</si>
  <si>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</si>
  <si>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</si>
  <si>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</si>
  <si>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</si>
  <si>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</si>
  <si>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</si>
  <si>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</si>
  <si>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</si>
  <si>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</si>
  <si>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</si>
  <si>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</si>
  <si>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</si>
  <si>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</si>
  <si>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</si>
  <si>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</si>
  <si>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</si>
  <si>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</si>
  <si>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</si>
  <si>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</si>
  <si>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</si>
  <si>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</si>
  <si>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</si>
  <si>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</si>
  <si>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</si>
  <si>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</si>
  <si>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</si>
  <si>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</si>
  <si>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</si>
  <si>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</si>
  <si>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</si>
  <si>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</si>
  <si>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</si>
  <si>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</si>
  <si>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</si>
  <si>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</si>
  <si>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</si>
  <si>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</si>
  <si>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</si>
  <si>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</si>
  <si>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</si>
  <si>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</si>
  <si>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</si>
  <si>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</si>
  <si>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</si>
  <si>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</si>
  <si>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</si>
  <si>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</si>
  <si>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</si>
  <si>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</si>
  <si>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</si>
  <si>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</si>
  <si>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</si>
  <si>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</si>
  <si>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</si>
  <si>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</si>
  <si>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</si>
  <si>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</si>
  <si>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</si>
  <si>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</si>
  <si>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</si>
  <si>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</si>
  <si>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</si>
  <si>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</si>
  <si>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</si>
  <si>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</si>
  <si>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</si>
  <si>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</si>
  <si>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</si>
  <si>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</si>
  <si>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</si>
  <si>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</si>
  <si>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</si>
  <si>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</si>
  <si>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</si>
  <si>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</si>
  <si>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</si>
  <si>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</si>
  <si>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</si>
  <si>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</si>
  <si>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</si>
  <si>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</si>
  <si>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</si>
  <si>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</si>
  <si>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</si>
  <si>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</si>
  <si>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</si>
  <si>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</si>
  <si>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</si>
  <si>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</si>
  <si>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</si>
  <si>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</si>
  <si>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</si>
  <si>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</si>
  <si>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</si>
  <si>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</si>
  <si>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</si>
  <si>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</si>
  <si>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</si>
  <si>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</si>
  <si>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</si>
  <si>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</si>
  <si>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</si>
  <si>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</si>
  <si>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</si>
  <si>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</si>
  <si>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</si>
  <si>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</si>
  <si>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</si>
  <si>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</si>
  <si>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</si>
  <si>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</si>
  <si>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</si>
  <si>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</si>
  <si>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</si>
  <si>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</si>
  <si>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</si>
  <si>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</si>
  <si>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</si>
  <si>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</si>
  <si>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</si>
  <si>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</si>
  <si>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</si>
  <si>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</si>
  <si>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</si>
  <si>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</si>
  <si>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</si>
  <si>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</si>
  <si>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</si>
  <si>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</si>
  <si>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</si>
  <si>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</si>
  <si>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</si>
  <si>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</si>
  <si>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</si>
  <si>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</si>
  <si>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</si>
  <si>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</si>
  <si>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</si>
  <si>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</si>
  <si>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</si>
  <si>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</si>
  <si>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</si>
  <si>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</si>
  <si>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</si>
  <si>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</si>
  <si>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</si>
  <si>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</si>
  <si>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</si>
  <si>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</si>
  <si>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</si>
  <si>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</si>
  <si>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</si>
  <si>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</si>
  <si>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</si>
  <si>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</si>
  <si>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</si>
  <si>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</si>
  <si>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</si>
  <si>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</si>
  <si>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</si>
  <si>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</si>
  <si>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</si>
  <si>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</si>
  <si>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</si>
  <si>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</si>
  <si>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</si>
  <si>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</si>
  <si>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</si>
  <si>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</si>
  <si>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</si>
  <si>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</si>
  <si>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</si>
  <si>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</si>
  <si>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</si>
  <si>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</si>
  <si>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</si>
  <si>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</si>
  <si>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</si>
  <si>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</si>
  <si>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</si>
  <si>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</si>
  <si>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</si>
  <si>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</si>
  <si>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</si>
  <si>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</si>
  <si>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</si>
  <si>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</si>
  <si>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</si>
  <si>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</si>
  <si>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</si>
  <si>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</si>
  <si>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</si>
  <si>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</si>
  <si>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</si>
  <si>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</si>
  <si>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</si>
  <si>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</si>
  <si>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</si>
  <si>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</si>
  <si>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</si>
  <si>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</si>
  <si>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</si>
  <si>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</si>
  <si>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</si>
  <si>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</si>
  <si>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</si>
  <si>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</si>
  <si>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</si>
  <si>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</si>
  <si>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</si>
  <si>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</si>
  <si>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</si>
  <si>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</si>
  <si>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</si>
  <si>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</si>
  <si>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</si>
  <si>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</si>
  <si>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</si>
  <si>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</si>
  <si>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</si>
  <si>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</si>
  <si>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</si>
  <si>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</si>
  <si>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</si>
  <si>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</si>
  <si>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</si>
  <si>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</si>
  <si>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</si>
  <si>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</si>
  <si>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</si>
  <si>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</si>
  <si>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</si>
  <si>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</si>
  <si>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</si>
  <si>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</si>
  <si>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</si>
  <si>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</si>
  <si>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</si>
  <si>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</si>
  <si>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</si>
  <si>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</si>
  <si>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</si>
  <si>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</si>
  <si>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</si>
  <si>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</si>
  <si>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</si>
  <si>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</si>
  <si>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</si>
  <si>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</si>
  <si>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</si>
  <si>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</si>
  <si>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</si>
  <si>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</si>
  <si>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</si>
  <si>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</si>
  <si>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</si>
  <si>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</si>
  <si>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</si>
  <si>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</si>
  <si>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</si>
  <si>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</si>
  <si>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</si>
  <si>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</si>
  <si>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</si>
  <si>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</si>
  <si>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</si>
  <si>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</si>
  <si>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</si>
  <si>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</si>
  <si>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</si>
  <si>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</si>
  <si>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</si>
  <si>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</si>
  <si>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</si>
  <si>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</si>
  <si>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</si>
  <si>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</si>
  <si>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</si>
  <si>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</si>
  <si>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</si>
  <si>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</si>
  <si>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</si>
  <si>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</si>
  <si>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</si>
  <si>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</si>
  <si>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</si>
  <si>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</si>
  <si>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</si>
  <si>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</si>
  <si>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</si>
  <si>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</si>
  <si>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</si>
  <si>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</si>
  <si>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</si>
  <si>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</si>
  <si>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</si>
  <si>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</si>
  <si>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</si>
  <si>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</si>
  <si>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</si>
  <si>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</si>
  <si>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</si>
  <si>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</si>
  <si>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</si>
  <si>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</si>
  <si>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</si>
  <si>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</si>
  <si>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</si>
  <si>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</si>
  <si>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</si>
  <si>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</si>
  <si>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</si>
  <si>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</si>
  <si>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</si>
  <si>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</si>
  <si>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</si>
  <si>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</si>
  <si>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</si>
  <si>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</si>
  <si>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</si>
  <si>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</si>
  <si>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</si>
  <si>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</si>
  <si>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</si>
  <si>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</si>
  <si>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</si>
  <si>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</si>
  <si>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</si>
  <si>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</si>
  <si>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</si>
  <si>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</si>
  <si>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</si>
  <si>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</si>
  <si>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</si>
  <si>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</si>
  <si>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</si>
  <si>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</si>
  <si>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</si>
  <si>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</si>
  <si>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</si>
  <si>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</si>
  <si>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</si>
  <si>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</si>
  <si>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</si>
  <si>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</si>
  <si>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</si>
  <si>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</si>
  <si>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</si>
  <si>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</si>
  <si>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</si>
  <si>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</si>
  <si>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</si>
  <si>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</si>
  <si>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</si>
  <si>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</si>
  <si>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</si>
  <si>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</si>
  <si>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</si>
  <si>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</si>
  <si>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</si>
  <si>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</si>
  <si>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</si>
  <si>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</si>
  <si>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</si>
  <si>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</si>
  <si>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</si>
  <si>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</si>
  <si>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</si>
  <si>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</si>
  <si>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</si>
  <si>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</si>
  <si>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</si>
  <si>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</si>
  <si>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</si>
  <si>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</si>
  <si>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</si>
  <si>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</si>
  <si>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</si>
  <si>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</si>
  <si>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</si>
  <si>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</si>
  <si>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</si>
  <si>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</si>
  <si>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</si>
  <si>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</si>
  <si>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</si>
  <si>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</si>
  <si>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</si>
  <si>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</si>
  <si>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</si>
  <si>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</si>
  <si>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</si>
  <si>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</si>
  <si>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</si>
  <si>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</si>
  <si>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</si>
  <si>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</si>
  <si>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</si>
  <si>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</si>
  <si>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</si>
  <si>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</si>
  <si>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</si>
  <si>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</si>
  <si>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</si>
  <si>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</si>
  <si>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</si>
  <si>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</si>
  <si>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</si>
  <si>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</si>
  <si>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</si>
  <si>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</si>
  <si>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</si>
  <si>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</si>
  <si>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</si>
  <si>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</si>
  <si>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</si>
  <si>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</si>
  <si>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</si>
  <si>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</si>
  <si>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</si>
  <si>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</si>
  <si>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</si>
  <si>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</si>
  <si>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</si>
  <si>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</si>
  <si>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</si>
  <si>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</si>
  <si>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</si>
  <si>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</si>
  <si>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</si>
  <si>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</si>
  <si>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</si>
  <si>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</si>
  <si>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</si>
  <si>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</si>
  <si>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</si>
  <si>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</si>
  <si>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</si>
  <si>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</si>
  <si>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</si>
  <si>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</si>
  <si>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</si>
  <si>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</si>
  <si>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</si>
  <si>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</si>
  <si>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</si>
  <si>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</si>
  <si>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</si>
  <si>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</si>
  <si>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</si>
  <si>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</si>
  <si>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</si>
  <si>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</si>
  <si>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</si>
  <si>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</si>
  <si>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</si>
  <si>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</si>
  <si>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</si>
  <si>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</si>
  <si>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</si>
  <si>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</si>
  <si>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</si>
  <si>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</si>
  <si>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</si>
  <si>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</si>
  <si>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</si>
  <si>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</si>
  <si>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</si>
  <si>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</si>
  <si>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</si>
  <si>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</si>
  <si>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</si>
  <si>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</si>
  <si>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</si>
  <si>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</si>
  <si>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</si>
  <si>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</si>
  <si>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</si>
  <si>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</si>
  <si>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</si>
  <si>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</si>
  <si>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</si>
  <si>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</si>
  <si>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</si>
  <si>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</si>
  <si>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</si>
  <si>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</si>
  <si>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</si>
  <si>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</si>
  <si>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</si>
  <si>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</si>
  <si>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</si>
  <si>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</si>
  <si>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</si>
  <si>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</si>
  <si>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</si>
  <si>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</si>
  <si>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</si>
  <si>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</si>
  <si>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</si>
  <si>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</si>
  <si>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</si>
  <si>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</si>
  <si>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</si>
  <si>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</si>
  <si>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</si>
  <si>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</si>
  <si>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</si>
  <si>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</si>
  <si>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</si>
  <si>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</si>
  <si>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</si>
  <si>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</si>
  <si>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</si>
  <si>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</si>
  <si>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</si>
  <si>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</si>
  <si>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</si>
  <si>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</si>
  <si>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</si>
  <si>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</si>
  <si>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</si>
  <si>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</si>
  <si>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</si>
  <si>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</si>
  <si>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</si>
  <si>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</si>
  <si>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</si>
  <si>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</si>
  <si>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</si>
  <si>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</si>
  <si>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</si>
  <si>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</si>
  <si>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</si>
  <si>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</si>
  <si>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</si>
  <si>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</si>
  <si>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</si>
  <si>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</si>
  <si>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</si>
  <si>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</si>
  <si>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</si>
  <si>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</si>
  <si>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</si>
  <si>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</si>
  <si>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</si>
  <si>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</si>
  <si>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</si>
  <si>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</si>
  <si>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</si>
  <si>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</si>
  <si>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</si>
  <si>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</si>
  <si>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</si>
  <si>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</si>
  <si>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</si>
  <si>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</si>
  <si>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</si>
  <si>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</si>
  <si>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</si>
  <si>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</si>
  <si>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</si>
  <si>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</si>
  <si>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</si>
  <si>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</si>
  <si>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</si>
  <si>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</si>
  <si>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</si>
  <si>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</si>
  <si>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</si>
  <si>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</si>
  <si>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</si>
  <si>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</si>
  <si>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</si>
  <si>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</si>
  <si>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</si>
  <si>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</si>
  <si>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</si>
  <si>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</si>
  <si>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</si>
  <si>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</si>
  <si>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</si>
  <si>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</si>
  <si>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</si>
  <si>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</si>
  <si>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</si>
  <si>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</si>
  <si>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</si>
  <si>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</si>
  <si>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</si>
  <si>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</si>
  <si>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</si>
  <si>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</si>
  <si>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</si>
  <si>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</si>
  <si>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</si>
  <si>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</si>
  <si>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</si>
  <si>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</si>
  <si>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</si>
  <si>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</si>
  <si>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</si>
  <si>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</si>
  <si>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</si>
  <si>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</si>
  <si>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</si>
  <si>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</si>
  <si>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</si>
  <si>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</si>
  <si>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</si>
  <si>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</si>
  <si>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</si>
  <si>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</si>
  <si>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</si>
  <si>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</si>
  <si>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</si>
  <si>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</si>
  <si>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</si>
  <si>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</si>
  <si>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</si>
  <si>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</si>
  <si>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</si>
  <si>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</si>
  <si>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</si>
  <si>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</si>
  <si>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</si>
  <si>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</si>
  <si>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</si>
  <si>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</si>
  <si>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</si>
  <si>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</si>
  <si>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</si>
  <si>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</si>
  <si>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</si>
  <si>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</si>
  <si>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</si>
  <si>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</si>
  <si>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</si>
  <si>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</si>
  <si>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</si>
  <si>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</si>
  <si>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</si>
  <si>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</si>
  <si>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</si>
  <si>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</si>
  <si>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</si>
  <si>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</si>
  <si>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</si>
  <si>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</si>
  <si>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</si>
  <si>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</si>
  <si>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</si>
  <si>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</si>
  <si>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</si>
  <si>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</si>
  <si>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</si>
  <si>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</si>
  <si>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</si>
  <si>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</si>
  <si>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</si>
  <si>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</si>
  <si>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</si>
  <si>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</si>
  <si>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</si>
  <si>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</si>
  <si>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</si>
  <si>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</si>
  <si>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</si>
  <si>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</si>
  <si>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</si>
  <si>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</si>
  <si>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</si>
  <si>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</si>
  <si>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</si>
  <si>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</si>
  <si>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</si>
  <si>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</si>
  <si>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</si>
  <si>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</si>
  <si>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</si>
  <si>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</si>
  <si>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</si>
  <si>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</si>
  <si>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</si>
  <si>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</si>
  <si>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</si>
  <si>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</si>
  <si>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</si>
  <si>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</si>
  <si>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</si>
  <si>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</si>
  <si>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</si>
  <si>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</si>
  <si>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</si>
  <si>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</si>
  <si>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</si>
  <si>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</si>
  <si>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</si>
  <si>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</si>
  <si>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</si>
  <si>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</si>
  <si>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</si>
  <si>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</si>
  <si>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</si>
  <si>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</si>
  <si>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</si>
  <si>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</si>
  <si>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</si>
  <si>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</si>
  <si>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</si>
  <si>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</si>
  <si>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</si>
  <si>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</si>
  <si>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</si>
  <si>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</si>
  <si>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</si>
  <si>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</si>
  <si>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</si>
  <si>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</si>
  <si>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</si>
  <si>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</si>
  <si>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</si>
  <si>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</si>
  <si>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</si>
  <si>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</si>
  <si>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</si>
  <si>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</si>
  <si>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</si>
  <si>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</si>
  <si>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</si>
  <si>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</si>
  <si>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</si>
  <si>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</si>
  <si>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</si>
  <si>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</si>
  <si>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</si>
  <si>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</si>
  <si>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</si>
  <si>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</si>
  <si>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</si>
  <si>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</si>
  <si>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</si>
  <si>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</si>
  <si>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</si>
  <si>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</si>
  <si>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</si>
  <si>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</si>
  <si>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</si>
  <si>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</si>
  <si>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</si>
  <si>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</si>
  <si>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</si>
  <si>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</si>
  <si>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</si>
  <si>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</si>
  <si>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</si>
  <si>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</si>
  <si>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</si>
  <si>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</si>
  <si>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</si>
  <si>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</si>
  <si>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</si>
  <si>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</si>
  <si>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</si>
  <si>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</si>
  <si>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</si>
  <si>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</si>
  <si>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</si>
  <si>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</si>
  <si>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</si>
  <si>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</si>
  <si>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</si>
  <si>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</si>
  <si>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</si>
  <si>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</si>
  <si>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</si>
  <si>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</si>
  <si>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</si>
  <si>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</si>
  <si>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</si>
  <si>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</si>
  <si>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</si>
  <si>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</si>
  <si>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</si>
  <si>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</si>
  <si>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</si>
  <si>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</si>
  <si>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</si>
  <si>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</si>
  <si>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</si>
  <si>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</si>
  <si>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</si>
  <si>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</si>
  <si>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</si>
  <si>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</si>
  <si>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</si>
  <si>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</si>
  <si>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</si>
  <si>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</si>
  <si>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</si>
  <si>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</si>
  <si>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</si>
  <si>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</si>
  <si>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</si>
  <si>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</si>
  <si>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</si>
  <si>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</si>
  <si>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</si>
  <si>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</si>
  <si>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</si>
  <si>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</si>
  <si>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</si>
  <si>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</si>
  <si>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</si>
  <si>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</si>
  <si>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</si>
  <si>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</si>
  <si>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</si>
  <si>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</si>
  <si>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</si>
  <si>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</si>
  <si>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</si>
  <si>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</si>
  <si>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</si>
  <si>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</si>
  <si>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</si>
  <si>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</si>
  <si>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</si>
  <si>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</si>
  <si>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</si>
  <si>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</si>
  <si>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</si>
  <si>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</si>
  <si>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</si>
  <si>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</si>
  <si>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</si>
  <si>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</si>
  <si>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</si>
  <si>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</si>
  <si>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</si>
  <si>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</si>
  <si>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</si>
  <si>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</si>
  <si>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</si>
  <si>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</si>
  <si>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</si>
  <si>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</si>
  <si>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</si>
  <si>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</si>
  <si>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</si>
  <si>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</si>
  <si>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</si>
  <si>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</si>
  <si>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</si>
  <si>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</si>
  <si>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</si>
  <si>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</si>
  <si>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</si>
  <si>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</si>
  <si>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</si>
  <si>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</si>
  <si>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</si>
  <si>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</si>
  <si>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</si>
  <si>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</si>
  <si>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</si>
  <si>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</si>
  <si>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</si>
  <si>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</si>
  <si>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</si>
  <si>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</si>
  <si>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</si>
  <si>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</si>
  <si>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</si>
  <si>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</si>
  <si>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</si>
  <si>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</si>
  <si>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</si>
  <si>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</si>
  <si>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</si>
  <si>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</si>
  <si>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</si>
  <si>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</si>
  <si>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</si>
  <si>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</si>
  <si>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</si>
  <si>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</si>
  <si>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</si>
  <si>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</si>
  <si>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</si>
  <si>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</si>
  <si>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</si>
  <si>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</si>
  <si>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</si>
  <si>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</si>
  <si>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</si>
  <si>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</si>
  <si>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</si>
  <si>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</si>
  <si>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</si>
  <si>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</si>
  <si>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</si>
  <si>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</si>
  <si>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</si>
  <si>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</si>
  <si>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</si>
  <si>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</si>
  <si>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</si>
  <si>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</si>
  <si>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</si>
  <si>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</si>
  <si>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</si>
  <si>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</si>
  <si>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</si>
  <si>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</si>
  <si>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</si>
  <si>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</si>
  <si>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</si>
  <si>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</si>
  <si>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</si>
  <si>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</si>
  <si>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</si>
  <si>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</si>
  <si>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</si>
  <si>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</si>
  <si>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</si>
  <si>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</si>
  <si>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</si>
  <si>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</si>
  <si>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</si>
  <si>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</si>
  <si>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</si>
  <si>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</si>
  <si>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</si>
  <si>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</si>
  <si>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</si>
  <si>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</si>
  <si>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</si>
  <si>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</si>
  <si>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</si>
  <si>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</si>
  <si>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</si>
  <si>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</si>
  <si>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</si>
  <si>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</si>
  <si>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</si>
  <si>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</si>
  <si>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</si>
  <si>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</si>
  <si>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</si>
  <si>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</si>
  <si>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</si>
  <si>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</si>
  <si>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</si>
  <si>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</si>
  <si>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</si>
  <si>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</si>
  <si>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</si>
  <si>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</si>
  <si>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</si>
  <si>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</si>
  <si>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</si>
  <si>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</si>
  <si>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</si>
  <si>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</si>
  <si>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</si>
  <si>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</si>
  <si>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</si>
  <si>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</si>
  <si>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</si>
  <si>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</si>
  <si>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</si>
  <si>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</si>
  <si>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</si>
  <si>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</si>
  <si>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</si>
  <si>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</si>
  <si>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</si>
  <si>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</si>
  <si>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</si>
  <si>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</si>
  <si>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</si>
  <si>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</si>
  <si>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</si>
  <si>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</si>
  <si>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</si>
  <si>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</si>
  <si>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</si>
  <si>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</si>
  <si>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</si>
  <si>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</si>
  <si>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</si>
  <si>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</si>
  <si>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</si>
  <si>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</si>
  <si>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</si>
  <si>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</si>
  <si>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</si>
  <si>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</si>
  <si>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</si>
  <si>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</si>
  <si>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</si>
  <si>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</si>
  <si>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</si>
  <si>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</si>
  <si>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</si>
  <si>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</si>
  <si>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</si>
  <si>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</si>
  <si>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</si>
  <si>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</si>
  <si>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</si>
  <si>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</si>
  <si>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</si>
  <si>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</si>
  <si>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</si>
  <si>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</si>
  <si>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</si>
  <si>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</si>
  <si>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</si>
  <si>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</si>
  <si>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</si>
  <si>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</si>
  <si>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</si>
  <si>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</si>
  <si>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</si>
  <si>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</si>
  <si>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</si>
  <si>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</si>
  <si>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</si>
  <si>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</si>
  <si>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</si>
  <si>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</si>
  <si>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</si>
  <si>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</si>
  <si>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</si>
  <si>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</si>
  <si>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</si>
  <si>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</si>
  <si>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</si>
  <si>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</si>
  <si>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</si>
  <si>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</si>
  <si>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</si>
  <si>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</si>
  <si>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</si>
  <si>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</si>
  <si>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</si>
  <si>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</si>
  <si>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</si>
  <si>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</si>
  <si>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</si>
  <si>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</si>
  <si>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</si>
  <si>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</si>
  <si>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</si>
  <si>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</si>
  <si>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</si>
  <si>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</si>
  <si>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</si>
  <si>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</si>
  <si>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</si>
  <si>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</si>
  <si>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</si>
  <si>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</si>
  <si>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</si>
  <si>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</si>
  <si>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</si>
  <si>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</si>
  <si>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</si>
  <si>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</si>
  <si>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</si>
  <si>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</si>
  <si>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</si>
  <si>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</si>
  <si>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</si>
  <si>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</si>
  <si>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</si>
  <si>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</si>
  <si>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</si>
  <si>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</si>
  <si>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</si>
  <si>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</si>
  <si>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</si>
  <si>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</si>
  <si>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</si>
  <si>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</si>
  <si>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</si>
  <si>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</si>
  <si>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</si>
  <si>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</si>
  <si>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</si>
  <si>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</si>
  <si>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</si>
  <si>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</si>
  <si>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</si>
  <si>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</si>
  <si>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</si>
  <si>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</si>
  <si>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</si>
  <si>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</si>
  <si>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</si>
  <si>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</si>
  <si>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</si>
  <si>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</si>
  <si>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</si>
  <si>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</si>
  <si>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</si>
  <si>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</si>
  <si>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</si>
  <si>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</si>
  <si>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</si>
  <si>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</si>
  <si>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</si>
  <si>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</si>
  <si>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</si>
  <si>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</si>
  <si>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</si>
  <si>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</si>
  <si>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</si>
  <si>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</si>
  <si>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</si>
  <si>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</si>
  <si>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</si>
  <si>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</si>
  <si>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</si>
  <si>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</si>
  <si>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</si>
  <si>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</si>
  <si>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</si>
  <si>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</si>
  <si>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</si>
  <si>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</si>
  <si>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</si>
  <si>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</si>
  <si>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</si>
  <si>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</si>
  <si>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</si>
  <si>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</si>
  <si>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</si>
  <si>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</si>
  <si>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</si>
  <si>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</si>
  <si>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</si>
  <si>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</si>
  <si>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</si>
  <si>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</si>
  <si>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</si>
  <si>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</si>
  <si>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</si>
  <si>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</si>
  <si>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</si>
  <si>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</si>
  <si>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</si>
  <si>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</si>
  <si>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</si>
  <si>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</si>
  <si>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</si>
  <si>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</si>
  <si>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</si>
  <si>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</si>
  <si>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</si>
  <si>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</si>
  <si>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</si>
  <si>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</si>
  <si>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</si>
  <si>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</si>
  <si>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</si>
  <si>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</si>
  <si>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</si>
  <si>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</si>
  <si>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</si>
  <si>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</si>
  <si>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</si>
  <si>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</si>
  <si>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</si>
  <si>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</si>
  <si>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</si>
  <si>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</si>
  <si>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</si>
  <si>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</si>
  <si>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</si>
  <si>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</si>
  <si>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</si>
  <si>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</si>
  <si>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</si>
  <si>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</si>
  <si>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</si>
  <si>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</si>
  <si>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</si>
  <si>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</si>
  <si>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</si>
  <si>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</si>
  <si>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</si>
  <si>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</si>
  <si>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</si>
  <si>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</si>
  <si>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</si>
  <si>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</si>
  <si>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</si>
  <si>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</si>
  <si>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</si>
  <si>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</si>
  <si>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</si>
  <si>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</si>
  <si>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</si>
  <si>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</si>
  <si>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</si>
  <si>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</si>
  <si>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</si>
  <si>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</si>
  <si>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</si>
  <si>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</si>
  <si>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</si>
  <si>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</si>
  <si>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</si>
  <si>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</si>
  <si>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</si>
  <si>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</si>
  <si>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</si>
  <si>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</si>
  <si>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</si>
  <si>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</si>
  <si>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</si>
  <si>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</si>
  <si>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</si>
  <si>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</si>
  <si>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</si>
  <si>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</si>
  <si>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</si>
  <si>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</si>
  <si>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</si>
  <si>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</si>
  <si>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</si>
  <si>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</si>
  <si>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</si>
  <si>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</si>
  <si>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</si>
  <si>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</si>
  <si>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</si>
  <si>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</si>
  <si>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</si>
  <si>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</si>
  <si>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</si>
  <si>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</si>
  <si>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</si>
  <si>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</si>
  <si>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</si>
  <si>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</si>
  <si>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</si>
  <si>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</si>
  <si>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</si>
  <si>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</si>
  <si>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</si>
  <si>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</si>
  <si>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</si>
  <si>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</si>
  <si>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</si>
  <si>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</si>
  <si>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</si>
  <si>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</si>
  <si>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</si>
  <si>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</si>
  <si>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</si>
  <si>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</si>
  <si>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</si>
  <si>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</si>
  <si>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</si>
  <si>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</si>
  <si>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</si>
  <si>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</si>
  <si>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</si>
  <si>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</si>
  <si>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</si>
  <si>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</si>
  <si>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</si>
  <si>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</si>
  <si>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</si>
  <si>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</si>
  <si>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</si>
  <si>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</si>
  <si>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</si>
  <si>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</si>
  <si>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</si>
  <si>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</si>
  <si>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</si>
  <si>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</si>
  <si>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</si>
  <si>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</si>
  <si>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</si>
  <si>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</si>
  <si>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</si>
  <si>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</si>
  <si>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</si>
  <si>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</si>
  <si>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</si>
  <si>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</si>
  <si>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</si>
  <si>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</si>
  <si>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</si>
  <si>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</si>
  <si>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</si>
  <si>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</si>
  <si>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</si>
  <si>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</si>
  <si>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</si>
  <si>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</si>
  <si>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</si>
  <si>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</si>
  <si>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</si>
  <si>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</si>
  <si>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</si>
  <si>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</si>
  <si>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</si>
  <si>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</si>
  <si>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</si>
  <si>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</si>
  <si>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</si>
  <si>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</si>
  <si>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</si>
  <si>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</si>
  <si>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</si>
  <si>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</si>
  <si>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</si>
  <si>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</si>
  <si>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</si>
  <si>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</si>
  <si>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</si>
  <si>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</si>
  <si>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</si>
  <si>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</si>
  <si>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</si>
  <si>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</si>
  <si>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</si>
  <si>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</si>
  <si>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</si>
  <si>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</si>
  <si>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</si>
  <si>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</si>
  <si>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</si>
  <si>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</si>
  <si>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</si>
  <si>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</si>
  <si>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</si>
  <si>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</si>
  <si>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</si>
  <si>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</si>
  <si>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</si>
  <si>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</si>
  <si>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</si>
  <si>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</si>
  <si>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</si>
  <si>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</si>
  <si>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</si>
  <si>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</si>
  <si>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</si>
  <si>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</si>
  <si>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</si>
  <si>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</si>
  <si>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</si>
  <si>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</si>
  <si>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</si>
  <si>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</si>
  <si>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</si>
  <si>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</si>
  <si>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</si>
  <si>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</si>
  <si>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</si>
  <si>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</si>
  <si>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</si>
  <si>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</si>
  <si>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</si>
  <si>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</si>
  <si>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</si>
  <si>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</si>
  <si>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</si>
  <si>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</si>
  <si>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</si>
  <si>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</si>
  <si>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</si>
  <si>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</si>
  <si>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</si>
  <si>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</si>
  <si>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</si>
  <si>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</si>
  <si>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</si>
  <si>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</si>
  <si>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</si>
  <si>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</si>
  <si>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</si>
  <si>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</si>
  <si>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</si>
  <si>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</si>
  <si>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</si>
  <si>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</si>
  <si>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</si>
  <si>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</si>
  <si>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</si>
  <si>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</si>
  <si>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</si>
  <si>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</si>
  <si>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</si>
  <si>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</si>
  <si>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</si>
  <si>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</si>
  <si>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</si>
  <si>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</si>
  <si>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</si>
  <si>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</si>
  <si>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</si>
  <si>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</si>
  <si>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</si>
  <si>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</si>
  <si>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</si>
  <si>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</si>
  <si>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</si>
  <si>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</si>
  <si>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</si>
  <si>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</si>
  <si>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</si>
  <si>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</si>
  <si>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</si>
  <si>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</si>
  <si>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</si>
  <si>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</si>
  <si>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</si>
  <si>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</si>
  <si>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</si>
  <si>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</si>
  <si>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</si>
  <si>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</si>
  <si>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</si>
  <si>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</si>
  <si>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</si>
  <si>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</si>
  <si>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</si>
  <si>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</si>
  <si>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</si>
  <si>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</si>
  <si>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</si>
  <si>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</si>
  <si>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</si>
  <si>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</si>
  <si>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</si>
  <si>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</si>
  <si>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</si>
  <si>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</si>
  <si>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</si>
  <si>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</si>
  <si>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</si>
  <si>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</si>
  <si>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</si>
  <si>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</si>
  <si>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</si>
  <si>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</si>
  <si>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</si>
  <si>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</si>
  <si>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</si>
  <si>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</si>
  <si>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</si>
  <si>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</si>
  <si>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</si>
  <si>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</si>
  <si>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</si>
  <si>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</si>
  <si>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</si>
  <si>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</si>
  <si>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</si>
  <si>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</si>
  <si>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</si>
  <si>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</si>
  <si>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</si>
  <si>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</si>
  <si>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</si>
  <si>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</si>
  <si>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</si>
  <si>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</si>
  <si>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</si>
  <si>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</si>
  <si>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</si>
  <si>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</si>
  <si>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</si>
  <si>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</si>
  <si>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</si>
  <si>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</si>
  <si>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</si>
  <si>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</si>
  <si>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</si>
  <si>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</si>
  <si>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</si>
  <si>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</si>
  <si>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</si>
  <si>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</si>
  <si>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</si>
  <si>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</si>
  <si>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</si>
  <si>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</si>
  <si>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</si>
  <si>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</si>
  <si>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</si>
  <si>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</si>
  <si>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</si>
  <si>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</si>
  <si>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</si>
  <si>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</si>
  <si>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</si>
  <si>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</si>
  <si>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</si>
  <si>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</si>
  <si>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</si>
  <si>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</si>
  <si>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</si>
  <si>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</si>
  <si>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</si>
  <si>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</si>
  <si>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</si>
  <si>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</si>
  <si>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</si>
  <si>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</si>
  <si>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</si>
  <si>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</si>
  <si>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</si>
  <si>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</si>
  <si>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</si>
  <si>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</si>
  <si>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</si>
  <si>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</si>
  <si>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</si>
  <si>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</si>
  <si>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</si>
  <si>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</si>
  <si>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</si>
  <si>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</si>
  <si>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</si>
  <si>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</si>
  <si>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</si>
  <si>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</si>
  <si>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</si>
  <si>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</si>
  <si>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</si>
  <si>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</si>
  <si>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</si>
  <si>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</si>
  <si>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</si>
  <si>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</si>
  <si>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</si>
  <si>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</si>
  <si>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</si>
  <si>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</si>
  <si>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</si>
  <si>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</si>
  <si>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</si>
  <si>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</si>
  <si>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</si>
  <si>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</si>
  <si>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</si>
  <si>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</si>
  <si>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</si>
  <si>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</si>
  <si>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</si>
  <si>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</si>
  <si>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</si>
  <si>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</si>
  <si>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</si>
  <si>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</si>
  <si>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</si>
  <si>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</si>
  <si>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</si>
  <si>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</si>
  <si>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</si>
  <si>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</si>
  <si>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</si>
  <si>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</si>
  <si>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</si>
  <si>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</si>
  <si>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</si>
  <si>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</si>
  <si>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</si>
  <si>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</si>
  <si>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</si>
  <si>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</si>
  <si>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</si>
  <si>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</si>
  <si>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</si>
  <si>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</si>
  <si>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</si>
  <si>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</si>
  <si>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</si>
  <si>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</si>
  <si>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</si>
  <si>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</si>
  <si>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</si>
  <si>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</si>
  <si>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</si>
  <si>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</si>
  <si>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</si>
  <si>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</si>
  <si>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</si>
  <si>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</si>
  <si>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</si>
  <si>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</si>
  <si>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</si>
  <si>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</si>
  <si>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</si>
  <si>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</si>
  <si>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</si>
  <si>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</si>
  <si>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</si>
  <si>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</si>
  <si>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</si>
  <si>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</si>
  <si>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</si>
  <si>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</si>
  <si>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</si>
  <si>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</si>
  <si>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</si>
  <si>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</si>
  <si>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</si>
  <si>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</si>
  <si>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</si>
  <si>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</si>
  <si>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</si>
  <si>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</si>
  <si>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</si>
  <si>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</si>
  <si>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</si>
  <si>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</si>
  <si>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</si>
  <si>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</si>
  <si>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</si>
  <si>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</si>
  <si>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</si>
  <si>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</si>
  <si>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</si>
  <si>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</si>
  <si>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</si>
  <si>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</si>
  <si>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</si>
  <si>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</si>
  <si>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</si>
  <si>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</si>
  <si>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</si>
  <si>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</si>
  <si>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</si>
  <si>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</si>
  <si>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</si>
  <si>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</si>
  <si>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</si>
  <si>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</si>
  <si>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</si>
  <si>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</si>
  <si>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</si>
  <si>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</si>
  <si>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</si>
  <si>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</si>
  <si>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</si>
  <si>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</si>
  <si>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</si>
  <si>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</si>
  <si>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</si>
  <si>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</si>
  <si>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</si>
  <si>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</si>
  <si>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</si>
  <si>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</si>
  <si>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</si>
  <si>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</si>
  <si>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</si>
  <si>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</si>
  <si>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</si>
  <si>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</si>
  <si>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</si>
  <si>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</si>
  <si>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</si>
  <si>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</si>
  <si>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</si>
  <si>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</si>
  <si>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</si>
  <si>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</si>
  <si>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</si>
  <si>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</si>
  <si>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</si>
  <si>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</si>
  <si>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</si>
  <si>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</si>
  <si>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</si>
  <si>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</si>
  <si>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</si>
  <si>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</si>
  <si>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</si>
  <si>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</si>
  <si>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</si>
  <si>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</si>
  <si>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</si>
  <si>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</si>
  <si>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</si>
  <si>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</si>
  <si>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</si>
  <si>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</si>
  <si>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</si>
  <si>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</si>
  <si>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</si>
  <si>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</si>
  <si>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</si>
  <si>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</si>
  <si>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</si>
  <si>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</si>
  <si>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</si>
  <si>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</si>
  <si>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</si>
  <si>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</si>
  <si>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</si>
  <si>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</si>
  <si>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</si>
  <si>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</si>
  <si>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</si>
  <si>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</si>
  <si>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</si>
  <si>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</si>
  <si>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</si>
  <si>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</si>
  <si>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</si>
  <si>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</si>
  <si>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</si>
  <si>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</si>
  <si>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</si>
  <si>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</si>
  <si>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</si>
  <si>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</si>
  <si>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</si>
  <si>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</si>
  <si>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</si>
  <si>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</si>
  <si>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</si>
  <si>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</si>
  <si>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</si>
  <si>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</si>
  <si>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</si>
  <si>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</si>
  <si>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</si>
  <si>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</si>
  <si>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</si>
  <si>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</si>
  <si>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</si>
  <si>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</si>
  <si>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</si>
  <si>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</si>
  <si>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</si>
  <si>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</si>
  <si>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</si>
  <si>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</si>
  <si>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</si>
  <si>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</si>
  <si>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</si>
  <si>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</si>
  <si>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</si>
  <si>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</si>
  <si>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</si>
  <si>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</si>
  <si>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</si>
  <si>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</si>
  <si>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</si>
  <si>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</si>
  <si>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</si>
  <si>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</si>
  <si>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</si>
  <si>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</si>
  <si>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</si>
  <si>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</si>
  <si>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</si>
  <si>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</si>
  <si>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</si>
  <si>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</si>
  <si>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</si>
  <si>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</si>
  <si>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</si>
  <si>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</si>
  <si>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</si>
  <si>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</si>
  <si>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</si>
  <si>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</si>
  <si>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</si>
  <si>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</si>
  <si>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</si>
  <si>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</si>
  <si>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</si>
  <si>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</si>
  <si>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</si>
  <si>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</si>
  <si>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</si>
  <si>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</si>
  <si>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</si>
  <si>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</si>
  <si>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</si>
  <si>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</si>
  <si>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</si>
  <si>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</si>
  <si>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</si>
  <si>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</si>
  <si>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</si>
  <si>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</si>
  <si>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</si>
  <si>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</si>
  <si>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</si>
  <si>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</si>
  <si>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</si>
  <si>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</si>
  <si>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</si>
  <si>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</si>
  <si>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</si>
  <si>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</si>
  <si>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</si>
  <si>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</si>
  <si>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</si>
  <si>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</si>
  <si>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</si>
  <si>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</si>
  <si>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</si>
  <si>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</si>
  <si>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</si>
  <si>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</si>
  <si>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</si>
  <si>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</si>
  <si>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</si>
  <si>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</si>
  <si>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</si>
  <si>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</si>
  <si>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</si>
  <si>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</si>
  <si>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</si>
  <si>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</si>
  <si>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</si>
  <si>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</si>
  <si>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</si>
  <si>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</si>
  <si>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</si>
  <si>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</si>
  <si>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</si>
  <si>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</si>
  <si>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</si>
  <si>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</si>
  <si>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</si>
  <si>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</si>
  <si>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</si>
  <si>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</si>
  <si>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</si>
  <si>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</si>
  <si>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</si>
  <si>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</si>
  <si>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</si>
  <si>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</si>
  <si>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</si>
  <si>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</si>
  <si>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</si>
  <si>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</si>
  <si>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</si>
  <si>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</si>
  <si>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</si>
  <si>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</si>
  <si>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</si>
  <si>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</si>
  <si>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</si>
  <si>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</si>
  <si>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</si>
  <si>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</si>
  <si>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</si>
  <si>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</si>
  <si>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</si>
  <si>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</si>
  <si>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</si>
  <si>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</si>
  <si>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</si>
  <si>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</si>
  <si>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</si>
  <si>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</si>
  <si>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</si>
  <si>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</si>
  <si>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</si>
  <si>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</si>
  <si>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</si>
  <si>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</si>
  <si>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</si>
  <si>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</si>
  <si>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</si>
  <si>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</si>
  <si>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</si>
  <si>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</si>
  <si>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</si>
  <si>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</si>
  <si>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</si>
  <si>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</si>
  <si>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</si>
  <si>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</si>
  <si>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</si>
  <si>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</si>
  <si>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</si>
  <si>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</si>
  <si>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</si>
  <si>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</si>
  <si>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</si>
  <si>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</si>
  <si>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</si>
  <si>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</si>
  <si>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</si>
  <si>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</si>
  <si>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</si>
  <si>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</si>
  <si>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</si>
  <si>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</si>
  <si>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</si>
  <si>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</si>
  <si>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</si>
  <si>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</si>
  <si>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</si>
  <si>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</si>
  <si>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</si>
  <si>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</si>
  <si>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</si>
  <si>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</si>
  <si>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</si>
  <si>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</si>
  <si>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</si>
  <si>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</si>
  <si>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</si>
  <si>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</si>
  <si>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</si>
  <si>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</si>
  <si>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</si>
  <si>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</si>
  <si>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</si>
  <si>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</si>
  <si>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</si>
  <si>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</si>
  <si>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</si>
  <si>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</si>
  <si>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</si>
  <si>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</si>
  <si>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</si>
  <si>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</si>
  <si>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</si>
  <si>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</si>
  <si>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</si>
  <si>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</si>
  <si>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</si>
  <si>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</si>
  <si>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</si>
  <si>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</si>
  <si>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</si>
  <si>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</si>
  <si>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</si>
  <si>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</si>
  <si>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</si>
  <si>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</si>
  <si>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</si>
  <si>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</si>
  <si>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</si>
  <si>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</si>
  <si>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</si>
  <si>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</si>
  <si>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</si>
  <si>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</si>
  <si>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</si>
  <si>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</si>
  <si>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</si>
  <si>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</si>
  <si>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</si>
  <si>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</si>
  <si>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</si>
  <si>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</si>
  <si>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</si>
  <si>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</si>
  <si>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</si>
  <si>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</si>
  <si>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</si>
  <si>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</si>
  <si>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</si>
  <si>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</si>
  <si>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</si>
  <si>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</si>
  <si>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</si>
  <si>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</si>
  <si>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</si>
  <si>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</si>
  <si>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</si>
  <si>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</si>
  <si>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</si>
  <si>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</si>
  <si>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</si>
  <si>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</si>
  <si>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</si>
  <si>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</si>
  <si>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</si>
  <si>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</si>
  <si>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</si>
  <si>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</si>
  <si>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</si>
  <si>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</si>
  <si>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</si>
  <si>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</si>
  <si>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</si>
  <si>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</si>
  <si>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</si>
  <si>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</si>
  <si>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</si>
  <si>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</si>
  <si>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</si>
  <si>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</si>
  <si>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</si>
  <si>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</si>
  <si>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</si>
  <si>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</si>
  <si>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</si>
  <si>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</si>
  <si>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</si>
  <si>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</si>
  <si>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</si>
  <si>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</si>
  <si>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</si>
  <si>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</si>
  <si>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</si>
  <si>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</si>
  <si>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</si>
  <si>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</si>
  <si>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</si>
  <si>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</si>
  <si>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</si>
  <si>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</si>
  <si>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</si>
  <si>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</si>
  <si>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</si>
  <si>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</si>
  <si>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</si>
  <si>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</si>
  <si>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</si>
  <si>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</si>
  <si>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</si>
  <si>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</si>
  <si>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</si>
  <si>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</si>
  <si>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</si>
  <si>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</si>
  <si>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</si>
  <si>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</si>
  <si>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</si>
  <si>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</si>
  <si>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</si>
  <si>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</si>
  <si>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</si>
  <si>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</si>
  <si>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</si>
  <si>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</si>
  <si>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</si>
  <si>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</si>
  <si>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</si>
  <si>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</si>
  <si>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</si>
  <si>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</si>
  <si>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</si>
  <si>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</si>
  <si>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</si>
  <si>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</si>
  <si>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</si>
  <si>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</si>
  <si>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</si>
  <si>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</si>
  <si>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</si>
  <si>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</si>
  <si>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</si>
  <si>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</si>
  <si>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</si>
  <si>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</si>
  <si>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</si>
  <si>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</si>
  <si>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</si>
  <si>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</si>
  <si>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</si>
  <si>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</si>
  <si>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</si>
  <si>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</si>
  <si>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</si>
  <si>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</si>
  <si>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</si>
  <si>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</si>
  <si>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</si>
  <si>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</si>
  <si>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</si>
  <si>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</si>
  <si>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</si>
  <si>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</si>
  <si>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</si>
  <si>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</si>
  <si>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</si>
  <si>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</si>
  <si>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</si>
  <si>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</si>
  <si>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</si>
  <si>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</si>
  <si>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</si>
  <si>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</si>
  <si>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</si>
  <si>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</si>
  <si>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</si>
  <si>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</si>
  <si>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</si>
  <si>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</si>
  <si>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</si>
  <si>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</si>
  <si>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</si>
  <si>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</si>
  <si>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</si>
  <si>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</si>
  <si>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</si>
  <si>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</si>
  <si>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</si>
  <si>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</si>
  <si>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</si>
  <si>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</si>
  <si>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</si>
  <si>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</si>
  <si>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</si>
  <si>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</si>
  <si>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</si>
  <si>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</si>
  <si>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</si>
  <si>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</si>
  <si>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</si>
  <si>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</si>
  <si>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</si>
  <si>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</si>
  <si>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</si>
  <si>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</si>
  <si>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</si>
  <si>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</si>
  <si>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</si>
  <si>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</si>
  <si>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</si>
  <si>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</si>
  <si>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</si>
  <si>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</si>
  <si>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</si>
  <si>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</si>
  <si>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</si>
  <si>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</si>
  <si>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</si>
  <si>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</si>
  <si>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</si>
  <si>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</si>
  <si>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</si>
  <si>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</si>
  <si>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</si>
  <si>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</si>
  <si>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</si>
  <si>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</si>
  <si>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</si>
  <si>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</si>
  <si>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</si>
  <si>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</si>
  <si>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</si>
  <si>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</si>
  <si>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</si>
  <si>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</si>
  <si>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</si>
  <si>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</si>
  <si>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</si>
  <si>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</si>
  <si>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</si>
  <si>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</si>
  <si>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</si>
  <si>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</si>
  <si>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</si>
  <si>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</si>
  <si>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</si>
  <si>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</si>
  <si>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</si>
  <si>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</si>
  <si>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</si>
  <si>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</si>
  <si>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</si>
  <si>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</si>
  <si>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</si>
  <si>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</si>
  <si>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</si>
  <si>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</si>
  <si>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</si>
  <si>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</si>
  <si>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</si>
  <si>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</si>
  <si>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</si>
  <si>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</si>
  <si>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</si>
  <si>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</si>
  <si>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</si>
  <si>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</si>
  <si>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</si>
  <si>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</si>
  <si>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</si>
  <si>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</si>
  <si>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</si>
  <si>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</si>
  <si>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</si>
  <si>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</si>
  <si>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</si>
  <si>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</si>
  <si>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</si>
  <si>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</si>
  <si>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</si>
  <si>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</si>
  <si>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</si>
  <si>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</si>
  <si>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</si>
  <si>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</si>
  <si>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</si>
  <si>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</si>
  <si>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</si>
  <si>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</si>
  <si>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</si>
  <si>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</si>
  <si>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</si>
  <si>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</si>
  <si>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</si>
  <si>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</si>
  <si>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</si>
  <si>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</si>
  <si>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</si>
  <si>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</si>
  <si>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</si>
  <si>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</si>
  <si>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</si>
  <si>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</si>
  <si>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</si>
  <si>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</si>
  <si>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</si>
  <si>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</si>
  <si>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</si>
  <si>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</si>
  <si>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</si>
  <si>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</si>
  <si>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</si>
  <si>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</si>
  <si>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</si>
  <si>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</si>
  <si>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</si>
  <si>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</si>
  <si>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</si>
  <si>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</si>
  <si>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</si>
  <si>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</si>
  <si>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</si>
  <si>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</si>
  <si>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</si>
  <si>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</si>
  <si>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</si>
  <si>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</si>
  <si>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</si>
  <si>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</si>
  <si>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</si>
  <si>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</si>
  <si>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</si>
  <si>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</si>
  <si>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</si>
  <si>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</si>
  <si>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</si>
  <si>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</si>
  <si>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</si>
  <si>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</si>
  <si>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</si>
  <si>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</si>
  <si>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</si>
  <si>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</si>
  <si>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</si>
  <si>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</si>
  <si>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</si>
  <si>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</si>
  <si>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</si>
  <si>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</si>
  <si>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</si>
  <si>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</si>
  <si>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</si>
  <si>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</si>
  <si>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</si>
  <si>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</si>
  <si>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</si>
  <si>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</si>
  <si>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</si>
  <si>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</si>
  <si>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</si>
  <si>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</si>
  <si>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</si>
  <si>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</si>
  <si>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</si>
  <si>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</si>
  <si>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</si>
  <si>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</si>
  <si>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</si>
  <si>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</si>
  <si>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</si>
  <si>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</si>
  <si>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</si>
  <si>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</si>
  <si>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</si>
  <si>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</si>
  <si>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</si>
  <si>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</si>
  <si>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</si>
  <si>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</si>
  <si>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</si>
  <si>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</si>
  <si>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</si>
  <si>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</si>
  <si>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</si>
  <si>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</si>
  <si>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</si>
  <si>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</si>
  <si>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</si>
  <si>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</si>
  <si>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</si>
  <si>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</si>
  <si>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</si>
  <si>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</si>
  <si>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</si>
  <si>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</si>
  <si>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</si>
  <si>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</si>
  <si>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</si>
  <si>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</si>
  <si>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</si>
  <si>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</si>
  <si>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</si>
  <si>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</si>
  <si>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</si>
  <si>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</si>
  <si>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</si>
  <si>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</si>
  <si>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</si>
  <si>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</si>
  <si>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</si>
  <si>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</si>
  <si>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</si>
  <si>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</si>
  <si>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</si>
  <si>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</si>
  <si>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</si>
  <si>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</si>
  <si>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</si>
  <si>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</si>
  <si>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</si>
  <si>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</si>
  <si>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</si>
  <si>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</si>
  <si>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</si>
  <si>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</si>
  <si>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</si>
  <si>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</si>
  <si>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</si>
  <si>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</si>
  <si>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</si>
  <si>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</si>
  <si>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</si>
  <si>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</si>
  <si>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</si>
  <si>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</si>
  <si>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</si>
  <si>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</si>
  <si>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</si>
  <si>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</si>
  <si>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</si>
  <si>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</si>
  <si>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</si>
  <si>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</si>
  <si>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</si>
  <si>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</si>
  <si>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</si>
  <si>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</si>
  <si>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</si>
  <si>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</si>
  <si>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</si>
  <si>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</si>
  <si>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</si>
  <si>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</si>
  <si>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</si>
  <si>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</si>
  <si>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</si>
  <si>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</si>
  <si>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</si>
  <si>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</si>
  <si>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</si>
  <si>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</si>
  <si>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</si>
  <si>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</si>
  <si>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</si>
  <si>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</si>
  <si>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</si>
  <si>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</si>
  <si>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</si>
  <si>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</si>
  <si>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</si>
  <si>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</si>
  <si>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</si>
  <si>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</si>
  <si>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</si>
  <si>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</si>
  <si>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</si>
  <si>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</si>
  <si>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</si>
  <si>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</si>
  <si>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</si>
  <si>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</si>
  <si>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</si>
  <si>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</si>
  <si>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</si>
  <si>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</si>
  <si>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</si>
  <si>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</si>
  <si>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</si>
  <si>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</si>
  <si>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</si>
  <si>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</si>
  <si>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</si>
  <si>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</si>
  <si>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</si>
  <si>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</si>
  <si>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</si>
  <si>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</si>
  <si>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</si>
  <si>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</si>
  <si>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</si>
  <si>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</si>
  <si>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</si>
  <si>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</si>
  <si>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</si>
  <si>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</si>
  <si>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</si>
  <si>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</si>
  <si>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</si>
  <si>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</si>
  <si>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</si>
  <si>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</si>
  <si>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</si>
  <si>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</si>
  <si>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</si>
  <si>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</si>
  <si>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</si>
  <si>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</si>
  <si>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</si>
  <si>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</si>
  <si>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</si>
  <si>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</si>
  <si>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</si>
  <si>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</si>
  <si>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</si>
  <si>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</si>
  <si>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</si>
  <si>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</si>
  <si>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</si>
  <si>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</si>
  <si>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</si>
  <si>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</si>
  <si>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</si>
  <si>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</si>
  <si>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</si>
  <si>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</si>
  <si>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</si>
  <si>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</si>
  <si>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</si>
  <si>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</si>
  <si>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</si>
  <si>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</si>
  <si>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</si>
  <si>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</si>
  <si>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</si>
  <si>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</si>
  <si>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</si>
  <si>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</si>
  <si>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</si>
  <si>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</si>
  <si>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</si>
  <si>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</si>
  <si>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</si>
  <si>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</si>
  <si>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</si>
  <si>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</si>
  <si>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</si>
  <si>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</si>
  <si>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</si>
  <si>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</si>
  <si>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</si>
  <si>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</si>
  <si>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</si>
  <si>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</si>
  <si>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</si>
  <si>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</si>
  <si>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</si>
  <si>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</si>
  <si>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</si>
  <si>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</si>
  <si>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</si>
  <si>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</si>
  <si>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</si>
  <si>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</si>
  <si>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</si>
  <si>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</si>
  <si>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</si>
  <si>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</si>
  <si>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</si>
  <si>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</si>
  <si>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</si>
  <si>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</si>
  <si>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</si>
  <si>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</si>
  <si>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</si>
  <si>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</si>
  <si>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</si>
  <si>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</si>
  <si>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</si>
  <si>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</si>
  <si>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</si>
  <si>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</si>
  <si>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</si>
  <si>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</si>
  <si>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</si>
  <si>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</si>
  <si>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</si>
  <si>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</si>
  <si>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</si>
  <si>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</si>
  <si>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</si>
  <si>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</si>
  <si>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</si>
  <si>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</si>
  <si>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</si>
  <si>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</si>
  <si>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</si>
  <si>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</si>
  <si>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</si>
  <si>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</si>
  <si>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</si>
  <si>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</si>
  <si>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</si>
  <si>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</si>
  <si>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</si>
  <si>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</si>
  <si>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</si>
  <si>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</si>
  <si>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</si>
  <si>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</si>
  <si>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</si>
  <si>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</si>
  <si>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</si>
  <si>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</si>
  <si>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</si>
  <si>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</si>
  <si>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</si>
  <si>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</si>
  <si>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</si>
  <si>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</si>
  <si>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</si>
  <si>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</si>
  <si>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</si>
  <si>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</si>
  <si>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</si>
  <si>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</si>
  <si>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</si>
  <si>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</si>
  <si>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</si>
  <si>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</si>
  <si>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</si>
  <si>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</si>
  <si>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</si>
  <si>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</si>
  <si>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</si>
  <si>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</si>
  <si>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</si>
  <si>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</si>
  <si>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</si>
  <si>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</si>
  <si>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</si>
  <si>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</si>
  <si>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</si>
  <si>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</si>
  <si>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</si>
  <si>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</si>
  <si>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</si>
  <si>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</si>
  <si>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</si>
  <si>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</si>
  <si>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</si>
  <si>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</si>
  <si>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</si>
  <si>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</si>
  <si>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</si>
  <si>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</si>
  <si>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</si>
  <si>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</si>
  <si>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</si>
  <si>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</si>
  <si>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</si>
  <si>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</si>
  <si>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</si>
  <si>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</si>
  <si>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</si>
  <si>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</si>
  <si>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</si>
  <si>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</si>
  <si>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</si>
  <si>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</si>
  <si>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</si>
  <si>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</si>
  <si>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</si>
  <si>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</si>
  <si>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</si>
  <si>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</si>
  <si>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</si>
  <si>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</si>
  <si>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</si>
  <si>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</si>
  <si>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</si>
  <si>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</si>
  <si>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</si>
  <si>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</si>
  <si>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</si>
  <si>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</si>
  <si>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</si>
  <si>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</si>
  <si>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</si>
  <si>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</si>
  <si>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</si>
  <si>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</si>
  <si>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</si>
  <si>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</si>
  <si>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</si>
  <si>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</si>
  <si>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</si>
  <si>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</si>
  <si>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</si>
  <si>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</si>
  <si>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</si>
  <si>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</si>
  <si>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</si>
  <si>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</si>
  <si>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</si>
  <si>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</si>
  <si>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</si>
  <si>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</si>
  <si>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</si>
  <si>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</si>
  <si>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</si>
  <si>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</si>
  <si>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</si>
  <si>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</si>
  <si>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</si>
  <si>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</si>
  <si>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</si>
  <si>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</si>
  <si>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</si>
  <si>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</si>
  <si>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</si>
  <si>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</si>
  <si>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</si>
  <si>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</si>
  <si>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</si>
  <si>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</si>
  <si>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</si>
  <si>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</si>
  <si>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</si>
  <si>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</si>
  <si>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</si>
  <si>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</si>
  <si>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</si>
  <si>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</si>
  <si>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</si>
  <si>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</si>
  <si>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</si>
  <si>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</si>
  <si>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</si>
  <si>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</si>
  <si>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</si>
  <si>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</si>
  <si>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</si>
  <si>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</si>
  <si>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</si>
  <si>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</si>
  <si>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</si>
  <si>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</si>
  <si>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</si>
  <si>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</si>
  <si>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</si>
  <si>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</si>
  <si>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</si>
  <si>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</si>
  <si>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</si>
  <si>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</si>
  <si>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</si>
  <si>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</si>
  <si>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</si>
  <si>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</si>
  <si>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</si>
  <si>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</si>
  <si>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</si>
  <si>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</si>
  <si>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</si>
  <si>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</si>
  <si>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</si>
  <si>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</si>
  <si>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</si>
  <si>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</si>
  <si>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</si>
  <si>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</si>
  <si>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</si>
  <si>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</si>
  <si>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</si>
  <si>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</si>
  <si>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</si>
  <si>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</si>
  <si>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</si>
  <si>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</si>
  <si>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</si>
  <si>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</si>
  <si>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</si>
  <si>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</si>
  <si>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</si>
  <si>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</si>
  <si>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</si>
  <si>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</si>
  <si>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</si>
  <si>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</si>
  <si>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</si>
  <si>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</si>
  <si>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</si>
  <si>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</si>
  <si>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</si>
  <si>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</si>
  <si>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</si>
  <si>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</si>
  <si>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</si>
  <si>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</si>
  <si>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</si>
  <si>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</si>
  <si>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</si>
  <si>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</si>
  <si>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</si>
  <si>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</si>
  <si>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</si>
  <si>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</si>
  <si>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</si>
  <si>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</si>
  <si>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</si>
  <si>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</si>
  <si>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</si>
  <si>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</si>
  <si>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</si>
  <si>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</si>
  <si>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</si>
  <si>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</si>
  <si>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</si>
  <si>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</si>
  <si>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</si>
  <si>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</si>
  <si>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</si>
  <si>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</si>
  <si>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</si>
  <si>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</si>
  <si>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</si>
  <si>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</si>
  <si>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</si>
  <si>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</si>
  <si>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</si>
  <si>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</si>
  <si>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</si>
  <si>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</si>
  <si>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</si>
  <si>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</si>
  <si>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</si>
  <si>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</si>
  <si>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</si>
  <si>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</si>
  <si>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</si>
  <si>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</si>
  <si>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</si>
  <si>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</si>
  <si>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</si>
  <si>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</si>
  <si>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</si>
  <si>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</si>
  <si>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</si>
  <si>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</si>
  <si>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</si>
  <si>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</si>
  <si>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</si>
  <si>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</si>
  <si>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</si>
  <si>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</si>
  <si>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</si>
  <si>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</si>
  <si>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</si>
  <si>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</si>
  <si>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</si>
  <si>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</si>
  <si>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</si>
  <si>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</si>
  <si>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</si>
  <si>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</si>
  <si>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</si>
  <si>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</si>
  <si>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</si>
  <si>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</si>
  <si>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</si>
  <si>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</si>
  <si>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</si>
  <si>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</si>
  <si>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</si>
  <si>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</si>
  <si>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</si>
  <si>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</si>
  <si>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</si>
  <si>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</si>
  <si>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</si>
  <si>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</si>
  <si>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</si>
  <si>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</si>
  <si>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</si>
  <si>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</si>
  <si>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</si>
  <si>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</si>
  <si>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</si>
  <si>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</si>
  <si>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</si>
  <si>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</si>
  <si>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</si>
  <si>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</si>
  <si>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</si>
  <si>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</si>
  <si>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</si>
  <si>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</si>
  <si>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</si>
  <si>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</si>
  <si>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</si>
  <si>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</si>
  <si>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</si>
  <si>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</si>
  <si>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</si>
  <si>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</si>
  <si>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</si>
  <si>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</si>
  <si>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</si>
  <si>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</si>
  <si>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</si>
  <si>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</si>
  <si>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</si>
  <si>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</si>
  <si>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</si>
  <si>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</si>
  <si>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</si>
  <si>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</si>
  <si>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</si>
  <si>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</si>
  <si>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</si>
  <si>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</si>
  <si>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</si>
  <si>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</si>
  <si>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</si>
  <si>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</si>
  <si>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</si>
  <si>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</si>
  <si>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</si>
  <si>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</si>
  <si>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</si>
  <si>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</si>
  <si>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</si>
  <si>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</si>
  <si>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</si>
  <si>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</si>
  <si>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</si>
  <si>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</si>
  <si>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</si>
  <si>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</si>
  <si>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</si>
  <si>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</si>
  <si>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</si>
  <si>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</si>
  <si>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</si>
  <si>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</si>
  <si>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</si>
  <si>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</si>
  <si>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</si>
  <si>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</si>
  <si>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</si>
  <si>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</si>
  <si>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</si>
  <si>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</si>
  <si>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</si>
  <si>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</si>
  <si>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</si>
  <si>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</si>
  <si>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</si>
  <si>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</si>
  <si>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</si>
  <si>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</si>
  <si>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</si>
  <si>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</si>
  <si>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</si>
  <si>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</si>
  <si>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</si>
  <si>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</si>
  <si>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</si>
  <si>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</si>
  <si>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</si>
  <si>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</si>
  <si>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</si>
  <si>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</si>
  <si>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</si>
  <si>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</si>
  <si>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</si>
  <si>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</si>
  <si>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</si>
  <si>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</si>
  <si>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</si>
  <si>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</si>
  <si>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</si>
  <si>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</si>
  <si>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</si>
  <si>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</si>
  <si>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</si>
  <si>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</si>
  <si>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</si>
  <si>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</si>
  <si>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</si>
  <si>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</si>
  <si>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</si>
  <si>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</si>
  <si>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</si>
  <si>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</si>
  <si>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</si>
  <si>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</si>
  <si>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</si>
  <si>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</si>
  <si>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</si>
  <si>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</si>
  <si>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</si>
  <si>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</si>
  <si>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</si>
  <si>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</si>
  <si>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</si>
  <si>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</si>
  <si>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</si>
  <si>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</si>
  <si>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</si>
  <si>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</si>
  <si>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</si>
  <si>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</si>
  <si>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</si>
  <si>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</si>
  <si>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</si>
  <si>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</si>
  <si>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</si>
  <si>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</si>
  <si>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</si>
  <si>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</si>
  <si>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</si>
  <si>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</si>
  <si>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</si>
  <si>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</si>
  <si>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</si>
  <si>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</si>
  <si>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</si>
  <si>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</si>
  <si>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</si>
  <si>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</si>
  <si>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</si>
  <si>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</si>
  <si>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</si>
  <si>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</si>
  <si>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</si>
  <si>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</si>
  <si>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</si>
  <si>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</si>
  <si>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</si>
  <si>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</si>
  <si>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</si>
  <si>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</si>
  <si>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</si>
  <si>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</si>
  <si>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</si>
  <si>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</si>
  <si>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</si>
  <si>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</si>
  <si>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</si>
  <si>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</si>
  <si>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</si>
  <si>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</si>
  <si>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</si>
  <si>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</si>
  <si>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</si>
  <si>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</si>
  <si>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</si>
  <si>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</si>
  <si>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</si>
  <si>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</si>
  <si>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</si>
  <si>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</si>
  <si>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</si>
  <si>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</si>
  <si>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</si>
  <si>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</si>
  <si>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</si>
  <si>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</si>
  <si>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</si>
  <si>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</si>
  <si>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</si>
  <si>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</si>
  <si>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</si>
  <si>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</si>
  <si>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</si>
  <si>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</si>
  <si>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</si>
  <si>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</si>
  <si>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</si>
  <si>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</si>
  <si>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</si>
  <si>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</si>
  <si>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</si>
  <si>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</si>
  <si>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</si>
  <si>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</si>
  <si>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</si>
  <si>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</si>
  <si>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</si>
  <si>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</si>
  <si>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</si>
  <si>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</si>
  <si>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</si>
  <si>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</si>
  <si>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</si>
  <si>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</si>
  <si>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</si>
  <si>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</si>
  <si>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</si>
  <si>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</si>
  <si>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</si>
  <si>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</si>
  <si>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</si>
  <si>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</si>
  <si>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</si>
  <si>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</si>
  <si>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</si>
  <si>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</si>
  <si>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</si>
  <si>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</si>
  <si>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</si>
  <si>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</si>
  <si>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</si>
  <si>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</si>
  <si>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</si>
  <si>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</si>
  <si>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</si>
  <si>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</si>
  <si>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</si>
  <si>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</si>
  <si>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</si>
  <si>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</si>
  <si>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</si>
  <si>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</si>
  <si>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</si>
  <si>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</si>
  <si>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</si>
  <si>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</si>
  <si>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</si>
  <si>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</si>
  <si>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</si>
  <si>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</si>
  <si>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</si>
  <si>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</si>
  <si>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</si>
  <si>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</si>
  <si>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</si>
  <si>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</si>
  <si>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</si>
  <si>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</si>
  <si>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</si>
  <si>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</si>
  <si>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</si>
  <si>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</si>
  <si>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</si>
  <si>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</si>
  <si>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</si>
  <si>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</si>
  <si>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</si>
  <si>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</si>
  <si>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</si>
  <si>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</si>
  <si>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</si>
  <si>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</si>
  <si>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</si>
  <si>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</si>
  <si>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</si>
  <si>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</si>
  <si>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</si>
  <si>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</si>
  <si>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</si>
  <si>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</si>
  <si>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</si>
  <si>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</si>
  <si>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</si>
  <si>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</si>
  <si>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</si>
  <si>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</si>
  <si>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</si>
  <si>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</si>
  <si>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</si>
  <si>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</si>
  <si>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</si>
  <si>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</si>
  <si>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</si>
  <si>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</si>
  <si>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</si>
  <si>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</si>
  <si>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</si>
  <si>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</si>
  <si>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</si>
  <si>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</si>
  <si>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</si>
  <si>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</si>
  <si>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</si>
  <si>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</si>
  <si>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</si>
  <si>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</si>
  <si>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</si>
  <si>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</si>
  <si>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</si>
  <si>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</si>
  <si>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</si>
  <si>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</si>
  <si>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</si>
  <si>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</si>
  <si>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</si>
  <si>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</si>
  <si>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</si>
  <si>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</si>
  <si>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</si>
  <si>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</si>
  <si>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</si>
  <si>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</si>
  <si>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</si>
  <si>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</si>
  <si>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</si>
  <si>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</si>
  <si>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</si>
  <si>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</si>
  <si>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</si>
  <si>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</si>
  <si>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</si>
  <si>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</si>
  <si>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</si>
  <si>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</si>
  <si>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</si>
  <si>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</si>
  <si>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</si>
  <si>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</si>
  <si>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</si>
  <si>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</si>
  <si>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</si>
  <si>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</si>
  <si>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</si>
  <si>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</si>
  <si>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</si>
  <si>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</si>
  <si>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</si>
  <si>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</si>
  <si>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</si>
  <si>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</si>
  <si>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</si>
  <si>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</si>
  <si>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</si>
  <si>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</si>
  <si>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</si>
  <si>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</si>
  <si>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</si>
  <si>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</si>
  <si>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</si>
  <si>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</si>
  <si>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</si>
  <si>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</si>
  <si>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</si>
  <si>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</si>
  <si>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</si>
  <si>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</si>
  <si>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</si>
  <si>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</si>
  <si>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</si>
  <si>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</si>
  <si>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</si>
  <si>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</si>
  <si>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</si>
  <si>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</si>
  <si>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</si>
  <si>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</si>
  <si>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</si>
  <si>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</si>
  <si>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</si>
  <si>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</si>
  <si>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</si>
  <si>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</si>
  <si>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</si>
  <si>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</si>
  <si>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</si>
  <si>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</si>
  <si>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</si>
  <si>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</si>
  <si>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</si>
  <si>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</si>
  <si>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</si>
  <si>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</si>
  <si>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</si>
  <si>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</si>
  <si>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</si>
  <si>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</si>
  <si>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</si>
  <si>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</si>
  <si>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</si>
  <si>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</si>
  <si>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</si>
  <si>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</si>
  <si>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</si>
  <si>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</si>
  <si>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</si>
  <si>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</si>
  <si>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</si>
  <si>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</si>
  <si>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</si>
  <si>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</si>
  <si>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</si>
  <si>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</si>
  <si>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</si>
  <si>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</si>
  <si>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</si>
  <si>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</si>
  <si>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</si>
  <si>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</si>
  <si>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</si>
  <si>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</si>
  <si>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</si>
  <si>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</si>
  <si>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</si>
  <si>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</si>
  <si>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</si>
  <si>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</si>
  <si>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</si>
  <si>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</si>
  <si>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</si>
  <si>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</si>
  <si>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</si>
  <si>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</si>
  <si>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</si>
  <si>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</si>
  <si>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</si>
  <si>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</si>
  <si>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</si>
  <si>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</si>
  <si>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</si>
  <si>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</si>
  <si>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</si>
  <si>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</si>
  <si>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</si>
  <si>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</si>
  <si>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</si>
  <si>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</si>
  <si>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</si>
  <si>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</si>
  <si>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</si>
  <si>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</si>
  <si>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</si>
  <si>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</si>
  <si>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</si>
  <si>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</si>
  <si>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</si>
  <si>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</si>
  <si>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</si>
  <si>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</si>
  <si>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</si>
  <si>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</si>
  <si>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</si>
  <si>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</si>
  <si>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</si>
  <si>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</si>
  <si>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</si>
  <si>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</si>
  <si>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</si>
  <si>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</si>
  <si>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</si>
  <si>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</si>
  <si>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</si>
  <si>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</si>
  <si>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</si>
  <si>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</si>
  <si>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</si>
  <si>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</si>
  <si>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</si>
  <si>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</si>
  <si>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</si>
  <si>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</si>
  <si>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</si>
  <si>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</si>
  <si>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</si>
  <si>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</si>
  <si>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</si>
  <si>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</si>
  <si>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</si>
  <si>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</si>
  <si>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</si>
  <si>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</si>
  <si>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</si>
  <si>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</si>
  <si>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</si>
  <si>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</si>
  <si>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</si>
  <si>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</si>
  <si>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</si>
  <si>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</si>
  <si>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</si>
  <si>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</si>
  <si>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</si>
  <si>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</si>
  <si>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</si>
  <si>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</si>
  <si>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</si>
  <si>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</si>
  <si>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</si>
  <si>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</si>
  <si>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</si>
  <si>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</si>
  <si>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</si>
  <si>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</si>
  <si>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</si>
  <si>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</si>
  <si>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</si>
  <si>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</si>
  <si>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</si>
  <si>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</si>
  <si>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</si>
  <si>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</si>
  <si>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</si>
  <si>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</si>
  <si>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</si>
  <si>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</si>
  <si>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</si>
  <si>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</si>
  <si>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</si>
  <si>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</si>
  <si>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</si>
  <si>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</si>
  <si>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</si>
  <si>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</si>
  <si>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</si>
  <si>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</si>
  <si>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</si>
  <si>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</si>
  <si>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</si>
  <si>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</si>
  <si>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</si>
  <si>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</si>
  <si>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</si>
  <si>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</si>
  <si>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</si>
  <si>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</si>
  <si>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</si>
  <si>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</si>
  <si>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</si>
  <si>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</si>
  <si>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</si>
  <si>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</si>
  <si>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</si>
  <si>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</si>
  <si>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</si>
  <si>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</si>
  <si>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</si>
  <si>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</si>
  <si>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</si>
  <si>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</si>
  <si>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</si>
  <si>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</si>
  <si>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</si>
  <si>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</si>
  <si>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</si>
  <si>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</si>
  <si>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</si>
  <si>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</si>
  <si>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</si>
  <si>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</si>
  <si>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</si>
  <si>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</si>
  <si>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</si>
  <si>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</si>
  <si>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</si>
  <si>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</si>
  <si>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</si>
  <si>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</si>
  <si>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</si>
  <si>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</si>
  <si>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</si>
  <si>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</si>
  <si>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</si>
  <si>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</si>
  <si>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</si>
  <si>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</si>
  <si>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</si>
  <si>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</si>
  <si>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</si>
  <si>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</si>
  <si>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</si>
  <si>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</si>
  <si>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</si>
  <si>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</si>
  <si>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</si>
  <si>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</si>
  <si>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</si>
  <si>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</si>
  <si>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</si>
  <si>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</si>
  <si>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</si>
  <si>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</si>
  <si>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</si>
  <si>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</si>
  <si>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</si>
  <si>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</si>
  <si>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</si>
  <si>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</si>
  <si>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</si>
  <si>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</si>
  <si>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</si>
  <si>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</si>
  <si>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</si>
  <si>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</si>
  <si>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</si>
  <si>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</si>
  <si>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</si>
  <si>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</si>
  <si>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</si>
  <si>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</si>
  <si>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</si>
  <si>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</si>
  <si>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</si>
  <si>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</si>
  <si>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</si>
  <si>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</si>
  <si>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</si>
  <si>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</si>
  <si>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</si>
  <si>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</si>
  <si>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</si>
  <si>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</si>
  <si>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</si>
  <si>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</si>
  <si>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</si>
  <si>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</si>
  <si>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</si>
  <si>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</si>
  <si>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</si>
  <si>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</si>
  <si>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</si>
  <si>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</si>
  <si>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</si>
  <si>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</si>
  <si>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</si>
  <si>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</si>
  <si>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</si>
  <si>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</si>
  <si>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</si>
  <si>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</si>
  <si>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</si>
  <si>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</si>
  <si>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</si>
  <si>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</si>
  <si>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</si>
  <si>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</si>
  <si>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</si>
  <si>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</si>
  <si>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</si>
  <si>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</si>
  <si>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</si>
  <si>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</si>
  <si>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</si>
  <si>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</si>
  <si>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</si>
  <si>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</si>
  <si>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</si>
  <si>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</si>
  <si>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</si>
  <si>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</si>
  <si>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</si>
  <si>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</si>
  <si>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</si>
  <si>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</si>
  <si>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</si>
  <si>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</si>
  <si>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</si>
  <si>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</si>
  <si>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</si>
  <si>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</si>
  <si>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</si>
  <si>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</si>
  <si>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</si>
  <si>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</si>
  <si>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</si>
  <si>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</si>
  <si>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</si>
  <si>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</si>
  <si>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</si>
  <si>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</si>
  <si>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</si>
  <si>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</si>
  <si>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</si>
  <si>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</si>
  <si>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</si>
  <si>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</si>
  <si>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</si>
  <si>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</si>
  <si>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</si>
  <si>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</si>
  <si>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</si>
  <si>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</si>
  <si>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</si>
  <si>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</si>
  <si>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</si>
  <si>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</si>
  <si>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</si>
  <si>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</si>
  <si>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</si>
  <si>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</si>
  <si>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</si>
  <si>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</si>
  <si>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</si>
  <si>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</si>
  <si>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</si>
  <si>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</si>
  <si>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</si>
  <si>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</si>
  <si>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</si>
  <si>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</si>
  <si>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</si>
  <si>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</si>
  <si>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</si>
  <si>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</si>
  <si>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</si>
  <si>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</si>
  <si>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</si>
  <si>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</si>
  <si>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</si>
  <si>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</si>
  <si>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</si>
  <si>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</si>
  <si>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</si>
  <si>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</si>
  <si>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</si>
  <si>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</si>
  <si>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</si>
  <si>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</si>
  <si>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</si>
  <si>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</si>
  <si>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</si>
  <si>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</si>
  <si>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</si>
  <si>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</si>
  <si>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</si>
  <si>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</si>
  <si>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</si>
  <si>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</si>
  <si>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</si>
  <si>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</si>
  <si>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</si>
  <si>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</si>
  <si>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</si>
  <si>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</si>
  <si>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</si>
  <si>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</si>
  <si>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</si>
  <si>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</si>
  <si>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</si>
  <si>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</si>
  <si>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</si>
  <si>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</si>
  <si>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</si>
  <si>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</si>
  <si>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</si>
  <si>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</si>
  <si>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</si>
  <si>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</si>
  <si>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</si>
  <si>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</si>
  <si>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</si>
  <si>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</si>
  <si>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</si>
  <si>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</si>
  <si>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</si>
  <si>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</si>
  <si>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</si>
  <si>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</si>
  <si>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</si>
  <si>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</si>
  <si>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</si>
  <si>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</si>
  <si>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</si>
  <si>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</si>
  <si>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</si>
  <si>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</si>
  <si>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</si>
  <si>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</si>
  <si>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</si>
  <si>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</si>
  <si>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</si>
  <si>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</si>
  <si>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</si>
  <si>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</si>
  <si>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</si>
  <si>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</si>
  <si>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</si>
  <si>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</si>
  <si>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</si>
  <si>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</si>
  <si>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</si>
  <si>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</si>
  <si>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</si>
  <si>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</si>
  <si>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</si>
  <si>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</si>
  <si>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</si>
  <si>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</si>
  <si>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</si>
  <si>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</si>
  <si>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</si>
  <si>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</si>
  <si>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</si>
  <si>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</si>
  <si>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</si>
  <si>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</si>
  <si>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</si>
  <si>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</si>
  <si>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</si>
  <si>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</si>
  <si>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</si>
  <si>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</si>
  <si>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</si>
  <si>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</si>
  <si>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</si>
  <si>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</si>
  <si>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</si>
  <si>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</si>
  <si>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</si>
  <si>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</si>
  <si>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</si>
  <si>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</si>
  <si>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</si>
  <si>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</si>
  <si>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</si>
  <si>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</si>
  <si>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</si>
  <si>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</si>
  <si>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</si>
  <si>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</si>
  <si>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</si>
  <si>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</si>
  <si>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</si>
  <si>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</si>
  <si>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</si>
  <si>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</si>
  <si>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</si>
  <si>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</si>
  <si>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</si>
  <si>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</si>
  <si>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</si>
  <si>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</si>
  <si>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</si>
  <si>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</si>
  <si>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</si>
  <si>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</si>
  <si>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</si>
  <si>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</si>
  <si>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</si>
  <si>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</si>
  <si>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</si>
  <si>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</si>
  <si>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</si>
  <si>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</si>
  <si>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</si>
  <si>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</si>
  <si>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</si>
  <si>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</si>
  <si>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</si>
  <si>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</si>
  <si>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</si>
  <si>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</si>
  <si>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</si>
  <si>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</si>
  <si>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</si>
  <si>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</si>
  <si>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</si>
  <si>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</si>
  <si>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</si>
  <si>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</si>
  <si>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</si>
  <si>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</si>
  <si>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</si>
  <si>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</si>
  <si>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</si>
  <si>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</si>
  <si>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</si>
  <si>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</si>
  <si>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</si>
  <si>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</si>
  <si>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</si>
  <si>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</si>
  <si>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</si>
  <si>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</si>
  <si>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</si>
  <si>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</si>
  <si>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</si>
  <si>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</si>
  <si>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</si>
  <si>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</si>
  <si>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</si>
  <si>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</si>
  <si>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</si>
  <si>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</si>
  <si>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</si>
  <si>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</si>
  <si>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</si>
  <si>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</si>
  <si>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</si>
  <si>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</si>
  <si>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</si>
  <si>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</si>
  <si>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</si>
  <si>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</si>
  <si>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</si>
  <si>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</si>
  <si>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</si>
  <si>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</si>
  <si>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</si>
  <si>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</si>
  <si>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</si>
  <si>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</si>
  <si>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</si>
  <si>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</si>
  <si>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</si>
  <si>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</si>
  <si>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</si>
  <si>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</si>
  <si>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</si>
  <si>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</si>
  <si>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</si>
  <si>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</si>
  <si>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</si>
  <si>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</si>
  <si>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</si>
  <si>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</si>
  <si>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</si>
  <si>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</si>
  <si>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</si>
  <si>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</si>
  <si>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</si>
  <si>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</si>
  <si>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</si>
  <si>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</si>
  <si>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</si>
  <si>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</si>
  <si>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</si>
  <si>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</si>
  <si>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</si>
  <si>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</si>
  <si>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</si>
  <si>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</si>
  <si>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</si>
  <si>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</si>
  <si>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</si>
  <si>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</si>
  <si>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</si>
  <si>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</si>
  <si>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</si>
  <si>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</si>
  <si>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</si>
  <si>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</si>
  <si>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</si>
  <si>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</si>
  <si>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</si>
  <si>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</si>
  <si>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</si>
  <si>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</si>
  <si>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</si>
  <si>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</si>
  <si>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</si>
  <si>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</si>
  <si>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</si>
  <si>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</si>
  <si>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</si>
  <si>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</si>
  <si>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</si>
  <si>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</si>
  <si>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</si>
  <si>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</si>
  <si>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</si>
  <si>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</si>
  <si>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</si>
  <si>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</si>
  <si>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</si>
  <si>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</si>
  <si>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</si>
  <si>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</si>
  <si>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</si>
  <si>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</si>
  <si>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</si>
  <si>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</si>
  <si>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</si>
  <si>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</si>
  <si>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</si>
  <si>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</si>
  <si>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</si>
  <si>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</si>
  <si>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</si>
  <si>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</si>
  <si>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</si>
  <si>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</si>
  <si>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</si>
  <si>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</si>
  <si>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</si>
  <si>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</si>
  <si>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</si>
  <si>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</si>
  <si>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</si>
  <si>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</si>
  <si>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</si>
  <si>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</si>
  <si>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</si>
  <si>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</si>
  <si>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</si>
  <si>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</si>
  <si>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</si>
  <si>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</si>
  <si>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</si>
  <si>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</si>
  <si>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</si>
  <si>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</si>
  <si>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</si>
  <si>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</si>
  <si>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</si>
  <si>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</si>
  <si>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</si>
  <si>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</si>
  <si>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</si>
  <si>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</si>
  <si>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</si>
  <si>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</si>
  <si>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</si>
  <si>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</si>
  <si>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</si>
  <si>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</si>
  <si>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</si>
  <si>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</si>
  <si>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</si>
  <si>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</si>
  <si>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</si>
  <si>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</si>
  <si>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</si>
  <si>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</si>
  <si>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</si>
  <si>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</si>
  <si>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</si>
  <si>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</si>
  <si>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</si>
  <si>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</si>
  <si>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</si>
  <si>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</si>
  <si>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</si>
  <si>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</si>
  <si>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</si>
  <si>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</si>
  <si>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</si>
  <si>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</si>
  <si>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</si>
  <si>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</si>
  <si>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</si>
  <si>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</si>
  <si>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</si>
  <si>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</si>
  <si>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</si>
  <si>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</si>
  <si>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</si>
  <si>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</si>
  <si>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</si>
  <si>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</si>
  <si>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</si>
  <si>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</si>
  <si>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</si>
  <si>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</si>
  <si>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</si>
  <si>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</si>
  <si>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</si>
  <si>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</si>
  <si>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</si>
  <si>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</si>
  <si>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</si>
  <si>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</si>
  <si>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</si>
  <si>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</si>
  <si>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</si>
  <si>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</si>
  <si>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</si>
  <si>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</si>
  <si>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</si>
  <si>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</si>
  <si>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</si>
  <si>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</si>
  <si>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</si>
  <si>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</si>
  <si>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</si>
  <si>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</si>
  <si>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</si>
  <si>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</si>
  <si>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</si>
  <si>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</si>
  <si>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</si>
  <si>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</si>
  <si>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</si>
  <si>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</si>
  <si>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</si>
  <si>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</si>
  <si>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</si>
  <si>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</si>
  <si>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</si>
  <si>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</si>
  <si>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</si>
  <si>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</si>
  <si>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</si>
  <si>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</si>
  <si>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</si>
  <si>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</si>
  <si>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</si>
  <si>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</si>
  <si>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</si>
  <si>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</si>
  <si>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</si>
  <si>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</si>
  <si>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</si>
  <si>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</si>
  <si>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</si>
  <si>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</si>
  <si>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</si>
  <si>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</si>
  <si>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</si>
  <si>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</si>
  <si>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</si>
  <si>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</si>
  <si>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</si>
  <si>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</si>
  <si>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</si>
  <si>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</si>
  <si>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</si>
  <si>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</si>
  <si>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</si>
  <si>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</si>
  <si>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</si>
  <si>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</si>
  <si>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</si>
  <si>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</si>
  <si>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</si>
  <si>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</si>
  <si>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</si>
  <si>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</si>
  <si>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</si>
  <si>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</si>
  <si>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</si>
  <si>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</si>
  <si>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</si>
  <si>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</si>
  <si>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</si>
  <si>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</si>
  <si>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</si>
  <si>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</si>
  <si>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</si>
  <si>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</si>
  <si>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</si>
  <si>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</si>
  <si>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</si>
  <si>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</si>
  <si>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</si>
  <si>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</si>
  <si>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</si>
  <si>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</si>
  <si>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</si>
  <si>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</si>
  <si>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</si>
  <si>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</si>
  <si>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</si>
  <si>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</si>
  <si>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</si>
  <si>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</si>
  <si>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</si>
  <si>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</si>
  <si>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</si>
  <si>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</si>
  <si>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</si>
  <si>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</si>
  <si>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</si>
  <si>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</si>
  <si>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</si>
  <si>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</si>
  <si>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</si>
  <si>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</si>
  <si>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</si>
  <si>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</si>
  <si>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</si>
  <si>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</si>
  <si>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</si>
  <si>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</si>
  <si>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</si>
  <si>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</si>
  <si>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</si>
  <si>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</si>
  <si>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</si>
  <si>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</si>
  <si>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</si>
  <si>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</si>
  <si>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</si>
  <si>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</si>
  <si>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</si>
  <si>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</si>
  <si>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</si>
  <si>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</si>
  <si>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</si>
  <si>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</si>
  <si>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</si>
  <si>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</si>
  <si>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</si>
  <si>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</si>
  <si>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</si>
  <si>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</si>
  <si>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</si>
  <si>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</si>
  <si>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</si>
  <si>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</si>
  <si>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</si>
  <si>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</si>
  <si>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</si>
  <si>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</si>
  <si>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</si>
  <si>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</si>
  <si>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</si>
  <si>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</si>
  <si>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</si>
  <si>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</si>
  <si>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</si>
  <si>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</si>
  <si>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</si>
  <si>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</si>
  <si>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</si>
  <si>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</si>
  <si>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</si>
  <si>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</si>
  <si>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</si>
  <si>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</si>
  <si>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</si>
  <si>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</si>
  <si>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</si>
  <si>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</si>
  <si>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</si>
  <si>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</si>
  <si>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</si>
  <si>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</si>
  <si>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</si>
  <si>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</si>
  <si>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</si>
  <si>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</si>
  <si>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</si>
  <si>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</si>
  <si>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</si>
  <si>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</si>
  <si>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</si>
  <si>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</si>
  <si>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</si>
  <si>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</si>
  <si>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</si>
  <si>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</si>
  <si>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</si>
  <si>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</si>
  <si>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</si>
  <si>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</si>
  <si>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</si>
  <si>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</si>
  <si>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</si>
  <si>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</si>
  <si>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</si>
  <si>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</si>
  <si>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</si>
  <si>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</si>
  <si>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</si>
  <si>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</si>
  <si>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</si>
  <si>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</si>
  <si>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</si>
  <si>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</si>
  <si>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</si>
  <si>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</si>
  <si>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</si>
  <si>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</si>
  <si>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</si>
  <si>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</si>
  <si>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</si>
  <si>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</si>
  <si>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</si>
  <si>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</si>
  <si>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</si>
  <si>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</si>
  <si>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</si>
  <si>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</si>
  <si>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</si>
  <si>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</si>
  <si>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</si>
  <si>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</si>
  <si>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</si>
  <si>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</si>
  <si>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</si>
  <si>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</si>
  <si>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</si>
  <si>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</si>
  <si>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</si>
  <si>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</si>
  <si>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</si>
  <si>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</si>
  <si>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</si>
  <si>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</si>
  <si>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</si>
  <si>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</si>
  <si>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</si>
  <si>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</si>
  <si>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</si>
  <si>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</si>
  <si>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</si>
  <si>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</si>
  <si>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</si>
  <si>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</si>
  <si>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</si>
  <si>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</si>
  <si>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</si>
  <si>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</si>
  <si>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</si>
  <si>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</si>
  <si>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</si>
  <si>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</si>
  <si>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</si>
  <si>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</si>
  <si>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</si>
  <si>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</si>
  <si>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</si>
  <si>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</si>
  <si>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</si>
  <si>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</si>
  <si>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</si>
  <si>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</si>
  <si>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</si>
  <si>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</si>
  <si>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</si>
  <si>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</si>
  <si>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</si>
  <si>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</si>
  <si>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</si>
  <si>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</si>
  <si>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</si>
  <si>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</si>
  <si>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</si>
  <si>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</si>
  <si>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</si>
  <si>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</si>
  <si>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</si>
  <si>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</si>
  <si>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</si>
  <si>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</si>
  <si>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</si>
  <si>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</si>
  <si>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</si>
  <si>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</si>
  <si>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</si>
  <si>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</si>
  <si>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</si>
  <si>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</si>
  <si>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</si>
  <si>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</si>
  <si>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</si>
  <si>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</si>
  <si>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</si>
  <si>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</si>
  <si>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</si>
  <si>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</si>
  <si>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</si>
  <si>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</si>
  <si>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</si>
  <si>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</si>
  <si>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</si>
  <si>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</si>
  <si>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</si>
  <si>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</si>
  <si>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</si>
  <si>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</si>
  <si>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</si>
  <si>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</si>
  <si>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</si>
  <si>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</si>
  <si>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</si>
  <si>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</si>
  <si>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</si>
  <si>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</si>
  <si>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</si>
  <si>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</si>
  <si>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</si>
  <si>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</si>
  <si>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</si>
  <si>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</si>
  <si>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</si>
  <si>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</si>
  <si>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</si>
  <si>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</si>
  <si>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</si>
  <si>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</si>
  <si>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</si>
  <si>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</si>
  <si>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</si>
  <si>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</si>
  <si>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</si>
  <si>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</si>
  <si>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</si>
  <si>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</si>
  <si>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</si>
  <si>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</si>
  <si>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</si>
  <si>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</si>
  <si>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</si>
  <si>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</si>
  <si>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</si>
  <si>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</si>
  <si>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</si>
  <si>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</si>
  <si>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</si>
  <si>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</si>
  <si>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</si>
  <si>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</si>
  <si>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</si>
  <si>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</si>
  <si>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</si>
  <si>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</si>
  <si>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</si>
  <si>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</si>
  <si>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</si>
  <si>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</si>
  <si>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</si>
  <si>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</si>
  <si>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</si>
  <si>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</si>
  <si>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</si>
  <si>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</si>
  <si>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</si>
  <si>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</si>
  <si>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</si>
  <si>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</si>
  <si>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</si>
  <si>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</si>
  <si>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</si>
  <si>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</si>
  <si>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</si>
  <si>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</si>
  <si>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</si>
  <si>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</si>
  <si>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</si>
  <si>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</si>
  <si>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</si>
  <si>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</si>
  <si>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</si>
  <si>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</si>
  <si>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</si>
  <si>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</si>
  <si>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</si>
  <si>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</si>
  <si>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</si>
  <si>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</si>
  <si>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</si>
  <si>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</si>
  <si>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</si>
  <si>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</si>
  <si>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</si>
  <si>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</si>
  <si>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</si>
  <si>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</si>
  <si>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</si>
  <si>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</si>
  <si>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</si>
  <si>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</si>
  <si>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</si>
  <si>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</si>
  <si>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</si>
  <si>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</si>
  <si>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</si>
  <si>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</si>
  <si>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</si>
  <si>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</si>
  <si>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</si>
  <si>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</si>
  <si>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</si>
  <si>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</si>
  <si>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</si>
  <si>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</si>
  <si>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</si>
  <si>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</si>
  <si>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</si>
  <si>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</si>
  <si>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</si>
  <si>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</si>
  <si>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</si>
  <si>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</si>
  <si>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</si>
  <si>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</si>
  <si>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</si>
  <si>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</si>
  <si>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</si>
  <si>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</si>
  <si>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</si>
  <si>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</si>
  <si>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</si>
  <si>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</si>
  <si>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</si>
  <si>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</si>
  <si>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</si>
  <si>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</si>
  <si>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</si>
  <si>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</si>
  <si>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</si>
  <si>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</si>
  <si>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</si>
  <si>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</si>
  <si>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</si>
  <si>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</si>
  <si>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</si>
  <si>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</si>
  <si>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</si>
  <si>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</si>
  <si>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</si>
  <si>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</si>
  <si>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</si>
  <si>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</si>
  <si>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</si>
  <si>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</si>
  <si>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</si>
  <si>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</si>
  <si>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</si>
  <si>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</si>
  <si>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</si>
  <si>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</si>
  <si>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</si>
  <si>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</si>
  <si>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</si>
  <si>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</si>
  <si>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</si>
  <si>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</si>
  <si>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</si>
  <si>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</si>
  <si>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</si>
  <si>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</si>
  <si>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</si>
  <si>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</si>
  <si>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</si>
  <si>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</si>
  <si>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</si>
  <si>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</si>
  <si>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</si>
  <si>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</si>
  <si>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</si>
  <si>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</si>
  <si>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</si>
  <si>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</si>
  <si>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</si>
  <si>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</si>
  <si>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</si>
  <si>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</si>
  <si>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</si>
  <si>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</si>
  <si>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</si>
  <si>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</si>
  <si>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</si>
  <si>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</si>
  <si>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</si>
  <si>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</si>
  <si>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</si>
  <si>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</si>
  <si>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</si>
  <si>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</si>
  <si>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</si>
  <si>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</si>
  <si>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</si>
  <si>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</si>
  <si>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</si>
  <si>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</si>
  <si>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</si>
  <si>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</si>
  <si>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</si>
  <si>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</si>
  <si>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</si>
  <si>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</si>
  <si>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</si>
  <si>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</si>
  <si>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</si>
  <si>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</si>
  <si>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</si>
  <si>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</si>
  <si>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</si>
  <si>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</si>
  <si>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</si>
  <si>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</si>
  <si>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</si>
  <si>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</si>
  <si>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</si>
  <si>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</si>
  <si>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</si>
  <si>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</si>
  <si>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</si>
  <si>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</si>
  <si>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</si>
  <si>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</si>
  <si>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</si>
  <si>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</si>
  <si>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</si>
  <si>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</si>
  <si>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</si>
  <si>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</si>
  <si>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</si>
  <si>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</si>
  <si>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</si>
  <si>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</si>
  <si>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</si>
  <si>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</si>
  <si>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</si>
  <si>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</si>
  <si>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</si>
  <si>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</si>
  <si>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</si>
  <si>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</si>
  <si>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</si>
  <si>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</si>
  <si>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</si>
  <si>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</si>
  <si>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</si>
  <si>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</si>
  <si>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</si>
  <si>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</si>
  <si>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</si>
  <si>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</si>
  <si>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</si>
  <si>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</si>
  <si>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</si>
  <si>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</si>
  <si>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</si>
  <si>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</si>
  <si>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</si>
  <si>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</si>
  <si>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</si>
  <si>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</si>
  <si>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</si>
  <si>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</si>
  <si>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</si>
  <si>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</si>
  <si>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</si>
  <si>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</si>
  <si>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</si>
  <si>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</si>
  <si>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</si>
  <si>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</si>
  <si>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</si>
  <si>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</si>
  <si>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</si>
  <si>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</si>
  <si>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</si>
  <si>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</si>
  <si>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</si>
  <si>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</si>
  <si>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</si>
  <si>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</si>
  <si>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</si>
  <si>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</si>
  <si>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</si>
  <si>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</si>
  <si>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</si>
  <si>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</si>
  <si>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</si>
  <si>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</si>
  <si>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</si>
  <si>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</si>
  <si>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</si>
  <si>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</si>
  <si>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</si>
  <si>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</si>
  <si>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</si>
  <si>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</si>
  <si>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</si>
  <si>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</si>
  <si>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</si>
  <si>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</si>
  <si>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</si>
  <si>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</si>
  <si>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</si>
  <si>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</si>
  <si>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</si>
  <si>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</si>
  <si>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</si>
  <si>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</si>
  <si>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</si>
  <si>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</si>
  <si>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</si>
  <si>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</si>
  <si>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</si>
  <si>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</si>
  <si>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</si>
  <si>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</si>
  <si>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</si>
  <si>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</si>
  <si>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</si>
  <si>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</si>
  <si>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</si>
  <si>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</si>
  <si>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</si>
  <si>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</si>
  <si>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</si>
  <si>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</si>
  <si>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</si>
  <si>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</si>
  <si>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</si>
  <si>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</si>
  <si>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</si>
  <si>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</si>
  <si>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</si>
  <si>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</si>
  <si>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</si>
  <si>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</si>
  <si>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</si>
  <si>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</si>
  <si>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</si>
  <si>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</si>
  <si>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</si>
  <si>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</si>
  <si>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</si>
  <si>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</si>
  <si>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</si>
  <si>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</si>
  <si>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</si>
  <si>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</si>
  <si>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</si>
  <si>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</si>
  <si>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</si>
  <si>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</si>
  <si>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</si>
  <si>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</si>
  <si>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</si>
  <si>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</si>
  <si>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</si>
  <si>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</si>
  <si>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</si>
  <si>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</si>
  <si>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</si>
  <si>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</si>
  <si>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</si>
  <si>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</si>
  <si>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</si>
  <si>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</si>
  <si>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</si>
  <si>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</si>
  <si>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</si>
  <si>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</si>
  <si>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</si>
  <si>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</si>
  <si>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</si>
  <si>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</si>
  <si>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</si>
  <si>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</si>
  <si>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</si>
  <si>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</si>
  <si>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</si>
  <si>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</si>
  <si>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</si>
  <si>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</si>
  <si>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</si>
  <si>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</si>
  <si>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</si>
  <si>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</si>
  <si>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</si>
  <si>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</si>
  <si>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</si>
  <si>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</si>
  <si>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</si>
  <si>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</si>
  <si>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</si>
  <si>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</si>
  <si>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</si>
  <si>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</si>
  <si>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</si>
  <si>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</si>
  <si>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</si>
  <si>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</si>
  <si>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</si>
  <si>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</si>
  <si>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</si>
  <si>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</si>
  <si>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</si>
  <si>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</si>
  <si>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</si>
  <si>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</si>
  <si>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</si>
  <si>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</si>
  <si>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</si>
  <si>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</si>
  <si>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</si>
  <si>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</si>
  <si>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</si>
  <si>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</si>
  <si>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</si>
  <si>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</si>
  <si>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</si>
  <si>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</si>
  <si>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</si>
  <si>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</si>
  <si>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</si>
  <si>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</si>
  <si>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</si>
  <si>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</si>
  <si>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</si>
  <si>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</si>
  <si>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</si>
  <si>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</si>
  <si>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</si>
  <si>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</si>
  <si>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</si>
  <si>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</si>
  <si>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</si>
  <si>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</si>
  <si>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</si>
  <si>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</si>
  <si>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</si>
  <si>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</si>
  <si>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</si>
  <si>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</si>
  <si>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</si>
  <si>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</si>
  <si>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</si>
  <si>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</si>
  <si>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</si>
  <si>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</si>
  <si>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</si>
  <si>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</si>
  <si>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</si>
  <si>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</si>
  <si>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</si>
  <si>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</si>
  <si>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</si>
  <si>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</si>
  <si>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</si>
  <si>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</si>
  <si>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</si>
  <si>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</si>
  <si>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</si>
  <si>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</si>
  <si>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</si>
  <si>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</si>
  <si>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</si>
  <si>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</si>
  <si>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</si>
  <si>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</si>
  <si>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</si>
  <si>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</si>
  <si>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</si>
  <si>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</si>
  <si>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</si>
  <si>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</si>
  <si>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</si>
  <si>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</si>
  <si>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</si>
  <si>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</si>
  <si>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</si>
  <si>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</si>
  <si>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</si>
  <si>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</si>
  <si>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</si>
  <si>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</si>
  <si>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</si>
  <si>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</si>
  <si>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</si>
  <si>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</si>
  <si>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</si>
  <si>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</si>
  <si>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</si>
  <si>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</si>
  <si>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</si>
  <si>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</si>
  <si>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</si>
  <si>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</si>
  <si>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</si>
  <si>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</si>
  <si>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</si>
  <si>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</si>
  <si>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</si>
  <si>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</si>
  <si>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</si>
  <si>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</si>
  <si>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</si>
  <si>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</si>
  <si>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</si>
  <si>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</si>
  <si>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</si>
  <si>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</si>
  <si>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</si>
  <si>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</si>
  <si>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</si>
  <si>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</si>
  <si>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</si>
  <si>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</si>
  <si>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</si>
  <si>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</si>
  <si>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</si>
  <si>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</si>
  <si>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</si>
  <si>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</si>
  <si>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</si>
  <si>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</si>
  <si>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</si>
  <si>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</si>
  <si>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</si>
  <si>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</si>
  <si>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</si>
  <si>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</si>
  <si>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</si>
  <si>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</si>
  <si>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</si>
  <si>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</si>
  <si>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</si>
  <si>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</si>
  <si>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</si>
  <si>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</si>
  <si>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</si>
  <si>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</si>
  <si>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</si>
  <si>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</si>
  <si>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</si>
  <si>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</si>
  <si>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</si>
  <si>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</si>
  <si>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</si>
  <si>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</si>
  <si>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</si>
  <si>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</si>
  <si>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</si>
  <si>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</si>
  <si>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</si>
  <si>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</si>
  <si>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</si>
  <si>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</si>
  <si>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</si>
  <si>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</si>
  <si>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</si>
  <si>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</si>
  <si>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</si>
  <si>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</si>
  <si>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</si>
  <si>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</si>
  <si>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</si>
  <si>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</si>
  <si>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</si>
  <si>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</si>
  <si>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</si>
  <si>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</si>
  <si>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</si>
  <si>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</si>
  <si>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</si>
  <si>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</si>
  <si>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</si>
  <si>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</si>
  <si>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</si>
  <si>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</si>
  <si>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</si>
  <si>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</si>
  <si>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</si>
  <si>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</si>
  <si>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</si>
  <si>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</si>
  <si>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</si>
  <si>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</si>
  <si>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</si>
  <si>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</si>
  <si>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</si>
  <si>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</si>
  <si>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</si>
  <si>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</si>
  <si>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</si>
  <si>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</si>
  <si>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</si>
  <si>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</si>
  <si>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</si>
  <si>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</si>
  <si>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</si>
  <si>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</si>
  <si>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</si>
  <si>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</si>
  <si>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</si>
  <si>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</si>
  <si>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</si>
  <si>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</si>
  <si>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</si>
  <si>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</si>
  <si>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</si>
  <si>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</si>
  <si>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</si>
  <si>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</si>
  <si>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</si>
  <si>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</si>
  <si>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</si>
  <si>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</si>
  <si>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</si>
  <si>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</si>
  <si>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</si>
  <si>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</si>
  <si>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</si>
  <si>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</si>
  <si>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</si>
  <si>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</si>
  <si>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</si>
  <si>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</si>
  <si>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</si>
  <si>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</si>
  <si>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</si>
  <si>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</si>
  <si>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</si>
  <si>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</si>
  <si>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</si>
  <si>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</si>
  <si>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</si>
  <si>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</si>
  <si>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</si>
  <si>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</si>
  <si>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</si>
  <si>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</si>
  <si>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</si>
  <si>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</si>
  <si>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</si>
  <si>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</si>
  <si>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</si>
  <si>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</si>
  <si>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</si>
  <si>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</si>
  <si>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</si>
  <si>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</si>
  <si>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</si>
  <si>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</si>
  <si>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</si>
  <si>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</si>
  <si>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</si>
  <si>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</si>
  <si>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</si>
  <si>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</si>
  <si>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</si>
  <si>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</si>
  <si>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</si>
  <si>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</si>
  <si>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</si>
  <si>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</si>
  <si>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</si>
  <si>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</si>
  <si>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</si>
  <si>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</si>
  <si>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</si>
  <si>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</si>
  <si>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</si>
  <si>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</si>
  <si>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</si>
  <si>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</si>
  <si>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</si>
  <si>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</si>
  <si>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</si>
  <si>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</si>
  <si>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</si>
  <si>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</si>
  <si>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</si>
  <si>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</si>
  <si>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</si>
  <si>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</si>
  <si>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</si>
  <si>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</si>
  <si>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</si>
  <si>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</si>
  <si>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</si>
  <si>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</si>
  <si>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</si>
  <si>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</si>
  <si>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</si>
  <si>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</si>
  <si>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</si>
  <si>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</si>
  <si>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</si>
  <si>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</si>
  <si>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</si>
  <si>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</si>
  <si>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</si>
  <si>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</si>
  <si>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</si>
  <si>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</si>
  <si>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</si>
  <si>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</si>
  <si>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</si>
  <si>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</si>
  <si>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</si>
  <si>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</si>
  <si>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</si>
  <si>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</si>
  <si>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</si>
  <si>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</si>
  <si>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</si>
  <si>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</si>
  <si>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</si>
  <si>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</si>
  <si>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</si>
  <si>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</si>
  <si>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</si>
  <si>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</si>
  <si>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</si>
  <si>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</si>
  <si>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</si>
  <si>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</si>
  <si>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</si>
  <si>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</si>
  <si>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</si>
  <si>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</si>
  <si>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</si>
  <si>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</si>
  <si>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</si>
  <si>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</si>
  <si>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</si>
  <si>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</si>
  <si>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</si>
  <si>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</si>
  <si>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</si>
  <si>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</si>
  <si>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</si>
  <si>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</si>
  <si>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</si>
  <si>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</si>
  <si>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</si>
  <si>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</si>
  <si>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</si>
  <si>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</si>
  <si>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</si>
  <si>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</si>
  <si>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</si>
  <si>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</si>
  <si>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</si>
  <si>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</si>
  <si>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</si>
  <si>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</si>
  <si>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</si>
  <si>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</si>
  <si>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</si>
  <si>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</si>
  <si>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</si>
  <si>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</si>
  <si>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</si>
  <si>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</si>
  <si>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</si>
  <si>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</si>
  <si>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</si>
  <si>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</si>
  <si>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</si>
  <si>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</si>
  <si>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</si>
  <si>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</si>
  <si>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</si>
  <si>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</si>
  <si>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</si>
  <si>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</si>
  <si>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</si>
  <si>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</si>
  <si>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</si>
  <si>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</si>
  <si>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</si>
  <si>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</si>
  <si>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</si>
  <si>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</si>
  <si>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</si>
  <si>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</si>
  <si>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</si>
  <si>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</si>
  <si>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</si>
  <si>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</si>
  <si>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</si>
  <si>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</si>
  <si>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</si>
  <si>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</si>
  <si>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</si>
  <si>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</si>
  <si>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</si>
  <si>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</si>
  <si>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</si>
  <si>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</si>
  <si>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</si>
  <si>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</si>
  <si>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</si>
  <si>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</si>
  <si>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</si>
  <si>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</si>
  <si>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</si>
  <si>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</si>
  <si>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</si>
  <si>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</si>
  <si>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</si>
  <si>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</si>
  <si>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</si>
  <si>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</si>
  <si>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</si>
  <si>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</si>
  <si>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</si>
  <si>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</si>
  <si>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</si>
  <si>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</si>
  <si>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</si>
  <si>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</si>
  <si>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</si>
  <si>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</si>
  <si>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</si>
  <si>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</si>
  <si>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</si>
  <si>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</si>
  <si>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</si>
  <si>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</si>
  <si>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</si>
  <si>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</si>
  <si>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</si>
  <si>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</si>
  <si>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</si>
  <si>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</si>
  <si>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</si>
  <si>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</si>
  <si>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</si>
  <si>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</si>
  <si>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</si>
  <si>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</si>
  <si>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</si>
  <si>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</si>
  <si>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</si>
  <si>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</si>
  <si>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</si>
  <si>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</si>
  <si>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</si>
  <si>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</si>
  <si>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</si>
  <si>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</si>
  <si>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</si>
  <si>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</si>
  <si>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</si>
  <si>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</si>
  <si>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</si>
  <si>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</si>
  <si>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</si>
  <si>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</si>
  <si>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</si>
  <si>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</si>
  <si>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</si>
  <si>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</si>
  <si>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</si>
  <si>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</si>
  <si>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</si>
  <si>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</si>
  <si>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</si>
  <si>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</si>
  <si>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</si>
  <si>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</si>
  <si>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</si>
  <si>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</si>
  <si>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</si>
  <si>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</si>
  <si>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</si>
  <si>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</si>
  <si>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</si>
  <si>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</si>
  <si>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</si>
  <si>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</si>
  <si>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</si>
  <si>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</si>
  <si>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</si>
  <si>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</si>
  <si>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</si>
  <si>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</si>
  <si>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</si>
  <si>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</si>
  <si>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</si>
  <si>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</si>
  <si>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</si>
  <si>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</si>
  <si>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</si>
  <si>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</si>
  <si>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</si>
  <si>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</si>
  <si>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</si>
  <si>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</si>
  <si>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</si>
  <si>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</si>
  <si>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</si>
  <si>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</si>
  <si>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</si>
  <si>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</si>
  <si>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</si>
  <si>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</si>
  <si>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</si>
  <si>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</si>
  <si>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</si>
  <si>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</si>
  <si>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</si>
  <si>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</si>
  <si>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</si>
  <si>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</si>
  <si>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</si>
  <si>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</si>
  <si>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</si>
  <si>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</si>
  <si>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</si>
  <si>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</si>
  <si>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</si>
  <si>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</si>
  <si>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</si>
  <si>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</si>
  <si>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</si>
  <si>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</si>
  <si>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</si>
  <si>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</si>
  <si>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</si>
  <si>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</si>
  <si>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</si>
  <si>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</si>
  <si>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</si>
  <si>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</si>
  <si>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</si>
  <si>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</si>
  <si>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</si>
  <si>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</si>
  <si>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</si>
  <si>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</si>
  <si>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</si>
  <si>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</si>
  <si>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</si>
  <si>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</si>
  <si>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</si>
  <si>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</si>
  <si>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</si>
  <si>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</si>
  <si>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</si>
  <si>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</si>
  <si>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</si>
  <si>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</si>
  <si>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</si>
  <si>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</si>
  <si>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</si>
  <si>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</si>
  <si>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</si>
  <si>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</si>
  <si>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</si>
  <si>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</si>
  <si>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</si>
  <si>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</si>
  <si>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</si>
  <si>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</si>
  <si>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</si>
  <si>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</si>
  <si>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</si>
  <si>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</si>
  <si>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</si>
  <si>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</si>
  <si>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</si>
  <si>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</si>
  <si>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</si>
  <si>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</si>
  <si>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</si>
  <si>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</si>
  <si>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</si>
  <si>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</si>
  <si>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</si>
  <si>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</si>
  <si>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</si>
  <si>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</si>
  <si>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</si>
  <si>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</si>
  <si>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</si>
  <si>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</si>
  <si>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</si>
  <si>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</si>
  <si>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</si>
  <si>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</si>
  <si>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</si>
  <si>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</si>
  <si>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</si>
  <si>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</si>
  <si>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</si>
  <si>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</si>
  <si>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</si>
  <si>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</si>
  <si>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</si>
  <si>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</si>
  <si>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</si>
  <si>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</si>
  <si>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</si>
  <si>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</si>
  <si>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</si>
  <si>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</si>
  <si>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</si>
  <si>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</si>
  <si>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</si>
  <si>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</si>
  <si>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</si>
  <si>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</si>
  <si>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</si>
  <si>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</si>
  <si>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</si>
  <si>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</si>
  <si>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</si>
  <si>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</si>
  <si>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</si>
  <si>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</si>
  <si>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</si>
  <si>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</si>
  <si>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</si>
  <si>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</si>
  <si>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</si>
  <si>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</si>
  <si>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</si>
  <si>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</si>
  <si>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</si>
  <si>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</si>
  <si>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</si>
  <si>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</si>
  <si>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</si>
  <si>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</si>
  <si>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</si>
  <si>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</si>
  <si>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</si>
  <si>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</si>
  <si>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</si>
  <si>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</si>
  <si>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</si>
  <si>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</si>
  <si>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</si>
  <si>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</si>
  <si>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</si>
  <si>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</si>
  <si>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</si>
  <si>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</si>
  <si>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</si>
  <si>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</si>
  <si>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</si>
  <si>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</si>
  <si>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</si>
  <si>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</si>
  <si>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</si>
  <si>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</si>
  <si>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</si>
  <si>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</si>
  <si>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</si>
  <si>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</si>
  <si>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</si>
  <si>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</si>
  <si>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</si>
  <si>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</si>
  <si>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</si>
  <si>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</si>
  <si>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</si>
  <si>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</si>
  <si>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</si>
  <si>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</si>
  <si>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</si>
  <si>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</si>
  <si>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</si>
  <si>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</si>
  <si>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</si>
  <si>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</si>
  <si>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</si>
  <si>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</si>
  <si>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</si>
  <si>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</si>
  <si>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</si>
  <si>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</si>
  <si>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</si>
  <si>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</si>
  <si>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</si>
  <si>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</si>
  <si>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</si>
  <si>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</si>
  <si>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</si>
  <si>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</si>
  <si>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</si>
  <si>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</si>
  <si>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</si>
  <si>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</si>
  <si>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</si>
  <si>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</si>
  <si>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</si>
  <si>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</si>
  <si>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</si>
  <si>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</si>
  <si>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</si>
  <si>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</si>
  <si>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</si>
  <si>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</si>
  <si>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</si>
  <si>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</si>
  <si>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</si>
  <si>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</si>
  <si>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</si>
  <si>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</si>
  <si>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</si>
  <si>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</si>
  <si>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</si>
  <si>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</si>
  <si>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</si>
  <si>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</si>
  <si>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</si>
  <si>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</si>
  <si>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</si>
  <si>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</si>
  <si>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</si>
  <si>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</si>
  <si>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</si>
  <si>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</si>
  <si>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</si>
  <si>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</si>
  <si>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</si>
  <si>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</si>
  <si>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</si>
  <si>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</si>
  <si>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</si>
  <si>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</si>
  <si>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</si>
  <si>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</si>
  <si>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</si>
  <si>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</si>
  <si>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</si>
  <si>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</si>
  <si>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</si>
  <si>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</si>
  <si>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</si>
  <si>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</si>
  <si>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</si>
  <si>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</si>
  <si>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</si>
  <si>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</si>
  <si>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</si>
  <si>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</si>
  <si>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</si>
  <si>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</si>
  <si>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</si>
  <si>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</si>
  <si>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</si>
  <si>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</si>
  <si>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</si>
  <si>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</si>
  <si>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</si>
  <si>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</si>
  <si>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</si>
  <si>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</si>
  <si>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</si>
  <si>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</si>
  <si>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</si>
  <si>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</si>
  <si>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</si>
  <si>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</si>
  <si>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</si>
  <si>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</si>
  <si>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</si>
  <si>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</si>
  <si>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</si>
  <si>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</si>
  <si>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</si>
  <si>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</si>
  <si>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</si>
  <si>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</si>
  <si>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</si>
  <si>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</si>
  <si>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</si>
  <si>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</si>
  <si>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</si>
  <si>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</si>
  <si>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</si>
  <si>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</si>
  <si>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</si>
  <si>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</si>
  <si>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</si>
  <si>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</si>
  <si>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</si>
  <si>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</si>
  <si>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</si>
  <si>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</si>
  <si>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</si>
  <si>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</si>
  <si>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</si>
  <si>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</si>
  <si>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</si>
  <si>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</si>
  <si>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</si>
  <si>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</si>
  <si>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</si>
  <si>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</si>
  <si>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</si>
  <si>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</si>
  <si>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</si>
  <si>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</si>
  <si>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</si>
  <si>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</si>
  <si>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</si>
  <si>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</si>
  <si>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</si>
  <si>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</si>
  <si>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</si>
  <si>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</si>
  <si>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</si>
  <si>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</si>
  <si>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</si>
  <si>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</si>
  <si>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</si>
  <si>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</si>
  <si>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</si>
  <si>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</si>
  <si>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</si>
  <si>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</si>
  <si>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</si>
  <si>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</si>
  <si>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</si>
  <si>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</si>
  <si>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</si>
  <si>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</si>
  <si>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</si>
  <si>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</si>
  <si>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</si>
  <si>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</si>
  <si>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</si>
  <si>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</si>
  <si>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</si>
  <si>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</si>
  <si>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</si>
  <si>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</si>
  <si>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</si>
  <si>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</si>
  <si>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</si>
  <si>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</si>
  <si>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</si>
  <si>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</si>
  <si>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</si>
  <si>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</si>
  <si>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</si>
  <si>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</si>
  <si>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</si>
  <si>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</si>
  <si>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</si>
  <si>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</si>
  <si>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</si>
  <si>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</si>
  <si>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</si>
  <si>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</si>
  <si>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</si>
  <si>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</si>
  <si>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</si>
  <si>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</si>
  <si>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</si>
  <si>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</si>
  <si>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</si>
  <si>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</si>
  <si>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</si>
  <si>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</si>
  <si>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</si>
  <si>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</si>
  <si>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</si>
  <si>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</si>
  <si>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</si>
  <si>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</si>
  <si>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</si>
  <si>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</si>
  <si>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</si>
  <si>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</si>
  <si>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</si>
  <si>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</si>
  <si>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</si>
  <si>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</si>
  <si>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</si>
  <si>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</si>
  <si>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</si>
  <si>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</si>
  <si>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</si>
  <si>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</si>
  <si>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</si>
  <si>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</si>
  <si>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</si>
  <si>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</si>
  <si>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</si>
  <si>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</si>
  <si>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</si>
  <si>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</si>
  <si>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</si>
  <si>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</si>
  <si>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</si>
  <si>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</si>
  <si>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</si>
  <si>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</si>
  <si>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</si>
  <si>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</si>
  <si>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</si>
  <si>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</si>
  <si>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</si>
  <si>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</si>
  <si>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</si>
  <si>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</si>
  <si>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</si>
  <si>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</si>
  <si>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</si>
  <si>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</si>
  <si>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</si>
  <si>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</si>
  <si>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</si>
  <si>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</si>
  <si>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</si>
  <si>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</si>
  <si>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</si>
  <si>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</si>
  <si>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</si>
  <si>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</si>
  <si>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</si>
  <si>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</si>
  <si>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</si>
  <si>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</si>
  <si>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</si>
  <si>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</si>
  <si>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</si>
  <si>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</si>
  <si>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</si>
  <si>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</si>
  <si>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</si>
  <si>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</si>
  <si>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</si>
  <si>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</si>
  <si>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</si>
  <si>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</si>
  <si>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</si>
  <si>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</si>
  <si>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</si>
  <si>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</si>
  <si>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</si>
  <si>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</si>
  <si>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</si>
  <si>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</si>
  <si>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</si>
  <si>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</si>
  <si>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</si>
  <si>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</si>
  <si>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</si>
  <si>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</si>
  <si>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</si>
  <si>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</si>
  <si>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</si>
  <si>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</si>
  <si>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</si>
  <si>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</si>
  <si>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</si>
  <si>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</si>
  <si>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</si>
  <si>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</si>
  <si>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</si>
  <si>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</si>
  <si>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</si>
  <si>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</si>
  <si>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</si>
  <si>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</si>
  <si>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</si>
  <si>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</si>
  <si>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</si>
  <si>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</si>
  <si>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</si>
  <si>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</si>
  <si>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</si>
  <si>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</si>
  <si>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</si>
  <si>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</si>
  <si>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</si>
  <si>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</si>
  <si>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</si>
  <si>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</si>
  <si>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</si>
  <si>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</si>
  <si>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</si>
  <si>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</si>
  <si>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</si>
  <si>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</si>
  <si>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</si>
  <si>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</si>
  <si>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</si>
  <si>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</si>
  <si>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</si>
  <si>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</si>
  <si>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</si>
  <si>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</si>
  <si>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</si>
  <si>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</si>
  <si>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</si>
  <si>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</si>
  <si>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</si>
  <si>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</si>
  <si>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</si>
  <si>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</si>
  <si>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</si>
  <si>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</si>
  <si>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</si>
  <si>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</si>
  <si>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</si>
  <si>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</si>
  <si>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</si>
  <si>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</si>
  <si>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</si>
  <si>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</si>
  <si>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</si>
  <si>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</si>
  <si>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</si>
  <si>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</si>
  <si>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</si>
  <si>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</si>
  <si>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</si>
  <si>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</si>
  <si>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</si>
  <si>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</si>
  <si>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</si>
  <si>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</si>
  <si>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</si>
  <si>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</si>
  <si>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</si>
  <si>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</si>
  <si>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</si>
  <si>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</si>
  <si>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</si>
  <si>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</si>
  <si>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</si>
  <si>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</si>
  <si>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</si>
  <si>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</si>
  <si>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</si>
  <si>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</si>
  <si>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</si>
  <si>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</si>
  <si>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</si>
  <si>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</si>
  <si>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</si>
  <si>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</si>
  <si>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</si>
  <si>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</si>
  <si>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</si>
  <si>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</si>
  <si>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</si>
  <si>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</si>
  <si>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</si>
  <si>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</si>
  <si>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</si>
  <si>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</si>
  <si>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</si>
  <si>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</si>
  <si>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</si>
  <si>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</si>
  <si>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</si>
  <si>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</si>
  <si>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</si>
  <si>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</si>
  <si>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</si>
  <si>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</si>
  <si>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</si>
  <si>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</si>
  <si>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</si>
  <si>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</si>
  <si>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</si>
  <si>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</si>
  <si>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</si>
  <si>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</si>
  <si>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</si>
  <si>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</si>
  <si>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</si>
  <si>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</si>
  <si>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</si>
  <si>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</si>
  <si>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</si>
  <si>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</si>
  <si>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</si>
  <si>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</si>
  <si>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</si>
  <si>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</si>
  <si>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</si>
  <si>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</si>
  <si>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</si>
  <si>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</si>
  <si>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</si>
  <si>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</si>
  <si>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</si>
  <si>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</si>
  <si>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</si>
  <si>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</si>
  <si>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</si>
  <si>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</si>
  <si>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</si>
  <si>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</si>
  <si>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</si>
  <si>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</si>
  <si>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</si>
  <si>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</si>
  <si>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</si>
  <si>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</si>
  <si>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</si>
  <si>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</si>
  <si>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</si>
  <si>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</si>
  <si>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</si>
  <si>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</si>
  <si>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</si>
  <si>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</si>
  <si>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</si>
  <si>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</si>
  <si>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</si>
  <si>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</si>
  <si>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</si>
  <si>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</si>
  <si>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</si>
  <si>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</si>
  <si>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</si>
  <si>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</si>
  <si>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</si>
  <si>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</si>
  <si>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</si>
  <si>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</si>
  <si>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</si>
  <si>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</si>
  <si>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</si>
  <si>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</si>
  <si>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</si>
  <si>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</si>
  <si>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</si>
  <si>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</si>
  <si>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</si>
  <si>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</si>
  <si>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</si>
  <si>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</si>
  <si>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</si>
  <si>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</si>
  <si>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</si>
  <si>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</si>
  <si>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</si>
  <si>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</si>
  <si>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</si>
  <si>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</si>
  <si>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</si>
  <si>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</si>
  <si>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</si>
  <si>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</si>
  <si>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</si>
  <si>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</si>
  <si>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</si>
  <si>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</si>
  <si>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</si>
  <si>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</si>
  <si>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</si>
  <si>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</si>
  <si>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</si>
  <si>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</si>
  <si>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</si>
  <si>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</si>
  <si>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</si>
  <si>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</si>
  <si>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</si>
  <si>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</si>
  <si>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</si>
  <si>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</si>
  <si>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</si>
  <si>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</si>
  <si>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</si>
  <si>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</si>
  <si>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</si>
  <si>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</si>
  <si>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</si>
  <si>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</si>
  <si>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</si>
  <si>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</si>
  <si>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</si>
  <si>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</si>
  <si>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</si>
  <si>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</si>
  <si>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</si>
  <si>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</si>
  <si>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</si>
  <si>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</si>
  <si>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</si>
  <si>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</si>
  <si>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</si>
  <si>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</si>
  <si>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</si>
  <si>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</si>
  <si>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</si>
  <si>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</si>
  <si>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</si>
  <si>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</si>
  <si>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</si>
  <si>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</si>
  <si>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</si>
  <si>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</si>
  <si>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</si>
  <si>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</si>
  <si>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</si>
  <si>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</si>
  <si>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</si>
  <si>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</si>
  <si>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</si>
  <si>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</si>
  <si>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</si>
  <si>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</si>
  <si>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</si>
  <si>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</si>
  <si>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</si>
  <si>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</si>
  <si>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</si>
  <si>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</si>
  <si>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</si>
  <si>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</si>
  <si>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</si>
  <si>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</si>
  <si>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</si>
  <si>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</si>
  <si>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</si>
  <si>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</si>
  <si>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</si>
  <si>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</si>
  <si>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</si>
  <si>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</si>
  <si>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</si>
  <si>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</si>
  <si>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</si>
  <si>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</si>
  <si>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</si>
  <si>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</si>
  <si>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</si>
  <si>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</si>
  <si>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</si>
  <si>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</si>
  <si>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</si>
  <si>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</si>
  <si>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</si>
  <si>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</si>
  <si>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</si>
  <si>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</si>
  <si>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</si>
  <si>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</si>
  <si>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</si>
  <si>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</si>
  <si>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</si>
  <si>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</si>
  <si>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</si>
  <si>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</si>
  <si>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</si>
  <si>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</si>
  <si>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</si>
  <si>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</si>
  <si>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</si>
  <si>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</si>
  <si>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</si>
  <si>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</si>
  <si>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</si>
  <si>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</si>
  <si>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</si>
  <si>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</si>
  <si>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</si>
  <si>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</si>
  <si>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</si>
  <si>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</si>
  <si>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</si>
  <si>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</si>
  <si>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</si>
  <si>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</si>
  <si>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</si>
  <si>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</si>
  <si>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</si>
  <si>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</si>
  <si>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</si>
  <si>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</si>
  <si>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</si>
  <si>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</si>
  <si>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</si>
  <si>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</si>
  <si>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</si>
  <si>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</si>
  <si>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</si>
  <si>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</si>
  <si>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</si>
  <si>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</si>
  <si>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</si>
  <si>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</si>
  <si>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</si>
  <si>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</si>
  <si>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</si>
  <si>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</si>
  <si>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</si>
  <si>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</si>
  <si>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</si>
  <si>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</si>
  <si>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</si>
  <si>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</si>
  <si>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</si>
  <si>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</si>
  <si>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</si>
  <si>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</si>
  <si>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</si>
  <si>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</si>
  <si>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</si>
  <si>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</si>
  <si>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</si>
  <si>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</si>
  <si>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</si>
  <si>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</si>
  <si>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</si>
  <si>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</si>
  <si>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</si>
  <si>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</si>
  <si>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</si>
  <si>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</si>
  <si>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</si>
  <si>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</si>
  <si>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</si>
  <si>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</si>
  <si>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</si>
  <si>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</si>
  <si>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</si>
  <si>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</si>
  <si>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</si>
  <si>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</si>
  <si>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</si>
  <si>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</si>
  <si>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</si>
  <si>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</si>
  <si>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</si>
  <si>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</si>
  <si>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</si>
  <si>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</si>
  <si>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</si>
  <si>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</si>
  <si>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</si>
  <si>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</si>
  <si>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</si>
  <si>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</si>
  <si>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</si>
  <si>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</si>
  <si>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</si>
  <si>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</si>
  <si>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</si>
  <si>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</si>
  <si>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</si>
  <si>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</si>
  <si>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</si>
  <si>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</si>
  <si>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</si>
  <si>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</si>
  <si>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</si>
  <si>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</si>
  <si>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</si>
  <si>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</si>
  <si>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</si>
  <si>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</si>
  <si>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</si>
  <si>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</si>
  <si>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</si>
  <si>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</si>
  <si>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</si>
  <si>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</si>
  <si>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</si>
  <si>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</si>
  <si>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</si>
  <si>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</si>
  <si>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</si>
  <si>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</si>
  <si>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</si>
  <si>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</si>
  <si>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</si>
  <si>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</si>
  <si>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</si>
  <si>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</si>
  <si>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</si>
  <si>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</si>
  <si>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</si>
  <si>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</si>
  <si>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</si>
  <si>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</si>
  <si>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</si>
  <si>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</si>
  <si>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</si>
  <si>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</si>
  <si>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</si>
  <si>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</si>
  <si>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</si>
  <si>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</si>
  <si>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</si>
  <si>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</si>
  <si>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</si>
  <si>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</si>
  <si>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</si>
  <si>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</si>
  <si>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</si>
  <si>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</si>
  <si>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</si>
  <si>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</si>
  <si>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</si>
  <si>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</si>
  <si>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</si>
  <si>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</si>
  <si>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</si>
  <si>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</si>
  <si>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</si>
  <si>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</si>
  <si>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</si>
  <si>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</si>
  <si>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</si>
  <si>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</si>
  <si>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</si>
  <si>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</si>
  <si>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</si>
  <si>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</si>
  <si>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</si>
  <si>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</si>
  <si>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</si>
  <si>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</si>
  <si>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</si>
  <si>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</si>
  <si>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</si>
  <si>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</si>
  <si>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</si>
  <si>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</si>
  <si>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</si>
  <si>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</si>
  <si>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</si>
  <si>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</si>
  <si>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</si>
  <si>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</si>
  <si>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</si>
  <si>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</si>
  <si>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</si>
  <si>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</si>
  <si>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</si>
  <si>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</si>
  <si>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</si>
  <si>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</si>
  <si>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</si>
  <si>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</si>
  <si>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</si>
  <si>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</si>
  <si>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</si>
  <si>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</si>
  <si>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</si>
  <si>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</si>
  <si>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</si>
  <si>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</si>
  <si>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</si>
  <si>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</si>
  <si>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</si>
  <si>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</si>
  <si>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</si>
  <si>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</si>
  <si>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</si>
  <si>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</si>
  <si>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</si>
  <si>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</si>
  <si>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</si>
  <si>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</si>
  <si>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</si>
  <si>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</si>
  <si>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</si>
  <si>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</si>
  <si>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</si>
  <si>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</si>
  <si>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</si>
  <si>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</si>
  <si>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</si>
  <si>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</si>
  <si>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</si>
  <si>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</si>
  <si>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</si>
  <si>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</si>
  <si>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</si>
  <si>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</si>
  <si>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</si>
  <si>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</si>
  <si>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</si>
  <si>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</si>
  <si>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</si>
  <si>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</si>
  <si>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</si>
  <si>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</si>
  <si>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</si>
  <si>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</si>
  <si>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</si>
  <si>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</si>
  <si>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</si>
  <si>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</si>
  <si>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</si>
  <si>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</si>
  <si>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</si>
  <si>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</si>
  <si>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</si>
  <si>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</si>
  <si>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</si>
  <si>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</si>
  <si>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</si>
  <si>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</si>
  <si>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</si>
  <si>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</si>
  <si>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</si>
  <si>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</si>
  <si>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</si>
  <si>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</si>
  <si>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</si>
  <si>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</si>
  <si>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</si>
  <si>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</si>
  <si>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</si>
  <si>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</si>
  <si>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</si>
  <si>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</si>
  <si>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</si>
  <si>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</si>
  <si>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</si>
  <si>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</si>
  <si>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</si>
  <si>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</si>
  <si>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</si>
  <si>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</si>
  <si>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</si>
  <si>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</si>
  <si>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</si>
  <si>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</si>
  <si>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</si>
  <si>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</si>
  <si>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</si>
  <si>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</si>
  <si>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</si>
  <si>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</si>
  <si>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</si>
  <si>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</si>
  <si>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</si>
  <si>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</si>
  <si>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</si>
  <si>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</si>
  <si>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</si>
  <si>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</si>
  <si>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</si>
  <si>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</si>
  <si>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</si>
  <si>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</si>
  <si>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</si>
  <si>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</si>
  <si>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</si>
  <si>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</si>
  <si>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</si>
  <si>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</si>
  <si>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</si>
  <si>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</si>
  <si>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</si>
  <si>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</si>
  <si>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</si>
  <si>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</si>
  <si>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</si>
  <si>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</si>
  <si>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</si>
  <si>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</si>
  <si>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</si>
  <si>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</si>
  <si>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</si>
  <si>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</si>
  <si>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</si>
  <si>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</si>
  <si>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</si>
  <si>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</si>
  <si>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</si>
  <si>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</si>
  <si>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</si>
  <si>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</si>
  <si>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</si>
  <si>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</si>
  <si>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</si>
  <si>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</si>
  <si>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</si>
  <si>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</si>
  <si>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</si>
  <si>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</si>
  <si>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</si>
  <si>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</si>
  <si>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</si>
  <si>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</si>
  <si>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</si>
  <si>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</si>
  <si>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</si>
  <si>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</si>
  <si>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</si>
  <si>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</si>
  <si>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</si>
  <si>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</si>
  <si>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</si>
  <si>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</si>
  <si>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</si>
  <si>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</si>
  <si>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</si>
  <si>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</si>
  <si>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</si>
  <si>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</si>
  <si>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</si>
  <si>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</si>
  <si>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</si>
  <si>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</si>
  <si>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</si>
  <si>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</si>
  <si>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</si>
  <si>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</si>
  <si>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</si>
  <si>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</si>
  <si>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</si>
  <si>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</si>
  <si>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</si>
  <si>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</si>
  <si>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</si>
  <si>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</si>
  <si>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</si>
  <si>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</si>
  <si>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</si>
  <si>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</si>
  <si>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</si>
  <si>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</si>
  <si>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</si>
  <si>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</si>
  <si>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</si>
  <si>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</si>
  <si>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</si>
  <si>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</si>
  <si>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</si>
  <si>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</si>
  <si>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</si>
  <si>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</si>
  <si>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</si>
  <si>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</si>
  <si>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</si>
  <si>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</si>
  <si>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</si>
  <si>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</si>
  <si>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</si>
  <si>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</si>
  <si>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</si>
  <si>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</si>
  <si>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</si>
  <si>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</si>
  <si>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</si>
  <si>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</si>
  <si>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</si>
  <si>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</si>
  <si>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</si>
  <si>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</si>
  <si>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</si>
  <si>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</si>
  <si>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</si>
  <si>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</si>
  <si>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</si>
  <si>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</si>
  <si>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</si>
  <si>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</si>
  <si>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</si>
  <si>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</si>
  <si>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</si>
  <si>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</si>
  <si>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</si>
  <si>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</si>
  <si>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</si>
  <si>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</si>
  <si>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</si>
  <si>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</si>
  <si>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</si>
  <si>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</si>
  <si>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</si>
  <si>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</si>
  <si>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</si>
  <si>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</si>
  <si>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</si>
  <si>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</si>
  <si>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</si>
  <si>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</si>
  <si>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</si>
  <si>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</si>
  <si>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</si>
  <si>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</si>
  <si>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</si>
  <si>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</si>
  <si>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</si>
  <si>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</si>
  <si>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</si>
  <si>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</si>
  <si>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</si>
  <si>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</si>
  <si>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</si>
  <si>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</si>
  <si>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</si>
  <si>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</si>
  <si>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</si>
  <si>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</si>
  <si>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</si>
  <si>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</si>
  <si>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</si>
  <si>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</si>
  <si>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</si>
  <si>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</si>
  <si>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</si>
  <si>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</si>
  <si>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</si>
  <si>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</si>
  <si>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</si>
  <si>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</si>
  <si>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</si>
  <si>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</si>
  <si>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</si>
  <si>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</si>
  <si>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</si>
  <si>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</si>
  <si>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</si>
  <si>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</si>
  <si>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</si>
  <si>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</si>
  <si>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</si>
  <si>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</si>
  <si>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</si>
  <si>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</si>
  <si>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</si>
  <si>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</si>
  <si>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</si>
  <si>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</si>
  <si>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</si>
  <si>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</si>
  <si>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</si>
  <si>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</si>
  <si>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</si>
  <si>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</si>
  <si>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</si>
  <si>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</si>
  <si>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</si>
  <si>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</si>
  <si>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</si>
  <si>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</si>
  <si>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</si>
  <si>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</si>
  <si>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</si>
  <si>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</si>
  <si>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</si>
  <si>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</si>
  <si>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</si>
  <si>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</si>
  <si>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</si>
  <si>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</si>
  <si>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</si>
  <si>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</si>
  <si>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</si>
  <si>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</si>
  <si>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</si>
  <si>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</si>
  <si>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</si>
  <si>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</si>
  <si>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</si>
  <si>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</si>
  <si>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</si>
  <si>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</si>
  <si>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</si>
  <si>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</si>
  <si>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</si>
  <si>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</si>
  <si>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</si>
  <si>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</si>
  <si>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</si>
  <si>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</si>
  <si>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</si>
  <si>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</si>
  <si>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</si>
  <si>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</si>
  <si>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</si>
  <si>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</si>
  <si>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</si>
  <si>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</si>
  <si>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</si>
  <si>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</si>
  <si>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</si>
  <si>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</si>
  <si>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</si>
  <si>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</si>
  <si>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</si>
  <si>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</si>
  <si>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</si>
  <si>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</si>
  <si>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</si>
  <si>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</si>
  <si>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</si>
  <si>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</si>
  <si>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</si>
  <si>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</si>
  <si>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</si>
  <si>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</si>
  <si>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</si>
  <si>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</si>
  <si>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</si>
  <si>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</si>
  <si>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</si>
  <si>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</si>
  <si>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</si>
  <si>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</si>
  <si>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</si>
  <si>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</si>
  <si>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</si>
  <si>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</si>
  <si>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</si>
  <si>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</si>
  <si>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</si>
  <si>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</si>
  <si>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</si>
  <si>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</si>
  <si>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</si>
  <si>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</si>
  <si>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</si>
  <si>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</si>
  <si>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</si>
  <si>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</si>
  <si>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</si>
  <si>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</si>
  <si>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</si>
  <si>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</si>
  <si>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</si>
  <si>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</si>
  <si>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</si>
  <si>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</si>
  <si>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</si>
  <si>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</si>
  <si>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</si>
  <si>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</si>
  <si>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</si>
  <si>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</si>
  <si>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</si>
  <si>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</si>
  <si>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</si>
  <si>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</si>
  <si>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</si>
  <si>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</si>
  <si>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</si>
  <si>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</si>
  <si>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</si>
  <si>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</si>
  <si>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</si>
  <si>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</si>
  <si>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</si>
  <si>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</si>
  <si>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</si>
  <si>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</si>
  <si>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</si>
  <si>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</si>
  <si>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</si>
  <si>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</si>
  <si>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</si>
  <si>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</si>
  <si>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</si>
  <si>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</si>
  <si>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</si>
  <si>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</si>
  <si>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</si>
  <si>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</si>
  <si>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</si>
  <si>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</si>
  <si>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</si>
  <si>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</si>
  <si>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</si>
  <si>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</si>
  <si>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</si>
  <si>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</si>
  <si>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</si>
  <si>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</si>
  <si>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</si>
  <si>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</si>
  <si>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</si>
  <si>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</si>
  <si>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</si>
  <si>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</si>
  <si>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</si>
  <si>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</si>
  <si>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</si>
  <si>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</si>
  <si>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</si>
  <si>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</si>
  <si>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</si>
  <si>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</si>
  <si>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</si>
  <si>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</si>
  <si>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</si>
  <si>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</si>
  <si>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</si>
  <si>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</si>
  <si>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</si>
  <si>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</si>
  <si>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</si>
  <si>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</si>
  <si>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</si>
  <si>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</si>
  <si>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</si>
  <si>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</si>
  <si>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</si>
  <si>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</si>
  <si>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</si>
  <si>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</si>
  <si>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</si>
  <si>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</si>
  <si>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</si>
  <si>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</si>
  <si>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</si>
  <si>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</si>
  <si>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</si>
  <si>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</si>
  <si>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</si>
  <si>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</si>
  <si>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</si>
  <si>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</si>
  <si>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</si>
  <si>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</si>
  <si>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</si>
  <si>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</si>
  <si>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</si>
  <si>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</si>
  <si>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</si>
  <si>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</si>
  <si>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</si>
  <si>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</si>
  <si>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</si>
  <si>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</si>
  <si>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</si>
  <si>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</si>
  <si>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</si>
  <si>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</si>
  <si>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</si>
  <si>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</si>
  <si>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</si>
  <si>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</si>
  <si>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</si>
  <si>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</si>
  <si>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</si>
  <si>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</si>
  <si>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</si>
  <si>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</si>
  <si>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</si>
  <si>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</si>
  <si>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</si>
  <si>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</si>
  <si>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</si>
  <si>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</si>
  <si>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</si>
  <si>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</si>
  <si>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</si>
  <si>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</si>
  <si>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</si>
  <si>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</si>
  <si>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</si>
  <si>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</si>
  <si>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</si>
  <si>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</si>
  <si>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</si>
  <si>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</si>
  <si>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</si>
  <si>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</si>
  <si>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</si>
  <si>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</si>
  <si>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</si>
  <si>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</si>
  <si>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</si>
  <si>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</si>
  <si>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</si>
  <si>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</si>
  <si>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</si>
  <si>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</si>
  <si>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</si>
  <si>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</si>
  <si>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</si>
  <si>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</si>
  <si>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</si>
  <si>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</si>
  <si>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</si>
  <si>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</si>
  <si>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</si>
  <si>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</si>
  <si>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</si>
  <si>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</si>
  <si>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</si>
  <si>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</si>
  <si>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</si>
  <si>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</si>
  <si>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</si>
  <si>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</si>
  <si>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</si>
  <si>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</si>
  <si>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</si>
  <si>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</si>
  <si>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</si>
  <si>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</si>
  <si>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</si>
  <si>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</si>
  <si>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</si>
  <si>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</si>
  <si>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</si>
  <si>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</si>
  <si>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</si>
  <si>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</si>
  <si>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</si>
  <si>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</si>
  <si>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</si>
  <si>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</si>
  <si>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</si>
  <si>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</si>
  <si>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</si>
  <si>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</si>
  <si>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</si>
  <si>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</si>
  <si>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</si>
  <si>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</si>
  <si>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</si>
  <si>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</si>
  <si>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</si>
  <si>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</si>
  <si>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</si>
  <si>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</si>
  <si>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</si>
  <si>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</si>
  <si>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</si>
  <si>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</si>
  <si>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</si>
  <si>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</si>
  <si>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</si>
  <si>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</si>
  <si>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</si>
  <si>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</si>
  <si>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</si>
  <si>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</si>
  <si>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</si>
  <si>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</si>
  <si>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</si>
  <si>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</si>
  <si>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</si>
  <si>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</si>
  <si>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</si>
  <si>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</si>
  <si>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</si>
  <si>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</si>
  <si>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</si>
  <si>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</si>
  <si>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</si>
  <si>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</si>
  <si>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</si>
  <si>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</si>
  <si>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</si>
  <si>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</si>
  <si>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</si>
  <si>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</si>
  <si>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</si>
  <si>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</si>
  <si>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</si>
  <si>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</si>
  <si>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</si>
  <si>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</si>
  <si>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</si>
  <si>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</si>
  <si>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</si>
  <si>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</si>
  <si>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</si>
  <si>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</si>
  <si>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</si>
  <si>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</si>
  <si>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</si>
  <si>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</si>
  <si>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</si>
  <si>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</si>
  <si>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</si>
  <si>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</si>
  <si>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</si>
  <si>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</si>
  <si>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</si>
  <si>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</si>
  <si>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</si>
  <si>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</si>
  <si>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</si>
  <si>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</si>
  <si>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</si>
  <si>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</si>
  <si>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</si>
  <si>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</si>
  <si>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</si>
  <si>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</si>
  <si>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</si>
  <si>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</si>
  <si>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</si>
  <si>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</si>
  <si>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</si>
  <si>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</si>
  <si>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</si>
  <si>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</si>
  <si>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</si>
  <si>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</si>
  <si>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</si>
  <si>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</si>
  <si>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</si>
  <si>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</si>
  <si>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</si>
  <si>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</si>
  <si>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</si>
  <si>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</si>
  <si>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</si>
  <si>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</si>
  <si>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</si>
  <si>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</si>
  <si>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</si>
  <si>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</si>
  <si>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</si>
  <si>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</si>
  <si>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</si>
  <si>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</si>
  <si>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</si>
  <si>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</si>
  <si>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</si>
  <si>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</si>
  <si>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</si>
  <si>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</si>
  <si>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</si>
  <si>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</si>
  <si>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</si>
  <si>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</si>
  <si>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</si>
  <si>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</si>
  <si>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</si>
  <si>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</si>
  <si>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</si>
  <si>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</si>
  <si>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</si>
  <si>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</si>
  <si>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</si>
  <si>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</si>
  <si>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</si>
  <si>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</si>
  <si>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</si>
  <si>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</si>
  <si>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</si>
  <si>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</si>
  <si>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</si>
  <si>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</si>
  <si>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</si>
  <si>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</si>
  <si>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</si>
  <si>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</si>
  <si>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</si>
  <si>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</si>
  <si>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</si>
  <si>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</si>
  <si>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</si>
  <si>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</si>
  <si>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</si>
  <si>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</si>
  <si>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</si>
  <si>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</si>
  <si>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</si>
  <si>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</si>
  <si>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</si>
  <si>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</si>
  <si>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</si>
  <si>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</si>
  <si>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</si>
  <si>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</si>
  <si>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</si>
  <si>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</si>
  <si>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</si>
  <si>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</si>
  <si>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</si>
  <si>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</si>
  <si>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</si>
  <si>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</si>
  <si>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</si>
  <si>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</si>
  <si>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</si>
  <si>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</si>
  <si>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</si>
  <si>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</si>
  <si>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</si>
  <si>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</si>
  <si>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</si>
  <si>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</si>
  <si>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</si>
  <si>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</si>
  <si>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</si>
  <si>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</si>
  <si>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</si>
  <si>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</si>
  <si>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</si>
  <si>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</si>
  <si>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</si>
  <si>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</si>
  <si>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</si>
  <si>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</si>
  <si>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</si>
  <si>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</si>
  <si>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</si>
  <si>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</si>
  <si>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</si>
  <si>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</si>
  <si>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</si>
  <si>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</si>
  <si>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</si>
  <si>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</si>
  <si>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</si>
  <si>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</si>
  <si>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</si>
  <si>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</si>
  <si>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</si>
  <si>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</si>
  <si>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</si>
  <si>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</si>
  <si>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</si>
  <si>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</si>
  <si>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</si>
  <si>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</si>
  <si>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</si>
  <si>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</si>
  <si>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</si>
  <si>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</si>
  <si>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</si>
  <si>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</si>
  <si>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</si>
  <si>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</si>
  <si>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</si>
  <si>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</si>
  <si>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</si>
  <si>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</si>
  <si>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</si>
  <si>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</si>
  <si>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</si>
  <si>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</si>
  <si>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</si>
  <si>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</si>
  <si>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</si>
  <si>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</si>
  <si>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</si>
  <si>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</si>
  <si>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</si>
  <si>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</si>
  <si>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</si>
  <si>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</si>
  <si>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</si>
  <si>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</si>
  <si>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</si>
  <si>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</si>
  <si>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</si>
  <si>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</si>
  <si>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</si>
  <si>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</si>
  <si>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</si>
  <si>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</si>
  <si>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</si>
  <si>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</si>
  <si>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</si>
  <si>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</si>
  <si>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</si>
  <si>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</si>
  <si>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</si>
  <si>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</si>
  <si>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</si>
  <si>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</si>
  <si>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</si>
  <si>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</si>
  <si>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</si>
  <si>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</si>
  <si>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</si>
  <si>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</si>
  <si>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</si>
  <si>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</si>
  <si>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</si>
  <si>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</si>
  <si>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</si>
  <si>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</si>
  <si>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</si>
  <si>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</si>
  <si>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</si>
  <si>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</si>
  <si>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</si>
  <si>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</si>
  <si>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</si>
  <si>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</si>
  <si>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</si>
  <si>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</si>
  <si>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</si>
  <si>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</si>
  <si>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</si>
  <si>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</si>
  <si>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</si>
  <si>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</si>
  <si>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</si>
  <si>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</si>
  <si>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</si>
  <si>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</si>
  <si>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</si>
  <si>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</si>
  <si>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</si>
  <si>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</si>
  <si>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</si>
  <si>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</si>
  <si>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</si>
  <si>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</si>
  <si>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</si>
  <si>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</si>
  <si>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</si>
  <si>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</si>
  <si>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</si>
  <si>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</si>
  <si>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</si>
  <si>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</si>
  <si>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</si>
  <si>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</si>
  <si>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</si>
  <si>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</si>
  <si>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</si>
  <si>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</si>
  <si>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</si>
  <si>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</si>
  <si>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</si>
  <si>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</si>
  <si>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</si>
  <si>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</si>
  <si>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</si>
  <si>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</si>
  <si>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</si>
  <si>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</si>
  <si>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</si>
  <si>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</si>
  <si>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</si>
  <si>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</si>
  <si>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</si>
  <si>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</si>
  <si>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</si>
  <si>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</si>
  <si>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</si>
  <si>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</si>
  <si>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</si>
  <si>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</si>
  <si>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</si>
  <si>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</si>
  <si>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</si>
  <si>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</si>
  <si>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</si>
  <si>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</si>
  <si>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</si>
  <si>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</si>
  <si>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</si>
  <si>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</si>
  <si>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</si>
  <si>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</si>
  <si>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</si>
  <si>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</si>
  <si>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</si>
  <si>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</si>
  <si>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</si>
  <si>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</si>
  <si>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</si>
  <si>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</si>
  <si>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</si>
  <si>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</si>
  <si>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</si>
  <si>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</si>
  <si>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</si>
  <si>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</si>
  <si>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</si>
  <si>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</si>
  <si>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</si>
  <si>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</si>
  <si>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</si>
  <si>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</si>
  <si>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</si>
  <si>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</si>
  <si>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</si>
  <si>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</si>
  <si>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</si>
  <si>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</si>
  <si>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</si>
  <si>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</si>
  <si>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</si>
  <si>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</si>
  <si>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</si>
  <si>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</si>
  <si>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</si>
  <si>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</si>
  <si>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</si>
  <si>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</si>
  <si>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</si>
  <si>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</si>
  <si>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</si>
  <si>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</si>
  <si>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</si>
  <si>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</si>
  <si>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</si>
  <si>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</si>
  <si>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</si>
  <si>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</si>
  <si>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</si>
  <si>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</si>
  <si>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</si>
  <si>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</si>
  <si>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</si>
  <si>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</si>
  <si>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</si>
  <si>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</si>
  <si>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</si>
  <si>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</si>
  <si>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</si>
  <si>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</si>
  <si>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</si>
  <si>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</si>
  <si>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</si>
  <si>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</si>
  <si>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</si>
  <si>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</si>
  <si>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</si>
  <si>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</si>
  <si>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</si>
  <si>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</si>
  <si>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</si>
  <si>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</si>
  <si>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</si>
  <si>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</si>
  <si>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</si>
  <si>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</si>
  <si>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</si>
  <si>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</si>
  <si>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</si>
  <si>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</si>
  <si>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</si>
  <si>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</si>
  <si>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</si>
  <si>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</si>
  <si>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</si>
  <si>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</si>
  <si>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</si>
  <si>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</si>
  <si>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</si>
  <si>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</si>
  <si>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</si>
  <si>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</si>
  <si>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</si>
  <si>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</si>
  <si>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</si>
  <si>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</si>
  <si>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</si>
  <si>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</si>
  <si>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</si>
  <si>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</si>
  <si>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</si>
  <si>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</si>
  <si>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</si>
  <si>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</si>
  <si>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</si>
  <si>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</si>
  <si>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</si>
  <si>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</si>
  <si>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</si>
  <si>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</si>
  <si>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</si>
  <si>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</si>
  <si>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</si>
  <si>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</si>
  <si>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</si>
  <si>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</si>
  <si>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</si>
  <si>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</si>
  <si>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</si>
  <si>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</si>
  <si>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</si>
  <si>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</si>
  <si>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</si>
  <si>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</si>
  <si>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</si>
  <si>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</si>
  <si>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</si>
  <si>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</si>
  <si>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</si>
  <si>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</si>
  <si>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</si>
  <si>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</si>
  <si>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</si>
  <si>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</si>
  <si>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</si>
  <si>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</si>
  <si>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</si>
  <si>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</si>
  <si>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</si>
  <si>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</si>
  <si>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</si>
  <si>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</si>
  <si>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</si>
  <si>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</si>
  <si>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</si>
  <si>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</si>
  <si>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</si>
  <si>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</si>
  <si>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</si>
  <si>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</si>
  <si>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</si>
  <si>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</si>
  <si>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</si>
  <si>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</si>
  <si>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</si>
  <si>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</si>
  <si>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</si>
  <si>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</si>
  <si>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</si>
  <si>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</si>
  <si>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</si>
  <si>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</si>
  <si>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</si>
  <si>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</si>
  <si>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</si>
  <si>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</si>
  <si>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</si>
  <si>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</si>
  <si>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</si>
  <si>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</si>
  <si>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</si>
  <si>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</si>
  <si>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</si>
  <si>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</si>
  <si>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</si>
  <si>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</si>
  <si>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</si>
  <si>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</si>
  <si>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</si>
  <si>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</si>
  <si>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</si>
  <si>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</si>
  <si>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</si>
  <si>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</si>
  <si>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</si>
  <si>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</si>
  <si>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</si>
  <si>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</si>
  <si>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</si>
  <si>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</si>
  <si>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</si>
  <si>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</si>
  <si>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</si>
  <si>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</si>
  <si>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</si>
  <si>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</si>
  <si>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</si>
  <si>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</si>
  <si>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</si>
  <si>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</si>
  <si>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</si>
  <si>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</si>
  <si>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</si>
  <si>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</si>
  <si>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</si>
  <si>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</si>
  <si>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</si>
  <si>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</si>
  <si>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</si>
  <si>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</si>
  <si>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</si>
  <si>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</si>
  <si>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</si>
  <si>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</si>
  <si>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</si>
  <si>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</si>
  <si>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</si>
  <si>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</si>
  <si>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</si>
  <si>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</si>
  <si>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</si>
  <si>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</si>
  <si>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</si>
  <si>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</si>
  <si>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</si>
  <si>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</si>
  <si>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</si>
  <si>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</si>
  <si>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</si>
  <si>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</si>
  <si>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</si>
  <si>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</si>
  <si>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</si>
  <si>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</si>
  <si>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</si>
  <si>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</si>
  <si>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</si>
  <si>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</si>
  <si>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</si>
  <si>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</si>
  <si>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</si>
  <si>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</si>
  <si>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</si>
  <si>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</si>
  <si>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</si>
  <si>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</si>
  <si>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</si>
  <si>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</si>
  <si>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</si>
  <si>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</si>
  <si>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</si>
  <si>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</si>
  <si>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</si>
  <si>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</si>
  <si>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</si>
  <si>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</si>
  <si>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</si>
  <si>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</si>
  <si>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</si>
  <si>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</si>
  <si>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</si>
  <si>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</si>
  <si>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</si>
  <si>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</si>
  <si>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</si>
  <si>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</si>
  <si>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</si>
  <si>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</si>
  <si>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</si>
  <si>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</si>
  <si>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</si>
  <si>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</si>
  <si>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</si>
  <si>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</si>
  <si>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</si>
  <si>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</si>
  <si>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</si>
  <si>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</si>
  <si>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</si>
  <si>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</si>
  <si>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</si>
  <si>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</si>
  <si>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</si>
  <si>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</si>
  <si>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</si>
  <si>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</si>
  <si>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</si>
  <si>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</si>
  <si>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</si>
  <si>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</si>
  <si>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</si>
  <si>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</si>
  <si>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</si>
  <si>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</si>
  <si>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</si>
  <si>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</si>
  <si>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</si>
  <si>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</si>
  <si>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</si>
  <si>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</si>
  <si>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</si>
  <si>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</si>
  <si>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</si>
  <si>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</si>
  <si>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</si>
  <si>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</si>
  <si>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</si>
  <si>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</si>
  <si>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</si>
  <si>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</si>
  <si>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</si>
  <si>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</si>
  <si>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</si>
  <si>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</si>
  <si>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</si>
  <si>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</si>
  <si>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</si>
  <si>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</si>
  <si>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</si>
  <si>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</si>
  <si>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</si>
  <si>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</si>
  <si>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</si>
  <si>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</si>
  <si>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</si>
  <si>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</si>
  <si>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</si>
  <si>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</si>
  <si>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</si>
  <si>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</si>
  <si>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</si>
  <si>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</si>
  <si>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</si>
  <si>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</si>
  <si>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</si>
  <si>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</si>
  <si>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</si>
  <si>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</si>
  <si>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</si>
  <si>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</si>
  <si>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</si>
  <si>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</si>
  <si>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</si>
  <si>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</si>
  <si>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</si>
  <si>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</si>
  <si>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</si>
  <si>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</si>
  <si>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</si>
  <si>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</si>
  <si>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</si>
  <si>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</si>
  <si>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</si>
  <si>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</si>
  <si>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</si>
  <si>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</si>
  <si>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</si>
  <si>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</si>
  <si>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</si>
  <si>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</si>
  <si>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</si>
  <si>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</si>
  <si>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</si>
  <si>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</si>
  <si>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</si>
  <si>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</si>
  <si>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</si>
  <si>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</si>
  <si>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</si>
  <si>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</si>
  <si>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</si>
  <si>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</si>
  <si>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</si>
  <si>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</si>
  <si>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</si>
  <si>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</si>
  <si>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</si>
  <si>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</si>
  <si>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</si>
  <si>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</si>
  <si>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</si>
  <si>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</si>
  <si>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</si>
  <si>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</si>
  <si>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</si>
  <si>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</si>
  <si>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</si>
  <si>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</si>
  <si>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</si>
  <si>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</si>
  <si>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</si>
  <si>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</si>
  <si>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</si>
  <si>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</si>
  <si>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</si>
  <si>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</si>
  <si>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</si>
  <si>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</si>
  <si>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</si>
  <si>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</si>
  <si>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</si>
  <si>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</si>
  <si>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</si>
  <si>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</si>
  <si>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</si>
  <si>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</si>
  <si>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</si>
  <si>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</si>
  <si>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</si>
  <si>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</si>
  <si>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</si>
  <si>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</si>
  <si>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</si>
  <si>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</si>
  <si>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</si>
  <si>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</si>
  <si>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</si>
  <si>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</si>
  <si>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</si>
  <si>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</si>
  <si>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</si>
  <si>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</si>
  <si>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</si>
  <si>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</si>
  <si>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</si>
  <si>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</si>
  <si>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</si>
  <si>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</si>
  <si>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</si>
  <si>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</si>
  <si>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</si>
  <si>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</si>
  <si>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</si>
  <si>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</si>
  <si>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</si>
  <si>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</si>
  <si>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</si>
  <si>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</si>
  <si>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</si>
  <si>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</si>
  <si>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</si>
  <si>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</si>
  <si>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</si>
  <si>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</si>
  <si>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</si>
  <si>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</si>
  <si>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</si>
  <si>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</si>
  <si>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</si>
  <si>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</si>
  <si>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</si>
  <si>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</si>
  <si>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</si>
  <si>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</si>
  <si>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</si>
  <si>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</si>
  <si>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</si>
  <si>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</si>
  <si>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</si>
  <si>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</si>
  <si>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</si>
  <si>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</si>
  <si>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</si>
  <si>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</si>
  <si>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</si>
  <si>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</si>
  <si>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</si>
  <si>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</si>
  <si>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</si>
  <si>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</si>
  <si>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</si>
  <si>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</si>
  <si>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</si>
  <si>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</si>
  <si>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</si>
  <si>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</si>
  <si>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</si>
  <si>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</si>
  <si>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</si>
  <si>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</si>
  <si>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</si>
  <si>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</si>
  <si>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</si>
  <si>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</si>
  <si>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</si>
  <si>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</si>
  <si>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</si>
  <si>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</si>
  <si>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</si>
  <si>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</si>
  <si>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</si>
  <si>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</si>
  <si>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</si>
  <si>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</si>
  <si>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</si>
  <si>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</si>
  <si>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</si>
  <si>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</si>
  <si>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</si>
  <si>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</si>
  <si>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</si>
  <si>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</si>
  <si>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</si>
  <si>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</si>
  <si>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</si>
  <si>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</si>
  <si>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</si>
  <si>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</si>
  <si>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</si>
  <si>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</si>
  <si>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</si>
  <si>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</si>
  <si>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</si>
  <si>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</si>
  <si>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</si>
  <si>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</si>
  <si>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</si>
  <si>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</si>
  <si>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</si>
  <si>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</si>
  <si>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</si>
  <si>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</si>
  <si>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</si>
  <si>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</si>
  <si>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</si>
  <si>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</si>
  <si>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</si>
  <si>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</si>
  <si>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</si>
  <si>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</si>
  <si>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</si>
  <si>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</si>
  <si>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</si>
  <si>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</si>
  <si>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</si>
  <si>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</si>
  <si>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</si>
  <si>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</si>
  <si>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</si>
  <si>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</si>
  <si>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</si>
  <si>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</si>
  <si>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</si>
  <si>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</si>
  <si>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</si>
  <si>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</si>
  <si>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</si>
  <si>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</si>
  <si>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</si>
  <si>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</si>
  <si>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</si>
  <si>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</si>
  <si>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</si>
  <si>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</si>
  <si>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</si>
  <si>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</si>
  <si>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</si>
  <si>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</si>
  <si>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</si>
  <si>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</si>
  <si>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</si>
  <si>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</si>
  <si>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</si>
  <si>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</si>
  <si>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</si>
  <si>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</si>
  <si>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</si>
  <si>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</si>
  <si>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</si>
  <si>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</si>
  <si>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</si>
  <si>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</si>
  <si>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</si>
  <si>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</si>
  <si>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</si>
  <si>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</si>
  <si>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</si>
  <si>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</si>
  <si>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</si>
  <si>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</si>
  <si>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</si>
  <si>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</si>
  <si>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</si>
  <si>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</si>
  <si>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</si>
  <si>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</si>
  <si>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</si>
  <si>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</si>
  <si>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</si>
  <si>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</si>
  <si>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</si>
  <si>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</si>
  <si>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</si>
  <si>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</si>
  <si>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</si>
  <si>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</si>
  <si>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</si>
  <si>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</si>
  <si>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</si>
  <si>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</si>
  <si>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</si>
  <si>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</si>
  <si>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</si>
  <si>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</si>
  <si>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</si>
  <si>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</si>
  <si>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</si>
  <si>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</si>
  <si>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</si>
  <si>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</si>
  <si>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</si>
  <si>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</si>
  <si>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</si>
  <si>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</si>
  <si>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</si>
  <si>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</si>
  <si>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</si>
  <si>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</si>
  <si>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</si>
  <si>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</si>
  <si>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</si>
  <si>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</si>
  <si>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</si>
  <si>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</si>
  <si>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</si>
  <si>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</si>
  <si>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</si>
  <si>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</si>
  <si>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</si>
  <si>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</si>
  <si>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</si>
  <si>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</si>
  <si>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</si>
  <si>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</si>
  <si>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</si>
  <si>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</si>
  <si>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</si>
  <si>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</si>
  <si>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</si>
  <si>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</si>
  <si>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</si>
  <si>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</si>
  <si>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</si>
  <si>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</si>
  <si>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</si>
  <si>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</si>
  <si>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</si>
  <si>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</si>
  <si>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</si>
  <si>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</si>
  <si>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</si>
  <si>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</si>
  <si>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</si>
  <si>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</si>
  <si>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</si>
  <si>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</si>
  <si>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</si>
  <si>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</si>
  <si>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</si>
  <si>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</si>
  <si>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</si>
  <si>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</si>
  <si>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</si>
  <si>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</si>
  <si>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</si>
  <si>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</si>
  <si>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</si>
  <si>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</si>
  <si>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</si>
  <si>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</si>
  <si>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</si>
  <si>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</si>
  <si>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</si>
  <si>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</si>
  <si>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</si>
  <si>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</si>
  <si>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</si>
  <si>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</si>
  <si>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</si>
  <si>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</si>
  <si>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</si>
  <si>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</si>
  <si>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</si>
  <si>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</si>
  <si>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</si>
  <si>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</si>
  <si>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</si>
  <si>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</si>
  <si>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</si>
  <si>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</si>
  <si>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</si>
  <si>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</si>
  <si>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</si>
  <si>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</si>
  <si>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</si>
  <si>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</si>
  <si>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</si>
  <si>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</si>
  <si>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</si>
  <si>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</si>
  <si>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</si>
  <si>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</si>
  <si>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</si>
  <si>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</si>
  <si>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</si>
  <si>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</si>
  <si>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</si>
  <si>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</si>
  <si>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</si>
  <si>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</si>
  <si>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</si>
  <si>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</si>
  <si>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</si>
  <si>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</si>
  <si>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</si>
  <si>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</si>
  <si>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</si>
  <si>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</si>
  <si>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</si>
  <si>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</si>
  <si>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</si>
  <si>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</si>
  <si>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</si>
  <si>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</si>
  <si>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</si>
  <si>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</si>
  <si>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</si>
  <si>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</si>
  <si>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</si>
  <si>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</si>
  <si>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</si>
  <si>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</si>
  <si>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</si>
  <si>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</si>
  <si>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</si>
  <si>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</si>
  <si>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</si>
  <si>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</si>
  <si>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</si>
  <si>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</si>
  <si>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</si>
  <si>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</si>
  <si>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</si>
  <si>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</si>
  <si>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</si>
  <si>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</si>
  <si>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</si>
  <si>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</si>
  <si>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</si>
  <si>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</si>
  <si>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</si>
  <si>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</si>
  <si>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</si>
  <si>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</si>
  <si>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</si>
  <si>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</si>
  <si>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</si>
  <si>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</si>
  <si>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</si>
  <si>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</si>
  <si>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</si>
  <si>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</si>
  <si>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</si>
  <si>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</si>
  <si>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</si>
  <si>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</si>
  <si>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</si>
  <si>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</si>
  <si>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</si>
  <si>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</si>
  <si>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</si>
  <si>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</si>
  <si>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</si>
  <si>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</si>
  <si>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</si>
  <si>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</si>
  <si>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</si>
  <si>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</si>
  <si>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</si>
  <si>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</si>
  <si>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</si>
  <si>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</si>
  <si>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</si>
  <si>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</si>
  <si>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</si>
  <si>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</si>
  <si>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</si>
  <si>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</si>
  <si>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</si>
  <si>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</si>
  <si>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</si>
  <si>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</si>
  <si>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</si>
  <si>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</si>
  <si>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</si>
  <si>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</si>
  <si>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</si>
  <si>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</si>
  <si>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</si>
  <si>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</si>
  <si>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</si>
  <si>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</si>
  <si>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</si>
  <si>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</si>
  <si>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</si>
  <si>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</si>
  <si>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</si>
  <si>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</si>
  <si>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</si>
  <si>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</si>
  <si>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</si>
  <si>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</si>
  <si>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</si>
  <si>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</si>
  <si>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</si>
  <si>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</si>
  <si>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</si>
  <si>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</si>
  <si>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</si>
  <si>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</si>
  <si>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</si>
  <si>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</si>
  <si>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</si>
  <si>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</si>
  <si>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</si>
  <si>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</si>
  <si>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</si>
  <si>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</si>
  <si>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</si>
  <si>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</si>
  <si>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</si>
  <si>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</si>
  <si>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</si>
  <si>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</si>
  <si>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</si>
  <si>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</si>
  <si>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</si>
  <si>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</si>
  <si>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</si>
  <si>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</si>
  <si>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</si>
  <si>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</si>
  <si>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</si>
  <si>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</si>
  <si>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</si>
  <si>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</si>
  <si>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</si>
  <si>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</si>
  <si>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</si>
  <si>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</si>
  <si>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</si>
  <si>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</si>
  <si>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</si>
  <si>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</si>
  <si>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</si>
  <si>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</si>
  <si>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</si>
  <si>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</si>
  <si>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</si>
  <si>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</si>
  <si>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</si>
  <si>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</si>
  <si>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</si>
  <si>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</si>
  <si>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</si>
  <si>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</si>
  <si>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</si>
  <si>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</si>
  <si>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</si>
  <si>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</si>
  <si>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</si>
  <si>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</si>
  <si>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</si>
  <si>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</si>
  <si>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</si>
  <si>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</si>
  <si>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</si>
  <si>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</si>
  <si>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</si>
  <si>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</si>
  <si>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</si>
  <si>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</si>
  <si>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</si>
  <si>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</si>
  <si>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</si>
  <si>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</si>
  <si>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</si>
  <si>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</si>
  <si>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</si>
  <si>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</si>
  <si>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</si>
  <si>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</si>
  <si>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</si>
  <si>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</si>
  <si>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</si>
  <si>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</si>
  <si>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</si>
  <si>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</si>
  <si>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</si>
  <si>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</si>
  <si>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</si>
  <si>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</si>
  <si>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</si>
  <si>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</si>
  <si>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</si>
  <si>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</si>
  <si>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</si>
  <si>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</si>
  <si>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</si>
  <si>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</si>
  <si>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</si>
  <si>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</si>
  <si>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</si>
  <si>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</si>
  <si>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</si>
  <si>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</si>
  <si>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</si>
  <si>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</si>
  <si>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</si>
  <si>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</si>
  <si>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</si>
  <si>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</si>
  <si>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</si>
  <si>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</si>
  <si>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</si>
  <si>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</si>
  <si>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</si>
  <si>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</si>
  <si>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</si>
  <si>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</si>
  <si>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</si>
  <si>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</si>
  <si>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</si>
  <si>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</si>
  <si>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</si>
  <si>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</si>
  <si>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</si>
  <si>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</si>
  <si>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</si>
  <si>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</si>
  <si>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</si>
  <si>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</si>
  <si>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</si>
  <si>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</si>
  <si>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</si>
  <si>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</si>
  <si>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</si>
  <si>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</si>
  <si>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</si>
  <si>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</si>
  <si>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</si>
  <si>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</si>
  <si>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</si>
  <si>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</si>
  <si>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</si>
  <si>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</si>
  <si>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</si>
  <si>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</si>
  <si>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</si>
  <si>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</si>
  <si>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</si>
  <si>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</si>
  <si>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</si>
  <si>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</si>
  <si>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</si>
  <si>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</si>
  <si>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</si>
  <si>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</si>
  <si>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</si>
  <si>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</si>
  <si>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</si>
  <si>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</si>
  <si>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</si>
  <si>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</si>
  <si>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</si>
  <si>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</si>
  <si>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</si>
  <si>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</si>
  <si>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</si>
  <si>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</si>
  <si>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</si>
  <si>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</si>
  <si>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</si>
  <si>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</si>
  <si>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</si>
  <si>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</si>
  <si>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</si>
  <si>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</si>
  <si>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</si>
  <si>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</si>
  <si>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</si>
  <si>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</si>
  <si>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</si>
  <si>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</si>
  <si>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</si>
  <si>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</si>
  <si>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</si>
  <si>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</si>
  <si>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</si>
  <si>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</si>
  <si>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</si>
  <si>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</si>
  <si>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</si>
  <si>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</si>
  <si>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</si>
  <si>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</si>
  <si>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</si>
  <si>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</si>
  <si>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</si>
  <si>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</si>
  <si>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</si>
  <si>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</si>
  <si>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</si>
  <si>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</si>
  <si>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</si>
  <si>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</si>
  <si>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</si>
  <si>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</si>
  <si>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</si>
  <si>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</si>
  <si>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</si>
  <si>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</si>
  <si>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</si>
  <si>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</si>
  <si>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</si>
  <si>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</si>
  <si>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</si>
  <si>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</si>
  <si>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</si>
  <si>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</si>
  <si>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</si>
  <si>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</si>
  <si>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</si>
  <si>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</si>
  <si>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</si>
  <si>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</si>
  <si>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</si>
  <si>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</si>
  <si>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</si>
  <si>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</si>
  <si>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</si>
  <si>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</si>
  <si>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</si>
  <si>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</si>
  <si>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</si>
  <si>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</si>
  <si>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</si>
  <si>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</si>
  <si>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</si>
  <si>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</si>
  <si>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</si>
  <si>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</si>
  <si>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</si>
  <si>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</si>
  <si>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</si>
  <si>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</si>
  <si>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</si>
  <si>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</si>
  <si>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</si>
  <si>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</si>
  <si>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</si>
  <si>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</si>
  <si>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</si>
  <si>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</si>
  <si>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</si>
  <si>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</si>
  <si>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</si>
  <si>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</si>
  <si>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</si>
  <si>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</si>
  <si>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</si>
  <si>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</si>
  <si>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</si>
  <si>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</si>
  <si>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</si>
  <si>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</si>
  <si>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</si>
  <si>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</si>
  <si>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</si>
  <si>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</si>
  <si>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</si>
  <si>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</si>
  <si>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</si>
  <si>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</si>
  <si>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</si>
  <si>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</si>
  <si>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</si>
  <si>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</si>
  <si>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</si>
  <si>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</si>
  <si>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</si>
  <si>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</si>
  <si>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</si>
  <si>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</si>
  <si>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</si>
  <si>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</si>
  <si>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</si>
  <si>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</si>
  <si>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</si>
  <si>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</si>
  <si>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</si>
  <si>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</si>
  <si>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</si>
  <si>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</si>
  <si>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</si>
  <si>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</si>
  <si>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</si>
  <si>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</si>
  <si>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</si>
  <si>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</si>
  <si>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</si>
  <si>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</si>
  <si>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</si>
  <si>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</si>
  <si>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</si>
  <si>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</si>
  <si>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</si>
  <si>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</si>
  <si>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</si>
  <si>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</si>
  <si>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</si>
  <si>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</si>
  <si>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</si>
  <si>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</si>
  <si>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</si>
  <si>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</si>
  <si>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</si>
  <si>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</si>
  <si>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</si>
  <si>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</si>
  <si>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</si>
  <si>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</si>
  <si>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</si>
  <si>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</si>
  <si>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</si>
  <si>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</si>
  <si>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</si>
  <si>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</si>
  <si>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</si>
  <si>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</si>
  <si>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</si>
  <si>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</si>
  <si>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</si>
  <si>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</si>
  <si>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</si>
  <si>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</si>
  <si>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</si>
  <si>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</si>
  <si>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</si>
  <si>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</si>
  <si>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</si>
  <si>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</si>
  <si>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</si>
  <si>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</si>
  <si>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</si>
  <si>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</si>
  <si>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</si>
  <si>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</si>
  <si>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</si>
  <si>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</si>
  <si>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</si>
  <si>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</si>
  <si>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</si>
  <si>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</si>
  <si>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</si>
  <si>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</si>
  <si>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</si>
  <si>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</si>
  <si>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</si>
  <si>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</si>
  <si>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</si>
  <si>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</si>
  <si>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</si>
  <si>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</si>
  <si>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</si>
  <si>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</si>
  <si>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</si>
  <si>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</si>
  <si>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</si>
  <si>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</si>
  <si>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</si>
  <si>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</si>
  <si>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</si>
  <si>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</si>
  <si>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</si>
  <si>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</si>
  <si>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</si>
  <si>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</si>
  <si>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</si>
  <si>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</si>
  <si>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</si>
  <si>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</si>
  <si>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</si>
  <si>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</si>
  <si>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</si>
  <si>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</si>
  <si>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</si>
  <si>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</si>
  <si>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</si>
  <si>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</si>
  <si>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</si>
  <si>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</si>
  <si>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</si>
  <si>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</si>
  <si>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</si>
  <si>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</si>
  <si>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</si>
  <si>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</si>
  <si>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</si>
  <si>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</si>
  <si>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</si>
  <si>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</si>
  <si>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</si>
  <si>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</si>
  <si>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</si>
  <si>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</si>
  <si>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</si>
  <si>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</si>
  <si>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</si>
  <si>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</si>
  <si>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</si>
  <si>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</si>
  <si>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</si>
  <si>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</si>
  <si>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</si>
  <si>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</si>
  <si>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</si>
  <si>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</si>
  <si>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</si>
  <si>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</si>
  <si>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</si>
  <si>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</si>
  <si>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</si>
  <si>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</si>
  <si>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</si>
  <si>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</si>
  <si>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</si>
  <si>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</si>
  <si>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</si>
  <si>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</si>
  <si>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</si>
  <si>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</si>
  <si>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</si>
  <si>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</si>
  <si>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</si>
  <si>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</si>
  <si>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</si>
  <si>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</si>
  <si>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</si>
  <si>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</si>
  <si>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</si>
  <si>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</si>
  <si>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</si>
  <si>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</si>
  <si>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</si>
  <si>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</si>
  <si>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</si>
  <si>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</si>
  <si>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</si>
  <si>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</si>
  <si>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</si>
  <si>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</si>
  <si>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</si>
  <si>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</si>
  <si>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</si>
  <si>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</si>
  <si>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</si>
  <si>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</si>
  <si>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</si>
  <si>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</si>
  <si>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</si>
  <si>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</si>
  <si>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</si>
  <si>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</si>
  <si>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</si>
  <si>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</si>
  <si>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</si>
  <si>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</si>
  <si>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</si>
  <si>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</si>
  <si>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</si>
  <si>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</si>
  <si>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</si>
  <si>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</si>
  <si>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</si>
  <si>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</si>
  <si>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</si>
  <si>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</si>
  <si>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</si>
  <si>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</si>
  <si>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</si>
  <si>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</si>
  <si>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</si>
  <si>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</si>
  <si>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</si>
  <si>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</si>
  <si>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</si>
  <si>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</si>
  <si>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</si>
  <si>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</si>
  <si>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</si>
  <si>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</si>
  <si>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</si>
  <si>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</si>
  <si>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</si>
  <si>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</si>
  <si>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</si>
  <si>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</si>
  <si>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</si>
  <si>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</si>
  <si>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</si>
  <si>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</si>
  <si>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</si>
  <si>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</si>
  <si>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</si>
  <si>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</si>
  <si>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</si>
  <si>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</si>
  <si>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</si>
  <si>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</si>
  <si>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</si>
  <si>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</si>
  <si>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</si>
  <si>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</si>
  <si>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</si>
  <si>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</si>
  <si>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</si>
  <si>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</si>
  <si>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</si>
  <si>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</si>
  <si>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</si>
  <si>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</si>
  <si>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</si>
  <si>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</si>
  <si>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</si>
  <si>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</si>
  <si>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</si>
  <si>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</si>
  <si>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</si>
  <si>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</si>
  <si>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</si>
  <si>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</si>
  <si>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</si>
  <si>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</si>
  <si>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</si>
  <si>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</si>
  <si>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</si>
  <si>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</si>
  <si>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</si>
  <si>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</si>
  <si>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</si>
  <si>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</si>
  <si>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</si>
  <si>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</si>
  <si>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</si>
  <si>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</si>
  <si>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</si>
  <si>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</si>
  <si>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</si>
  <si>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</si>
  <si>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</si>
  <si>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</si>
  <si>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</si>
  <si>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</si>
  <si>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</si>
  <si>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</si>
  <si>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</si>
  <si>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</si>
  <si>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</si>
  <si>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</si>
  <si>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</si>
  <si>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</si>
  <si>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</si>
  <si>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</si>
  <si>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</si>
  <si>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</si>
  <si>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</si>
  <si>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</si>
  <si>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</si>
  <si>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</si>
  <si>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</si>
  <si>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</si>
  <si>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</si>
  <si>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</si>
  <si>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</si>
  <si>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</si>
  <si>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</si>
  <si>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</si>
  <si>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</si>
  <si>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</si>
  <si>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</si>
  <si>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</si>
  <si>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</si>
  <si>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</si>
  <si>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</si>
  <si>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</si>
  <si>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</si>
  <si>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</si>
  <si>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</si>
  <si>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</si>
  <si>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</si>
  <si>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</si>
  <si>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</si>
  <si>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</si>
  <si>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</si>
  <si>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</si>
  <si>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</si>
  <si>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</si>
  <si>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</si>
  <si>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</si>
  <si>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</si>
  <si>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</si>
  <si>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</si>
  <si>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</si>
  <si>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</si>
  <si>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</si>
  <si>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</si>
  <si>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</si>
  <si>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</si>
  <si>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</si>
  <si>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</si>
  <si>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</si>
  <si>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</si>
  <si>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</si>
  <si>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</si>
  <si>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</si>
  <si>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</si>
  <si>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</si>
  <si>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</si>
  <si>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</si>
  <si>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</si>
  <si>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</si>
  <si>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</si>
  <si>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</si>
  <si>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</si>
  <si>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</si>
  <si>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</si>
  <si>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</si>
  <si>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</si>
  <si>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</si>
  <si>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</si>
  <si>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</si>
  <si>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</si>
  <si>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</si>
  <si>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</si>
  <si>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</si>
  <si>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</si>
  <si>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</si>
  <si>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</si>
  <si>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</si>
  <si>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</si>
  <si>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</si>
  <si>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</si>
  <si>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</si>
  <si>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</si>
  <si>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</si>
  <si>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</si>
  <si>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</si>
  <si>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</si>
  <si>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</si>
  <si>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</si>
  <si>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</si>
  <si>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</si>
  <si>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</si>
  <si>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</si>
  <si>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</si>
  <si>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</si>
  <si>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</si>
  <si>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</si>
  <si>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</si>
  <si>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</si>
  <si>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</si>
  <si>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</si>
  <si>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</si>
  <si>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</si>
  <si>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</si>
  <si>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</si>
  <si>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</si>
  <si>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</si>
  <si>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</si>
  <si>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</si>
  <si>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</si>
  <si>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</si>
  <si>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</si>
  <si>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</si>
  <si>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</si>
  <si>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</si>
  <si>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</si>
  <si>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</si>
  <si>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</si>
  <si>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</si>
  <si>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</si>
  <si>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</si>
  <si>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</si>
  <si>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</si>
  <si>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</si>
  <si>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</si>
  <si>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</si>
  <si>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</si>
  <si>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</si>
  <si>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</si>
  <si>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</si>
  <si>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</si>
  <si>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</si>
  <si>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</si>
  <si>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</si>
  <si>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</si>
  <si>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</si>
  <si>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</si>
  <si>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</si>
  <si>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</si>
  <si>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</si>
  <si>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</si>
  <si>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</si>
  <si>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</si>
  <si>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</si>
  <si>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</si>
  <si>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</si>
  <si>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</si>
  <si>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</si>
  <si>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</si>
  <si>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</si>
  <si>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</si>
  <si>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</si>
  <si>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</si>
  <si>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</si>
  <si>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</si>
  <si>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</si>
  <si>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</si>
  <si>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</si>
  <si>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</si>
  <si>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</si>
  <si>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</si>
  <si>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</si>
  <si>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</si>
  <si>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</si>
  <si>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</si>
  <si>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</si>
  <si>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</si>
  <si>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</si>
  <si>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</si>
  <si>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</si>
  <si>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</si>
  <si>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</si>
  <si>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</si>
  <si>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</si>
  <si>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</si>
  <si>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</si>
  <si>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</si>
  <si>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</si>
  <si>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</si>
  <si>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</si>
  <si>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</si>
  <si>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</si>
  <si>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</si>
  <si>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</si>
  <si>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</si>
  <si>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</si>
  <si>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</si>
  <si>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</si>
  <si>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</si>
  <si>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</si>
  <si>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</si>
  <si>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</si>
  <si>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</si>
  <si>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</si>
  <si>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</si>
  <si>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</si>
  <si>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</si>
  <si>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</si>
  <si>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</si>
  <si>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</si>
  <si>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</si>
  <si>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</si>
  <si>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</si>
  <si>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</si>
  <si>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</si>
  <si>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</si>
  <si>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</si>
  <si>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</si>
  <si>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</si>
  <si>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</si>
  <si>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</si>
  <si>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</si>
  <si>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</si>
  <si>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</si>
  <si>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</si>
  <si>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</si>
  <si>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</si>
  <si>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</si>
  <si>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</si>
  <si>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</si>
  <si>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</si>
  <si>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</si>
  <si>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</si>
  <si>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</si>
  <si>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</si>
  <si>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</si>
  <si>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</si>
  <si>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</si>
  <si>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</si>
  <si>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</si>
  <si>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</si>
  <si>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</si>
  <si>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</si>
  <si>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</si>
  <si>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</si>
  <si>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</si>
  <si>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</si>
  <si>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</si>
  <si>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</si>
  <si>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</si>
  <si>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</si>
  <si>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</si>
  <si>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</si>
  <si>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</si>
  <si>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</si>
  <si>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</si>
  <si>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</si>
  <si>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</si>
  <si>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</si>
  <si>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</si>
  <si>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</si>
  <si>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</si>
  <si>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</si>
  <si>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</si>
  <si>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</si>
  <si>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</si>
  <si>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</si>
  <si>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</si>
  <si>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</si>
  <si>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</si>
  <si>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</si>
  <si>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</si>
  <si>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</si>
  <si>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</si>
  <si>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</si>
  <si>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</si>
  <si>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</si>
  <si>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</si>
  <si>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</si>
  <si>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</si>
  <si>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</si>
  <si>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</si>
  <si>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</si>
  <si>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</si>
  <si>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</si>
  <si>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</si>
  <si>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</si>
  <si>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</si>
  <si>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</si>
  <si>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</si>
  <si>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</si>
  <si>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</si>
  <si>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</si>
  <si>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</si>
  <si>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</si>
  <si>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</si>
  <si>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</si>
  <si>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</si>
  <si>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</si>
  <si>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</si>
  <si>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</si>
  <si>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</si>
  <si>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</si>
  <si>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</si>
  <si>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</si>
  <si>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</si>
  <si>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</si>
  <si>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</si>
  <si>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</si>
  <si>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</si>
  <si>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</si>
  <si>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</si>
  <si>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</si>
  <si>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</si>
  <si>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</si>
  <si>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</si>
  <si>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</si>
  <si>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</si>
  <si>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</si>
  <si>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</si>
  <si>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</si>
  <si>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</si>
  <si>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</si>
  <si>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</si>
  <si>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</si>
  <si>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</si>
  <si>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</si>
  <si>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</si>
  <si>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</si>
  <si>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</si>
  <si>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</si>
  <si>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</si>
  <si>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</si>
  <si>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</si>
  <si>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</si>
  <si>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</si>
  <si>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</si>
  <si>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</si>
  <si>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</si>
  <si>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</si>
  <si>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</si>
  <si>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</si>
  <si>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</si>
  <si>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</si>
  <si>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</si>
  <si>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</si>
  <si>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</si>
  <si>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</si>
  <si>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</si>
  <si>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</si>
  <si>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</si>
  <si>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</si>
  <si>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</si>
  <si>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</si>
  <si>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</si>
  <si>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</si>
  <si>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</si>
  <si>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</si>
  <si>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</si>
  <si>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</si>
  <si>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</si>
  <si>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</si>
  <si>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</si>
  <si>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</si>
  <si>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</si>
  <si>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</si>
  <si>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</si>
  <si>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</si>
  <si>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</si>
  <si>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</si>
  <si>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</si>
  <si>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</si>
  <si>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</si>
  <si>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</si>
  <si>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</si>
  <si>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</si>
  <si>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</si>
  <si>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</si>
  <si>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</si>
  <si>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</si>
  <si>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</si>
  <si>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</si>
  <si>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</si>
  <si>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</si>
  <si>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</si>
  <si>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</si>
  <si>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</si>
  <si>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</si>
  <si>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</si>
  <si>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</si>
  <si>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</si>
  <si>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</si>
  <si>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</si>
  <si>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</si>
  <si>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</si>
  <si>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</si>
  <si>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</si>
  <si>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</si>
  <si>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</si>
  <si>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</si>
  <si>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</si>
  <si>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</si>
  <si>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</si>
  <si>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</si>
  <si>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</si>
  <si>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</si>
  <si>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</si>
  <si>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</si>
  <si>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</si>
  <si>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</si>
  <si>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</si>
  <si>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</si>
  <si>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</si>
  <si>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</si>
  <si>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</si>
  <si>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</si>
  <si>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</si>
  <si>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</si>
  <si>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</si>
  <si>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</si>
  <si>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</si>
  <si>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</si>
  <si>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</si>
  <si>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</si>
  <si>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</si>
  <si>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</si>
  <si>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</si>
  <si>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</si>
  <si>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</si>
  <si>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</si>
  <si>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</si>
  <si>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</si>
  <si>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</si>
  <si>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</si>
  <si>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</si>
  <si>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</si>
  <si>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</si>
  <si>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</si>
  <si>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</si>
  <si>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</si>
  <si>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</si>
  <si>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</si>
  <si>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</si>
  <si>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</si>
  <si>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</si>
  <si>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</si>
  <si>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</si>
  <si>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</si>
  <si>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</si>
  <si>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</si>
  <si>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</si>
  <si>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</si>
  <si>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</si>
  <si>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</si>
  <si>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</si>
  <si>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</si>
  <si>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</si>
  <si>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</si>
  <si>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</si>
  <si>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</si>
  <si>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</si>
  <si>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</si>
  <si>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</si>
  <si>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</si>
  <si>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</si>
  <si>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</si>
  <si>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</si>
  <si>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</si>
  <si>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</si>
  <si>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</si>
  <si>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</si>
  <si>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</si>
  <si>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</si>
  <si>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</si>
  <si>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</si>
  <si>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</si>
  <si>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</si>
  <si>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</si>
  <si>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</si>
  <si>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</si>
  <si>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</si>
  <si>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</si>
  <si>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</si>
  <si>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</si>
  <si>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</si>
  <si>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</si>
  <si>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</si>
  <si>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</si>
  <si>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</si>
  <si>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</si>
  <si>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</si>
  <si>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</si>
  <si>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</si>
  <si>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</si>
  <si>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</si>
  <si>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</si>
  <si>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</si>
  <si>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</si>
  <si>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</si>
  <si>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</si>
  <si>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</si>
  <si>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</si>
  <si>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</si>
  <si>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</si>
  <si>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</si>
  <si>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</si>
  <si>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</si>
  <si>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</si>
  <si>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</si>
  <si>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</si>
  <si>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</si>
  <si>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</si>
  <si>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</si>
  <si>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</si>
  <si>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</si>
  <si>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</si>
  <si>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</si>
  <si>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</si>
  <si>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</si>
  <si>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</si>
  <si>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</si>
  <si>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</si>
  <si>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</si>
  <si>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</si>
  <si>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</si>
  <si>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</si>
  <si>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</si>
  <si>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</si>
  <si>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</si>
  <si>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</si>
  <si>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</si>
  <si>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</si>
  <si>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</si>
  <si>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</si>
  <si>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</si>
  <si>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</si>
  <si>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</si>
  <si>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</si>
  <si>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</si>
  <si>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</si>
  <si>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</si>
  <si>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</si>
  <si>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</si>
  <si>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</si>
  <si>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</si>
  <si>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</si>
  <si>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</si>
  <si>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</si>
  <si>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</si>
  <si>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</si>
  <si>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</si>
  <si>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</si>
  <si>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</si>
  <si>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</si>
  <si>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</si>
  <si>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</si>
  <si>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</si>
  <si>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</si>
  <si>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</si>
  <si>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</si>
  <si>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</si>
  <si>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</si>
  <si>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</si>
  <si>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</si>
  <si>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</si>
  <si>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</si>
  <si>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</si>
  <si>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</si>
  <si>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</si>
  <si>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</si>
  <si>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</si>
  <si>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</si>
  <si>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</si>
  <si>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</si>
  <si>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</si>
  <si>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</si>
  <si>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</si>
  <si>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</si>
  <si>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</si>
  <si>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</si>
  <si>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</si>
  <si>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</si>
  <si>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</si>
  <si>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</si>
  <si>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</si>
  <si>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</si>
  <si>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</si>
  <si>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</si>
  <si>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</si>
  <si>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</si>
  <si>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</si>
  <si>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</si>
  <si>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</si>
  <si>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</si>
  <si>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</si>
  <si>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</si>
  <si>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</si>
  <si>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</si>
  <si>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</si>
  <si>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</si>
  <si>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</si>
  <si>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</si>
  <si>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</si>
  <si>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</si>
  <si>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</si>
  <si>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</si>
  <si>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</si>
  <si>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</si>
  <si>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</si>
  <si>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</si>
  <si>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</si>
  <si>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</si>
  <si>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</si>
  <si>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</si>
  <si>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</si>
  <si>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</si>
  <si>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</si>
  <si>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</si>
  <si>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</si>
  <si>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</si>
  <si>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</si>
  <si>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</si>
  <si>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</si>
  <si>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</si>
  <si>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</si>
  <si>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</si>
  <si>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</si>
  <si>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</si>
  <si>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</si>
  <si>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</si>
  <si>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</si>
  <si>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</si>
  <si>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</si>
  <si>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</si>
  <si>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</si>
  <si>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</si>
  <si>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</si>
  <si>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</si>
  <si>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</si>
  <si>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</si>
  <si>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</si>
  <si>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</si>
  <si>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</si>
  <si>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</si>
  <si>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</si>
  <si>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</si>
  <si>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</si>
  <si>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</si>
  <si>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</si>
  <si>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</si>
  <si>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</si>
  <si>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</si>
  <si>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</si>
  <si>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</si>
  <si>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</si>
  <si>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</si>
  <si>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</si>
  <si>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</si>
  <si>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</si>
  <si>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</si>
  <si>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</si>
  <si>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</si>
  <si>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</si>
  <si>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</si>
  <si>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</si>
  <si>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</si>
  <si>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</si>
  <si>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</si>
  <si>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</si>
  <si>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</si>
  <si>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</si>
  <si>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</si>
  <si>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</si>
  <si>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</si>
  <si>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</si>
  <si>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</si>
  <si>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</si>
  <si>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</si>
  <si>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</si>
  <si>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</si>
  <si>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</si>
  <si>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</si>
  <si>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</si>
  <si>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</si>
  <si>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</si>
  <si>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</si>
  <si>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</si>
  <si>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</si>
  <si>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</si>
  <si>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</si>
  <si>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</si>
  <si>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</si>
  <si>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</si>
  <si>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</si>
  <si>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</si>
  <si>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</si>
  <si>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</si>
  <si>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</si>
  <si>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</si>
  <si>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</si>
  <si>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</si>
  <si>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</si>
  <si>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</si>
  <si>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</si>
  <si>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</si>
  <si>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</si>
  <si>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</si>
  <si>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</si>
  <si>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</si>
  <si>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</si>
  <si>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</si>
  <si>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</si>
  <si>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</si>
  <si>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</si>
  <si>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</si>
  <si>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</si>
  <si>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</si>
  <si>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</si>
  <si>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</si>
  <si>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</si>
  <si>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</si>
  <si>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</si>
  <si>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</si>
  <si>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</si>
  <si>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</si>
  <si>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</si>
  <si>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</si>
  <si>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</si>
  <si>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</si>
  <si>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</si>
  <si>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</si>
  <si>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</si>
  <si>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</si>
  <si>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</si>
  <si>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</si>
  <si>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</si>
  <si>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</si>
  <si>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</si>
  <si>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</si>
  <si>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</si>
  <si>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</si>
  <si>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</si>
  <si>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</si>
  <si>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</si>
  <si>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</si>
  <si>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</si>
  <si>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</si>
  <si>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</si>
  <si>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</si>
  <si>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</si>
  <si>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</si>
  <si>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</si>
  <si>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</si>
  <si>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</si>
  <si>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</si>
  <si>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</si>
  <si>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</si>
  <si>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</si>
  <si>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</si>
  <si>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</si>
  <si>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</si>
  <si>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</si>
  <si>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</si>
  <si>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</si>
  <si>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</si>
  <si>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</si>
  <si>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</si>
  <si>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</si>
  <si>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</si>
  <si>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</si>
  <si>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</si>
  <si>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</si>
  <si>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</si>
  <si>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</si>
  <si>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</si>
  <si>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</si>
  <si>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</si>
  <si>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</si>
  <si>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</si>
  <si>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</si>
  <si>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</si>
  <si>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</si>
  <si>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</si>
  <si>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</si>
  <si>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</si>
  <si>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</si>
  <si>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</si>
  <si>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</si>
  <si>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</si>
  <si>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</si>
  <si>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</si>
  <si>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</si>
  <si>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</si>
  <si>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</si>
  <si>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</si>
  <si>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</si>
  <si>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</si>
  <si>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</si>
  <si>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</si>
  <si>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</si>
  <si>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</si>
  <si>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</si>
  <si>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</si>
  <si>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</si>
  <si>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</si>
  <si>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</si>
  <si>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</si>
  <si>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</si>
  <si>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</si>
  <si>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</si>
  <si>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</si>
  <si>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</si>
  <si>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</si>
  <si>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</si>
  <si>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</si>
  <si>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</si>
  <si>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</si>
  <si>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</si>
  <si>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</si>
  <si>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</si>
  <si>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</si>
  <si>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</si>
  <si>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</si>
  <si>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</si>
  <si>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</si>
  <si>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</si>
  <si>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</si>
  <si>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</si>
  <si>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</si>
  <si>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</si>
  <si>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</si>
  <si>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</si>
  <si>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</si>
  <si>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</si>
  <si>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</si>
  <si>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</si>
  <si>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</si>
  <si>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</si>
  <si>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</si>
  <si>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</si>
  <si>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</si>
  <si>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</si>
  <si>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</si>
  <si>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</si>
  <si>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</si>
  <si>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</si>
  <si>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</si>
  <si>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</si>
  <si>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</si>
  <si>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</si>
  <si>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</si>
  <si>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</si>
  <si>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</si>
  <si>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</si>
  <si>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</si>
  <si>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</si>
  <si>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</si>
  <si>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</si>
  <si>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</si>
  <si>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</si>
  <si>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</si>
  <si>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</si>
  <si>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</si>
  <si>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</si>
  <si>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</si>
  <si>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</si>
  <si>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</si>
  <si>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</si>
  <si>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</si>
  <si>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</si>
  <si>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</si>
  <si>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</si>
  <si>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</si>
  <si>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</si>
  <si>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</si>
  <si>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</si>
  <si>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</si>
  <si>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</si>
  <si>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</si>
  <si>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</si>
  <si>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</si>
  <si>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</si>
  <si>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</si>
  <si>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</si>
  <si>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</si>
  <si>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</si>
  <si>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</si>
  <si>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</si>
  <si>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</si>
  <si>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</si>
  <si>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</si>
  <si>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</si>
  <si>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</si>
  <si>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</si>
  <si>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</si>
  <si>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</si>
  <si>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</si>
  <si>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</si>
  <si>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</si>
  <si>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</si>
  <si>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</si>
  <si>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</si>
  <si>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</si>
  <si>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</si>
  <si>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</si>
  <si>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</si>
  <si>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</si>
  <si>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</si>
  <si>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</si>
  <si>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</si>
  <si>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</si>
  <si>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</si>
  <si>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</si>
  <si>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</si>
  <si>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</si>
  <si>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</si>
  <si>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</si>
  <si>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</si>
  <si>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</si>
  <si>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</si>
  <si>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</si>
  <si>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</si>
  <si>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</si>
  <si>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</si>
  <si>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</si>
  <si>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</si>
  <si>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</si>
  <si>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</si>
  <si>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</si>
  <si>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</si>
  <si>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</si>
  <si>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</si>
  <si>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</si>
  <si>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</si>
  <si>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</si>
  <si>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</si>
  <si>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</si>
  <si>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</si>
  <si>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</si>
  <si>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</si>
  <si>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</si>
  <si>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</si>
  <si>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</si>
  <si>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</si>
  <si>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</si>
  <si>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</si>
  <si>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</si>
  <si>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</si>
  <si>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</si>
  <si>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</si>
  <si>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</si>
  <si>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</si>
  <si>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</si>
  <si>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</si>
  <si>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</si>
  <si>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</si>
  <si>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</si>
  <si>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</si>
  <si>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</si>
  <si>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</si>
  <si>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</si>
  <si>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</si>
  <si>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</si>
  <si>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</si>
  <si>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</si>
  <si>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</si>
  <si>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</si>
  <si>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</si>
  <si>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</si>
  <si>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</si>
  <si>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</si>
  <si>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</si>
  <si>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</si>
  <si>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</si>
  <si>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</si>
  <si>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</si>
  <si>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</si>
  <si>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</si>
  <si>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</si>
  <si>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</si>
  <si>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</si>
  <si>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</si>
  <si>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</si>
  <si>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</si>
  <si>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</si>
  <si>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</si>
  <si>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</si>
  <si>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</si>
  <si>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</si>
  <si>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</si>
  <si>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</si>
  <si>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</si>
  <si>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</si>
  <si>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</si>
  <si>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</si>
  <si>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</si>
  <si>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</si>
  <si>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</si>
  <si>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</si>
  <si>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</si>
  <si>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</si>
  <si>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</si>
  <si>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</si>
  <si>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</si>
  <si>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</si>
  <si>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</si>
  <si>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</si>
  <si>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</si>
  <si>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</si>
  <si>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</si>
  <si>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</si>
  <si>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</si>
  <si>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</si>
  <si>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</si>
  <si>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</si>
  <si>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</si>
  <si>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</si>
  <si>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</si>
  <si>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</si>
  <si>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</si>
  <si>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</si>
  <si>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</si>
  <si>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</si>
  <si>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</si>
  <si>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</si>
  <si>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</si>
  <si>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</si>
  <si>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</si>
  <si>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</si>
  <si>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</si>
  <si>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</si>
  <si>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</si>
  <si>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</si>
  <si>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</si>
  <si>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</si>
  <si>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</si>
  <si>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</si>
  <si>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</si>
  <si>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</si>
  <si>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</si>
  <si>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</si>
  <si>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</si>
  <si>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</si>
  <si>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</si>
  <si>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</si>
  <si>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</si>
  <si>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</si>
  <si>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</si>
  <si>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</si>
  <si>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</si>
  <si>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</si>
  <si>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</si>
  <si>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</si>
  <si>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</si>
  <si>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</si>
  <si>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</si>
  <si>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</si>
  <si>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</si>
  <si>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</si>
  <si>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</si>
  <si>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</si>
  <si>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</si>
  <si>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</si>
  <si>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</si>
  <si>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</si>
  <si>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</si>
  <si>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</si>
  <si>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</si>
  <si>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</si>
  <si>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</si>
  <si>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</si>
  <si>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</si>
  <si>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</si>
  <si>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</si>
  <si>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</si>
  <si>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</si>
  <si>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</si>
  <si>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</si>
  <si>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</si>
  <si>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</si>
  <si>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</si>
  <si>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</si>
  <si>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</si>
  <si>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</si>
  <si>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</si>
  <si>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</si>
  <si>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</si>
  <si>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</si>
  <si>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</si>
  <si>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</si>
  <si>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</si>
  <si>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</si>
  <si>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</si>
  <si>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</si>
  <si>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</si>
  <si>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</si>
  <si>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</si>
  <si>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</si>
  <si>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</si>
  <si>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</si>
  <si>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</si>
  <si>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</si>
  <si>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</si>
  <si>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</si>
  <si>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</si>
  <si>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</si>
  <si>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</si>
  <si>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</si>
  <si>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</si>
  <si>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</si>
  <si>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</si>
  <si>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</si>
  <si>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</si>
  <si>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</si>
  <si>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</si>
  <si>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</si>
  <si>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</si>
  <si>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</si>
  <si>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</si>
  <si>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</si>
  <si>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</si>
  <si>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</si>
  <si>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</si>
  <si>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</si>
  <si>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</si>
  <si>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</si>
  <si>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</si>
  <si>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</si>
  <si>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</si>
  <si>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</si>
  <si>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</si>
  <si>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</si>
  <si>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</si>
  <si>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</si>
  <si>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</si>
  <si>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</si>
  <si>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</si>
  <si>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</si>
  <si>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</si>
  <si>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</si>
  <si>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</si>
  <si>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</si>
  <si>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</si>
  <si>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</si>
  <si>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</si>
  <si>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</si>
  <si>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</si>
  <si>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</si>
  <si>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</si>
  <si>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</si>
  <si>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</si>
  <si>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</si>
  <si>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</si>
  <si>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</si>
  <si>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</si>
  <si>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</si>
  <si>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</si>
  <si>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</si>
  <si>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</si>
  <si>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</si>
  <si>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</si>
  <si>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</si>
  <si>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</si>
  <si>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</si>
  <si>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</si>
  <si>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</si>
  <si>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</si>
  <si>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</si>
  <si>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</si>
  <si>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</si>
  <si>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</si>
  <si>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</si>
  <si>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</si>
  <si>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</si>
  <si>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</si>
  <si>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</si>
  <si>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</si>
  <si>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</si>
  <si>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</si>
  <si>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</si>
  <si>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</si>
  <si>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</si>
  <si>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</si>
  <si>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</si>
  <si>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</si>
  <si>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</si>
  <si>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</si>
  <si>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</si>
  <si>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</si>
  <si>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</si>
  <si>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</si>
  <si>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</si>
  <si>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</si>
  <si>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</si>
  <si>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</si>
  <si>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</si>
  <si>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</si>
  <si>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</si>
  <si>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</si>
  <si>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</si>
  <si>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</si>
  <si>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</si>
  <si>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</si>
  <si>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</si>
  <si>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</si>
  <si>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</si>
  <si>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</si>
  <si>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</si>
  <si>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</si>
  <si>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</si>
  <si>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</si>
  <si>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</si>
  <si>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</si>
  <si>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</si>
  <si>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</si>
  <si>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</si>
  <si>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</si>
  <si>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</si>
  <si>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</si>
  <si>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</si>
  <si>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</si>
  <si>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</si>
  <si>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</si>
  <si>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</si>
  <si>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</si>
  <si>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</si>
  <si>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</si>
  <si>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</si>
  <si>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</si>
  <si>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</si>
  <si>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</si>
  <si>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</si>
  <si>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</si>
  <si>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</si>
  <si>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</si>
  <si>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</si>
  <si>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</si>
  <si>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</si>
  <si>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</si>
  <si>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</si>
  <si>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</si>
  <si>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</si>
  <si>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</si>
  <si>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</si>
  <si>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</si>
  <si>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</si>
  <si>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</si>
  <si>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</si>
  <si>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</si>
  <si>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</si>
  <si>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</si>
  <si>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</si>
  <si>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</si>
  <si>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</si>
  <si>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</si>
  <si>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</si>
  <si>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</si>
  <si>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</si>
  <si>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</si>
  <si>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</si>
  <si>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</si>
  <si>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</si>
  <si>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</si>
  <si>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</si>
  <si>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</si>
  <si>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</si>
  <si>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</si>
  <si>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</si>
  <si>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</si>
  <si>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</si>
  <si>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</si>
  <si>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</si>
  <si>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</si>
  <si>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</si>
  <si>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</si>
  <si>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</si>
  <si>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</si>
  <si>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</si>
  <si>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</si>
  <si>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</si>
  <si>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</si>
  <si>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</si>
  <si>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</si>
  <si>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</si>
  <si>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</si>
  <si>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</si>
  <si>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</si>
  <si>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</si>
  <si>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</si>
  <si>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</si>
  <si>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</si>
  <si>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</si>
  <si>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</si>
  <si>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</si>
  <si>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</si>
  <si>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</si>
  <si>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</si>
  <si>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</si>
  <si>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</si>
  <si>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</si>
  <si>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</si>
  <si>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</si>
  <si>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</si>
  <si>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</si>
  <si>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</si>
  <si>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</si>
  <si>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</si>
  <si>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</si>
  <si>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</si>
  <si>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</si>
  <si>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</si>
  <si>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</si>
  <si>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</si>
  <si>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</si>
  <si>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</si>
  <si>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</si>
  <si>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</si>
  <si>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</si>
  <si>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</si>
  <si>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</si>
  <si>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</si>
  <si>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</si>
  <si>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</si>
  <si>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</si>
  <si>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</si>
  <si>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</si>
  <si>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</si>
  <si>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</si>
  <si>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</si>
  <si>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</si>
  <si>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</si>
  <si>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</si>
  <si>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</si>
  <si>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</si>
  <si>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</si>
  <si>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</si>
  <si>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</si>
  <si>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</si>
  <si>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</si>
  <si>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</si>
  <si>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</si>
  <si>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</si>
  <si>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</si>
  <si>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</si>
  <si>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</si>
  <si>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</si>
  <si>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</si>
  <si>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</si>
  <si>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</si>
  <si>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</si>
  <si>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</si>
  <si>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</si>
  <si>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</si>
  <si>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</si>
  <si>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</si>
  <si>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</si>
  <si>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</si>
  <si>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</si>
  <si>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</si>
  <si>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</si>
  <si>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</si>
  <si>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</si>
  <si>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</si>
  <si>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</si>
  <si>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</si>
  <si>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</si>
  <si>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</si>
  <si>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</si>
  <si>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</si>
  <si>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</si>
  <si>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</si>
  <si>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</si>
  <si>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</si>
  <si>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</si>
  <si>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</si>
  <si>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</si>
  <si>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</si>
  <si>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</si>
  <si>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</si>
  <si>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</si>
  <si>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</si>
  <si>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</si>
  <si>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</si>
  <si>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</si>
  <si>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</si>
  <si>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</si>
  <si>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</si>
  <si>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</si>
  <si>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</si>
  <si>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</si>
  <si>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</si>
  <si>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</si>
  <si>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</si>
  <si>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</si>
  <si>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</si>
  <si>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</si>
  <si>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</si>
  <si>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</si>
  <si>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</si>
  <si>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</si>
  <si>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</si>
  <si>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</si>
  <si>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</si>
  <si>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</si>
  <si>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</si>
  <si>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</si>
  <si>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</si>
  <si>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</si>
  <si>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</si>
  <si>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</si>
  <si>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</si>
  <si>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</si>
  <si>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</si>
  <si>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</si>
  <si>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</si>
  <si>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</si>
  <si>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</si>
  <si>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</si>
  <si>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</si>
  <si>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</si>
  <si>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</si>
  <si>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</si>
  <si>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</si>
  <si>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</si>
  <si>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</si>
  <si>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</si>
  <si>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</si>
  <si>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</si>
  <si>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</si>
  <si>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</si>
  <si>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</si>
  <si>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</si>
  <si>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</si>
  <si>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</si>
  <si>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</si>
  <si>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</si>
  <si>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</si>
  <si>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</si>
  <si>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</si>
  <si>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</si>
  <si>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</si>
  <si>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</si>
  <si>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</si>
  <si>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</si>
  <si>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</si>
  <si>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</si>
  <si>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</si>
  <si>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</si>
  <si>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</si>
  <si>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</si>
  <si>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</si>
  <si>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</si>
  <si>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</si>
  <si>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</si>
  <si>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</si>
  <si>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</si>
  <si>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</si>
  <si>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</si>
  <si>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</si>
  <si>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</si>
  <si>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</si>
  <si>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</si>
  <si>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</si>
  <si>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</si>
  <si>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</si>
  <si>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</si>
  <si>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</si>
  <si>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</si>
  <si>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</si>
  <si>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</si>
  <si>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</si>
  <si>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</si>
  <si>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</si>
  <si>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</si>
  <si>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</si>
  <si>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</si>
  <si>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</si>
  <si>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</si>
  <si>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</si>
  <si>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</si>
  <si>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</si>
  <si>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</si>
  <si>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</si>
  <si>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</si>
  <si>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</si>
  <si>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</si>
  <si>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</si>
  <si>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</si>
  <si>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</si>
  <si>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</si>
  <si>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</si>
  <si>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</si>
  <si>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</si>
  <si>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</si>
  <si>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</si>
  <si>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</si>
  <si>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</si>
  <si>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</si>
  <si>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</si>
  <si>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</si>
  <si>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</si>
  <si>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</si>
  <si>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</si>
  <si>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</si>
  <si>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</si>
  <si>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</si>
  <si>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</si>
  <si>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</si>
  <si>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</si>
  <si>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</si>
  <si>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</si>
  <si>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</si>
  <si>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</si>
  <si>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</si>
  <si>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</si>
  <si>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</si>
  <si>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</si>
  <si>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</si>
  <si>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</si>
  <si>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</si>
  <si>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</si>
  <si>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</si>
  <si>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</si>
  <si>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</si>
  <si>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</si>
  <si>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</si>
  <si>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</si>
  <si>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</si>
  <si>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</si>
  <si>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</si>
  <si>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</si>
  <si>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</si>
  <si>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</si>
  <si>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</si>
  <si>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</si>
  <si>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</si>
  <si>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</si>
  <si>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</si>
  <si>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</si>
  <si>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</si>
  <si>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</si>
  <si>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</si>
  <si>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</si>
  <si>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</si>
  <si>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</si>
  <si>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</si>
  <si>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</si>
  <si>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</si>
  <si>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</si>
  <si>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</si>
  <si>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</si>
  <si>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</si>
  <si>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</si>
  <si>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</si>
  <si>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</si>
  <si>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</si>
  <si>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</si>
  <si>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</si>
  <si>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</si>
  <si>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</si>
  <si>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</si>
  <si>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</si>
  <si>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</si>
  <si>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</si>
  <si>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</si>
  <si>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</si>
  <si>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</si>
  <si>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</si>
  <si>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</si>
  <si>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</si>
  <si>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</si>
  <si>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</si>
  <si>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</si>
  <si>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</si>
  <si>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</si>
  <si>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</si>
  <si>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</si>
  <si>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</si>
  <si>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</si>
  <si>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</si>
  <si>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</si>
  <si>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</si>
  <si>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</si>
  <si>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</si>
  <si>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</si>
  <si>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</si>
  <si>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</si>
  <si>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</si>
  <si>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</si>
  <si>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</si>
  <si>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</si>
  <si>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</si>
  <si>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</si>
  <si>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</si>
  <si>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</si>
  <si>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</si>
  <si>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</si>
  <si>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</si>
  <si>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</si>
  <si>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</si>
  <si>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</si>
  <si>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</si>
  <si>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</si>
  <si>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</si>
  <si>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</si>
  <si>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</si>
  <si>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</si>
  <si>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</si>
  <si>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</si>
  <si>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</si>
  <si>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</si>
  <si>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</si>
  <si>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</si>
  <si>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</si>
  <si>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</si>
  <si>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</si>
  <si>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</si>
  <si>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</si>
  <si>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</si>
  <si>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</si>
  <si>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</si>
  <si>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</si>
  <si>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</si>
  <si>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</si>
  <si>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</si>
  <si>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</si>
  <si>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</si>
  <si>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</si>
  <si>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</si>
  <si>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</si>
  <si>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</si>
  <si>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</si>
  <si>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</si>
  <si>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</si>
  <si>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</si>
  <si>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</si>
  <si>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</si>
  <si>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</si>
  <si>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</si>
  <si>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</si>
  <si>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</si>
  <si>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</si>
  <si>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</si>
  <si>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</si>
  <si>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</si>
  <si>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</si>
  <si>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</si>
  <si>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</si>
  <si>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</si>
  <si>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</si>
  <si>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</si>
  <si>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</si>
  <si>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</si>
  <si>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</si>
  <si>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</si>
  <si>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</si>
  <si>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</si>
  <si>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</si>
  <si>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</si>
  <si>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</si>
  <si>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</si>
  <si>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</si>
  <si>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</si>
  <si>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</si>
  <si>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</si>
  <si>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</si>
  <si>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</si>
  <si>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</si>
  <si>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</si>
  <si>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</si>
  <si>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</si>
  <si>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</si>
  <si>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</si>
  <si>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</si>
  <si>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</si>
  <si>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</si>
  <si>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</si>
  <si>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</si>
  <si>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</si>
  <si>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</si>
  <si>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</si>
  <si>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</si>
  <si>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</si>
  <si>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</si>
  <si>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</si>
  <si>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</si>
  <si>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</si>
  <si>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</si>
  <si>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</si>
  <si>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</si>
  <si>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</si>
  <si>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</si>
  <si>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</si>
  <si>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</si>
  <si>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</si>
  <si>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</si>
  <si>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</si>
  <si>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</si>
  <si>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</si>
  <si>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</si>
  <si>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</si>
  <si>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</si>
  <si>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</si>
  <si>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</si>
  <si>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</si>
  <si>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</si>
  <si>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</si>
  <si>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</si>
  <si>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</si>
  <si>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</si>
  <si>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</si>
  <si>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</si>
  <si>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</si>
  <si>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</si>
  <si>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</si>
  <si>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</si>
  <si>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</si>
  <si>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</si>
  <si>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</si>
  <si>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</si>
  <si>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</si>
  <si>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</si>
  <si>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</si>
  <si>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</si>
  <si>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</si>
  <si>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</si>
  <si>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</si>
  <si>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</si>
  <si>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</si>
  <si>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</si>
  <si>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</si>
  <si>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</si>
  <si>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</si>
  <si>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</si>
  <si>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</si>
  <si>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</si>
  <si>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</si>
  <si>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</si>
  <si>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</si>
  <si>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</si>
  <si>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</si>
  <si>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</si>
  <si>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</si>
  <si>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</si>
  <si>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</si>
  <si>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</si>
  <si>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</si>
  <si>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</si>
  <si>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</si>
  <si>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</si>
  <si>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</si>
  <si>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</si>
  <si>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</si>
  <si>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</si>
  <si>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</si>
  <si>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</si>
  <si>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</si>
  <si>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</si>
  <si>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</si>
  <si>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</si>
  <si>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</si>
  <si>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</si>
  <si>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</si>
  <si>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</si>
  <si>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</si>
  <si>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</si>
  <si>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</si>
  <si>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</si>
  <si>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</si>
  <si>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</si>
  <si>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</si>
  <si>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</si>
  <si>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</si>
  <si>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</si>
  <si>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</si>
  <si>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</si>
  <si>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</si>
  <si>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</si>
  <si>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</si>
  <si>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</si>
  <si>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</si>
  <si>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</si>
  <si>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</si>
  <si>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</si>
  <si>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</si>
  <si>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</si>
  <si>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</si>
  <si>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</si>
  <si>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</si>
  <si>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</si>
  <si>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</si>
  <si>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</si>
  <si>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</si>
  <si>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</si>
  <si>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</si>
  <si>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</si>
  <si>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</si>
  <si>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</si>
  <si>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</si>
  <si>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</si>
  <si>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</si>
  <si>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</si>
  <si>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</si>
  <si>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</si>
  <si>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</si>
  <si>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</si>
  <si>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</si>
  <si>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</si>
  <si>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</si>
  <si>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</si>
  <si>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</si>
  <si>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</si>
  <si>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</si>
  <si>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</si>
  <si>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</si>
  <si>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</si>
  <si>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</si>
  <si>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</si>
  <si>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</si>
  <si>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</si>
  <si>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</si>
  <si>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</si>
  <si>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</si>
  <si>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</si>
  <si>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</si>
  <si>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</si>
  <si>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</si>
  <si>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</si>
  <si>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</si>
  <si>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</si>
  <si>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</si>
  <si>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</si>
  <si>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</si>
  <si>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</si>
  <si>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</si>
  <si>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</si>
  <si>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</si>
  <si>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</si>
  <si>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</si>
  <si>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</si>
  <si>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</si>
  <si>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</si>
  <si>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</si>
  <si>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</si>
  <si>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</si>
  <si>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</si>
  <si>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</si>
  <si>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</si>
  <si>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</si>
  <si>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</si>
  <si>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</si>
  <si>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</si>
  <si>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</si>
  <si>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</si>
  <si>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</si>
  <si>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</si>
  <si>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</si>
  <si>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</si>
  <si>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</si>
  <si>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</si>
  <si>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</si>
  <si>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</si>
  <si>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</si>
  <si>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</si>
  <si>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</si>
  <si>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</si>
  <si>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</si>
  <si>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</si>
  <si>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</si>
  <si>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</si>
  <si>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</si>
  <si>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</si>
  <si>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</si>
  <si>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</si>
  <si>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</si>
  <si>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</si>
  <si>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</si>
  <si>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</si>
  <si>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</si>
  <si>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</si>
  <si>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</si>
  <si>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</si>
  <si>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</si>
  <si>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</si>
  <si>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</si>
  <si>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</si>
  <si>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</si>
  <si>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</si>
  <si>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</si>
  <si>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</si>
  <si>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</si>
  <si>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</si>
  <si>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</si>
  <si>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</si>
  <si>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</si>
  <si>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</si>
  <si>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</si>
  <si>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</si>
  <si>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</si>
  <si>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</si>
  <si>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</si>
  <si>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</si>
  <si>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</si>
  <si>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</si>
  <si>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</si>
  <si>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</si>
  <si>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</si>
  <si>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</si>
  <si>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</si>
  <si>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</si>
  <si>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</si>
  <si>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</si>
  <si>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</si>
  <si>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</si>
  <si>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</si>
  <si>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</si>
  <si>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</si>
  <si>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</si>
  <si>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</si>
  <si>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</si>
  <si>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</si>
  <si>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</si>
  <si>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</si>
  <si>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</si>
  <si>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</si>
  <si>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</si>
  <si>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</si>
  <si>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</si>
  <si>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</si>
  <si>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</si>
  <si>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</si>
  <si>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</si>
  <si>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</si>
  <si>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</si>
  <si>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</si>
  <si>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</si>
  <si>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</si>
  <si>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</si>
  <si>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</si>
  <si>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</si>
  <si>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</si>
  <si>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</si>
  <si>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</si>
  <si>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</si>
  <si>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</si>
  <si>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</si>
  <si>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</si>
  <si>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</si>
  <si>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</si>
  <si>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</si>
  <si>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</si>
  <si>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</si>
  <si>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</si>
  <si>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</si>
  <si>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</si>
  <si>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</si>
  <si>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</si>
  <si>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</si>
  <si>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</si>
  <si>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</si>
  <si>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</si>
  <si>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</si>
  <si>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</si>
  <si>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</si>
  <si>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</si>
  <si>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</si>
  <si>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</si>
  <si>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</si>
  <si>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</si>
  <si>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</si>
  <si>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</si>
  <si>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</si>
  <si>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</si>
  <si>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</si>
  <si>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</si>
  <si>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</si>
  <si>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</si>
  <si>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</si>
  <si>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</si>
  <si>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</si>
  <si>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</si>
  <si>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</si>
  <si>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</si>
  <si>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</si>
  <si>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</si>
  <si>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</si>
  <si>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</si>
  <si>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</si>
  <si>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</si>
  <si>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</si>
  <si>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</si>
  <si>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</si>
  <si>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</si>
  <si>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</si>
  <si>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</si>
  <si>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</si>
  <si>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</si>
  <si>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</si>
  <si>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</si>
  <si>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</si>
  <si>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</si>
  <si>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</si>
  <si>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</si>
  <si>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</si>
  <si>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</si>
  <si>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</si>
  <si>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</si>
  <si>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</si>
  <si>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</si>
  <si>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</si>
  <si>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</si>
  <si>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</si>
  <si>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</si>
  <si>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</si>
  <si>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</si>
  <si>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</si>
  <si>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</si>
  <si>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</si>
  <si>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</si>
  <si>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</si>
  <si>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</si>
  <si>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</si>
  <si>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</si>
  <si>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</si>
  <si>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</si>
  <si>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</si>
  <si>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</si>
  <si>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</si>
  <si>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</si>
  <si>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</si>
  <si>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</si>
  <si>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</si>
  <si>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</si>
  <si>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</si>
  <si>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</si>
  <si>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</si>
  <si>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</si>
  <si>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</si>
  <si>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</si>
  <si>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</si>
  <si>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</si>
  <si>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</si>
  <si>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</si>
  <si>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</si>
  <si>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</si>
  <si>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</si>
  <si>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</si>
  <si>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</si>
  <si>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</si>
  <si>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</si>
  <si>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</si>
  <si>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</si>
  <si>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</si>
  <si>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</si>
  <si>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</si>
  <si>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</si>
  <si>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</si>
  <si>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</si>
  <si>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</si>
  <si>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</si>
  <si>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</si>
  <si>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</si>
  <si>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</si>
  <si>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</si>
  <si>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</si>
  <si>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</si>
  <si>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</si>
  <si>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</si>
  <si>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</si>
  <si>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</si>
  <si>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</si>
  <si>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</si>
  <si>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</si>
  <si>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</si>
  <si>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</si>
  <si>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</si>
  <si>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</si>
  <si>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</si>
  <si>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</si>
  <si>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</si>
  <si>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</si>
  <si>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</si>
  <si>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</si>
  <si>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</si>
  <si>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</si>
  <si>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</si>
  <si>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</si>
  <si>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</si>
  <si>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</si>
  <si>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</si>
  <si>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</si>
  <si>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</si>
  <si>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</si>
  <si>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</si>
  <si>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</si>
  <si>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</si>
  <si>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</si>
  <si>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</si>
  <si>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</si>
  <si>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</si>
  <si>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</si>
  <si>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</si>
  <si>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</si>
  <si>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</si>
  <si>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</si>
  <si>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</si>
  <si>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</si>
  <si>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</si>
  <si>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</si>
  <si>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</si>
  <si>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</si>
  <si>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</si>
  <si>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</si>
  <si>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</si>
  <si>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</si>
  <si>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</si>
  <si>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</si>
  <si>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</si>
  <si>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</si>
  <si>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</si>
  <si>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</si>
  <si>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</si>
  <si>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</si>
  <si>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</si>
  <si>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</si>
  <si>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</si>
  <si>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</si>
  <si>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</si>
  <si>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</si>
  <si>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</si>
  <si>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</si>
  <si>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</si>
  <si>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</si>
  <si>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</si>
  <si>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</si>
  <si>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</si>
  <si>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</si>
  <si>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</si>
  <si>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</si>
  <si>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</si>
  <si>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</si>
  <si>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</si>
  <si>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</si>
  <si>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</si>
  <si>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</si>
  <si>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</si>
  <si>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</si>
  <si>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</si>
  <si>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</si>
  <si>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</si>
  <si>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</si>
  <si>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</si>
  <si>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</si>
  <si>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</si>
  <si>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</si>
  <si>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</si>
  <si>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</si>
  <si>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</si>
  <si>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</si>
  <si>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</si>
  <si>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</si>
  <si>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</si>
  <si>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</si>
  <si>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</si>
  <si>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</si>
  <si>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</si>
  <si>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</si>
  <si>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</si>
  <si>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</si>
  <si>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</si>
  <si>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</si>
  <si>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</si>
  <si>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</si>
  <si>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</si>
  <si>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</si>
  <si>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</si>
  <si>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</si>
  <si>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</si>
  <si>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</si>
  <si>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</si>
  <si>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</si>
  <si>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</si>
  <si>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</si>
  <si>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</si>
  <si>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</si>
  <si>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</si>
  <si>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</si>
  <si>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</si>
  <si>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</si>
  <si>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</si>
  <si>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</si>
  <si>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</si>
  <si>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</si>
  <si>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</si>
  <si>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</si>
  <si>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</si>
  <si>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</si>
  <si>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</si>
  <si>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</si>
  <si>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</si>
  <si>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</si>
  <si>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</si>
  <si>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</si>
  <si>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</si>
  <si>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</si>
  <si>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</si>
  <si>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</si>
  <si>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</si>
  <si>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</si>
  <si>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</si>
  <si>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</si>
  <si>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</si>
  <si>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</si>
  <si>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</si>
  <si>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</si>
  <si>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</si>
  <si>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</si>
  <si>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</si>
  <si>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</si>
  <si>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</si>
  <si>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</si>
  <si>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</si>
  <si>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</si>
  <si>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</si>
  <si>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</si>
  <si>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</si>
  <si>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</si>
  <si>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</si>
  <si>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</si>
  <si>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</si>
  <si>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</si>
  <si>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</si>
  <si>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</si>
  <si>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</si>
  <si>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</si>
  <si>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</si>
  <si>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</si>
  <si>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</si>
  <si>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</si>
  <si>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</si>
  <si>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</si>
  <si>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</si>
  <si>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</si>
  <si>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</si>
  <si>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</si>
  <si>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</si>
  <si>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</si>
  <si>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</si>
  <si>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</si>
  <si>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</si>
  <si>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</si>
  <si>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</si>
  <si>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</si>
  <si>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</si>
  <si>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</si>
  <si>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</si>
  <si>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</si>
  <si>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</si>
  <si>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</si>
  <si>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</si>
  <si>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</si>
  <si>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</si>
  <si>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</si>
  <si>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</si>
  <si>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</si>
  <si>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</si>
  <si>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</si>
  <si>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</si>
  <si>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</si>
  <si>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</si>
  <si>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</si>
  <si>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</si>
  <si>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</si>
  <si>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</si>
  <si>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</si>
  <si>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</si>
  <si>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</si>
  <si>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</si>
  <si>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</si>
  <si>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</si>
  <si>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</si>
  <si>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</si>
  <si>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</si>
  <si>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</si>
  <si>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</si>
  <si>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</si>
  <si>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</si>
  <si>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</si>
  <si>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</si>
  <si>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</si>
  <si>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</si>
  <si>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</si>
  <si>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</si>
  <si>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</si>
  <si>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</si>
  <si>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</si>
  <si>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</si>
  <si>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</si>
  <si>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</si>
  <si>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</si>
  <si>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</si>
  <si>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</si>
  <si>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</si>
  <si>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</si>
  <si>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</si>
  <si>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</si>
  <si>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</si>
  <si>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</si>
  <si>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</si>
  <si>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</si>
  <si>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</si>
  <si>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</si>
  <si>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</si>
  <si>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</si>
  <si>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</si>
  <si>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</si>
  <si>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</si>
  <si>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</si>
  <si>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</si>
  <si>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</si>
  <si>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</si>
  <si>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</si>
  <si>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</si>
  <si>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</si>
  <si>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</si>
  <si>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</si>
  <si>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</si>
  <si>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</si>
  <si>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</si>
  <si>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</si>
  <si>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</si>
  <si>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</si>
  <si>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</si>
  <si>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</si>
  <si>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</si>
  <si>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</si>
  <si>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</si>
  <si>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</si>
  <si>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</si>
  <si>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</si>
  <si>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</si>
  <si>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</si>
  <si>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</si>
  <si>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</si>
  <si>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</si>
  <si>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</si>
  <si>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</si>
  <si>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</si>
  <si>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</si>
  <si>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</si>
  <si>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</si>
  <si>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</si>
  <si>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</si>
  <si>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</si>
  <si>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</si>
  <si>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</si>
  <si>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</si>
  <si>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</si>
  <si>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</si>
  <si>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</si>
  <si>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</si>
  <si>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</si>
  <si>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</si>
  <si>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</si>
  <si>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</si>
  <si>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</si>
  <si>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</si>
  <si>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</si>
  <si>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</si>
  <si>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</si>
  <si>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</si>
  <si>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</si>
  <si>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</si>
  <si>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</si>
  <si>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</si>
  <si>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</si>
  <si>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</si>
  <si>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</si>
  <si>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</si>
  <si>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</si>
  <si>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</si>
  <si>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</si>
  <si>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</si>
  <si>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</si>
  <si>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</si>
  <si>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</si>
  <si>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</si>
  <si>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</si>
  <si>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</si>
  <si>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</si>
  <si>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</si>
  <si>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</si>
  <si>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</si>
  <si>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</si>
  <si>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</si>
  <si>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</si>
  <si>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</si>
  <si>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</si>
  <si>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</si>
  <si>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</si>
  <si>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</si>
  <si>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</si>
  <si>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</si>
  <si>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</si>
  <si>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</si>
  <si>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</si>
  <si>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</si>
  <si>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</si>
  <si>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</si>
  <si>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</si>
  <si>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</si>
  <si>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</si>
  <si>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</si>
  <si>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</si>
  <si>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</si>
  <si>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</si>
  <si>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</si>
  <si>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</si>
  <si>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</si>
  <si>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</si>
  <si>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</si>
  <si>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</si>
  <si>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</si>
  <si>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</si>
  <si>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</si>
  <si>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</si>
  <si>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</si>
  <si>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</si>
  <si>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</si>
  <si>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</si>
  <si>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</si>
  <si>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</si>
  <si>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</si>
  <si>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</si>
  <si>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</si>
  <si>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</si>
  <si>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</si>
  <si>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</si>
  <si>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</si>
  <si>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</si>
  <si>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</si>
  <si>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</si>
  <si>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</si>
  <si>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</si>
  <si>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</si>
  <si>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</si>
  <si>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</si>
  <si>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</si>
  <si>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</si>
  <si>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</si>
  <si>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</si>
  <si>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</si>
  <si>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</si>
  <si>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</si>
  <si>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</si>
  <si>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</si>
  <si>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</si>
  <si>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</si>
  <si>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</si>
  <si>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</si>
  <si>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</si>
  <si>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</si>
  <si>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</si>
  <si>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</si>
  <si>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</si>
  <si>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</si>
  <si>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</si>
  <si>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</si>
  <si>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</si>
  <si>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</si>
  <si>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</si>
  <si>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</si>
  <si>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</si>
  <si>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</si>
  <si>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</si>
  <si>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</si>
  <si>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</si>
  <si>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</si>
  <si>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</si>
  <si>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</si>
  <si>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</si>
  <si>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</si>
  <si>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</si>
  <si>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</si>
  <si>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</si>
  <si>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</si>
  <si>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</si>
  <si>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</si>
  <si>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</si>
  <si>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</si>
  <si>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</si>
  <si>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</si>
  <si>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</si>
  <si>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</si>
  <si>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</si>
  <si>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</si>
  <si>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</si>
  <si>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</si>
  <si>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</si>
  <si>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</si>
  <si>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</si>
  <si>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</si>
  <si>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</si>
  <si>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</si>
  <si>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</si>
  <si>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</si>
  <si>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</si>
  <si>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</si>
  <si>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</si>
  <si>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</si>
  <si>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</si>
  <si>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</si>
  <si>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</si>
  <si>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</si>
  <si>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</si>
  <si>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</si>
  <si>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</si>
  <si>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</si>
  <si>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</si>
  <si>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</si>
  <si>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</si>
  <si>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</si>
  <si>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</si>
  <si>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</si>
  <si>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</si>
  <si>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</si>
  <si>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</si>
  <si>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</si>
  <si>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</si>
  <si>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</si>
  <si>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</si>
  <si>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</si>
  <si>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</si>
  <si>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</si>
  <si>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</si>
  <si>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</si>
  <si>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</si>
  <si>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</si>
  <si>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</si>
  <si>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</si>
  <si>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</si>
  <si>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</si>
  <si>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</si>
  <si>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</si>
  <si>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</si>
  <si>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</si>
  <si>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</si>
  <si>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</si>
  <si>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</si>
  <si>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</si>
  <si>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</si>
  <si>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</si>
  <si>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</si>
  <si>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</si>
  <si>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</si>
  <si>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</si>
  <si>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</si>
  <si>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</si>
  <si>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</si>
  <si>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</si>
  <si>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</si>
  <si>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</si>
  <si>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</si>
  <si>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</si>
  <si>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</si>
  <si>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</si>
  <si>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</si>
  <si>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</si>
  <si>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</si>
  <si>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</si>
  <si>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</si>
  <si>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</si>
  <si>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</si>
  <si>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</si>
  <si>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</si>
  <si>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</si>
  <si>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</si>
  <si>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</si>
  <si>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</si>
  <si>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</si>
  <si>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</si>
  <si>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</si>
  <si>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</si>
  <si>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</si>
  <si>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</si>
  <si>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</si>
  <si>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</si>
  <si>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</si>
  <si>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</si>
  <si>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</si>
  <si>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</si>
  <si>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</si>
  <si>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</si>
  <si>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</si>
  <si>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</si>
  <si>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</si>
  <si>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</si>
  <si>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</si>
  <si>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</si>
  <si>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</si>
  <si>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</si>
  <si>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</si>
  <si>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</si>
  <si>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</si>
  <si>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</si>
  <si>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</si>
  <si>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</si>
  <si>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</si>
  <si>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</si>
  <si>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</si>
  <si>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</si>
  <si>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</si>
  <si>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</si>
  <si>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</si>
  <si>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</si>
  <si>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</si>
  <si>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</si>
  <si>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</si>
  <si>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</si>
  <si>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</si>
  <si>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</si>
  <si>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</si>
  <si>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</si>
  <si>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</si>
  <si>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</si>
  <si>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</si>
  <si>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</si>
  <si>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</si>
  <si>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</si>
  <si>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</si>
  <si>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</si>
  <si>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</si>
  <si>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</si>
  <si>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</si>
  <si>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</si>
  <si>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</si>
  <si>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</si>
  <si>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</si>
  <si>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</si>
  <si>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</si>
  <si>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</si>
  <si>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</si>
  <si>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</si>
  <si>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</si>
  <si>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</si>
  <si>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</si>
  <si>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</si>
  <si>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</si>
  <si>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</si>
  <si>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</si>
  <si>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</si>
  <si>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</si>
  <si>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</si>
  <si>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</si>
  <si>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</si>
  <si>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</si>
  <si>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</si>
  <si>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</si>
  <si>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</si>
  <si>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</si>
  <si>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</si>
  <si>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</si>
  <si>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</si>
  <si>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</si>
  <si>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</si>
  <si>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</si>
  <si>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</si>
  <si>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</si>
  <si>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</si>
  <si>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</si>
  <si>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</si>
  <si>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</si>
  <si>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</si>
  <si>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</si>
  <si>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</si>
  <si>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</si>
  <si>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</si>
  <si>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</si>
  <si>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</si>
  <si>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</si>
  <si>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</si>
  <si>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</si>
  <si>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</si>
  <si>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</si>
  <si>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</si>
  <si>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</si>
  <si>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</si>
  <si>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</si>
  <si>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</si>
  <si>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</si>
  <si>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</si>
  <si>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</si>
  <si>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</si>
  <si>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</si>
  <si>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</si>
  <si>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</si>
  <si>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</si>
  <si>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</si>
  <si>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</si>
  <si>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</si>
  <si>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</si>
  <si>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</si>
  <si>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</si>
  <si>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</si>
  <si>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</si>
  <si>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</si>
  <si>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</si>
  <si>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</si>
  <si>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</si>
  <si>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</si>
  <si>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</si>
  <si>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</si>
  <si>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</si>
  <si>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</si>
  <si>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</si>
  <si>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</si>
  <si>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</si>
  <si>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</si>
  <si>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</si>
  <si>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</si>
  <si>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</si>
  <si>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</si>
  <si>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</si>
  <si>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</si>
  <si>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</si>
  <si>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</si>
  <si>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</si>
  <si>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</si>
  <si>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</si>
  <si>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</si>
  <si>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</si>
  <si>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</si>
  <si>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</si>
  <si>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</si>
  <si>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</si>
  <si>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</si>
  <si>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</si>
  <si>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</si>
  <si>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</si>
  <si>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</si>
  <si>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</si>
  <si>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</si>
  <si>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</si>
  <si>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</si>
  <si>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</si>
  <si>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</si>
  <si>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</si>
  <si>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</si>
  <si>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</si>
  <si>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</si>
  <si>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</si>
  <si>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</si>
  <si>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</si>
  <si>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</si>
  <si>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</si>
  <si>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</si>
  <si>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</si>
  <si>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</si>
  <si>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</si>
  <si>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</si>
  <si>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</si>
  <si>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</si>
  <si>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</si>
  <si>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</si>
  <si>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</si>
  <si>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</si>
  <si>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</si>
  <si>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</si>
  <si>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</si>
  <si>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</si>
  <si>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</si>
  <si>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</si>
  <si>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</si>
  <si>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</si>
  <si>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</si>
  <si>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</si>
  <si>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</si>
  <si>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</si>
  <si>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</si>
  <si>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</si>
  <si>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</si>
  <si>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</si>
  <si>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</si>
  <si>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</si>
  <si>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</si>
  <si>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</si>
  <si>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</si>
  <si>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</si>
  <si>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</si>
  <si>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</si>
  <si>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</si>
  <si>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</si>
  <si>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</si>
  <si>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</si>
  <si>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</si>
  <si>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</si>
  <si>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</si>
  <si>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</si>
  <si>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</si>
  <si>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</si>
  <si>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</si>
  <si>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</si>
  <si>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</si>
  <si>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</si>
  <si>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</si>
  <si>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</si>
  <si>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</si>
  <si>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</si>
  <si>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</si>
  <si>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</si>
  <si>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</si>
  <si>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</si>
  <si>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</si>
  <si>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</si>
  <si>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</si>
  <si>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</si>
  <si>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</si>
  <si>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</si>
  <si>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</si>
  <si>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</si>
  <si>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</si>
  <si>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</si>
  <si>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</si>
  <si>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</si>
  <si>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</si>
  <si>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</si>
  <si>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</si>
  <si>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</si>
  <si>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</si>
  <si>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</si>
  <si>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</si>
  <si>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</si>
  <si>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</si>
  <si>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</si>
  <si>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</si>
  <si>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</si>
  <si>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</si>
  <si>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</si>
  <si>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</si>
  <si>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</si>
  <si>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</si>
  <si>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</si>
  <si>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</si>
  <si>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</si>
  <si>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</si>
  <si>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</si>
  <si>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</si>
  <si>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</si>
  <si>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</si>
  <si>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</si>
  <si>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</si>
  <si>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</si>
  <si>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</si>
  <si>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</si>
  <si>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</si>
  <si>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</si>
  <si>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</si>
  <si>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</si>
  <si>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</si>
  <si>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</si>
  <si>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</si>
  <si>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</si>
  <si>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</si>
  <si>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</si>
  <si>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</si>
  <si>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</si>
  <si>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</si>
  <si>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</si>
  <si>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</si>
  <si>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</si>
  <si>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</si>
  <si>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</si>
  <si>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</si>
  <si>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</si>
  <si>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</si>
  <si>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</si>
  <si>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</si>
  <si>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</si>
  <si>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</si>
  <si>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</si>
  <si>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</si>
  <si>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</si>
  <si>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</si>
  <si>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</si>
  <si>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</si>
  <si>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</si>
  <si>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</si>
  <si>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</si>
  <si>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</si>
  <si>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</si>
  <si>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</si>
  <si>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</si>
  <si>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</si>
  <si>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</si>
  <si>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</si>
  <si>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</si>
  <si>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</si>
  <si>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</si>
  <si>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</si>
  <si>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</si>
  <si>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</si>
  <si>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</si>
  <si>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</si>
  <si>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</si>
  <si>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</si>
  <si>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</si>
  <si>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</si>
  <si>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</si>
  <si>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</si>
  <si>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</si>
  <si>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</si>
  <si>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</si>
  <si>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</si>
  <si>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</si>
  <si>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</si>
  <si>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</si>
  <si>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</si>
  <si>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</si>
  <si>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</si>
  <si>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</si>
  <si>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</si>
  <si>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</si>
  <si>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</si>
  <si>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</si>
  <si>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</si>
  <si>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</si>
  <si>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</si>
  <si>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</si>
  <si>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</si>
  <si>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</si>
  <si>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</si>
  <si>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</si>
  <si>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</si>
  <si>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</si>
  <si>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</si>
  <si>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</si>
  <si>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</si>
  <si>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</si>
  <si>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</si>
  <si>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</si>
  <si>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</si>
  <si>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</si>
  <si>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</si>
  <si>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</si>
  <si>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</si>
  <si>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</si>
  <si>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</si>
  <si>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</si>
  <si>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</si>
  <si>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</si>
  <si>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</si>
  <si>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</si>
  <si>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</si>
  <si>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</si>
  <si>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</si>
  <si>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</si>
  <si>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</si>
  <si>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</si>
  <si>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</si>
  <si>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</si>
  <si>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</si>
  <si>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</si>
  <si>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</si>
  <si>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</si>
  <si>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</si>
  <si>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</si>
  <si>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</si>
  <si>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</si>
  <si>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</si>
  <si>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</si>
  <si>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</si>
  <si>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</si>
  <si>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</si>
  <si>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</si>
  <si>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</si>
  <si>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</si>
  <si>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</si>
  <si>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</si>
  <si>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</si>
  <si>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</si>
  <si>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</si>
  <si>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</si>
  <si>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</si>
  <si>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</si>
  <si>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</si>
  <si>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</si>
  <si>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</si>
  <si>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</si>
  <si>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</si>
  <si>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</si>
  <si>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</si>
  <si>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</si>
  <si>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</si>
  <si>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</si>
  <si>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</si>
  <si>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</si>
  <si>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</si>
  <si>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</si>
  <si>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</si>
  <si>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</si>
  <si>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</si>
  <si>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</si>
  <si>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</si>
  <si>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</si>
  <si>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</si>
  <si>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</si>
  <si>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</si>
  <si>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</si>
  <si>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</si>
  <si>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</si>
  <si>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</si>
  <si>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</si>
  <si>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</si>
  <si>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</si>
  <si>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</si>
  <si>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</si>
  <si>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</si>
  <si>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</si>
  <si>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</si>
  <si>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</si>
  <si>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</si>
  <si>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</si>
  <si>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</si>
  <si>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</si>
  <si>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</si>
  <si>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</si>
  <si>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</si>
  <si>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</si>
  <si>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</si>
  <si>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</si>
  <si>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</si>
  <si>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</si>
  <si>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</si>
  <si>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</si>
  <si>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</si>
  <si>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</si>
  <si>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</si>
  <si>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</si>
  <si>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</si>
  <si>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</si>
  <si>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</si>
  <si>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</si>
  <si>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</si>
  <si>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</si>
  <si>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</si>
  <si>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</si>
  <si>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</si>
  <si>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</si>
  <si>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</si>
  <si>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</si>
  <si>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</si>
  <si>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</si>
  <si>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</si>
  <si>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</si>
  <si>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</si>
  <si>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</si>
  <si>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</si>
  <si>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</si>
  <si>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</si>
  <si>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</si>
  <si>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</si>
  <si>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</si>
  <si>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</si>
  <si>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</si>
  <si>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</si>
  <si>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</si>
  <si>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</si>
  <si>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</si>
  <si>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</si>
  <si>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</si>
  <si>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</si>
  <si>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</si>
  <si>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</si>
  <si>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</si>
  <si>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</si>
  <si>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</si>
  <si>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</si>
  <si>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</si>
  <si>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</si>
  <si>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</si>
  <si>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</si>
  <si>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</si>
  <si>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</si>
  <si>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</si>
  <si>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</si>
  <si>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</si>
  <si>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</si>
  <si>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</si>
  <si>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</si>
  <si>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</si>
  <si>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</si>
  <si>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</si>
  <si>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</si>
  <si>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</si>
  <si>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</si>
  <si>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</si>
  <si>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</si>
  <si>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</si>
  <si>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</si>
  <si>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</si>
  <si>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</si>
  <si>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</si>
  <si>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</si>
  <si>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</si>
  <si>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</si>
  <si>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</si>
  <si>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</si>
  <si>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</si>
  <si>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</si>
  <si>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</si>
  <si>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</si>
  <si>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</si>
  <si>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</si>
  <si>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</si>
  <si>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</si>
  <si>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</si>
  <si>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</si>
  <si>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</si>
  <si>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</si>
  <si>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</si>
  <si>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</si>
  <si>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</si>
  <si>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</si>
  <si>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</si>
  <si>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</si>
  <si>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</si>
  <si>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</si>
  <si>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</si>
  <si>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</si>
  <si>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</si>
  <si>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</si>
  <si>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</si>
  <si>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</si>
  <si>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</si>
  <si>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</si>
  <si>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</si>
  <si>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</si>
  <si>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</si>
  <si>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</si>
  <si>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</si>
  <si>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</si>
  <si>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</si>
  <si>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</si>
  <si>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</si>
  <si>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</si>
  <si>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</si>
  <si>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</si>
  <si>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</si>
  <si>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</si>
  <si>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</si>
  <si>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</si>
  <si>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</si>
  <si>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</si>
  <si>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</si>
  <si>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</si>
  <si>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</si>
  <si>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</si>
  <si>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</si>
  <si>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</si>
  <si>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</si>
  <si>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</si>
  <si>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</si>
  <si>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</si>
  <si>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</si>
  <si>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</si>
  <si>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</si>
  <si>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</si>
  <si>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</si>
  <si>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</si>
  <si>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</si>
  <si>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</si>
  <si>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</si>
  <si>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</si>
  <si>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</si>
  <si>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</si>
  <si>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</si>
  <si>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</si>
  <si>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</si>
  <si>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</si>
  <si>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</si>
  <si>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</si>
  <si>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</si>
  <si>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</si>
  <si>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</si>
  <si>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</si>
  <si>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</si>
  <si>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</si>
  <si>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</si>
  <si>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</si>
  <si>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</si>
  <si>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</si>
  <si>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</si>
  <si>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</si>
  <si>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</si>
  <si>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</si>
  <si>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</si>
  <si>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</si>
  <si>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</si>
  <si>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</si>
  <si>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</si>
  <si>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</si>
  <si>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</si>
  <si>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</si>
  <si>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</si>
  <si>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</si>
  <si>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</si>
  <si>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</si>
  <si>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</si>
  <si>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</si>
  <si>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</si>
  <si>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</si>
  <si>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</si>
  <si>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</si>
  <si>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</si>
  <si>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</si>
  <si>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</si>
  <si>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</si>
  <si>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</si>
  <si>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</si>
  <si>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</si>
  <si>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</si>
  <si>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</si>
  <si>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</si>
  <si>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</si>
  <si>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</si>
  <si>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</si>
  <si>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</si>
  <si>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</si>
  <si>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</si>
  <si>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</si>
  <si>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</si>
  <si>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</si>
  <si>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</si>
  <si>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</si>
  <si>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</si>
  <si>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</si>
  <si>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</si>
  <si>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</si>
  <si>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</si>
  <si>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</si>
  <si>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</si>
  <si>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</si>
  <si>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</si>
  <si>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</si>
  <si>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</si>
  <si>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</si>
  <si>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</si>
  <si>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</si>
  <si>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</si>
  <si>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</si>
  <si>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</si>
  <si>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</si>
  <si>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</si>
  <si>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</si>
  <si>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</si>
  <si>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</si>
  <si>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</si>
  <si>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</si>
  <si>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</si>
  <si>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</si>
  <si>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</si>
  <si>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</si>
  <si>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</si>
  <si>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</si>
  <si>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</si>
  <si>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</si>
  <si>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</si>
  <si>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</si>
  <si>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</si>
  <si>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</si>
  <si>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</si>
  <si>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</si>
  <si>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</si>
  <si>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</si>
  <si>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</si>
  <si>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</si>
  <si>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</si>
  <si>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</si>
  <si>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</si>
  <si>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</si>
  <si>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</si>
  <si>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</si>
  <si>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</si>
  <si>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</si>
  <si>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</si>
  <si>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</si>
  <si>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</si>
  <si>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</si>
  <si>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</si>
  <si>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</si>
  <si>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</si>
  <si>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</si>
  <si>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</si>
  <si>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</si>
  <si>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</si>
  <si>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</si>
  <si>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</si>
  <si>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</si>
  <si>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</si>
  <si>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</si>
  <si>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</si>
  <si>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</si>
  <si>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</si>
  <si>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</si>
  <si>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</si>
  <si>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</si>
  <si>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</si>
  <si>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</si>
  <si>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</si>
  <si>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</si>
  <si>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</si>
  <si>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</si>
  <si>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</si>
  <si>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</si>
  <si>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</si>
  <si>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</si>
  <si>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</si>
  <si>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</si>
  <si>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</si>
  <si>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</si>
  <si>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</si>
  <si>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</si>
  <si>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</si>
  <si>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</si>
  <si>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</si>
  <si>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</si>
  <si>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</si>
  <si>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</si>
  <si>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</si>
  <si>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</si>
  <si>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</si>
  <si>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</si>
  <si>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</si>
  <si>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</si>
  <si>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</si>
  <si>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</si>
  <si>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</si>
  <si>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</si>
  <si>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</si>
  <si>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</si>
  <si>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</si>
  <si>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</si>
  <si>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</si>
  <si>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</si>
  <si>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</si>
  <si>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</si>
  <si>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</si>
  <si>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</si>
  <si>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</si>
  <si>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</si>
  <si>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</si>
  <si>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</si>
  <si>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</si>
  <si>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</si>
  <si>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</si>
  <si>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</si>
  <si>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</si>
  <si>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</si>
  <si>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</si>
  <si>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</si>
  <si>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</si>
  <si>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</si>
  <si>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</si>
  <si>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</si>
  <si>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</si>
  <si>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</si>
  <si>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</si>
  <si>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</si>
  <si>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</si>
  <si>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</si>
  <si>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</si>
  <si>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</si>
  <si>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</si>
  <si>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</si>
  <si>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</si>
  <si>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</si>
  <si>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</si>
  <si>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</si>
  <si>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</si>
  <si>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</si>
  <si>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</si>
  <si>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</si>
  <si>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</si>
  <si>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</si>
  <si>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</si>
  <si>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</si>
  <si>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</si>
  <si>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</si>
  <si>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</si>
  <si>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</si>
  <si>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</si>
  <si>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</si>
  <si>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</si>
  <si>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</si>
  <si>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</si>
  <si>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</si>
  <si>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</si>
  <si>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</si>
  <si>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</si>
  <si>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</si>
  <si>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</si>
  <si>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</si>
  <si>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</si>
  <si>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</si>
  <si>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</si>
  <si>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</si>
  <si>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</si>
  <si>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</si>
  <si>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</si>
  <si>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</si>
  <si>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</si>
  <si>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</si>
  <si>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</si>
  <si>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</si>
  <si>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</si>
  <si>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</si>
  <si>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</si>
  <si>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</si>
  <si>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</si>
  <si>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</si>
  <si>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</si>
  <si>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</si>
  <si>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</si>
  <si>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</si>
  <si>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</si>
  <si>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</si>
  <si>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</si>
  <si>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</si>
  <si>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</si>
  <si>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</si>
  <si>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</si>
  <si>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</si>
  <si>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</si>
  <si>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</si>
  <si>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</si>
  <si>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</si>
  <si>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</si>
  <si>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</si>
  <si>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</si>
  <si>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</si>
  <si>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</si>
  <si>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</si>
  <si>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</si>
  <si>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</si>
  <si>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</si>
  <si>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</si>
  <si>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</si>
  <si>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</si>
  <si>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</si>
  <si>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</si>
  <si>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</si>
  <si>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</si>
  <si>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</si>
  <si>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</si>
  <si>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</si>
  <si>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</si>
  <si>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</si>
  <si>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</si>
  <si>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</si>
  <si>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</si>
  <si>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</si>
  <si>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</si>
  <si>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</si>
  <si>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</si>
  <si>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</si>
  <si>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</si>
  <si>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</si>
  <si>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</si>
  <si>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</si>
  <si>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</si>
  <si>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</si>
  <si>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</si>
  <si>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</si>
  <si>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</si>
  <si>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</si>
  <si>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</si>
  <si>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</si>
  <si>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</si>
  <si>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</si>
  <si>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</si>
  <si>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</si>
  <si>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</si>
  <si>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</si>
  <si>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</si>
  <si>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</si>
  <si>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</si>
  <si>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</si>
  <si>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</si>
  <si>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</si>
  <si>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</si>
  <si>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</si>
  <si>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</si>
  <si>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</si>
  <si>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</si>
  <si>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</si>
  <si>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</si>
  <si>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</si>
  <si>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</si>
  <si>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</si>
  <si>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</si>
  <si>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</si>
  <si>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</si>
  <si>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</si>
  <si>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</si>
  <si>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</si>
  <si>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</si>
  <si>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</si>
  <si>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</si>
  <si>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</si>
  <si>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</si>
  <si>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</si>
  <si>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</si>
  <si>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</si>
  <si>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</si>
  <si>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</si>
  <si>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</si>
  <si>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</si>
  <si>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</si>
  <si>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</si>
  <si>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</si>
  <si>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</si>
  <si>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</si>
  <si>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</si>
  <si>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</si>
  <si>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</si>
  <si>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</si>
  <si>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</si>
  <si>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</si>
  <si>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</si>
  <si>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</si>
  <si>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</si>
  <si>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</si>
  <si>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</si>
  <si>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</si>
  <si>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</si>
  <si>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</si>
  <si>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</si>
  <si>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</si>
  <si>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</si>
  <si>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</si>
  <si>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</si>
  <si>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</si>
  <si>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</si>
  <si>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</si>
  <si>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</si>
  <si>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</si>
  <si>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</si>
  <si>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</si>
  <si>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</si>
  <si>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</si>
  <si>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</si>
  <si>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</si>
  <si>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</si>
  <si>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</si>
  <si>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</si>
  <si>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</si>
  <si>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</si>
  <si>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</si>
  <si>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</si>
  <si>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</si>
  <si>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</si>
  <si>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</si>
  <si>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</si>
  <si>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</si>
  <si>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</si>
  <si>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</si>
  <si>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</si>
  <si>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</si>
  <si>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</si>
  <si>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</si>
  <si>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</si>
  <si>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</si>
  <si>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</si>
  <si>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</si>
  <si>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</si>
  <si>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</si>
  <si>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</si>
  <si>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</si>
  <si>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</si>
  <si>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</si>
  <si>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</si>
  <si>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</si>
  <si>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</si>
  <si>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</si>
  <si>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</si>
  <si>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</si>
  <si>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</si>
  <si>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</si>
  <si>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</si>
  <si>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</si>
  <si>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</si>
  <si>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</si>
  <si>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</si>
  <si>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</si>
  <si>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</si>
  <si>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</si>
  <si>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</si>
  <si>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</si>
  <si>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</si>
  <si>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</si>
  <si>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</si>
  <si>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</si>
  <si>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</si>
  <si>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</si>
  <si>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</si>
  <si>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</si>
  <si>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</si>
  <si>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</si>
  <si>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</si>
  <si>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</si>
  <si>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</si>
  <si>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</si>
  <si>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</si>
  <si>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</si>
  <si>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</si>
  <si>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</si>
  <si>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</si>
  <si>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</si>
  <si>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</si>
  <si>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</si>
  <si>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</si>
  <si>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</si>
  <si>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</si>
  <si>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</si>
  <si>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</si>
  <si>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</si>
  <si>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</si>
  <si>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</si>
  <si>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</si>
  <si>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</si>
  <si>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</si>
  <si>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</si>
  <si>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</si>
  <si>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</si>
  <si>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</si>
  <si>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</si>
  <si>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</si>
  <si>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</si>
  <si>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</si>
  <si>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</si>
  <si>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</si>
  <si>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</si>
  <si>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</si>
  <si>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</si>
  <si>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</si>
  <si>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</si>
  <si>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</si>
  <si>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</si>
  <si>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</si>
  <si>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</si>
  <si>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</si>
  <si>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</si>
  <si>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</si>
  <si>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</si>
  <si>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</si>
  <si>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</si>
  <si>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</si>
  <si>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</si>
  <si>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</si>
  <si>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</si>
  <si>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</si>
  <si>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</si>
  <si>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</si>
  <si>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</si>
  <si>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</si>
  <si>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</si>
  <si>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</si>
  <si>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</si>
  <si>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</si>
  <si>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</si>
  <si>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</si>
  <si>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</si>
  <si>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</si>
  <si>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</si>
  <si>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</si>
  <si>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</si>
  <si>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</si>
  <si>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</si>
  <si>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</si>
  <si>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</si>
  <si>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</si>
  <si>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</si>
  <si>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</si>
  <si>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</si>
  <si>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</si>
  <si>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</si>
  <si>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</si>
  <si>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</si>
  <si>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</si>
  <si>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</si>
  <si>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</si>
  <si>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</si>
  <si>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</si>
  <si>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</si>
  <si>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</si>
  <si>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</si>
  <si>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</si>
  <si>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</si>
  <si>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</si>
  <si>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</si>
  <si>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</si>
  <si>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</si>
  <si>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</si>
  <si>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</si>
  <si>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</si>
  <si>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</si>
  <si>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</si>
  <si>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</si>
  <si>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</si>
  <si>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</si>
  <si>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</si>
  <si>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</si>
  <si>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</si>
  <si>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</si>
  <si>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</si>
  <si>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</si>
  <si>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</si>
  <si>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</si>
  <si>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</si>
  <si>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</si>
  <si>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</si>
  <si>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</si>
  <si>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</si>
  <si>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</si>
  <si>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</si>
  <si>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</si>
  <si>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</si>
  <si>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</si>
  <si>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</si>
  <si>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</si>
  <si>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</si>
  <si>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</si>
  <si>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</si>
  <si>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</si>
  <si>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</si>
  <si>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</si>
  <si>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</si>
  <si>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</si>
  <si>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</si>
  <si>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</si>
  <si>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</si>
  <si>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</si>
  <si>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</si>
  <si>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</si>
  <si>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</si>
  <si>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</si>
  <si>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</si>
  <si>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</si>
  <si>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</si>
  <si>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</si>
  <si>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</si>
  <si>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</si>
  <si>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</si>
  <si>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</si>
  <si>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</si>
  <si>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</si>
  <si>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</si>
  <si>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</si>
  <si>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</si>
  <si>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</si>
  <si>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</si>
  <si>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</si>
  <si>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</si>
  <si>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</si>
  <si>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</si>
  <si>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</si>
  <si>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</si>
  <si>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</si>
  <si>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</si>
  <si>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</si>
  <si>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</si>
  <si>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</si>
  <si>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</si>
  <si>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</si>
  <si>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</si>
  <si>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</si>
  <si>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</si>
  <si>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</si>
  <si>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</si>
  <si>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</si>
  <si>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</si>
  <si>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</si>
  <si>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</si>
  <si>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</si>
  <si>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</si>
  <si>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</si>
  <si>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</si>
  <si>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</si>
  <si>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</si>
  <si>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</si>
  <si>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</si>
  <si>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</si>
  <si>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</si>
  <si>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</si>
  <si>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</si>
  <si>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</si>
  <si>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</si>
  <si>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</si>
  <si>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</si>
  <si>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</si>
  <si>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</si>
  <si>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</si>
  <si>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</si>
  <si>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</si>
  <si>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</si>
  <si>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</si>
  <si>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</si>
  <si>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</si>
  <si>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</si>
  <si>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</si>
  <si>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</si>
  <si>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</si>
  <si>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</si>
  <si>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</si>
  <si>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</si>
  <si>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</si>
  <si>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</si>
  <si>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</si>
  <si>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</si>
  <si>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</si>
  <si>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</si>
  <si>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</si>
  <si>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</si>
  <si>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</si>
  <si>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</si>
  <si>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</si>
  <si>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</si>
  <si>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</si>
  <si>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</si>
  <si>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</si>
  <si>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</si>
  <si>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</si>
  <si>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</si>
  <si>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</si>
  <si>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</si>
  <si>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</si>
  <si>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</si>
  <si>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</si>
  <si>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</si>
  <si>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</si>
  <si>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</si>
  <si>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</si>
  <si>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</si>
  <si>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</si>
  <si>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</si>
  <si>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</si>
  <si>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</si>
  <si>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</si>
  <si>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</si>
  <si>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</si>
  <si>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</si>
  <si>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</si>
  <si>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</si>
  <si>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</si>
  <si>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</si>
  <si>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</si>
  <si>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</si>
  <si>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</si>
  <si>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</si>
  <si>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</si>
  <si>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</si>
  <si>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</si>
  <si>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</si>
  <si>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</si>
  <si>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</si>
  <si>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</si>
  <si>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</si>
  <si>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</si>
  <si>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</si>
  <si>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</si>
  <si>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</si>
  <si>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</si>
  <si>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</si>
  <si>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</si>
  <si>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</si>
  <si>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</si>
  <si>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</si>
  <si>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</si>
  <si>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</si>
  <si>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</si>
  <si>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</si>
  <si>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</si>
  <si>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</si>
  <si>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</si>
  <si>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</si>
  <si>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</si>
  <si>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</si>
  <si>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</si>
  <si>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</si>
  <si>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</si>
  <si>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</si>
  <si>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</si>
  <si>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</si>
  <si>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</si>
  <si>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</si>
  <si>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</si>
  <si>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</si>
  <si>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</si>
  <si>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</si>
  <si>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</si>
  <si>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</si>
  <si>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</si>
  <si>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</si>
  <si>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</si>
  <si>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</si>
  <si>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</si>
  <si>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</si>
  <si>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</si>
  <si>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</si>
  <si>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</si>
  <si>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</si>
  <si>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</si>
  <si>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</si>
  <si>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</si>
  <si>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</si>
  <si>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</si>
  <si>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</si>
  <si>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</si>
  <si>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</si>
  <si>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</si>
  <si>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</si>
  <si>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</si>
  <si>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</si>
  <si>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</si>
  <si>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</si>
  <si>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</si>
  <si>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</si>
  <si>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</si>
  <si>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</si>
  <si>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</si>
  <si>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</si>
  <si>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</si>
  <si>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</si>
  <si>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</si>
  <si>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</si>
  <si>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</si>
  <si>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</si>
  <si>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</si>
  <si>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</si>
  <si>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</si>
  <si>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</si>
  <si>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</si>
  <si>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</si>
  <si>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</si>
  <si>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</si>
  <si>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</si>
  <si>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</si>
  <si>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</si>
  <si>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</si>
  <si>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</si>
  <si>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</si>
  <si>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</si>
  <si>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</si>
  <si>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</si>
  <si>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</si>
  <si>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</si>
  <si>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</si>
  <si>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</si>
  <si>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</si>
  <si>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</si>
  <si>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</si>
  <si>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</si>
  <si>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</si>
  <si>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</si>
  <si>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</si>
  <si>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</si>
  <si>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</si>
  <si>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</si>
  <si>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</si>
  <si>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</si>
  <si>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</si>
  <si>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</si>
  <si>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</si>
  <si>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</si>
  <si>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</si>
  <si>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</si>
  <si>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</si>
  <si>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</si>
  <si>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</si>
  <si>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</si>
  <si>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</si>
  <si>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</si>
  <si>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</si>
  <si>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</si>
  <si>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</si>
  <si>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</si>
  <si>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</si>
  <si>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</si>
  <si>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</si>
  <si>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</si>
  <si>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</si>
  <si>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</si>
  <si>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</si>
  <si>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</si>
  <si>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</si>
  <si>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</si>
  <si>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</si>
  <si>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</si>
  <si>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</si>
  <si>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</si>
  <si>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</si>
  <si>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</si>
  <si>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</si>
  <si>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</si>
  <si>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</si>
  <si>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</si>
  <si>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</si>
  <si>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</si>
  <si>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</si>
  <si>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</si>
  <si>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</si>
  <si>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</si>
  <si>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</si>
  <si>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</si>
  <si>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</si>
  <si>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</si>
  <si>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</si>
  <si>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</si>
  <si>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</si>
  <si>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</si>
  <si>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</si>
  <si>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</si>
  <si>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</si>
  <si>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</si>
  <si>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</si>
  <si>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</si>
  <si>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</si>
  <si>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</si>
  <si>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</si>
  <si>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</si>
  <si>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</si>
  <si>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</si>
  <si>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</si>
  <si>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</si>
  <si>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</si>
  <si>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</si>
  <si>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</si>
  <si>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</si>
  <si>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</si>
  <si>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</si>
  <si>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</si>
  <si>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</si>
  <si>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</si>
  <si>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</si>
  <si>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</si>
  <si>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</si>
  <si>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</si>
  <si>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</si>
  <si>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</si>
  <si>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</si>
  <si>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</si>
  <si>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</si>
  <si>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</si>
  <si>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</si>
  <si>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</si>
  <si>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</si>
  <si>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</si>
  <si>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</si>
  <si>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</si>
  <si>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</si>
  <si>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</si>
  <si>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</si>
  <si>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</si>
  <si>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</si>
  <si>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</si>
  <si>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</si>
  <si>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</si>
  <si>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</si>
  <si>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</si>
  <si>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</si>
  <si>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</si>
  <si>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</si>
  <si>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</si>
  <si>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</si>
  <si>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</si>
  <si>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</si>
  <si>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</si>
  <si>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</si>
  <si>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</si>
  <si>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</si>
  <si>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</si>
  <si>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</si>
  <si>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</si>
  <si>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</si>
  <si>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</si>
  <si>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</si>
  <si>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</si>
  <si>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</si>
  <si>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</si>
  <si>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</si>
  <si>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</si>
  <si>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</si>
  <si>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</si>
  <si>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</si>
  <si>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</si>
  <si>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</si>
  <si>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</si>
  <si>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</si>
  <si>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</si>
  <si>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</si>
  <si>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</si>
  <si>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</si>
  <si>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</si>
  <si>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</si>
  <si>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</si>
  <si>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</si>
  <si>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</si>
  <si>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</si>
  <si>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</si>
  <si>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</si>
  <si>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</si>
  <si>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</si>
  <si>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</si>
  <si>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</si>
  <si>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</si>
  <si>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</si>
  <si>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</si>
  <si>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</si>
  <si>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</si>
  <si>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</si>
  <si>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</si>
  <si>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</si>
  <si>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</si>
  <si>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</si>
  <si>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</si>
  <si>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</si>
  <si>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</si>
  <si>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</si>
  <si>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</si>
  <si>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</si>
  <si>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</si>
  <si>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</si>
  <si>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</si>
  <si>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</si>
  <si>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</si>
  <si>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</si>
  <si>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</si>
  <si>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</si>
  <si>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</si>
  <si>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</si>
  <si>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</si>
  <si>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</si>
  <si>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</si>
  <si>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</si>
  <si>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</si>
  <si>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</si>
  <si>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</si>
  <si>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</si>
  <si>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</si>
  <si>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</si>
  <si>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</si>
  <si>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</si>
  <si>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</si>
  <si>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</si>
  <si>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</si>
  <si>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</si>
  <si>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</si>
  <si>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</si>
  <si>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</si>
  <si>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</si>
  <si>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</si>
  <si>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</si>
  <si>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</si>
  <si>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</si>
  <si>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</si>
  <si>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</si>
  <si>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</si>
  <si>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</si>
  <si>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</si>
  <si>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</si>
  <si>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</si>
  <si>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</si>
  <si>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</si>
  <si>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</si>
  <si>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</si>
  <si>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</si>
  <si>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</si>
  <si>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</si>
  <si>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</si>
  <si>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</si>
  <si>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</si>
  <si>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</si>
  <si>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</si>
  <si>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</si>
  <si>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</si>
  <si>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</si>
  <si>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</si>
  <si>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</si>
  <si>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</si>
  <si>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</si>
  <si>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</si>
  <si>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</si>
  <si>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</si>
  <si>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</si>
  <si>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</si>
  <si>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</si>
  <si>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</si>
  <si>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</si>
  <si>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</si>
  <si>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</si>
  <si>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</si>
  <si>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</si>
  <si>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</si>
  <si>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</si>
  <si>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</si>
  <si>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</si>
  <si>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</si>
  <si>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</si>
  <si>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</si>
  <si>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</si>
  <si>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</si>
  <si>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</si>
  <si>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</si>
  <si>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</si>
  <si>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</si>
  <si>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</si>
  <si>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</si>
  <si>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</si>
  <si>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</si>
  <si>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</si>
  <si>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</si>
  <si>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</si>
  <si>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</si>
  <si>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</si>
  <si>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</si>
  <si>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</si>
  <si>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</si>
  <si>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</si>
  <si>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</si>
  <si>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</si>
  <si>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</si>
  <si>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</si>
  <si>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</si>
  <si>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</si>
  <si>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</si>
  <si>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</si>
  <si>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</si>
  <si>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</si>
  <si>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</si>
  <si>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</si>
  <si>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</si>
  <si>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</si>
  <si>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</si>
  <si>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</si>
  <si>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</si>
  <si>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</si>
  <si>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</si>
  <si>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</si>
  <si>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</si>
  <si>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</si>
  <si>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</si>
  <si>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</si>
  <si>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</si>
  <si>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</si>
  <si>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</si>
  <si>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</si>
  <si>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</si>
  <si>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</si>
  <si>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</si>
  <si>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</si>
  <si>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</si>
  <si>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</si>
  <si>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</si>
  <si>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</si>
  <si>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</si>
  <si>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</si>
  <si>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</si>
  <si>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</si>
  <si>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</si>
  <si>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</si>
  <si>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</si>
  <si>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</si>
  <si>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</si>
  <si>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</si>
  <si>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</si>
  <si>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</si>
  <si>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</si>
  <si>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</si>
  <si>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</si>
  <si>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</si>
  <si>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</si>
  <si>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</si>
  <si>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</si>
  <si>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</si>
  <si>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</si>
  <si>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</si>
  <si>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</si>
  <si>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</si>
  <si>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</si>
  <si>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</si>
  <si>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</si>
  <si>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</si>
  <si>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</si>
  <si>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</si>
  <si>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</si>
  <si>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</si>
  <si>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</si>
  <si>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</si>
  <si>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</si>
  <si>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</si>
  <si>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</si>
  <si>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</si>
  <si>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</si>
  <si>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</si>
  <si>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</si>
  <si>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</si>
  <si>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</si>
  <si>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</si>
  <si>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</si>
  <si>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</si>
  <si>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</si>
  <si>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</si>
  <si>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</si>
  <si>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</si>
  <si>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</si>
  <si>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</si>
  <si>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</si>
  <si>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</si>
  <si>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</si>
  <si>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</si>
  <si>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</si>
  <si>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</si>
  <si>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</si>
  <si>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</si>
  <si>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</si>
  <si>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</si>
  <si>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</si>
  <si>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</si>
  <si>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</si>
  <si>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</si>
  <si>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</si>
  <si>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</si>
  <si>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</si>
  <si>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</si>
  <si>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</si>
  <si>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</si>
  <si>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</si>
  <si>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</si>
  <si>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</si>
  <si>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</si>
  <si>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</si>
  <si>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</si>
  <si>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</si>
  <si>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</si>
  <si>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</si>
  <si>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</si>
  <si>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</si>
  <si>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</si>
  <si>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</si>
  <si>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</si>
  <si>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</si>
  <si>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</si>
  <si>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</si>
  <si>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</si>
  <si>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</si>
  <si>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</si>
  <si>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</si>
  <si>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</si>
  <si>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</si>
  <si>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</si>
  <si>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</si>
  <si>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</si>
  <si>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</si>
  <si>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</si>
  <si>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</si>
  <si>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</si>
  <si>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</si>
  <si>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</si>
  <si>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</si>
  <si>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</si>
  <si>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</si>
  <si>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</si>
  <si>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</si>
  <si>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</si>
  <si>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</si>
  <si>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</si>
  <si>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</si>
  <si>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</si>
  <si>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</si>
  <si>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</si>
  <si>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</si>
  <si>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</si>
  <si>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</si>
  <si>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</si>
  <si>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</si>
  <si>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</si>
  <si>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</si>
  <si>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</si>
  <si>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</si>
  <si>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</si>
  <si>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</si>
  <si>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</si>
  <si>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</si>
  <si>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</si>
  <si>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</si>
  <si>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</si>
  <si>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</si>
  <si>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</si>
  <si>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</si>
  <si>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</si>
  <si>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</si>
  <si>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</si>
  <si>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</si>
  <si>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</si>
  <si>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</si>
  <si>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</si>
  <si>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</si>
  <si>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</si>
  <si>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</si>
  <si>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</si>
  <si>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</si>
  <si>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</si>
  <si>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</si>
  <si>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</si>
  <si>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</si>
  <si>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</si>
  <si>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</si>
  <si>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</si>
  <si>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</si>
  <si>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</si>
  <si>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</si>
  <si>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</si>
  <si>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</si>
  <si>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</si>
  <si>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</si>
  <si>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</si>
  <si>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</si>
  <si>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</si>
  <si>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</si>
  <si>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</si>
  <si>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</si>
  <si>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</si>
  <si>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</si>
  <si>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</si>
  <si>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</si>
  <si>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</si>
  <si>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</si>
  <si>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</si>
  <si>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</si>
  <si>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</si>
  <si>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</si>
  <si>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</si>
  <si>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</si>
  <si>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</si>
  <si>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</si>
  <si>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</si>
  <si>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</si>
  <si>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</si>
  <si>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</si>
  <si>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</si>
  <si>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</si>
  <si>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</si>
  <si>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</si>
  <si>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</si>
  <si>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</si>
  <si>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</si>
  <si>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</si>
  <si>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</si>
  <si>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</si>
  <si>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</si>
  <si>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</si>
  <si>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</si>
  <si>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</si>
  <si>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</si>
  <si>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</si>
  <si>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</si>
  <si>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</si>
  <si>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</si>
  <si>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</si>
  <si>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</si>
  <si>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</si>
  <si>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</si>
  <si>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</si>
  <si>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</si>
  <si>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</si>
  <si>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</si>
  <si>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</si>
  <si>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</si>
  <si>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</si>
  <si>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</si>
  <si>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</si>
  <si>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</si>
  <si>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</si>
  <si>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</si>
  <si>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</si>
  <si>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</si>
  <si>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</si>
  <si>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</si>
  <si>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</si>
  <si>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</si>
  <si>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</si>
  <si>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</si>
  <si>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</si>
  <si>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</si>
  <si>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</si>
  <si>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</si>
  <si>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</si>
  <si>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</si>
  <si>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</si>
  <si>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</si>
  <si>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</si>
  <si>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</si>
  <si>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</si>
  <si>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</si>
  <si>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</si>
  <si>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</si>
  <si>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</si>
  <si>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</si>
  <si>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</si>
  <si>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</si>
  <si>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</si>
  <si>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</si>
  <si>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</si>
  <si>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</si>
  <si>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</si>
  <si>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</si>
  <si>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</si>
  <si>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</si>
  <si>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</si>
  <si>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</si>
  <si>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</si>
  <si>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</si>
  <si>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</si>
  <si>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</si>
  <si>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</si>
  <si>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</si>
  <si>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</si>
  <si>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</si>
  <si>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</si>
  <si>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</si>
  <si>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</si>
  <si>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</si>
  <si>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</si>
  <si>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</si>
  <si>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</si>
  <si>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</si>
  <si>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</si>
  <si>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</si>
  <si>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</si>
  <si>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</si>
  <si>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</si>
  <si>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</si>
  <si>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</si>
  <si>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</si>
  <si>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</si>
  <si>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</si>
  <si>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</si>
  <si>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</si>
  <si>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</si>
  <si>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</si>
  <si>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</si>
  <si>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</si>
  <si>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</si>
  <si>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</si>
  <si>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</si>
  <si>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</si>
  <si>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</si>
  <si>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</si>
  <si>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</si>
  <si>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</si>
  <si>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</si>
  <si>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</si>
  <si>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</si>
  <si>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</si>
  <si>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</si>
  <si>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</si>
  <si>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</si>
  <si>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</si>
  <si>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</si>
  <si>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</si>
  <si>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</si>
  <si>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</si>
  <si>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</si>
  <si>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</si>
  <si>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</si>
  <si>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</si>
  <si>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</si>
  <si>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</si>
  <si>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</si>
  <si>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</si>
  <si>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</si>
  <si>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</si>
  <si>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</si>
  <si>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</si>
  <si>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</si>
  <si>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</si>
  <si>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</si>
  <si>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</si>
  <si>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</si>
  <si>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</si>
  <si>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</si>
  <si>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</si>
  <si>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</si>
  <si>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</si>
  <si>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</si>
  <si>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</si>
  <si>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</si>
  <si>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</si>
  <si>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</si>
  <si>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</si>
  <si>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</si>
  <si>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</si>
  <si>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</si>
  <si>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</si>
  <si>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</si>
  <si>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</si>
  <si>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</si>
  <si>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</si>
  <si>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</si>
  <si>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</si>
  <si>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</si>
  <si>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</si>
  <si>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</si>
  <si>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</si>
  <si>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</si>
  <si>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</si>
  <si>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</si>
  <si>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</si>
  <si>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</si>
  <si>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</si>
  <si>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</si>
  <si>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</si>
  <si>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</si>
  <si>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</si>
  <si>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</si>
  <si>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</si>
  <si>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</si>
  <si>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</si>
  <si>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</si>
  <si>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</si>
  <si>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</si>
  <si>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</si>
  <si>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</si>
  <si>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</si>
  <si>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</si>
  <si>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</si>
  <si>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</si>
  <si>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</si>
  <si>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</si>
  <si>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</si>
  <si>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</si>
  <si>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</si>
  <si>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</si>
  <si>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</si>
  <si>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</si>
  <si>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</si>
  <si>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</si>
  <si>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</si>
  <si>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</si>
  <si>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</si>
  <si>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</si>
  <si>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</si>
  <si>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</si>
  <si>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</si>
  <si>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</si>
  <si>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</si>
  <si>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</si>
  <si>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</si>
  <si>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</si>
  <si>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</si>
  <si>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</si>
  <si>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</si>
  <si>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</si>
  <si>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</si>
  <si>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</si>
  <si>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</si>
  <si>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</si>
  <si>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</si>
  <si>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</si>
  <si>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</si>
  <si>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</si>
  <si>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</si>
  <si>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</si>
  <si>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</si>
  <si>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</si>
  <si>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</si>
  <si>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</si>
  <si>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</si>
  <si>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</si>
  <si>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</si>
  <si>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</si>
  <si>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</si>
  <si>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</si>
  <si>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</si>
  <si>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</si>
  <si>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</si>
  <si>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</si>
  <si>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</si>
  <si>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</si>
  <si>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</si>
  <si>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</si>
  <si>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</si>
  <si>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</si>
  <si>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</si>
  <si>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</si>
  <si>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</si>
  <si>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</si>
  <si>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</si>
  <si>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</si>
  <si>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</si>
  <si>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</si>
  <si>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</si>
  <si>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</si>
  <si>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</si>
  <si>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</si>
  <si>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</si>
  <si>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</si>
  <si>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</si>
  <si>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</si>
  <si>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</si>
  <si>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</si>
  <si>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</si>
  <si>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</si>
  <si>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</si>
  <si>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</si>
  <si>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</si>
  <si>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</si>
  <si>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</si>
  <si>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</si>
  <si>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</si>
  <si>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</si>
  <si>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</si>
  <si>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</si>
  <si>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</si>
  <si>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</si>
  <si>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</si>
  <si>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</si>
  <si>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</si>
  <si>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</si>
  <si>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</si>
  <si>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</si>
  <si>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</si>
  <si>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</si>
  <si>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</si>
  <si>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</si>
  <si>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</si>
  <si>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</si>
  <si>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</si>
  <si>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</si>
  <si>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</si>
  <si>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</si>
  <si>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</si>
  <si>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</si>
  <si>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</si>
  <si>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</si>
  <si>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</si>
  <si>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</si>
  <si>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</si>
  <si>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</si>
  <si>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</si>
  <si>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</si>
  <si>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</si>
  <si>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</si>
  <si>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</si>
  <si>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</si>
  <si>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</si>
  <si>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</si>
  <si>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</si>
  <si>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</si>
  <si>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</si>
  <si>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</si>
  <si>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</si>
  <si>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</si>
  <si>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</si>
  <si>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</si>
  <si>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</si>
  <si>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</si>
  <si>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</si>
  <si>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</si>
  <si>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</si>
  <si>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</si>
  <si>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</si>
  <si>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</si>
  <si>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</si>
  <si>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</si>
  <si>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</si>
  <si>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</si>
  <si>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</si>
  <si>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</si>
  <si>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</si>
  <si>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</si>
  <si>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</si>
  <si>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</si>
  <si>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</si>
  <si>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</si>
  <si>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</si>
  <si>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</si>
  <si>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</si>
  <si>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</si>
  <si>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</si>
  <si>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</si>
  <si>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</si>
  <si>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</si>
  <si>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</si>
  <si>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</si>
  <si>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</si>
  <si>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</si>
  <si>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</si>
  <si>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</si>
  <si>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</si>
  <si>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</si>
  <si>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</si>
  <si>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</si>
  <si>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</si>
  <si>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</si>
  <si>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</si>
  <si>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</si>
  <si>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</si>
  <si>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</si>
  <si>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</si>
  <si>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</si>
  <si>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</si>
  <si>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</si>
  <si>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</si>
  <si>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</si>
  <si>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</si>
  <si>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</si>
  <si>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</si>
  <si>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</si>
  <si>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</si>
  <si>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</si>
  <si>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</si>
  <si>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</si>
  <si>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</si>
  <si>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</si>
  <si>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</si>
  <si>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</si>
  <si>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</si>
  <si>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</si>
  <si>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</si>
  <si>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</si>
  <si>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</si>
  <si>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</si>
  <si>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</si>
  <si>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</si>
  <si>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</si>
  <si>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</si>
  <si>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</si>
  <si>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</si>
  <si>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</si>
  <si>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</si>
  <si>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</si>
  <si>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</si>
  <si>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</si>
  <si>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</si>
  <si>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</si>
  <si>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</si>
  <si>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</si>
  <si>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</si>
  <si>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</si>
  <si>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</si>
  <si>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</si>
  <si>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</si>
  <si>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</si>
  <si>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</si>
  <si>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</si>
  <si>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</si>
  <si>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</si>
  <si>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</si>
  <si>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</si>
  <si>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</si>
  <si>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</si>
  <si>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</si>
  <si>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</si>
  <si>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</si>
  <si>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</si>
  <si>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</si>
  <si>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</si>
  <si>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</si>
  <si>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</si>
  <si>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</si>
  <si>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</si>
  <si>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</si>
  <si>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</si>
  <si>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</si>
  <si>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</si>
  <si>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</si>
  <si>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</si>
  <si>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</si>
  <si>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</si>
  <si>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</si>
  <si>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</si>
  <si>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</si>
  <si>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</si>
  <si>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</si>
  <si>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</si>
  <si>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</si>
  <si>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</si>
  <si>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</si>
  <si>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</si>
  <si>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</si>
  <si>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</si>
  <si>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</si>
  <si>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</si>
  <si>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</si>
  <si>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</si>
  <si>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</si>
  <si>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</si>
  <si>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</si>
  <si>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</si>
  <si>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</si>
  <si>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</si>
  <si>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</si>
  <si>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</si>
  <si>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</si>
  <si>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</si>
  <si>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</si>
  <si>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</si>
  <si>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</si>
  <si>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</si>
  <si>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</si>
  <si>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</si>
  <si>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</si>
  <si>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</si>
  <si>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</si>
  <si>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</si>
  <si>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</si>
  <si>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</si>
  <si>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</si>
  <si>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</si>
  <si>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</si>
  <si>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</si>
  <si>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</si>
  <si>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</si>
  <si>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</si>
  <si>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</si>
  <si>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</si>
  <si>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</si>
  <si>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</si>
  <si>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</si>
  <si>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</si>
  <si>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</si>
  <si>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</si>
  <si>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</si>
  <si>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</si>
  <si>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</si>
  <si>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</si>
  <si>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</si>
  <si>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</si>
  <si>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</si>
  <si>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</si>
  <si>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</si>
  <si>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</si>
  <si>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</si>
  <si>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</si>
  <si>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</si>
  <si>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</si>
  <si>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</si>
  <si>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</si>
  <si>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</si>
  <si>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</si>
  <si>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</si>
  <si>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</si>
  <si>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</si>
  <si>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</si>
  <si>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</si>
  <si>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</si>
  <si>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</si>
  <si>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</si>
  <si>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</si>
  <si>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</si>
  <si>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</si>
  <si>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</si>
  <si>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</si>
  <si>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</si>
  <si>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</si>
  <si>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</si>
  <si>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</si>
  <si>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</si>
  <si>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</si>
  <si>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</si>
  <si>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</si>
  <si>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</si>
  <si>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</si>
  <si>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</si>
  <si>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</si>
  <si>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</si>
  <si>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</si>
  <si>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</si>
  <si>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</si>
  <si>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</si>
  <si>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</si>
  <si>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</si>
  <si>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</si>
  <si>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</si>
  <si>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</si>
  <si>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</si>
  <si>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</si>
  <si>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</si>
  <si>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</si>
  <si>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</si>
  <si>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</si>
  <si>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</si>
  <si>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</si>
  <si>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</si>
  <si>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</si>
  <si>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</si>
  <si>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</si>
  <si>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</si>
  <si>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</si>
  <si>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</si>
  <si>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</si>
  <si>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</si>
  <si>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</si>
  <si>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</si>
  <si>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</si>
  <si>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</si>
  <si>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</si>
  <si>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</si>
  <si>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</si>
  <si>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</si>
  <si>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</si>
  <si>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</si>
  <si>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</si>
  <si>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</si>
  <si>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</si>
  <si>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</si>
  <si>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</si>
  <si>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</si>
  <si>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</si>
  <si>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</si>
  <si>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</si>
  <si>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</si>
  <si>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</si>
  <si>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</si>
  <si>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</si>
  <si>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</si>
  <si>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</si>
  <si>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</si>
  <si>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</si>
  <si>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</si>
  <si>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</si>
  <si>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</si>
  <si>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</si>
  <si>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</si>
  <si>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</si>
  <si>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</si>
  <si>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</si>
  <si>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</si>
  <si>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</si>
  <si>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</si>
  <si>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</si>
  <si>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</si>
  <si>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</si>
  <si>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</si>
  <si>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</si>
  <si>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</si>
  <si>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</si>
  <si>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</si>
  <si>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</si>
  <si>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</si>
  <si>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</si>
  <si>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</si>
  <si>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</si>
  <si>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</si>
  <si>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</si>
  <si>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</si>
  <si>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</si>
  <si>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</si>
  <si>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</si>
  <si>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</si>
  <si>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</si>
  <si>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</si>
  <si>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</si>
  <si>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</si>
  <si>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</si>
  <si>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</si>
  <si>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</si>
  <si>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</si>
  <si>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</si>
  <si>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</si>
  <si>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</si>
  <si>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</si>
  <si>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</si>
  <si>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</si>
  <si>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</si>
  <si>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</si>
  <si>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</si>
  <si>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</si>
  <si>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</si>
  <si>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</si>
  <si>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</si>
  <si>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</si>
  <si>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</si>
  <si>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</si>
  <si>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</si>
  <si>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</si>
  <si>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</si>
  <si>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</si>
  <si>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</si>
  <si>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</si>
  <si>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</si>
  <si>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</si>
  <si>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</si>
  <si>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</si>
  <si>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</si>
  <si>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</si>
  <si>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</si>
  <si>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</si>
  <si>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</si>
  <si>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</si>
  <si>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</si>
  <si>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</si>
  <si>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</si>
  <si>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</si>
  <si>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</si>
  <si>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</si>
  <si>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</si>
  <si>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</si>
  <si>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</si>
  <si>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</si>
  <si>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</si>
  <si>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</si>
  <si>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</si>
  <si>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</si>
  <si>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</si>
  <si>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</si>
  <si>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</si>
  <si>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</si>
  <si>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</si>
  <si>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</si>
  <si>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</si>
  <si>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</si>
  <si>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</si>
  <si>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</si>
  <si>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</si>
  <si>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</si>
  <si>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</si>
  <si>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</si>
  <si>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</si>
  <si>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</si>
  <si>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</si>
  <si>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</si>
  <si>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</si>
  <si>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</si>
  <si>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</si>
  <si>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</si>
  <si>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</si>
  <si>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</si>
  <si>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</si>
  <si>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</si>
  <si>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</si>
  <si>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</si>
  <si>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</si>
  <si>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</si>
  <si>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</si>
  <si>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</si>
  <si>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</si>
  <si>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</si>
  <si>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</si>
  <si>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</si>
  <si>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</si>
  <si>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</si>
  <si>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</si>
  <si>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</si>
  <si>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</si>
  <si>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</si>
  <si>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</si>
  <si>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</si>
  <si>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</si>
  <si>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</si>
  <si>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</si>
  <si>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</si>
  <si>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</si>
  <si>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</si>
  <si>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</si>
  <si>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</si>
  <si>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</si>
  <si>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</si>
  <si>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</si>
  <si>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</si>
  <si>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</si>
  <si>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</si>
  <si>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</si>
  <si>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</si>
  <si>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</si>
  <si>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</si>
  <si>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</si>
  <si>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</si>
  <si>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</si>
  <si>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</si>
  <si>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</si>
  <si>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</si>
  <si>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</si>
  <si>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</si>
  <si>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</si>
  <si>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</si>
  <si>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</si>
  <si>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</si>
  <si>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</si>
  <si>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</si>
  <si>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</si>
  <si>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</si>
  <si>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</si>
  <si>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</si>
  <si>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</si>
  <si>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</si>
  <si>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</si>
  <si>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</si>
  <si>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</si>
  <si>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</si>
  <si>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</si>
  <si>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</si>
  <si>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</si>
  <si>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</si>
  <si>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</si>
  <si>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</si>
  <si>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</si>
  <si>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</si>
  <si>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</si>
  <si>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</si>
  <si>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</si>
  <si>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</si>
  <si>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</si>
  <si>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</si>
  <si>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</si>
  <si>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</si>
  <si>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</si>
  <si>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</si>
  <si>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</si>
  <si>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</si>
  <si>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</si>
  <si>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</si>
  <si>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</si>
  <si>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</si>
  <si>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</si>
  <si>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</si>
  <si>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</si>
  <si>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</si>
  <si>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</si>
  <si>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</si>
  <si>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</si>
  <si>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</si>
  <si>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</si>
  <si>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</si>
  <si>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</si>
  <si>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</si>
  <si>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</si>
  <si>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</si>
  <si>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</si>
  <si>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</si>
  <si>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</si>
  <si>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</si>
  <si>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</si>
  <si>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</si>
  <si>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</si>
  <si>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</si>
  <si>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</si>
  <si>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</si>
  <si>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</si>
  <si>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</si>
  <si>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</si>
  <si>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</si>
  <si>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</si>
  <si>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</si>
  <si>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</si>
  <si>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</si>
  <si>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</si>
  <si>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</si>
  <si>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</si>
  <si>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</si>
  <si>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</si>
  <si>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</si>
  <si>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</si>
  <si>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</si>
  <si>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</si>
  <si>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</si>
  <si>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</si>
  <si>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</si>
  <si>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</si>
  <si>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</si>
  <si>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</si>
  <si>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</si>
  <si>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</si>
  <si>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</si>
  <si>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</si>
  <si>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</si>
  <si>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</si>
  <si>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</si>
  <si>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</si>
  <si>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</si>
  <si>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</si>
  <si>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</si>
  <si>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</si>
  <si>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</si>
  <si>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</si>
  <si>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</si>
  <si>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</si>
  <si>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</si>
  <si>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</si>
  <si>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</si>
  <si>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</si>
  <si>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</si>
  <si>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</si>
  <si>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</si>
  <si>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</si>
  <si>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</si>
  <si>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</si>
  <si>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</si>
  <si>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</si>
  <si>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</si>
  <si>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</si>
  <si>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</si>
  <si>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</si>
  <si>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</si>
  <si>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</si>
  <si>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</si>
  <si>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</si>
  <si>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</si>
  <si>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</si>
  <si>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</si>
  <si>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</si>
  <si>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</si>
  <si>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</si>
  <si>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</si>
  <si>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</si>
  <si>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</si>
  <si>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</si>
  <si>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</si>
  <si>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</si>
  <si>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</si>
  <si>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</si>
  <si>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</si>
  <si>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</si>
  <si>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</si>
  <si>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</si>
  <si>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</si>
  <si>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</si>
  <si>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</si>
  <si>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</si>
  <si>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</si>
  <si>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</si>
  <si>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</si>
  <si>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</si>
  <si>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</si>
  <si>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</si>
  <si>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</si>
  <si>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</si>
  <si>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</si>
  <si>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</si>
  <si>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</si>
  <si>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</si>
  <si>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</si>
  <si>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</si>
  <si>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</si>
  <si>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</si>
  <si>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</si>
  <si>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</si>
  <si>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</si>
  <si>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</si>
  <si>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</si>
  <si>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</si>
  <si>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</si>
  <si>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</si>
  <si>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</si>
  <si>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</si>
  <si>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</si>
  <si>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</si>
  <si>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</si>
  <si>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</si>
  <si>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</si>
  <si>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</si>
  <si>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</si>
  <si>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</si>
  <si>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</si>
  <si>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</si>
  <si>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</si>
  <si>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</si>
  <si>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</si>
  <si>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</si>
  <si>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</si>
  <si>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</si>
  <si>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</si>
  <si>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</si>
  <si>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</si>
  <si>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</si>
  <si>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</si>
  <si>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</si>
  <si>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</si>
  <si>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</si>
  <si>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</si>
  <si>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</si>
  <si>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</si>
  <si>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</si>
  <si>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</si>
  <si>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</si>
  <si>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</si>
  <si>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</si>
  <si>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</si>
  <si>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</si>
  <si>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</si>
  <si>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</si>
  <si>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</si>
  <si>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</si>
  <si>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</si>
  <si>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</si>
  <si>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</si>
  <si>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</si>
  <si>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</si>
  <si>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</si>
  <si>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</si>
  <si>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</si>
  <si>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</si>
  <si>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</si>
  <si>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</si>
  <si>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</si>
  <si>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</si>
  <si>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</si>
  <si>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</si>
  <si>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</si>
  <si>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</si>
  <si>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</si>
  <si>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</si>
  <si>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</si>
  <si>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</si>
  <si>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</si>
  <si>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</si>
  <si>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</si>
  <si>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</si>
  <si>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</si>
  <si>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</si>
  <si>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</si>
  <si>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</si>
  <si>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</si>
  <si>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</si>
  <si>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</si>
  <si>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</si>
  <si>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</si>
  <si>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</si>
  <si>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</si>
  <si>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</si>
  <si>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</si>
  <si>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</si>
  <si>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</si>
  <si>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</si>
  <si>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</si>
  <si>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</si>
  <si>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</si>
  <si>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</si>
  <si>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</si>
  <si>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</si>
  <si>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</si>
  <si>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</si>
  <si>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</si>
  <si>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</si>
  <si>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</si>
  <si>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</si>
  <si>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</si>
  <si>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</si>
  <si>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</si>
  <si>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</si>
  <si>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</si>
  <si>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</si>
  <si>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</si>
  <si>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</si>
  <si>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</si>
  <si>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</si>
  <si>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</si>
  <si>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</si>
  <si>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</si>
  <si>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</si>
  <si>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</si>
  <si>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</si>
  <si>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</si>
  <si>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</si>
  <si>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</si>
  <si>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</si>
  <si>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</si>
  <si>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</si>
  <si>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</si>
  <si>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</si>
  <si>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</si>
  <si>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</si>
  <si>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</si>
  <si>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</si>
  <si>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</si>
  <si>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</si>
  <si>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</si>
  <si>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</si>
  <si>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</si>
  <si>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</si>
  <si>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</si>
  <si>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</si>
  <si>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</si>
  <si>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</si>
  <si>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</si>
  <si>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</si>
  <si>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</si>
  <si>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</si>
  <si>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</si>
  <si>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</si>
  <si>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</si>
  <si>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</si>
  <si>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</si>
  <si>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</si>
  <si>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</si>
  <si>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</si>
  <si>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</si>
  <si>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</si>
  <si>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</si>
  <si>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</si>
  <si>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</si>
  <si>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</si>
  <si>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</si>
  <si>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</si>
  <si>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</si>
  <si>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</si>
  <si>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</si>
  <si>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</si>
  <si>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</si>
  <si>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</si>
  <si>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</si>
  <si>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</si>
  <si>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</si>
  <si>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</si>
  <si>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</si>
  <si>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</si>
  <si>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</si>
  <si>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</si>
  <si>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</si>
  <si>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</si>
  <si>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</si>
  <si>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</si>
  <si>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</si>
  <si>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</si>
  <si>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</si>
  <si>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</si>
  <si>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</si>
  <si>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</si>
  <si>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</si>
  <si>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</si>
  <si>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</si>
  <si>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</si>
  <si>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</si>
  <si>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</si>
  <si>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</si>
  <si>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</si>
  <si>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</si>
  <si>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</si>
  <si>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</si>
  <si>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</si>
  <si>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</si>
  <si>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</si>
  <si>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</si>
  <si>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</si>
  <si>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</si>
  <si>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</si>
  <si>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</si>
  <si>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</si>
  <si>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</si>
  <si>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</si>
  <si>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</si>
  <si>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</si>
  <si>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</si>
  <si>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</si>
  <si>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</si>
  <si>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</si>
  <si>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</si>
  <si>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</si>
  <si>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</si>
  <si>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</si>
  <si>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</si>
  <si>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</si>
  <si>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</si>
  <si>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</si>
  <si>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</si>
  <si>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</si>
  <si>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</si>
  <si>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</si>
  <si>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</si>
  <si>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</si>
  <si>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</si>
  <si>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</si>
  <si>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</si>
  <si>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</si>
  <si>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</si>
  <si>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</si>
  <si>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</si>
  <si>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</si>
  <si>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</si>
  <si>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</si>
  <si>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</si>
  <si>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</si>
  <si>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</si>
  <si>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</si>
  <si>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</si>
  <si>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</si>
  <si>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</si>
  <si>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</si>
  <si>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</si>
  <si>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</si>
  <si>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</si>
  <si>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</si>
  <si>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</si>
  <si>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</si>
  <si>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</si>
  <si>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</si>
  <si>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</si>
  <si>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</si>
  <si>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</si>
  <si>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</si>
  <si>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</si>
  <si>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</si>
  <si>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</si>
  <si>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</si>
  <si>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</si>
  <si>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</si>
  <si>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</si>
  <si>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</si>
  <si>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</si>
  <si>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</si>
  <si>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</si>
  <si>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</si>
  <si>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</si>
  <si>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</si>
  <si>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</si>
  <si>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</si>
  <si>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</si>
  <si>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</si>
  <si>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</si>
  <si>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</si>
  <si>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</si>
  <si>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</si>
  <si>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</si>
  <si>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</si>
  <si>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</si>
  <si>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</si>
  <si>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</si>
  <si>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</si>
  <si>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</si>
  <si>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</si>
  <si>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</si>
  <si>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</si>
  <si>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</si>
  <si>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</si>
  <si>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</si>
  <si>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</si>
  <si>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</si>
  <si>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</si>
  <si>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</si>
  <si>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</si>
  <si>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</si>
  <si>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</si>
  <si>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</si>
  <si>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</si>
  <si>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</si>
  <si>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</si>
  <si>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</si>
  <si>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</si>
  <si>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</si>
  <si>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</si>
  <si>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</si>
  <si>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</si>
  <si>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</si>
  <si>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</si>
  <si>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</si>
  <si>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</si>
  <si>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</si>
  <si>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</si>
  <si>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</si>
  <si>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</si>
  <si>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</si>
  <si>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</si>
  <si>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</si>
  <si>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</si>
  <si>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</si>
  <si>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</si>
  <si>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</si>
  <si>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</si>
  <si>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</si>
  <si>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</si>
  <si>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</si>
  <si>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</si>
  <si>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</si>
  <si>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</si>
  <si>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</si>
  <si>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</si>
  <si>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</si>
  <si>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</si>
  <si>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</si>
  <si>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</si>
  <si>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</si>
  <si>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</si>
  <si>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</si>
  <si>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</si>
  <si>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</si>
  <si>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</si>
  <si>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</si>
  <si>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</si>
  <si>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</si>
  <si>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</si>
  <si>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</si>
  <si>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</si>
  <si>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</si>
  <si>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</si>
  <si>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</si>
  <si>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</si>
  <si>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</si>
  <si>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</si>
  <si>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</si>
  <si>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</si>
  <si>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</si>
  <si>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</si>
  <si>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</si>
  <si>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</si>
  <si>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</si>
  <si>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</si>
  <si>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</si>
  <si>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</si>
  <si>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</si>
  <si>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</si>
  <si>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</si>
  <si>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</si>
  <si>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</si>
  <si>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</si>
  <si>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</si>
  <si>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</si>
  <si>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</si>
  <si>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</si>
  <si>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</si>
  <si>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</si>
  <si>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</si>
  <si>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</si>
  <si>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</si>
  <si>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</si>
  <si>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</si>
  <si>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</si>
  <si>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</si>
  <si>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</si>
  <si>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</si>
  <si>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</si>
  <si>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</si>
  <si>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</si>
  <si>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</si>
  <si>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</si>
  <si>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</si>
  <si>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</si>
  <si>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</si>
  <si>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</si>
  <si>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</si>
  <si>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</si>
  <si>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</si>
  <si>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</si>
  <si>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</si>
  <si>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</si>
  <si>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</si>
  <si>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</si>
  <si>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</si>
  <si>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</si>
  <si>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</si>
  <si>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</si>
  <si>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</si>
  <si>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</si>
  <si>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</si>
  <si>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</si>
  <si>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</si>
  <si>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</si>
  <si>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</si>
  <si>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</si>
  <si>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</si>
  <si>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</si>
  <si>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</si>
  <si>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</si>
  <si>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</si>
  <si>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</si>
  <si>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</si>
  <si>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</si>
  <si>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</si>
  <si>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</si>
  <si>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</si>
  <si>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</si>
  <si>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</si>
  <si>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</si>
  <si>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</si>
  <si>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</si>
  <si>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</si>
  <si>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</si>
  <si>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</si>
  <si>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</si>
  <si>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</si>
  <si>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</si>
  <si>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</si>
  <si>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</si>
  <si>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</si>
  <si>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</si>
  <si>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</si>
  <si>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</si>
  <si>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</si>
  <si>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</si>
  <si>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</si>
  <si>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</si>
  <si>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</si>
  <si>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</si>
  <si>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</si>
  <si>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</si>
  <si>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</si>
  <si>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</si>
  <si>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</si>
  <si>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</si>
  <si>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</si>
  <si>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</si>
  <si>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</si>
  <si>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</si>
  <si>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</si>
  <si>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</si>
  <si>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</si>
  <si>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</si>
  <si>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</si>
  <si>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</si>
  <si>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</si>
  <si>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</si>
  <si>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</si>
  <si>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</si>
  <si>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</si>
  <si>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</si>
  <si>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</si>
  <si>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</si>
  <si>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</si>
  <si>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</si>
  <si>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</si>
  <si>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</si>
  <si>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</si>
  <si>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</si>
  <si>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</si>
  <si>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</si>
  <si>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</si>
  <si>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</si>
  <si>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</si>
  <si>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</si>
  <si>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</si>
  <si>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</si>
  <si>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</si>
  <si>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</si>
  <si>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</si>
  <si>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</si>
  <si>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</si>
  <si>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</si>
  <si>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</si>
  <si>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</si>
  <si>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</si>
  <si>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</si>
  <si>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</si>
  <si>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</si>
  <si>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</si>
  <si>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</si>
  <si>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</si>
  <si>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</si>
  <si>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</si>
  <si>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</si>
  <si>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</si>
  <si>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</si>
  <si>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</si>
  <si>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</si>
  <si>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</si>
  <si>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</si>
  <si>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</si>
  <si>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</si>
  <si>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</si>
  <si>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</si>
  <si>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</si>
  <si>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</si>
  <si>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</si>
  <si>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</si>
  <si>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</si>
  <si>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</si>
  <si>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</si>
  <si>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</si>
  <si>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</si>
  <si>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</si>
  <si>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</si>
  <si>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</si>
  <si>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</si>
  <si>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</si>
  <si>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</si>
  <si>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</si>
  <si>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</si>
  <si>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</si>
  <si>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</si>
  <si>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</si>
  <si>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</si>
  <si>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</si>
  <si>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</si>
  <si>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</si>
  <si>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</si>
  <si>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</si>
  <si>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</si>
  <si>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</si>
  <si>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</si>
  <si>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</si>
  <si>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</si>
  <si>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</si>
  <si>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</si>
  <si>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</si>
  <si>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</si>
  <si>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</si>
  <si>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</si>
  <si>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</si>
  <si>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</si>
  <si>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</si>
  <si>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</si>
  <si>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</si>
  <si>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</si>
  <si>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</si>
  <si>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</si>
  <si>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</si>
  <si>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</si>
  <si>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</si>
  <si>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</si>
  <si>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</si>
  <si>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</si>
  <si>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</si>
  <si>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</si>
  <si>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</si>
  <si>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</si>
  <si>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</si>
  <si>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</si>
  <si>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</si>
  <si>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</si>
  <si>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</si>
  <si>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</si>
  <si>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</si>
  <si>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</si>
  <si>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</si>
  <si>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</si>
  <si>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</si>
  <si>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</si>
  <si>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</si>
  <si>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</si>
  <si>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</si>
  <si>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</si>
  <si>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</si>
  <si>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</si>
  <si>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</si>
  <si>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</si>
  <si>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</si>
  <si>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</si>
  <si>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</si>
  <si>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</si>
  <si>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</si>
  <si>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</si>
  <si>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</si>
  <si>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</si>
  <si>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</si>
  <si>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</si>
  <si>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</si>
  <si>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</si>
  <si>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</si>
  <si>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</si>
  <si>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</si>
  <si>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</si>
  <si>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</si>
  <si>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</si>
  <si>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</si>
  <si>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</si>
  <si>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</si>
  <si>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</si>
  <si>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</si>
  <si>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</si>
  <si>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</si>
  <si>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</si>
  <si>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</si>
  <si>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</si>
  <si>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</si>
  <si>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</si>
  <si>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</si>
  <si>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</si>
  <si>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</si>
  <si>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</si>
  <si>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</si>
  <si>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</si>
  <si>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</si>
  <si>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</si>
  <si>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</si>
  <si>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</si>
  <si>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</si>
  <si>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</si>
  <si>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</si>
  <si>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</si>
  <si>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</si>
  <si>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</si>
  <si>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</si>
  <si>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</si>
  <si>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</si>
  <si>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</si>
  <si>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</si>
  <si>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</si>
  <si>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</si>
  <si>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</si>
  <si>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</si>
  <si>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</si>
  <si>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</si>
  <si>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</si>
  <si>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</si>
  <si>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</si>
  <si>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</si>
  <si>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</si>
  <si>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</si>
  <si>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</si>
  <si>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</si>
  <si>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</si>
  <si>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</si>
  <si>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</si>
  <si>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</si>
  <si>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</si>
  <si>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</si>
  <si>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</si>
  <si>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</si>
  <si>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</si>
  <si>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</si>
  <si>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</si>
  <si>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</si>
  <si>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</si>
  <si>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</si>
  <si>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</si>
  <si>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</si>
  <si>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</si>
  <si>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</si>
  <si>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</si>
  <si>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</si>
  <si>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</si>
  <si>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</si>
  <si>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</si>
  <si>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</si>
  <si>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</si>
  <si>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</si>
  <si>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</si>
  <si>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</si>
  <si>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</si>
  <si>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</si>
  <si>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</si>
  <si>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</si>
  <si>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</si>
  <si>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</si>
  <si>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</si>
  <si>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</si>
  <si>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</si>
  <si>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</si>
  <si>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</si>
  <si>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</si>
  <si>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</si>
  <si>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</si>
  <si>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</si>
  <si>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</si>
  <si>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</si>
  <si>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</si>
  <si>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</si>
  <si>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</si>
  <si>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</si>
  <si>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</si>
  <si>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</si>
  <si>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</si>
  <si>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</si>
  <si>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</si>
  <si>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</si>
  <si>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</si>
  <si>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</si>
  <si>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</si>
  <si>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</si>
  <si>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</si>
  <si>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</si>
  <si>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</si>
  <si>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</si>
  <si>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</si>
  <si>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</si>
  <si>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</si>
  <si>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</si>
  <si>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</si>
  <si>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</si>
  <si>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</si>
  <si>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</si>
  <si>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</si>
  <si>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</si>
  <si>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</si>
  <si>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</si>
  <si>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</si>
  <si>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</si>
  <si>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</si>
  <si>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</si>
  <si>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</si>
  <si>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</si>
  <si>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</si>
  <si>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</si>
  <si>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</si>
  <si>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</si>
  <si>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</si>
  <si>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</si>
  <si>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</si>
  <si>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</si>
  <si>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</si>
  <si>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</si>
  <si>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</si>
  <si>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</si>
  <si>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</si>
  <si>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</si>
  <si>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</si>
  <si>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</si>
  <si>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</si>
  <si>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</si>
  <si>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</si>
  <si>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</si>
  <si>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</si>
  <si>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</si>
  <si>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</si>
  <si>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</si>
  <si>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</si>
  <si>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</si>
  <si>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</si>
  <si>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</si>
  <si>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</si>
  <si>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</si>
  <si>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</si>
  <si>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</si>
  <si>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</si>
  <si>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</si>
  <si>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</si>
  <si>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</si>
  <si>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</si>
  <si>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</si>
  <si>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</si>
  <si>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</si>
  <si>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</si>
  <si>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</si>
  <si>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</si>
  <si>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</si>
  <si>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</si>
  <si>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</si>
  <si>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</si>
  <si>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</si>
  <si>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</si>
  <si>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</si>
  <si>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</si>
  <si>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</si>
  <si>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</si>
  <si>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</si>
  <si>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</si>
  <si>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</si>
  <si>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</si>
  <si>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</si>
  <si>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</si>
  <si>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</si>
  <si>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</si>
  <si>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</si>
  <si>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</si>
  <si>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</si>
  <si>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</si>
  <si>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</si>
  <si>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</si>
  <si>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</si>
  <si>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</si>
  <si>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</si>
  <si>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</si>
  <si>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</si>
  <si>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</si>
  <si>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</si>
  <si>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</si>
  <si>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</si>
  <si>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</si>
  <si>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</si>
  <si>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</si>
  <si>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</si>
  <si>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</si>
  <si>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</si>
  <si>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</si>
  <si>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</si>
  <si>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</si>
  <si>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</si>
  <si>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</si>
  <si>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</si>
  <si>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</si>
  <si>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</si>
  <si>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</si>
  <si>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</si>
  <si>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</si>
  <si>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</si>
  <si>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</si>
  <si>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</si>
  <si>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</si>
  <si>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</si>
  <si>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</si>
  <si>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</si>
  <si>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</si>
  <si>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</si>
  <si>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</si>
  <si>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</si>
  <si>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</si>
  <si>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</si>
  <si>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</si>
  <si>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</si>
  <si>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</si>
  <si>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</si>
  <si>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</si>
  <si>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</si>
  <si>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</si>
  <si>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</si>
  <si>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</si>
  <si>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</si>
  <si>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</si>
  <si>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</si>
  <si>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</si>
  <si>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</si>
  <si>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</si>
  <si>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</si>
  <si>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</si>
  <si>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</si>
  <si>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</si>
  <si>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</si>
  <si>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</si>
  <si>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</si>
  <si>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</si>
  <si>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</si>
  <si>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</si>
  <si>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</si>
  <si>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</si>
  <si>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</si>
  <si>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</si>
  <si>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</si>
  <si>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</si>
  <si>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</si>
  <si>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</si>
  <si>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</si>
  <si>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</si>
  <si>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</si>
  <si>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</si>
  <si>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</si>
  <si>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</si>
  <si>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</si>
  <si>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</si>
  <si>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</si>
  <si>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</si>
  <si>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</si>
  <si>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</si>
  <si>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</si>
  <si>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</si>
  <si>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</si>
  <si>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</si>
  <si>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</si>
  <si>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</si>
  <si>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</si>
  <si>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</si>
  <si>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</si>
  <si>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</si>
  <si>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</si>
  <si>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</si>
  <si>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</si>
  <si>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</si>
  <si>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</si>
  <si>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</si>
  <si>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</si>
  <si>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</si>
  <si>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</si>
  <si>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</si>
  <si>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</si>
  <si>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</si>
  <si>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</si>
  <si>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</si>
  <si>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</si>
  <si>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</si>
  <si>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</si>
  <si>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</si>
  <si>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</si>
  <si>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</si>
  <si>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</si>
  <si>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</si>
  <si>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</si>
  <si>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</si>
  <si>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</si>
  <si>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</si>
  <si>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</si>
  <si>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</si>
  <si>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</si>
  <si>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</si>
  <si>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</si>
  <si>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</si>
  <si>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</si>
  <si>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</si>
  <si>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</si>
  <si>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</si>
  <si>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</si>
  <si>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</si>
  <si>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</si>
  <si>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</si>
  <si>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</si>
  <si>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</si>
  <si>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</si>
  <si>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</si>
  <si>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</si>
  <si>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</si>
  <si>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</si>
  <si>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</si>
  <si>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</si>
  <si>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</si>
  <si>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</si>
  <si>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</si>
  <si>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</si>
  <si>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</si>
  <si>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</si>
  <si>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</si>
  <si>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</si>
  <si>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</si>
  <si>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</si>
  <si>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</si>
  <si>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</si>
  <si>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</si>
  <si>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</si>
  <si>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</si>
  <si>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</si>
  <si>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</si>
  <si>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</si>
  <si>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</si>
  <si>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</si>
  <si>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</si>
  <si>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</si>
  <si>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</si>
  <si>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</si>
  <si>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</si>
  <si>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</si>
  <si>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</si>
  <si>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</si>
  <si>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</si>
  <si>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</si>
  <si>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</si>
  <si>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</si>
  <si>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</si>
  <si>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</si>
  <si>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</si>
  <si>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</si>
  <si>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</si>
  <si>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</si>
  <si>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</si>
  <si>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</si>
  <si>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</si>
  <si>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</si>
  <si>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</si>
  <si>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</si>
  <si>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</si>
  <si>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</si>
  <si>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</si>
  <si>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</si>
  <si>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</si>
  <si>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</si>
  <si>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</si>
  <si>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</si>
  <si>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</si>
  <si>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</si>
  <si>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</si>
  <si>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</si>
  <si>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</si>
  <si>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</si>
  <si>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</si>
  <si>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</si>
  <si>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</si>
  <si>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</si>
  <si>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</si>
  <si>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</si>
  <si>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</si>
  <si>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</si>
  <si>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</si>
  <si>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</si>
  <si>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</si>
  <si>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</si>
  <si>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</si>
  <si>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</si>
  <si>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</si>
  <si>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</si>
  <si>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</si>
  <si>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</si>
  <si>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</si>
  <si>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</si>
  <si>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</si>
  <si>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</si>
  <si>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</si>
  <si>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</si>
  <si>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</si>
  <si>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</si>
  <si>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</si>
  <si>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</si>
  <si>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</si>
  <si>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</si>
  <si>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</si>
  <si>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</si>
  <si>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</si>
  <si>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</si>
  <si>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</si>
  <si>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</si>
  <si>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</si>
  <si>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</si>
  <si>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</si>
  <si>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</si>
  <si>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</si>
  <si>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</si>
  <si>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</si>
  <si>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</si>
  <si>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</si>
  <si>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</si>
  <si>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</si>
  <si>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</si>
  <si>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</si>
  <si>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</si>
  <si>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</si>
  <si>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</si>
  <si>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</si>
  <si>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</si>
  <si>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</si>
  <si>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</si>
  <si>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</si>
  <si>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</si>
  <si>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</si>
  <si>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</si>
  <si>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</si>
  <si>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</si>
  <si>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</si>
  <si>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</si>
  <si>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</si>
  <si>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</si>
  <si>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</si>
  <si>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</si>
  <si>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</si>
  <si>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</si>
  <si>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</si>
  <si>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</si>
  <si>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</si>
  <si>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</si>
  <si>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</si>
  <si>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</si>
  <si>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</si>
  <si>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</si>
  <si>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</si>
  <si>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</si>
  <si>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</si>
  <si>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</si>
  <si>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</si>
  <si>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</si>
  <si>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</si>
  <si>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</si>
  <si>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</si>
  <si>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</si>
  <si>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</si>
  <si>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</si>
  <si>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</si>
  <si>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</si>
  <si>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</si>
  <si>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</si>
  <si>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</si>
  <si>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</si>
  <si>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</si>
  <si>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</si>
  <si>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</si>
  <si>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</si>
  <si>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</si>
  <si>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</si>
  <si>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</si>
  <si>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</si>
  <si>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</si>
  <si>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</si>
  <si>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</si>
  <si>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</si>
  <si>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</si>
  <si>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</si>
  <si>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</si>
  <si>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</si>
  <si>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</si>
  <si>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</si>
  <si>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</si>
  <si>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</si>
  <si>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</si>
  <si>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</si>
  <si>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</si>
  <si>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</si>
  <si>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</si>
  <si>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</si>
  <si>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</si>
  <si>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</si>
  <si>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</si>
  <si>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</si>
  <si>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</si>
  <si>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</si>
  <si>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</si>
  <si>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</si>
  <si>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</si>
  <si>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</si>
  <si>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</si>
  <si>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</si>
  <si>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</si>
  <si>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</si>
  <si>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</si>
  <si>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</si>
  <si>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</si>
  <si>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</si>
  <si>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</si>
  <si>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</si>
  <si>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</si>
  <si>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</si>
  <si>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</si>
  <si>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</si>
  <si>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</si>
  <si>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</si>
  <si>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</si>
  <si>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</si>
  <si>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</si>
  <si>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</si>
  <si>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</si>
  <si>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</si>
  <si>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</si>
  <si>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</si>
  <si>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</si>
  <si>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</si>
  <si>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</si>
  <si>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</si>
  <si>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</si>
  <si>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</si>
  <si>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</si>
  <si>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</si>
  <si>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</si>
  <si>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</si>
  <si>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</si>
  <si>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</si>
  <si>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</si>
  <si>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</si>
  <si>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</si>
  <si>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</si>
  <si>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</si>
  <si>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</si>
  <si>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</si>
  <si>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</si>
  <si>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</si>
  <si>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</si>
  <si>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</si>
  <si>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</si>
  <si>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</si>
  <si>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</si>
  <si>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</si>
  <si>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</si>
  <si>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</si>
  <si>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</si>
  <si>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</si>
  <si>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</si>
  <si>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</si>
  <si>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</si>
  <si>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</si>
  <si>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</si>
  <si>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</si>
  <si>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</si>
  <si>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</si>
  <si>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</si>
  <si>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</si>
  <si>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</si>
  <si>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</si>
  <si>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</si>
  <si>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</si>
  <si>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</si>
  <si>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</si>
  <si>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</si>
  <si>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</si>
  <si>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</si>
  <si>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</si>
  <si>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</si>
  <si>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</si>
  <si>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</si>
  <si>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</si>
  <si>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</si>
  <si>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</si>
  <si>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</si>
  <si>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</si>
  <si>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</si>
  <si>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</si>
  <si>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</si>
  <si>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</si>
  <si>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</si>
  <si>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</si>
  <si>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</si>
  <si>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</si>
  <si>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</si>
  <si>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</si>
  <si>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</si>
  <si>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</si>
  <si>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</si>
  <si>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</si>
  <si>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</si>
  <si>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</si>
  <si>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</si>
  <si>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</si>
  <si>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</si>
  <si>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</si>
  <si>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</si>
  <si>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</si>
  <si>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</si>
  <si>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</si>
  <si>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</si>
  <si>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</si>
  <si>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</si>
  <si>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</si>
  <si>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</si>
  <si>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</si>
  <si>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</si>
  <si>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</si>
  <si>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</si>
  <si>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</si>
  <si>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</si>
  <si>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</si>
  <si>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</si>
  <si>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</si>
  <si>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</si>
  <si>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</si>
  <si>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</si>
  <si>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</si>
  <si>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</si>
  <si>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</si>
  <si>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</si>
  <si>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</si>
  <si>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</si>
  <si>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</si>
  <si>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</si>
  <si>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</si>
  <si>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</si>
  <si>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</si>
  <si>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</si>
  <si>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</si>
  <si>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</si>
  <si>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</si>
  <si>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</si>
  <si>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</si>
  <si>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</si>
  <si>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</si>
  <si>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</si>
  <si>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</si>
  <si>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</si>
  <si>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</si>
  <si>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</si>
  <si>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</si>
  <si>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</si>
  <si>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</si>
  <si>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</si>
  <si>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</si>
  <si>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</si>
  <si>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</si>
  <si>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</si>
  <si>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</si>
  <si>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</si>
  <si>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</si>
  <si>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</si>
  <si>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</si>
  <si>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</si>
  <si>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</si>
  <si>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</si>
  <si>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</si>
  <si>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</si>
  <si>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</si>
  <si>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</si>
  <si>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</si>
  <si>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</si>
  <si>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</si>
  <si>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</si>
  <si>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</si>
  <si>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</si>
  <si>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</si>
  <si>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</si>
  <si>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</si>
  <si>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</si>
  <si>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</si>
  <si>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</si>
  <si>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</si>
  <si>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</si>
  <si>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</si>
  <si>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</si>
  <si>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</si>
  <si>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</si>
  <si>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</si>
  <si>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</si>
  <si>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</si>
  <si>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</si>
  <si>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</si>
  <si>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</si>
  <si>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</si>
  <si>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</si>
  <si>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</si>
  <si>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</si>
  <si>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</si>
  <si>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</si>
  <si>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</si>
  <si>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</si>
  <si>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</si>
  <si>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</si>
  <si>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</si>
  <si>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</si>
  <si>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</si>
  <si>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</si>
  <si>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</si>
  <si>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</si>
  <si>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</si>
  <si>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</si>
  <si>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</si>
  <si>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</si>
  <si>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</si>
  <si>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</si>
  <si>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</si>
  <si>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</si>
  <si>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</si>
  <si>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</si>
  <si>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</si>
  <si>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</si>
  <si>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</si>
  <si>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</si>
  <si>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</si>
  <si>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</si>
  <si>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</si>
  <si>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</si>
  <si>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</si>
  <si>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</si>
  <si>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</si>
  <si>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</si>
  <si>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</si>
  <si>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</si>
  <si>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</si>
  <si>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</si>
  <si>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</si>
  <si>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</si>
  <si>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</si>
  <si>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</si>
  <si>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</si>
  <si>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</si>
  <si>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</si>
  <si>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</si>
  <si>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</si>
  <si>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</si>
  <si>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</si>
  <si>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</si>
  <si>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</si>
  <si>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</si>
  <si>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</si>
  <si>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</si>
  <si>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</si>
  <si>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</si>
  <si>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</si>
  <si>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</si>
  <si>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</si>
  <si>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</si>
  <si>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</si>
  <si>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</si>
  <si>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</si>
  <si>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</si>
  <si>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</si>
  <si>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</si>
  <si>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</si>
  <si>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</si>
  <si>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</si>
  <si>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</si>
  <si>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</si>
  <si>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</si>
  <si>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</si>
  <si>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</si>
  <si>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</si>
  <si>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</si>
  <si>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</si>
  <si>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</si>
  <si>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</si>
  <si>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</si>
  <si>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</si>
  <si>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</si>
  <si>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</si>
  <si>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</si>
  <si>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</si>
  <si>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</si>
  <si>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</si>
  <si>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</si>
  <si>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</si>
  <si>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</si>
  <si>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</si>
  <si>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</si>
  <si>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</si>
  <si>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</si>
  <si>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</si>
  <si>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</si>
  <si>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</si>
  <si>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</si>
  <si>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</si>
  <si>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</si>
  <si>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</si>
  <si>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</si>
  <si>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</si>
  <si>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</si>
  <si>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</si>
  <si>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</si>
  <si>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</si>
  <si>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</si>
  <si>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</si>
  <si>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</si>
  <si>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</si>
  <si>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</si>
  <si>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</si>
  <si>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</si>
  <si>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</si>
  <si>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</si>
  <si>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</si>
  <si>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</si>
  <si>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</si>
  <si>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</si>
  <si>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</si>
  <si>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</si>
  <si>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</si>
  <si>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</si>
  <si>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</si>
  <si>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</si>
  <si>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</si>
  <si>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</si>
  <si>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</si>
  <si>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</si>
  <si>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</si>
  <si>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</si>
  <si>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</si>
  <si>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</si>
  <si>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</si>
  <si>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</si>
  <si>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</si>
  <si>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</si>
  <si>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</si>
  <si>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</si>
  <si>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</si>
  <si>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</si>
  <si>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</si>
  <si>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</si>
  <si>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</si>
  <si>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</si>
  <si>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</si>
  <si>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</si>
  <si>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</si>
  <si>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</si>
  <si>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</si>
  <si>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</si>
  <si>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</si>
  <si>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</si>
  <si>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</si>
  <si>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</si>
  <si>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</si>
  <si>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</si>
  <si>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</si>
  <si>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</si>
  <si>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</si>
  <si>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</si>
  <si>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</si>
  <si>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</si>
  <si>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</si>
  <si>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</si>
  <si>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</si>
  <si>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</si>
  <si>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</si>
  <si>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</si>
  <si>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</si>
  <si>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</si>
  <si>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</si>
  <si>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</si>
  <si>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</si>
  <si>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</si>
  <si>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</si>
  <si>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</si>
  <si>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</si>
  <si>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</si>
  <si>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</si>
  <si>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</si>
  <si>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</si>
  <si>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</si>
  <si>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</si>
  <si>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</si>
  <si>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</si>
  <si>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</si>
  <si>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</si>
  <si>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</si>
  <si>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</si>
  <si>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</si>
  <si>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</si>
  <si>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</si>
  <si>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</si>
  <si>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</si>
  <si>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</si>
  <si>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</si>
  <si>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</si>
  <si>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</si>
  <si>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</si>
  <si>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</si>
  <si>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</si>
  <si>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</si>
  <si>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</si>
  <si>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</si>
  <si>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</si>
  <si>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</si>
  <si>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</si>
  <si>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</si>
  <si>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</si>
  <si>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</si>
  <si>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</si>
  <si>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</si>
  <si>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</si>
  <si>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</si>
  <si>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</si>
  <si>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</si>
  <si>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</si>
  <si>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</si>
  <si>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</si>
  <si>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</si>
  <si>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</si>
  <si>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</si>
  <si>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</si>
  <si>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</si>
  <si>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</si>
  <si>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</si>
  <si>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</si>
  <si>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</si>
  <si>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</si>
  <si>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</si>
  <si>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</si>
  <si>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</si>
  <si>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</si>
  <si>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</si>
  <si>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</si>
  <si>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</si>
  <si>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</si>
  <si>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</si>
  <si>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</si>
  <si>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</si>
  <si>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</si>
  <si>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</si>
  <si>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</si>
  <si>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</si>
  <si>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</si>
  <si>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</si>
  <si>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</si>
  <si>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</si>
  <si>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</si>
  <si>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</si>
  <si>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</si>
  <si>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</si>
  <si>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</si>
  <si>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</si>
  <si>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</si>
  <si>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</si>
  <si>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</si>
  <si>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</si>
  <si>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</si>
  <si>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</si>
  <si>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</si>
  <si>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</si>
  <si>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</si>
  <si>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</si>
  <si>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</si>
  <si>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</si>
  <si>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</si>
  <si>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</si>
  <si>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</si>
  <si>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</si>
  <si>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</si>
  <si>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</si>
  <si>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</si>
  <si>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</si>
  <si>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</si>
  <si>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</si>
  <si>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</si>
  <si>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</si>
  <si>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</si>
  <si>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</si>
  <si>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</si>
  <si>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</si>
  <si>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</si>
  <si>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</si>
  <si>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</si>
  <si>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</si>
  <si>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</si>
  <si>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</si>
  <si>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</si>
  <si>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</si>
  <si>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</si>
  <si>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</si>
  <si>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</si>
  <si>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</si>
  <si>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</si>
  <si>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</si>
  <si>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</si>
  <si>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</si>
  <si>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</si>
  <si>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</si>
  <si>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</si>
  <si>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</si>
  <si>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</si>
  <si>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</si>
  <si>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</si>
  <si>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</si>
  <si>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</si>
  <si>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</si>
  <si>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</si>
  <si>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</si>
  <si>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</si>
  <si>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</si>
  <si>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</si>
  <si>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</si>
  <si>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</si>
  <si>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</si>
  <si>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</si>
  <si>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</si>
  <si>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</si>
  <si>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</si>
  <si>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</si>
  <si>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</si>
  <si>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</si>
  <si>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</si>
  <si>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</si>
  <si>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</si>
  <si>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</si>
  <si>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</si>
  <si>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</si>
  <si>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</si>
  <si>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</si>
  <si>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</si>
  <si>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</si>
  <si>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</si>
  <si>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</si>
  <si>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</si>
  <si>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</si>
  <si>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</si>
  <si>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</si>
  <si>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</si>
  <si>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</si>
  <si>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</si>
  <si>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</si>
  <si>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</si>
  <si>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</si>
  <si>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</si>
  <si>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</si>
  <si>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</si>
  <si>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</si>
  <si>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</si>
  <si>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</si>
  <si>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</si>
  <si>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</si>
  <si>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</si>
  <si>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</si>
  <si>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</si>
  <si>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</si>
  <si>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</si>
  <si>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</si>
  <si>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</si>
  <si>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</si>
  <si>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</si>
  <si>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</si>
  <si>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</si>
  <si>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</si>
  <si>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</si>
  <si>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</si>
  <si>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</si>
  <si>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</si>
  <si>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</si>
  <si>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</si>
  <si>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</si>
  <si>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</si>
  <si>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</si>
  <si>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</si>
  <si>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</si>
  <si>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</si>
  <si>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</si>
  <si>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</si>
  <si>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</si>
  <si>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</si>
  <si>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</si>
  <si>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</si>
  <si>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</si>
  <si>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</si>
  <si>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</si>
  <si>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</si>
  <si>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</si>
  <si>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</si>
  <si>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</si>
  <si>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</si>
  <si>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</si>
  <si>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</si>
  <si>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</si>
  <si>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</si>
  <si>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</si>
  <si>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</si>
  <si>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</si>
  <si>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</si>
  <si>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</si>
  <si>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</si>
  <si>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</si>
  <si>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</si>
  <si>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</si>
  <si>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</si>
  <si>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</si>
  <si>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</si>
  <si>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</si>
  <si>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</si>
  <si>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</si>
  <si>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</si>
  <si>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</si>
  <si>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</si>
  <si>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</si>
  <si>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</si>
  <si>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</si>
  <si>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</si>
  <si>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</si>
  <si>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</si>
  <si>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</si>
  <si>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</si>
  <si>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</si>
  <si>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</si>
  <si>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</si>
  <si>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</si>
  <si>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</si>
  <si>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</si>
  <si>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</si>
  <si>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</si>
  <si>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</si>
  <si>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</si>
  <si>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</si>
  <si>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</si>
  <si>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</si>
  <si>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</si>
  <si>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</si>
  <si>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</si>
  <si>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</si>
  <si>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</si>
  <si>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</si>
  <si>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</si>
  <si>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</si>
  <si>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</si>
  <si>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</si>
  <si>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</si>
  <si>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</si>
  <si>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</si>
  <si>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</si>
  <si>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</si>
  <si>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</si>
  <si>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</si>
  <si>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</si>
  <si>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</si>
  <si>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</si>
  <si>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</si>
  <si>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</si>
  <si>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</si>
  <si>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</si>
  <si>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</si>
  <si>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</si>
  <si>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</si>
  <si>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</si>
  <si>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</si>
  <si>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</si>
  <si>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</si>
  <si>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</si>
  <si>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</si>
  <si>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</si>
  <si>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</si>
  <si>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</si>
  <si>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</si>
  <si>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</si>
  <si>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</si>
  <si>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</si>
  <si>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</si>
  <si>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</si>
  <si>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</si>
  <si>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</si>
  <si>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</si>
  <si>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</si>
  <si>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</si>
  <si>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</si>
  <si>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</si>
  <si>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</si>
  <si>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</si>
  <si>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</si>
  <si>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</si>
  <si>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</si>
  <si>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</si>
  <si>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</si>
  <si>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</si>
  <si>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</si>
  <si>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</si>
  <si>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</si>
  <si>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</si>
  <si>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</si>
  <si>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</si>
  <si>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</si>
  <si>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</si>
  <si>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</si>
  <si>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</si>
  <si>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</si>
  <si>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</si>
  <si>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</si>
  <si>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</si>
  <si>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</si>
  <si>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</si>
  <si>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</si>
  <si>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</si>
  <si>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</si>
  <si>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</si>
  <si>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</si>
  <si>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</si>
  <si>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</si>
  <si>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</si>
  <si>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</si>
  <si>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</si>
  <si>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</si>
  <si>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</si>
  <si>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</si>
  <si>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</si>
  <si>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</si>
  <si>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</si>
  <si>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</si>
  <si>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</si>
  <si>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</si>
  <si>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</si>
  <si>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</si>
  <si>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</si>
  <si>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</si>
  <si>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</si>
  <si>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</si>
  <si>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</si>
  <si>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</si>
  <si>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</si>
  <si>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</si>
  <si>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</si>
  <si>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</si>
  <si>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</si>
  <si>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</si>
  <si>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</si>
  <si>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</si>
  <si>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</si>
  <si>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</si>
  <si>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</si>
  <si>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</si>
  <si>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</si>
  <si>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</si>
  <si>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</si>
  <si>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</si>
  <si>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</si>
  <si>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</si>
  <si>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</si>
  <si>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</si>
  <si>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</si>
  <si>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</si>
  <si>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</si>
  <si>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</si>
  <si>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</si>
  <si>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</si>
  <si>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</si>
  <si>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</si>
  <si>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</si>
  <si>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</si>
  <si>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</si>
  <si>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</si>
  <si>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</si>
  <si>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</si>
  <si>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</si>
  <si>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</si>
  <si>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</si>
  <si>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</si>
  <si>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</si>
  <si>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</si>
  <si>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</si>
  <si>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</si>
  <si>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</si>
  <si>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</si>
  <si>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</si>
  <si>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</si>
  <si>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</si>
  <si>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+5493514882213</t>
  </si>
  <si>
    <t>RÍO GRANDE</t>
  </si>
  <si>
    <t>chicane loluda</t>
  </si>
  <si>
    <t>Polita 213 4° C</t>
  </si>
  <si>
    <t>FULANA DE NO TAN TAL DE LAS BUENAS AVENTURANZAS</t>
  </si>
  <si>
    <t>Retiro en Sucursal del Correo Argentino Cód. NIS V0002</t>
  </si>
  <si>
    <t>PAMELITA DAVID DE PANCHO VILA</t>
  </si>
  <si>
    <t>PRECIO</t>
  </si>
  <si>
    <t>CHICANE LOLUDA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</si>
</sst>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39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40" t="s">
        <v>8886</v>
      </c>
      <c r="B1" s="140" t="s">
        <v>8885</v>
      </c>
      <c r="C1" s="140" t="s">
        <v>8884</v>
      </c>
      <c r="D1" s="141" t="s">
        <v>15614</v>
      </c>
      <c r="E1" s="140" t="s">
        <v>8331</v>
      </c>
      <c r="F1" s="140" t="s">
        <v>8651</v>
      </c>
      <c r="G1" s="140" t="s">
        <v>8883</v>
      </c>
      <c r="H1" s="175" t="s">
        <v>15654</v>
      </c>
      <c r="I1" s="140" t="s">
        <v>14496</v>
      </c>
      <c r="J1" s="140" t="s">
        <v>8887</v>
      </c>
      <c r="K1" s="175" t="s">
        <v>15075</v>
      </c>
      <c r="L1" s="140" t="s">
        <v>8879</v>
      </c>
      <c r="M1" s="140" t="s">
        <v>8880</v>
      </c>
      <c r="N1" s="140" t="s">
        <v>8888</v>
      </c>
      <c r="O1" s="140" t="s">
        <v>14482</v>
      </c>
      <c r="P1" s="140" t="s">
        <v>8881</v>
      </c>
      <c r="Q1" s="140" t="s">
        <v>14478</v>
      </c>
      <c r="R1" s="140" t="s">
        <v>8882</v>
      </c>
      <c r="S1" s="141" t="s">
        <v>14495</v>
      </c>
      <c r="T1" s="137" t="s">
        <v>14637</v>
      </c>
    </row>
    <row r="2" spans="1:20" ht="15.75" thickBot="1" x14ac:dyDescent="0.3">
      <c r="A2" s="197"/>
      <c r="B2" s="118"/>
      <c r="C2" s="119"/>
      <c r="D2" s="116" t="str">
        <f>IFERROR(VLOOKUP(C2,LINCE!$A$1:$C$12000,3,FALSE),"")</f>
        <v/>
      </c>
      <c r="E2" s="117"/>
      <c r="F2" s="118"/>
      <c r="G2" s="117"/>
      <c r="H2" s="127"/>
      <c r="I2" s="127"/>
      <c r="J2" s="114"/>
      <c r="K2" s="114"/>
      <c r="L2" s="119"/>
      <c r="M2" s="114"/>
      <c r="N2" s="114"/>
      <c r="O2" s="201"/>
      <c r="P2" s="120"/>
      <c r="Q2" s="120"/>
      <c r="R2" s="114"/>
      <c r="S2" s="139"/>
      <c r="T2" s="138" t="s">
        <v>11505</v>
      </c>
    </row>
    <row r="3" spans="1:20" x14ac:dyDescent="0.25">
      <c r="A3" s="197"/>
      <c r="B3" s="118"/>
      <c r="C3" s="119"/>
      <c r="D3" s="116" t="str">
        <f>IFERROR(VLOOKUP(C3,LINCE!$A$1:$C$12000,3,FALSE),"")</f>
        <v/>
      </c>
      <c r="E3" s="117"/>
      <c r="F3" s="118"/>
      <c r="G3" s="117"/>
      <c r="H3" s="127"/>
      <c r="I3" s="127"/>
      <c r="J3" s="114"/>
      <c r="K3" s="114"/>
      <c r="L3" s="119"/>
      <c r="M3" s="114"/>
      <c r="N3" s="114"/>
      <c r="O3" s="114"/>
      <c r="P3" s="120"/>
      <c r="Q3" s="120"/>
      <c r="R3" s="114"/>
      <c r="S3" s="114"/>
    </row>
    <row r="4" spans="1:20" x14ac:dyDescent="0.25">
      <c r="A4" s="197"/>
      <c r="B4" s="118"/>
      <c r="C4" s="119"/>
      <c r="D4" s="116" t="str">
        <f>IFERROR(VLOOKUP(C4,LINCE!$A$1:$C$12000,3,FALSE),"")</f>
        <v/>
      </c>
      <c r="E4" s="117"/>
      <c r="F4" s="118"/>
      <c r="G4" s="117"/>
      <c r="H4" s="127"/>
      <c r="I4" s="127"/>
      <c r="J4" s="114"/>
      <c r="K4" s="114"/>
      <c r="L4" s="119"/>
      <c r="M4" s="114"/>
      <c r="N4" s="114"/>
      <c r="O4" s="114"/>
      <c r="P4" s="120"/>
      <c r="Q4" s="120"/>
      <c r="R4" s="114"/>
      <c r="S4" s="114"/>
    </row>
    <row r="5" spans="1:20" x14ac:dyDescent="0.25">
      <c r="A5" s="197"/>
      <c r="B5" s="118"/>
      <c r="C5" s="119"/>
      <c r="D5" s="116" t="str">
        <f>IFERROR(VLOOKUP(C5,LINCE!$A$1:$C$12000,3,FALSE),"")</f>
        <v/>
      </c>
      <c r="E5" s="117"/>
      <c r="F5" s="118"/>
      <c r="G5" s="117"/>
      <c r="H5" s="127"/>
      <c r="I5" s="127"/>
      <c r="J5" s="114"/>
      <c r="K5" s="114"/>
      <c r="L5" s="119"/>
      <c r="M5" s="114"/>
      <c r="N5" s="114"/>
      <c r="O5" s="114"/>
      <c r="P5" s="120"/>
      <c r="Q5" s="120"/>
      <c r="R5" s="114"/>
      <c r="S5" s="114"/>
    </row>
    <row r="6" spans="1:20" x14ac:dyDescent="0.25">
      <c r="A6" s="197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197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197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197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197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201"/>
      <c r="P10" s="120"/>
      <c r="Q10" s="120"/>
      <c r="R10" s="114"/>
      <c r="S10" s="114"/>
    </row>
    <row r="11" spans="1:20" x14ac:dyDescent="0.25">
      <c r="A11" s="197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197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197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197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197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197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7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7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7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7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7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7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7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7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7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7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7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7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7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7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7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7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7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8"/>
      <c r="B34" s="199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6">
        <f>COUNTA(A2:A34)</f>
        <v>0</v>
      </c>
      <c r="B35" s="176" t="s">
        <v>8344</v>
      </c>
      <c r="C35" s="176"/>
      <c r="D35" s="211" t="s">
        <v>8919</v>
      </c>
      <c r="E35" s="211"/>
      <c r="F35" s="211"/>
      <c r="G35" s="177">
        <f>SUM(G2:G34)</f>
        <v>0</v>
      </c>
      <c r="H35" s="177"/>
      <c r="I35" s="178" t="str">
        <f>IF(SUM(I2:I34)&gt;0,SUM(I2:I34),"")</f>
        <v/>
      </c>
      <c r="J35" s="179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</row>
    <row r="37" spans="1:19" x14ac:dyDescent="0.25">
      <c r="A37" s="180"/>
      <c r="B37" s="180"/>
      <c r="C37" s="180"/>
      <c r="D37" s="180"/>
      <c r="E37" s="180"/>
      <c r="F37" s="180"/>
    </row>
    <row r="38" spans="1:19" x14ac:dyDescent="0.25">
      <c r="B38" s="180"/>
      <c r="C38" s="180"/>
      <c r="D38" s="180"/>
      <c r="E38" s="180"/>
      <c r="F38" s="180"/>
    </row>
    <row r="39" spans="1:19" x14ac:dyDescent="0.25">
      <c r="B39" s="180"/>
      <c r="C39" s="180"/>
      <c r="D39" s="180"/>
      <c r="E39" s="180"/>
      <c r="F39" s="180"/>
    </row>
    <row r="40" spans="1:19" x14ac:dyDescent="0.25">
      <c r="B40" s="180"/>
      <c r="C40" s="180"/>
    </row>
    <row r="41" spans="1:19" x14ac:dyDescent="0.25">
      <c r="B41" s="180"/>
      <c r="C41" s="180"/>
    </row>
    <row r="42" spans="1:19" x14ac:dyDescent="0.25">
      <c r="B42" s="180"/>
      <c r="C42" s="180"/>
    </row>
    <row r="43" spans="1:19" x14ac:dyDescent="0.25">
      <c r="B43" s="180"/>
      <c r="C43" s="180"/>
    </row>
    <row r="44" spans="1:19" x14ac:dyDescent="0.25">
      <c r="B44" s="180"/>
      <c r="C44" s="180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1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13" zoomScaleNormal="100" workbookViewId="0">
      <selection activeCell="H28" sqref="H28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10"/>
      <c r="B1" s="210"/>
      <c r="C1" s="210"/>
      <c r="D1" s="210"/>
      <c r="E1" s="210"/>
      <c r="F1" s="210"/>
      <c r="G1" s="210"/>
      <c r="H1" s="210"/>
      <c r="I1" s="210"/>
    </row>
    <row r="2" spans="1:9" ht="19.5" x14ac:dyDescent="0.25">
      <c r="A2" s="237" t="s">
        <v>15615</v>
      </c>
      <c r="B2" s="238"/>
      <c r="C2" s="238"/>
      <c r="D2" s="238"/>
      <c r="E2" s="238"/>
      <c r="F2" s="238"/>
      <c r="G2" s="238"/>
      <c r="H2" s="238"/>
      <c r="I2" s="23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9" t="s">
        <v>15616</v>
      </c>
      <c r="B4" s="240"/>
      <c r="C4" s="240"/>
      <c r="D4" s="240"/>
      <c r="E4" s="240"/>
      <c r="F4" s="181"/>
      <c r="G4" s="245" t="s">
        <v>15617</v>
      </c>
      <c r="H4" s="246"/>
      <c r="I4" s="193">
        <f ca="1">TODAY()</f>
        <v>44972</v>
      </c>
    </row>
    <row r="5" spans="1:9" x14ac:dyDescent="0.25">
      <c r="A5" s="187"/>
      <c r="B5" s="187"/>
      <c r="C5" s="187"/>
      <c r="D5" s="187"/>
      <c r="E5" s="187"/>
      <c r="F5" s="187"/>
      <c r="G5" s="187"/>
      <c r="H5" s="187"/>
      <c r="I5" s="194"/>
    </row>
    <row r="6" spans="1:9" ht="19.5" x14ac:dyDescent="0.25">
      <c r="A6" s="241" t="s">
        <v>15618</v>
      </c>
      <c r="B6" s="238"/>
      <c r="C6" s="238"/>
      <c r="D6" s="238"/>
      <c r="E6" s="238"/>
      <c r="F6" s="238"/>
      <c r="G6" s="241" t="s">
        <v>15619</v>
      </c>
      <c r="H6" s="238"/>
      <c r="I6" s="242"/>
    </row>
    <row r="7" spans="1:9" ht="15" customHeight="1" x14ac:dyDescent="0.25">
      <c r="A7" s="212" t="s">
        <v>15620</v>
      </c>
      <c r="B7" s="213"/>
      <c r="C7" s="213"/>
      <c r="D7" s="213"/>
      <c r="E7" s="216" t="str">
        <f>Datos!B4 &amp; " "</f>
        <v xml:space="preserve">RERDA S.A. </v>
      </c>
      <c r="F7" s="217"/>
      <c r="G7" s="212" t="s">
        <v>15620</v>
      </c>
      <c r="H7" s="213"/>
      <c r="I7" s="243" t="s">
        <v>15651</v>
      </c>
    </row>
    <row r="8" spans="1:9" ht="15" customHeight="1" x14ac:dyDescent="0.25">
      <c r="A8" s="214" t="s">
        <v>15621</v>
      </c>
      <c r="B8" s="215"/>
      <c r="C8" s="215"/>
      <c r="D8" s="215"/>
      <c r="E8" s="218"/>
      <c r="F8" s="219"/>
      <c r="G8" s="214" t="s">
        <v>15621</v>
      </c>
      <c r="H8" s="215"/>
      <c r="I8" s="244"/>
    </row>
    <row r="9" spans="1:9" ht="15" customHeight="1" x14ac:dyDescent="0.25">
      <c r="A9" s="212" t="s">
        <v>15622</v>
      </c>
      <c r="B9" s="213"/>
      <c r="C9" s="213"/>
      <c r="D9" s="213"/>
      <c r="E9" s="216" t="str">
        <f>Datos!B6 &amp; " " &amp; Datos!B7 &amp; " "</f>
        <v xml:space="preserve">San Martín 1665 </v>
      </c>
      <c r="F9" s="217"/>
      <c r="G9" s="212" t="s">
        <v>15622</v>
      </c>
      <c r="H9" s="213"/>
      <c r="I9" s="235" t="s">
        <v>15652</v>
      </c>
    </row>
    <row r="10" spans="1:9" ht="15" customHeight="1" x14ac:dyDescent="0.25">
      <c r="A10" s="214" t="s">
        <v>15623</v>
      </c>
      <c r="B10" s="215"/>
      <c r="C10" s="215"/>
      <c r="D10" s="215"/>
      <c r="E10" s="218"/>
      <c r="F10" s="219"/>
      <c r="G10" s="214" t="s">
        <v>15623</v>
      </c>
      <c r="H10" s="215"/>
      <c r="I10" s="236"/>
    </row>
    <row r="11" spans="1:9" ht="18.75" x14ac:dyDescent="0.25">
      <c r="A11" s="212" t="s">
        <v>15640</v>
      </c>
      <c r="B11" s="213"/>
      <c r="C11" s="213"/>
      <c r="D11" s="213"/>
      <c r="E11" s="247" t="str">
        <f>Datos!B8 &amp; " "</f>
        <v xml:space="preserve">Mendoza </v>
      </c>
      <c r="F11" s="248"/>
      <c r="G11" s="212" t="s">
        <v>15640</v>
      </c>
      <c r="H11" s="213"/>
      <c r="I11" s="188" t="s">
        <v>15648</v>
      </c>
    </row>
    <row r="12" spans="1:9" ht="15.75" x14ac:dyDescent="0.25">
      <c r="A12" s="214" t="s">
        <v>15641</v>
      </c>
      <c r="B12" s="215"/>
      <c r="C12" s="215"/>
      <c r="D12" s="215"/>
      <c r="E12" s="249" t="str">
        <f>Datos!B7 &amp; " "</f>
        <v xml:space="preserve">1665 </v>
      </c>
      <c r="F12" s="250"/>
      <c r="G12" s="214" t="s">
        <v>15641</v>
      </c>
      <c r="H12" s="215"/>
      <c r="I12" s="202">
        <v>9420</v>
      </c>
    </row>
    <row r="13" spans="1:9" ht="19.5" customHeight="1" x14ac:dyDescent="0.25">
      <c r="A13" s="212" t="s">
        <v>15624</v>
      </c>
      <c r="B13" s="213"/>
      <c r="C13" s="213"/>
      <c r="D13" s="213"/>
      <c r="E13" s="216" t="str">
        <f>Datos!B9 &amp; " "</f>
        <v xml:space="preserve">Mendoza </v>
      </c>
      <c r="F13" s="217"/>
      <c r="G13" s="212" t="s">
        <v>15624</v>
      </c>
      <c r="H13" s="213"/>
      <c r="I13" s="227" t="s">
        <v>14282</v>
      </c>
    </row>
    <row r="14" spans="1:9" ht="15" customHeight="1" x14ac:dyDescent="0.25">
      <c r="A14" s="214" t="s">
        <v>15625</v>
      </c>
      <c r="B14" s="215"/>
      <c r="C14" s="215"/>
      <c r="D14" s="215"/>
      <c r="E14" s="218"/>
      <c r="F14" s="219"/>
      <c r="G14" s="214" t="s">
        <v>15625</v>
      </c>
      <c r="H14" s="215"/>
      <c r="I14" s="228"/>
    </row>
    <row r="15" spans="1:9" ht="15" customHeight="1" x14ac:dyDescent="0.25">
      <c r="A15" s="212" t="s">
        <v>15626</v>
      </c>
      <c r="B15" s="213"/>
      <c r="C15" s="213"/>
      <c r="D15" s="213"/>
      <c r="E15" s="216" t="s">
        <v>15627</v>
      </c>
      <c r="F15" s="217"/>
      <c r="G15" s="212" t="s">
        <v>15626</v>
      </c>
      <c r="H15" s="213"/>
      <c r="I15" s="217" t="str">
        <f>+E15</f>
        <v xml:space="preserve">Argentina </v>
      </c>
    </row>
    <row r="16" spans="1:9" ht="15" customHeight="1" x14ac:dyDescent="0.25">
      <c r="A16" s="214" t="s">
        <v>15628</v>
      </c>
      <c r="B16" s="215"/>
      <c r="C16" s="215"/>
      <c r="D16" s="215"/>
      <c r="E16" s="218"/>
      <c r="F16" s="219"/>
      <c r="G16" s="214" t="s">
        <v>15628</v>
      </c>
      <c r="H16" s="215"/>
      <c r="I16" s="219"/>
    </row>
    <row r="17" spans="1:9" ht="20.100000000000001" customHeight="1" x14ac:dyDescent="0.25">
      <c r="A17" s="212" t="s">
        <v>15629</v>
      </c>
      <c r="B17" s="213"/>
      <c r="C17" s="213"/>
      <c r="D17" s="213"/>
      <c r="E17" s="229" t="str">
        <f>Datos!B12 &amp; " "</f>
        <v xml:space="preserve">0261-4256567 | +549 2615117948 </v>
      </c>
      <c r="F17" s="230"/>
      <c r="G17" s="212" t="s">
        <v>15629</v>
      </c>
      <c r="H17" s="213"/>
      <c r="I17" s="233" t="s">
        <v>15647</v>
      </c>
    </row>
    <row r="18" spans="1:9" ht="20.100000000000001" customHeight="1" x14ac:dyDescent="0.25">
      <c r="A18" s="214" t="s">
        <v>15630</v>
      </c>
      <c r="B18" s="215"/>
      <c r="C18" s="215"/>
      <c r="D18" s="215"/>
      <c r="E18" s="231"/>
      <c r="F18" s="232"/>
      <c r="G18" s="214" t="s">
        <v>15630</v>
      </c>
      <c r="H18" s="215"/>
      <c r="I18" s="23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9" t="s">
        <v>15631</v>
      </c>
      <c r="B20" s="189" t="s">
        <v>15632</v>
      </c>
      <c r="C20" s="189" t="s">
        <v>15642</v>
      </c>
      <c r="D20" s="189" t="s">
        <v>15643</v>
      </c>
      <c r="E20" s="226" t="s">
        <v>15633</v>
      </c>
      <c r="F20" s="226"/>
      <c r="G20" s="226"/>
      <c r="H20" s="189" t="s">
        <v>15634</v>
      </c>
      <c r="I20" s="189" t="s">
        <v>15635</v>
      </c>
    </row>
    <row r="21" spans="1:9" x14ac:dyDescent="0.25">
      <c r="A21" s="203">
        <v>12</v>
      </c>
      <c r="B21" s="203">
        <v>2101555</v>
      </c>
      <c r="C21" s="207" t="s">
        <v>15079</v>
      </c>
      <c r="D21" s="207" t="s">
        <v>8345</v>
      </c>
      <c r="E21" s="220" t="str">
        <f>IFERROR(VLOOKUP(B21,LINCE!$A$1:$F$12000,3,FALSE),"")</f>
        <v>REMERA MC SIN CIERRE NEGRO 3XS/2XL RER</v>
      </c>
      <c r="F21" s="221"/>
      <c r="G21" s="222"/>
      <c r="H21" s="206">
        <v>123</v>
      </c>
      <c r="I21" s="190">
        <f>IF(A21="","",A21*H21)</f>
        <v>1476</v>
      </c>
    </row>
    <row r="22" spans="1:9" x14ac:dyDescent="0.25">
      <c r="A22" s="204">
        <v>2</v>
      </c>
      <c r="B22" s="204">
        <v>2101555</v>
      </c>
      <c r="C22" s="208" t="s">
        <v>15079</v>
      </c>
      <c r="D22" s="208" t="s">
        <v>8679</v>
      </c>
      <c r="E22" s="220" t="str">
        <f>IFERROR(VLOOKUP(B22,LINCE!$A$1:$F$12000,3,FALSE),"")</f>
        <v>REMERA MC SIN CIERRE NEGRO 3XS/2XL RER</v>
      </c>
      <c r="F22" s="221"/>
      <c r="G22" s="222"/>
      <c r="H22" s="206">
        <v>12</v>
      </c>
      <c r="I22" s="190">
        <f t="shared" ref="I22:I49" si="0">IF(A22="","",A22*H22)</f>
        <v>24</v>
      </c>
    </row>
    <row r="23" spans="1:9" x14ac:dyDescent="0.25">
      <c r="A23" s="204">
        <v>9</v>
      </c>
      <c r="B23" s="204">
        <v>2101550</v>
      </c>
      <c r="C23" s="208" t="s">
        <v>15079</v>
      </c>
      <c r="D23" s="208" t="s">
        <v>8659</v>
      </c>
      <c r="E23" s="220" t="str">
        <f>IFERROR(VLOOKUP(B23,LINCE!$A$1:$F$12000,3,FALSE),"")</f>
        <v>REMERA MC SIN CIERRE AZUL 3XS/2XL RER</v>
      </c>
      <c r="F23" s="221"/>
      <c r="G23" s="222"/>
      <c r="H23" s="206">
        <v>21</v>
      </c>
      <c r="I23" s="190">
        <f t="shared" si="0"/>
        <v>189</v>
      </c>
    </row>
    <row r="24" spans="1:9" x14ac:dyDescent="0.25">
      <c r="A24" s="204">
        <v>7</v>
      </c>
      <c r="B24" s="204">
        <v>2103050</v>
      </c>
      <c r="C24" s="208" t="s">
        <v>15613</v>
      </c>
      <c r="D24" s="208" t="s">
        <v>8687</v>
      </c>
      <c r="E24" s="220" t="str">
        <f>IFERROR(VLOOKUP(B24,LINCE!$A$1:$F$12000,3,FALSE),"")</f>
        <v>REMERA MC COMBAT AZUL</v>
      </c>
      <c r="F24" s="221"/>
      <c r="G24" s="222"/>
      <c r="H24" s="206">
        <v>32</v>
      </c>
      <c r="I24" s="190">
        <f t="shared" si="0"/>
        <v>224</v>
      </c>
    </row>
    <row r="25" spans="1:9" x14ac:dyDescent="0.25">
      <c r="A25" s="204">
        <v>3</v>
      </c>
      <c r="B25" s="204">
        <v>2103050</v>
      </c>
      <c r="C25" s="208" t="s">
        <v>15613</v>
      </c>
      <c r="D25" s="208" t="s">
        <v>8691</v>
      </c>
      <c r="E25" s="220" t="str">
        <f>IFERROR(VLOOKUP(B25,LINCE!$A$1:$F$12000,3,FALSE),"")</f>
        <v>REMERA MC COMBAT AZUL</v>
      </c>
      <c r="F25" s="221"/>
      <c r="G25" s="222"/>
      <c r="H25" s="206">
        <v>21</v>
      </c>
      <c r="I25" s="190">
        <f t="shared" si="0"/>
        <v>63</v>
      </c>
    </row>
    <row r="26" spans="1:9" x14ac:dyDescent="0.25">
      <c r="A26" s="204"/>
      <c r="B26" s="204"/>
      <c r="C26" s="208"/>
      <c r="D26" s="208"/>
      <c r="E26" s="220" t="str">
        <f>IFERROR(VLOOKUP(B26,LINCE!$A$1:$F$12000,3,FALSE),"")</f>
        <v/>
      </c>
      <c r="F26" s="221"/>
      <c r="G26" s="222"/>
      <c r="H26" s="206"/>
      <c r="I26" s="190" t="str">
        <f t="shared" si="0"/>
        <v/>
      </c>
    </row>
    <row r="27" spans="1:9" x14ac:dyDescent="0.25">
      <c r="A27" s="204"/>
      <c r="B27" s="204"/>
      <c r="C27" s="208"/>
      <c r="D27" s="208"/>
      <c r="E27" s="220" t="str">
        <f>IFERROR(VLOOKUP(B27,LINCE!$A$1:$F$12000,3,FALSE),"")</f>
        <v/>
      </c>
      <c r="F27" s="221"/>
      <c r="G27" s="222"/>
      <c r="H27" s="206"/>
      <c r="I27" s="190" t="str">
        <f t="shared" si="0"/>
        <v/>
      </c>
    </row>
    <row r="28" spans="1:9" x14ac:dyDescent="0.25">
      <c r="A28" s="204"/>
      <c r="B28" s="204"/>
      <c r="C28" s="208"/>
      <c r="D28" s="208"/>
      <c r="E28" s="220" t="str">
        <f>IFERROR(VLOOKUP(B28,LINCE!$A$1:$F$12000,3,FALSE),"")</f>
        <v/>
      </c>
      <c r="F28" s="221"/>
      <c r="G28" s="222"/>
      <c r="H28" s="206"/>
      <c r="I28" s="190" t="str">
        <f t="shared" si="0"/>
        <v/>
      </c>
    </row>
    <row r="29" spans="1:9" x14ac:dyDescent="0.25">
      <c r="A29" s="204"/>
      <c r="B29" s="204"/>
      <c r="C29" s="208"/>
      <c r="D29" s="208"/>
      <c r="E29" s="220" t="str">
        <f>IFERROR(VLOOKUP(B29,LINCE!$A$1:$F$12000,3,FALSE),"")</f>
        <v/>
      </c>
      <c r="F29" s="221"/>
      <c r="G29" s="222"/>
      <c r="H29" s="206"/>
      <c r="I29" s="190" t="str">
        <f t="shared" si="0"/>
        <v/>
      </c>
    </row>
    <row r="30" spans="1:9" x14ac:dyDescent="0.25">
      <c r="A30" s="204"/>
      <c r="B30" s="204"/>
      <c r="C30" s="208"/>
      <c r="D30" s="208"/>
      <c r="E30" s="220" t="str">
        <f>IFERROR(VLOOKUP(B30,LINCE!$A$1:$F$12000,3,FALSE),"")</f>
        <v/>
      </c>
      <c r="F30" s="221"/>
      <c r="G30" s="222"/>
      <c r="H30" s="206"/>
      <c r="I30" s="190" t="str">
        <f t="shared" si="0"/>
        <v/>
      </c>
    </row>
    <row r="31" spans="1:9" x14ac:dyDescent="0.25">
      <c r="A31" s="204"/>
      <c r="B31" s="204"/>
      <c r="C31" s="208"/>
      <c r="D31" s="208"/>
      <c r="E31" s="220" t="str">
        <f>IFERROR(VLOOKUP(B31,LINCE!$A$1:$F$12000,3,FALSE),"")</f>
        <v/>
      </c>
      <c r="F31" s="221"/>
      <c r="G31" s="222"/>
      <c r="H31" s="206"/>
      <c r="I31" s="190" t="str">
        <f t="shared" si="0"/>
        <v/>
      </c>
    </row>
    <row r="32" spans="1:9" x14ac:dyDescent="0.25">
      <c r="A32" s="204"/>
      <c r="B32" s="204"/>
      <c r="C32" s="208"/>
      <c r="D32" s="208"/>
      <c r="E32" s="220" t="str">
        <f>IFERROR(VLOOKUP(B32,LINCE!$A$1:$F$12000,3,FALSE),"")</f>
        <v/>
      </c>
      <c r="F32" s="221"/>
      <c r="G32" s="222"/>
      <c r="H32" s="206"/>
      <c r="I32" s="190" t="str">
        <f t="shared" si="0"/>
        <v/>
      </c>
    </row>
    <row r="33" spans="1:9" x14ac:dyDescent="0.25">
      <c r="A33" s="204"/>
      <c r="B33" s="204"/>
      <c r="C33" s="208"/>
      <c r="D33" s="208"/>
      <c r="E33" s="220" t="str">
        <f>IFERROR(VLOOKUP(B33,LINCE!$A$1:$F$12000,3,FALSE),"")</f>
        <v/>
      </c>
      <c r="F33" s="221"/>
      <c r="G33" s="222"/>
      <c r="H33" s="206"/>
      <c r="I33" s="190" t="str">
        <f t="shared" si="0"/>
        <v/>
      </c>
    </row>
    <row r="34" spans="1:9" x14ac:dyDescent="0.25">
      <c r="A34" s="204"/>
      <c r="B34" s="204"/>
      <c r="C34" s="208"/>
      <c r="D34" s="208"/>
      <c r="E34" s="220" t="str">
        <f>IFERROR(VLOOKUP(B34,LINCE!$A$1:$F$12000,3,FALSE),"")</f>
        <v/>
      </c>
      <c r="F34" s="221"/>
      <c r="G34" s="222"/>
      <c r="H34" s="206"/>
      <c r="I34" s="190" t="str">
        <f t="shared" si="0"/>
        <v/>
      </c>
    </row>
    <row r="35" spans="1:9" x14ac:dyDescent="0.25">
      <c r="A35" s="204"/>
      <c r="B35" s="204"/>
      <c r="C35" s="208"/>
      <c r="D35" s="208"/>
      <c r="E35" s="220" t="str">
        <f>IFERROR(VLOOKUP(B35,LINCE!$A$1:$F$12000,3,FALSE),"")</f>
        <v/>
      </c>
      <c r="F35" s="221"/>
      <c r="G35" s="222"/>
      <c r="H35" s="206"/>
      <c r="I35" s="190" t="str">
        <f t="shared" si="0"/>
        <v/>
      </c>
    </row>
    <row r="36" spans="1:9" x14ac:dyDescent="0.25">
      <c r="A36" s="204"/>
      <c r="B36" s="204"/>
      <c r="C36" s="208"/>
      <c r="D36" s="208"/>
      <c r="E36" s="220" t="str">
        <f>IFERROR(VLOOKUP(B36,LINCE!$A$1:$F$12000,3,FALSE),"")</f>
        <v/>
      </c>
      <c r="F36" s="221"/>
      <c r="G36" s="222"/>
      <c r="H36" s="206"/>
      <c r="I36" s="190" t="str">
        <f t="shared" si="0"/>
        <v/>
      </c>
    </row>
    <row r="37" spans="1:9" x14ac:dyDescent="0.25">
      <c r="A37" s="204"/>
      <c r="B37" s="204"/>
      <c r="C37" s="208"/>
      <c r="D37" s="208"/>
      <c r="E37" s="220" t="str">
        <f>IFERROR(VLOOKUP(B37,LINCE!$A$1:$F$12000,3,FALSE),"")</f>
        <v/>
      </c>
      <c r="F37" s="221"/>
      <c r="G37" s="222"/>
      <c r="H37" s="206"/>
      <c r="I37" s="190" t="str">
        <f t="shared" si="0"/>
        <v/>
      </c>
    </row>
    <row r="38" spans="1:9" x14ac:dyDescent="0.25">
      <c r="A38" s="204"/>
      <c r="B38" s="204"/>
      <c r="C38" s="208"/>
      <c r="D38" s="208"/>
      <c r="E38" s="220" t="str">
        <f>IFERROR(VLOOKUP(B38,LINCE!$A$1:$F$12000,3,FALSE),"")</f>
        <v/>
      </c>
      <c r="F38" s="221"/>
      <c r="G38" s="222"/>
      <c r="H38" s="206"/>
      <c r="I38" s="190" t="str">
        <f t="shared" si="0"/>
        <v/>
      </c>
    </row>
    <row r="39" spans="1:9" x14ac:dyDescent="0.25">
      <c r="A39" s="204"/>
      <c r="B39" s="204"/>
      <c r="C39" s="208"/>
      <c r="D39" s="208"/>
      <c r="E39" s="220" t="str">
        <f>IFERROR(VLOOKUP(B39,LINCE!$A$1:$F$12000,3,FALSE),"")</f>
        <v/>
      </c>
      <c r="F39" s="221"/>
      <c r="G39" s="222"/>
      <c r="H39" s="206"/>
      <c r="I39" s="190" t="str">
        <f t="shared" si="0"/>
        <v/>
      </c>
    </row>
    <row r="40" spans="1:9" x14ac:dyDescent="0.25">
      <c r="A40" s="204"/>
      <c r="B40" s="204"/>
      <c r="C40" s="208"/>
      <c r="D40" s="208"/>
      <c r="E40" s="220" t="str">
        <f>IFERROR(VLOOKUP(B40,LINCE!$A$1:$F$12000,3,FALSE),"")</f>
        <v/>
      </c>
      <c r="F40" s="221"/>
      <c r="G40" s="222"/>
      <c r="H40" s="206"/>
      <c r="I40" s="190" t="str">
        <f t="shared" si="0"/>
        <v/>
      </c>
    </row>
    <row r="41" spans="1:9" x14ac:dyDescent="0.25">
      <c r="A41" s="204"/>
      <c r="B41" s="204"/>
      <c r="C41" s="208"/>
      <c r="D41" s="208"/>
      <c r="E41" s="220" t="str">
        <f>IFERROR(VLOOKUP(B41,LINCE!$A$1:$F$12000,3,FALSE),"")</f>
        <v/>
      </c>
      <c r="F41" s="221"/>
      <c r="G41" s="222"/>
      <c r="H41" s="206"/>
      <c r="I41" s="190" t="str">
        <f t="shared" si="0"/>
        <v/>
      </c>
    </row>
    <row r="42" spans="1:9" x14ac:dyDescent="0.25">
      <c r="A42" s="204"/>
      <c r="B42" s="204"/>
      <c r="C42" s="208"/>
      <c r="D42" s="208"/>
      <c r="E42" s="220" t="str">
        <f>IFERROR(VLOOKUP(B42,LINCE!$A$1:$F$12000,3,FALSE),"")</f>
        <v/>
      </c>
      <c r="F42" s="221"/>
      <c r="G42" s="222"/>
      <c r="H42" s="206"/>
      <c r="I42" s="190" t="str">
        <f t="shared" si="0"/>
        <v/>
      </c>
    </row>
    <row r="43" spans="1:9" x14ac:dyDescent="0.25">
      <c r="A43" s="204"/>
      <c r="B43" s="204"/>
      <c r="C43" s="208"/>
      <c r="D43" s="208"/>
      <c r="E43" s="220" t="str">
        <f>IFERROR(VLOOKUP(B43,LINCE!$A$1:$F$12000,3,FALSE),"")</f>
        <v/>
      </c>
      <c r="F43" s="221"/>
      <c r="G43" s="222"/>
      <c r="H43" s="206"/>
      <c r="I43" s="190" t="str">
        <f t="shared" si="0"/>
        <v/>
      </c>
    </row>
    <row r="44" spans="1:9" x14ac:dyDescent="0.25">
      <c r="A44" s="204"/>
      <c r="B44" s="204"/>
      <c r="C44" s="208"/>
      <c r="D44" s="208"/>
      <c r="E44" s="220" t="str">
        <f>IFERROR(VLOOKUP(B44,LINCE!$A$1:$F$12000,3,FALSE),"")</f>
        <v/>
      </c>
      <c r="F44" s="221"/>
      <c r="G44" s="222"/>
      <c r="H44" s="206"/>
      <c r="I44" s="190" t="str">
        <f t="shared" si="0"/>
        <v/>
      </c>
    </row>
    <row r="45" spans="1:9" x14ac:dyDescent="0.25">
      <c r="A45" s="204"/>
      <c r="B45" s="204"/>
      <c r="C45" s="208"/>
      <c r="D45" s="208"/>
      <c r="E45" s="220" t="str">
        <f>IFERROR(VLOOKUP(B45,LINCE!$A$1:$F$12000,3,FALSE),"")</f>
        <v/>
      </c>
      <c r="F45" s="221"/>
      <c r="G45" s="222"/>
      <c r="H45" s="206"/>
      <c r="I45" s="190" t="str">
        <f t="shared" si="0"/>
        <v/>
      </c>
    </row>
    <row r="46" spans="1:9" x14ac:dyDescent="0.25">
      <c r="A46" s="204"/>
      <c r="B46" s="204"/>
      <c r="C46" s="208"/>
      <c r="D46" s="208"/>
      <c r="E46" s="220" t="str">
        <f>IFERROR(VLOOKUP(B46,LINCE!$A$1:$F$12000,3,FALSE),"")</f>
        <v/>
      </c>
      <c r="F46" s="221"/>
      <c r="G46" s="222"/>
      <c r="H46" s="206"/>
      <c r="I46" s="190" t="str">
        <f t="shared" si="0"/>
        <v/>
      </c>
    </row>
    <row r="47" spans="1:9" x14ac:dyDescent="0.25">
      <c r="A47" s="204"/>
      <c r="B47" s="204"/>
      <c r="C47" s="208"/>
      <c r="D47" s="208"/>
      <c r="E47" s="220" t="str">
        <f>IFERROR(VLOOKUP(B47,LINCE!$A$1:$F$12000,3,FALSE),"")</f>
        <v/>
      </c>
      <c r="F47" s="221"/>
      <c r="G47" s="222"/>
      <c r="H47" s="206"/>
      <c r="I47" s="190" t="str">
        <f t="shared" si="0"/>
        <v/>
      </c>
    </row>
    <row r="48" spans="1:9" x14ac:dyDescent="0.25">
      <c r="A48" s="204"/>
      <c r="B48" s="204"/>
      <c r="C48" s="208"/>
      <c r="D48" s="208"/>
      <c r="E48" s="220" t="str">
        <f>IFERROR(VLOOKUP(B48,LINCE!$A$1:$F$12000,3,FALSE),"")</f>
        <v/>
      </c>
      <c r="F48" s="221"/>
      <c r="G48" s="222"/>
      <c r="H48" s="206"/>
      <c r="I48" s="190" t="str">
        <f t="shared" si="0"/>
        <v/>
      </c>
    </row>
    <row r="49" spans="1:9" x14ac:dyDescent="0.25">
      <c r="A49" s="205"/>
      <c r="B49" s="205"/>
      <c r="C49" s="209"/>
      <c r="D49" s="209"/>
      <c r="E49" s="220" t="str">
        <f>IFERROR(VLOOKUP(B49,LINCE!$A$1:$F$12000,3,FALSE),"")</f>
        <v/>
      </c>
      <c r="F49" s="221"/>
      <c r="G49" s="222"/>
      <c r="H49" s="206"/>
      <c r="I49" s="190" t="str">
        <f t="shared" si="0"/>
        <v/>
      </c>
    </row>
    <row r="50" spans="1:9" ht="18.75" x14ac:dyDescent="0.3">
      <c r="A50" s="182">
        <f>IF(SUM(A21:A49)=0,"",SUM(A21:A49))</f>
        <v>33</v>
      </c>
      <c r="B50" s="195" t="s">
        <v>15636</v>
      </c>
      <c r="C50" s="196"/>
      <c r="D50" s="196"/>
      <c r="E50" s="191"/>
      <c r="F50" s="185"/>
      <c r="G50" s="185"/>
      <c r="H50" s="192" t="s">
        <v>15646</v>
      </c>
      <c r="I50" s="200">
        <f>IF(SUM(I21:I49)=0,"",SUM(I21:I49))</f>
        <v>1976</v>
      </c>
    </row>
    <row r="51" spans="1:9" ht="18.75" x14ac:dyDescent="0.3">
      <c r="A51" s="183"/>
      <c r="B51" s="183"/>
      <c r="C51" s="183"/>
      <c r="D51" s="183"/>
      <c r="E51" s="184"/>
      <c r="F51" s="7"/>
      <c r="G51" s="7"/>
      <c r="H51" s="7"/>
      <c r="I51" s="186"/>
    </row>
    <row r="52" spans="1:9" ht="18.75" x14ac:dyDescent="0.3">
      <c r="A52" s="223"/>
      <c r="B52" s="223"/>
      <c r="C52" s="223"/>
      <c r="D52" s="223"/>
      <c r="E52" s="223"/>
      <c r="F52" s="187"/>
      <c r="G52" s="187"/>
      <c r="H52" s="187"/>
      <c r="I52" s="187"/>
    </row>
    <row r="53" spans="1:9" ht="30" customHeight="1" x14ac:dyDescent="0.3">
      <c r="A53" s="223" t="s">
        <v>15637</v>
      </c>
      <c r="B53" s="223"/>
      <c r="C53" s="223"/>
      <c r="D53" s="223"/>
      <c r="E53" s="223"/>
      <c r="F53" s="225"/>
      <c r="G53" s="225"/>
      <c r="H53" s="225"/>
      <c r="I53" s="225"/>
    </row>
    <row r="54" spans="1:9" ht="30" customHeight="1" x14ac:dyDescent="0.3">
      <c r="A54" s="223" t="s">
        <v>15638</v>
      </c>
      <c r="B54" s="223"/>
      <c r="C54" s="223"/>
      <c r="D54" s="223"/>
      <c r="E54" s="223"/>
      <c r="F54" s="224"/>
      <c r="G54" s="224"/>
      <c r="H54" s="224"/>
      <c r="I54" s="224"/>
    </row>
    <row r="55" spans="1:9" ht="30" customHeight="1" x14ac:dyDescent="0.3">
      <c r="A55" s="223" t="s">
        <v>15639</v>
      </c>
      <c r="B55" s="223"/>
      <c r="C55" s="223"/>
      <c r="D55" s="223"/>
      <c r="E55" s="223"/>
      <c r="F55" s="224"/>
      <c r="G55" s="224"/>
      <c r="H55" s="224"/>
      <c r="I55" s="224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ageMargins left="0.7" right="0.7" top="0.75" bottom="0.75" header="0.3" footer="0.3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1" t="s">
        <v>14461</v>
      </c>
      <c r="B2" s="284" t="str">
        <f>+Datos!B4</f>
        <v>RERDA S.A.</v>
      </c>
      <c r="C2" s="285"/>
      <c r="D2" s="285"/>
      <c r="E2" s="285"/>
      <c r="F2" s="285"/>
      <c r="G2" s="285"/>
      <c r="H2" s="285"/>
      <c r="I2" s="4"/>
      <c r="J2" s="4"/>
      <c r="K2" s="4"/>
      <c r="L2" s="4"/>
      <c r="M2" s="4"/>
      <c r="N2" s="4"/>
      <c r="O2" s="5"/>
      <c r="P2" s="286"/>
      <c r="Q2" s="287"/>
      <c r="R2" s="287"/>
      <c r="S2" s="287"/>
      <c r="T2" s="287"/>
      <c r="U2" s="288"/>
    </row>
    <row r="3" spans="1:21" ht="14.1" customHeight="1" x14ac:dyDescent="0.25">
      <c r="A3" s="282"/>
      <c r="B3" s="295" t="str">
        <f>+Datos!B6</f>
        <v>San Martín</v>
      </c>
      <c r="C3" s="296"/>
      <c r="D3" s="296"/>
      <c r="E3" s="296"/>
      <c r="F3" s="296"/>
      <c r="G3" s="296">
        <f>+Datos!B7</f>
        <v>1665</v>
      </c>
      <c r="H3" s="296"/>
      <c r="I3" s="296"/>
      <c r="J3" s="6"/>
      <c r="K3" s="7"/>
      <c r="L3" s="8"/>
      <c r="M3" s="297" t="str">
        <f>+Datos!B8</f>
        <v>Mendoza</v>
      </c>
      <c r="N3" s="297"/>
      <c r="O3" s="298"/>
      <c r="P3" s="289"/>
      <c r="Q3" s="290"/>
      <c r="R3" s="290"/>
      <c r="S3" s="290"/>
      <c r="T3" s="290"/>
      <c r="U3" s="291"/>
    </row>
    <row r="4" spans="1:21" ht="14.1" customHeight="1" x14ac:dyDescent="0.25">
      <c r="A4" s="282"/>
      <c r="B4" s="299" t="str">
        <f>+Datos!B9</f>
        <v>Mendoza</v>
      </c>
      <c r="C4" s="297"/>
      <c r="D4" s="297"/>
      <c r="E4" s="297"/>
      <c r="F4" s="297"/>
      <c r="G4" s="297">
        <f>+Datos!B10</f>
        <v>5500</v>
      </c>
      <c r="H4" s="297"/>
      <c r="I4" s="297"/>
      <c r="J4" s="6"/>
      <c r="K4" s="6"/>
      <c r="L4" s="6"/>
      <c r="M4" s="6"/>
      <c r="N4" s="6"/>
      <c r="O4" s="9"/>
      <c r="P4" s="289"/>
      <c r="Q4" s="290"/>
      <c r="R4" s="290"/>
      <c r="S4" s="290"/>
      <c r="T4" s="290"/>
      <c r="U4" s="291"/>
    </row>
    <row r="5" spans="1:21" ht="14.1" customHeight="1" x14ac:dyDescent="0.25">
      <c r="A5" s="282"/>
      <c r="B5" s="300" t="str">
        <f>+Datos!B11</f>
        <v>ventas@rerda.com</v>
      </c>
      <c r="C5" s="301"/>
      <c r="D5" s="301"/>
      <c r="E5" s="301"/>
      <c r="F5" s="301"/>
      <c r="G5" s="301"/>
      <c r="H5" s="301"/>
      <c r="I5" s="10"/>
      <c r="J5" s="10"/>
      <c r="K5" s="11" t="s">
        <v>14462</v>
      </c>
      <c r="L5" s="302">
        <f>+Datos!B5</f>
        <v>30535195869</v>
      </c>
      <c r="M5" s="302"/>
      <c r="N5" s="302"/>
      <c r="O5" s="303"/>
      <c r="P5" s="289"/>
      <c r="Q5" s="290"/>
      <c r="R5" s="290"/>
      <c r="S5" s="290"/>
      <c r="T5" s="290"/>
      <c r="U5" s="291"/>
    </row>
    <row r="6" spans="1:21" ht="14.1" customHeight="1" x14ac:dyDescent="0.25">
      <c r="A6" s="283"/>
      <c r="B6" s="266" t="str">
        <f>+Datos!B12</f>
        <v>0261-4256567 | +549 2615117948</v>
      </c>
      <c r="C6" s="267"/>
      <c r="D6" s="267"/>
      <c r="E6" s="267"/>
      <c r="F6" s="267"/>
      <c r="G6" s="267"/>
      <c r="H6" s="267"/>
      <c r="I6" s="12"/>
      <c r="J6" s="12"/>
      <c r="K6" s="13" t="s">
        <v>14463</v>
      </c>
      <c r="L6" s="268">
        <f>+Datos!B3</f>
        <v>20355</v>
      </c>
      <c r="M6" s="268"/>
      <c r="N6" s="268"/>
      <c r="O6" s="269"/>
      <c r="P6" s="292"/>
      <c r="Q6" s="293"/>
      <c r="R6" s="293"/>
      <c r="S6" s="293"/>
      <c r="T6" s="293"/>
      <c r="U6" s="294"/>
    </row>
    <row r="7" spans="1:21" ht="14.1" customHeight="1" x14ac:dyDescent="0.25">
      <c r="A7" s="14"/>
      <c r="B7" s="270" t="s">
        <v>14464</v>
      </c>
      <c r="C7" s="270"/>
      <c r="D7" s="271" t="str">
        <f>IF(Planilla!T2="","¿…?",Planilla!T2)</f>
        <v>ELENA</v>
      </c>
      <c r="E7" s="271"/>
      <c r="F7" s="271"/>
      <c r="G7" s="271"/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15"/>
    </row>
    <row r="8" spans="1:21" ht="14.1" customHeight="1" x14ac:dyDescent="0.25">
      <c r="A8" s="272" t="s">
        <v>14465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4"/>
    </row>
    <row r="9" spans="1:21" ht="14.1" customHeight="1" x14ac:dyDescent="0.25">
      <c r="A9" s="275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7"/>
    </row>
    <row r="10" spans="1:21" ht="14.1" customHeight="1" x14ac:dyDescent="0.25">
      <c r="A10" s="278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8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1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53" t="s">
        <v>14467</v>
      </c>
      <c r="M15" s="253"/>
      <c r="N15" s="253"/>
      <c r="O15" s="253"/>
      <c r="P15" s="254">
        <v>65498712</v>
      </c>
      <c r="Q15" s="255"/>
      <c r="R15" s="255"/>
      <c r="S15" s="255"/>
      <c r="T15" s="255"/>
      <c r="U15" s="25"/>
    </row>
    <row r="16" spans="1:21" ht="18.95" customHeight="1" x14ac:dyDescent="0.25">
      <c r="A16" s="251"/>
      <c r="B16" s="28"/>
      <c r="C16" s="256" t="s">
        <v>15655</v>
      </c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15"/>
    </row>
    <row r="17" spans="1:21" ht="18.95" customHeight="1" x14ac:dyDescent="0.25">
      <c r="A17" s="251"/>
      <c r="B17" s="28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15"/>
    </row>
    <row r="18" spans="1:21" ht="14.1" customHeight="1" x14ac:dyDescent="0.25">
      <c r="A18" s="251"/>
      <c r="B18" s="22"/>
      <c r="C18" s="258" t="s">
        <v>15650</v>
      </c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15"/>
    </row>
    <row r="19" spans="1:21" ht="14.1" customHeight="1" x14ac:dyDescent="0.25">
      <c r="A19" s="251"/>
      <c r="B19" s="22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15"/>
    </row>
    <row r="20" spans="1:21" ht="14.1" customHeight="1" x14ac:dyDescent="0.25">
      <c r="A20" s="251"/>
      <c r="B20" s="22"/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8"/>
      <c r="U20" s="15"/>
    </row>
    <row r="21" spans="1:21" ht="14.1" customHeight="1" x14ac:dyDescent="0.25">
      <c r="A21" s="251"/>
      <c r="B21" s="29"/>
      <c r="C21" s="259" t="s">
        <v>14468</v>
      </c>
      <c r="D21" s="259"/>
      <c r="E21" s="260">
        <v>9412</v>
      </c>
      <c r="F21" s="261"/>
      <c r="G21" s="262" t="s">
        <v>14288</v>
      </c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15"/>
    </row>
    <row r="22" spans="1:21" ht="14.1" customHeight="1" x14ac:dyDescent="0.25">
      <c r="A22" s="251"/>
      <c r="B22" s="29"/>
      <c r="C22" s="259"/>
      <c r="D22" s="259"/>
      <c r="E22" s="261"/>
      <c r="F22" s="261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15"/>
    </row>
    <row r="23" spans="1:21" ht="14.1" customHeight="1" x14ac:dyDescent="0.25">
      <c r="A23" s="251"/>
      <c r="B23" s="30"/>
      <c r="C23" s="263" t="s">
        <v>14282</v>
      </c>
      <c r="D23" s="263"/>
      <c r="E23" s="263"/>
      <c r="F23" s="263"/>
      <c r="G23" s="263"/>
      <c r="H23" s="263"/>
      <c r="I23" s="263"/>
      <c r="J23" s="263"/>
      <c r="K23" s="31"/>
      <c r="L23" s="264" t="s">
        <v>14469</v>
      </c>
      <c r="M23" s="264"/>
      <c r="N23" s="264"/>
      <c r="O23" s="264"/>
      <c r="P23" s="265">
        <v>3514882213</v>
      </c>
      <c r="Q23" s="265"/>
      <c r="R23" s="265"/>
      <c r="S23" s="265"/>
      <c r="T23" s="265"/>
      <c r="U23" s="15"/>
    </row>
    <row r="24" spans="1:21" ht="14.1" customHeight="1" x14ac:dyDescent="0.25">
      <c r="A24" s="251"/>
      <c r="B24" s="30"/>
      <c r="C24" s="263"/>
      <c r="D24" s="263"/>
      <c r="E24" s="263"/>
      <c r="F24" s="263"/>
      <c r="G24" s="263"/>
      <c r="H24" s="263"/>
      <c r="I24" s="263"/>
      <c r="J24" s="263"/>
      <c r="K24" s="31"/>
      <c r="L24" s="264"/>
      <c r="M24" s="264"/>
      <c r="N24" s="264"/>
      <c r="O24" s="264"/>
      <c r="P24" s="265"/>
      <c r="Q24" s="265"/>
      <c r="R24" s="265"/>
      <c r="S24" s="265"/>
      <c r="T24" s="265"/>
      <c r="U24" s="15"/>
    </row>
    <row r="25" spans="1:21" ht="14.1" customHeight="1" thickBot="1" x14ac:dyDescent="0.3">
      <c r="A25" s="25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5" t="s">
        <v>14461</v>
      </c>
      <c r="B2" s="40"/>
      <c r="C2" s="318" t="str">
        <f>+Datos!B4</f>
        <v>RERDA S.A.</v>
      </c>
      <c r="D2" s="319"/>
      <c r="E2" s="319"/>
      <c r="F2" s="319"/>
      <c r="G2" s="319"/>
      <c r="H2" s="319"/>
      <c r="I2" s="319"/>
      <c r="J2" s="41"/>
      <c r="K2" s="41"/>
      <c r="L2" s="41"/>
      <c r="M2" s="41"/>
      <c r="N2" s="41"/>
      <c r="O2" s="41"/>
      <c r="P2" s="42"/>
      <c r="Q2" s="320"/>
      <c r="R2" s="321"/>
      <c r="S2" s="321"/>
      <c r="T2" s="321"/>
      <c r="U2" s="321"/>
      <c r="V2" s="322"/>
    </row>
    <row r="3" spans="1:22" ht="14.1" customHeight="1" x14ac:dyDescent="0.25">
      <c r="A3" s="316"/>
      <c r="B3" s="43"/>
      <c r="C3" s="329" t="str">
        <f>+Datos!B6</f>
        <v>San Martín</v>
      </c>
      <c r="D3" s="330"/>
      <c r="E3" s="330"/>
      <c r="F3" s="330"/>
      <c r="G3" s="330"/>
      <c r="H3" s="330">
        <f>+Datos!B7</f>
        <v>1665</v>
      </c>
      <c r="I3" s="330"/>
      <c r="J3" s="330"/>
      <c r="K3" s="44"/>
      <c r="M3" s="45"/>
      <c r="N3" s="331" t="str">
        <f>+Datos!B8</f>
        <v>Mendoza</v>
      </c>
      <c r="O3" s="331"/>
      <c r="P3" s="332"/>
      <c r="Q3" s="323"/>
      <c r="R3" s="324"/>
      <c r="S3" s="324"/>
      <c r="T3" s="324"/>
      <c r="U3" s="324"/>
      <c r="V3" s="325"/>
    </row>
    <row r="4" spans="1:22" ht="14.1" customHeight="1" x14ac:dyDescent="0.25">
      <c r="A4" s="316"/>
      <c r="B4" s="43"/>
      <c r="C4" s="333" t="str">
        <f>+Datos!B9</f>
        <v>Mendoza</v>
      </c>
      <c r="D4" s="331"/>
      <c r="E4" s="331"/>
      <c r="F4" s="331"/>
      <c r="G4" s="331"/>
      <c r="H4" s="331">
        <f>+Datos!B10</f>
        <v>5500</v>
      </c>
      <c r="I4" s="331"/>
      <c r="J4" s="331"/>
      <c r="K4" s="44"/>
      <c r="L4" s="44"/>
      <c r="M4" s="44"/>
      <c r="N4" s="44"/>
      <c r="O4" s="44"/>
      <c r="P4" s="46"/>
      <c r="Q4" s="323"/>
      <c r="R4" s="324"/>
      <c r="S4" s="324"/>
      <c r="T4" s="324"/>
      <c r="U4" s="324"/>
      <c r="V4" s="325"/>
    </row>
    <row r="5" spans="1:22" ht="14.1" customHeight="1" x14ac:dyDescent="0.25">
      <c r="A5" s="316"/>
      <c r="B5" s="43"/>
      <c r="C5" s="334" t="str">
        <f>+Datos!B11</f>
        <v>ventas@rerda.com</v>
      </c>
      <c r="D5" s="335"/>
      <c r="E5" s="335"/>
      <c r="F5" s="335"/>
      <c r="G5" s="335"/>
      <c r="H5" s="335"/>
      <c r="I5" s="335"/>
      <c r="J5" s="47"/>
      <c r="K5" s="47"/>
      <c r="L5" s="48" t="s">
        <v>14462</v>
      </c>
      <c r="M5" s="336">
        <f>+Datos!B5</f>
        <v>30535195869</v>
      </c>
      <c r="N5" s="336"/>
      <c r="O5" s="336"/>
      <c r="P5" s="337"/>
      <c r="Q5" s="323"/>
      <c r="R5" s="324"/>
      <c r="S5" s="324"/>
      <c r="T5" s="324"/>
      <c r="U5" s="324"/>
      <c r="V5" s="325"/>
    </row>
    <row r="6" spans="1:22" ht="14.1" customHeight="1" x14ac:dyDescent="0.25">
      <c r="A6" s="317"/>
      <c r="B6" s="49"/>
      <c r="C6" s="338" t="str">
        <f>+Datos!B12</f>
        <v>0261-4256567 | +549 2615117948</v>
      </c>
      <c r="D6" s="339"/>
      <c r="E6" s="339"/>
      <c r="F6" s="339"/>
      <c r="G6" s="339"/>
      <c r="H6" s="339"/>
      <c r="I6" s="339"/>
      <c r="J6" s="50"/>
      <c r="K6" s="50"/>
      <c r="L6" s="51" t="s">
        <v>14463</v>
      </c>
      <c r="M6" s="340">
        <f>+Datos!B3</f>
        <v>20355</v>
      </c>
      <c r="N6" s="340"/>
      <c r="O6" s="340"/>
      <c r="P6" s="341"/>
      <c r="Q6" s="326"/>
      <c r="R6" s="327"/>
      <c r="S6" s="327"/>
      <c r="T6" s="327"/>
      <c r="U6" s="327"/>
      <c r="V6" s="328"/>
    </row>
    <row r="7" spans="1:22" ht="14.1" customHeight="1" x14ac:dyDescent="0.25">
      <c r="A7" s="52"/>
      <c r="B7" s="53"/>
      <c r="C7" s="304" t="s">
        <v>14464</v>
      </c>
      <c r="D7" s="304"/>
      <c r="E7" s="305" t="str">
        <f>IF(Planilla!T2="","¿…?",Planilla!T2)</f>
        <v>ELENA</v>
      </c>
      <c r="F7" s="305"/>
      <c r="G7" s="305"/>
      <c r="H7" s="305"/>
      <c r="I7" s="30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  <c r="U7" s="305"/>
      <c r="V7" s="54"/>
    </row>
    <row r="8" spans="1:22" ht="14.1" customHeight="1" x14ac:dyDescent="0.25">
      <c r="A8" s="306" t="s">
        <v>14484</v>
      </c>
      <c r="B8" s="307"/>
      <c r="C8" s="307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8"/>
    </row>
    <row r="9" spans="1:22" ht="14.1" customHeight="1" x14ac:dyDescent="0.25">
      <c r="A9" s="309"/>
      <c r="B9" s="310"/>
      <c r="C9" s="310"/>
      <c r="D9" s="310"/>
      <c r="E9" s="310"/>
      <c r="F9" s="310"/>
      <c r="G9" s="310"/>
      <c r="H9" s="310"/>
      <c r="I9" s="310"/>
      <c r="J9" s="310"/>
      <c r="K9" s="310"/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1"/>
    </row>
    <row r="10" spans="1:22" ht="14.1" customHeight="1" x14ac:dyDescent="0.25">
      <c r="A10" s="312"/>
      <c r="B10" s="313"/>
      <c r="C10" s="313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313"/>
      <c r="T10" s="313"/>
      <c r="U10" s="313"/>
      <c r="V10" s="31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63" t="s">
        <v>14485</v>
      </c>
      <c r="D12" s="363"/>
      <c r="E12" s="363"/>
      <c r="F12" s="363"/>
      <c r="G12" s="363"/>
      <c r="H12" s="363"/>
      <c r="I12" s="363"/>
      <c r="J12" s="363"/>
      <c r="K12" s="363"/>
      <c r="L12" s="363"/>
      <c r="M12" s="363"/>
      <c r="N12" s="63"/>
      <c r="O12" s="64"/>
      <c r="P12" s="374" t="s">
        <v>14486</v>
      </c>
      <c r="Q12" s="374"/>
      <c r="R12" s="374"/>
      <c r="S12" s="374"/>
      <c r="T12" s="374"/>
      <c r="U12" s="374"/>
      <c r="V12" s="65"/>
    </row>
    <row r="13" spans="1:22" ht="14.1" customHeight="1" x14ac:dyDescent="0.25">
      <c r="A13" s="66"/>
      <c r="B13" s="67"/>
      <c r="C13" s="364"/>
      <c r="D13" s="364"/>
      <c r="E13" s="364"/>
      <c r="F13" s="364"/>
      <c r="G13" s="364"/>
      <c r="H13" s="364"/>
      <c r="I13" s="364"/>
      <c r="J13" s="364"/>
      <c r="K13" s="364"/>
      <c r="L13" s="364"/>
      <c r="M13" s="364"/>
      <c r="N13" s="68"/>
      <c r="O13" s="64"/>
      <c r="P13" s="374"/>
      <c r="Q13" s="374"/>
      <c r="R13" s="374"/>
      <c r="S13" s="374"/>
      <c r="T13" s="374"/>
      <c r="U13" s="374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2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43"/>
      <c r="B16" s="75"/>
      <c r="C16" s="345" t="s">
        <v>15653</v>
      </c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  <c r="O16" s="349" t="s">
        <v>14467</v>
      </c>
      <c r="P16" s="349"/>
      <c r="Q16" s="349"/>
      <c r="R16" s="350">
        <v>32456987</v>
      </c>
      <c r="S16" s="351"/>
      <c r="T16" s="351"/>
      <c r="U16" s="352"/>
      <c r="V16" s="78"/>
    </row>
    <row r="17" spans="1:22" ht="14.1" customHeight="1" x14ac:dyDescent="0.25">
      <c r="A17" s="343"/>
      <c r="B17" s="75"/>
      <c r="C17" s="347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43"/>
      <c r="B18" s="75"/>
      <c r="C18" s="353" t="s">
        <v>14487</v>
      </c>
      <c r="D18" s="354"/>
      <c r="E18" s="354"/>
      <c r="F18" s="355" t="str">
        <f>VLOOKUP(S18,Sucursales!A:B,2,FALSE)</f>
        <v>RIO GRANDE</v>
      </c>
      <c r="G18" s="355"/>
      <c r="H18" s="355"/>
      <c r="I18" s="355"/>
      <c r="J18" s="355"/>
      <c r="K18" s="355"/>
      <c r="L18" s="355"/>
      <c r="M18" s="355"/>
      <c r="N18" s="79"/>
      <c r="O18" s="356" t="s">
        <v>8921</v>
      </c>
      <c r="P18" s="356"/>
      <c r="Q18" s="356"/>
      <c r="R18" s="356"/>
      <c r="S18" s="357" t="s">
        <v>14280</v>
      </c>
      <c r="T18" s="357"/>
      <c r="U18" s="358"/>
      <c r="V18" s="78"/>
    </row>
    <row r="19" spans="1:22" ht="14.1" customHeight="1" x14ac:dyDescent="0.25">
      <c r="A19" s="343"/>
      <c r="B19" s="75"/>
      <c r="C19" s="359" t="s">
        <v>14488</v>
      </c>
      <c r="D19" s="360"/>
      <c r="E19" s="360"/>
      <c r="F19" s="355"/>
      <c r="G19" s="355"/>
      <c r="H19" s="355"/>
      <c r="I19" s="355"/>
      <c r="J19" s="355"/>
      <c r="K19" s="355"/>
      <c r="L19" s="355"/>
      <c r="M19" s="355"/>
      <c r="N19" s="82"/>
      <c r="O19" s="356"/>
      <c r="P19" s="356"/>
      <c r="Q19" s="356"/>
      <c r="R19" s="356"/>
      <c r="S19" s="357"/>
      <c r="T19" s="357"/>
      <c r="U19" s="358"/>
      <c r="V19" s="78"/>
    </row>
    <row r="20" spans="1:22" ht="14.1" customHeight="1" x14ac:dyDescent="0.25">
      <c r="A20" s="343"/>
      <c r="B20" s="75"/>
      <c r="C20" s="361" t="str">
        <f>VLOOKUP(S18,Sucursales!A:G,6,FALSE)</f>
        <v>V9420ZAA</v>
      </c>
      <c r="D20" s="362"/>
      <c r="E20" s="362"/>
      <c r="F20" s="362"/>
      <c r="H20" s="365" t="str">
        <f>VLOOKUP(S18,Sucursales!A:H,7,FALSE)</f>
        <v>RIO GRANDE</v>
      </c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6"/>
      <c r="V20" s="78"/>
    </row>
    <row r="21" spans="1:22" ht="14.1" customHeight="1" x14ac:dyDescent="0.25">
      <c r="A21" s="343"/>
      <c r="B21" s="75"/>
      <c r="C21" s="367" t="str">
        <f>VLOOKUP(S18,Sucursales!A:H,8,FALSE)</f>
        <v>TIERRA DEL FUEGO</v>
      </c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43"/>
      <c r="B22" s="75"/>
      <c r="C22" s="368"/>
      <c r="D22" s="369"/>
      <c r="E22" s="369"/>
      <c r="F22" s="369"/>
      <c r="G22" s="369"/>
      <c r="H22" s="369"/>
      <c r="I22" s="369"/>
      <c r="J22" s="369"/>
      <c r="K22" s="369"/>
      <c r="L22" s="369"/>
      <c r="M22" s="369"/>
      <c r="N22" s="370" t="s">
        <v>14489</v>
      </c>
      <c r="O22" s="370"/>
      <c r="P22" s="370"/>
      <c r="Q22" s="370"/>
      <c r="R22" s="371">
        <v>5493514882213</v>
      </c>
      <c r="S22" s="372"/>
      <c r="T22" s="372"/>
      <c r="U22" s="373"/>
      <c r="V22" s="78"/>
    </row>
    <row r="23" spans="1:22" ht="14.1" customHeight="1" thickBot="1" x14ac:dyDescent="0.3">
      <c r="A23" s="344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5" t="s">
        <v>14461</v>
      </c>
      <c r="B2" s="40"/>
      <c r="C2" s="384" t="str">
        <f>+Datos!B4</f>
        <v>RERDA S.A.</v>
      </c>
      <c r="D2" s="385"/>
      <c r="E2" s="385"/>
      <c r="F2" s="385"/>
      <c r="G2" s="385"/>
      <c r="H2" s="386" t="s">
        <v>14490</v>
      </c>
      <c r="I2" s="386"/>
      <c r="J2" s="386"/>
      <c r="K2" s="386"/>
      <c r="L2" s="386"/>
      <c r="M2" s="386"/>
      <c r="N2" s="386"/>
      <c r="O2" s="386"/>
      <c r="P2" s="387"/>
      <c r="Q2" s="320"/>
      <c r="R2" s="321"/>
      <c r="S2" s="321"/>
      <c r="T2" s="321"/>
      <c r="U2" s="321"/>
      <c r="V2" s="322"/>
    </row>
    <row r="3" spans="1:22" ht="14.1" customHeight="1" x14ac:dyDescent="0.25">
      <c r="A3" s="316"/>
      <c r="B3" s="43"/>
      <c r="C3" s="329" t="str">
        <f>+Datos!B6</f>
        <v>San Martín</v>
      </c>
      <c r="D3" s="330"/>
      <c r="E3" s="330"/>
      <c r="F3" s="330"/>
      <c r="G3" s="330"/>
      <c r="H3" s="330">
        <f>+Datos!B7</f>
        <v>1665</v>
      </c>
      <c r="I3" s="330"/>
      <c r="J3" s="330"/>
      <c r="K3" s="44"/>
      <c r="M3" s="45"/>
      <c r="N3" s="331" t="str">
        <f>+Datos!B8</f>
        <v>Mendoza</v>
      </c>
      <c r="O3" s="331"/>
      <c r="P3" s="332"/>
      <c r="Q3" s="323"/>
      <c r="R3" s="324"/>
      <c r="S3" s="324"/>
      <c r="T3" s="324"/>
      <c r="U3" s="324"/>
      <c r="V3" s="325"/>
    </row>
    <row r="4" spans="1:22" ht="14.1" customHeight="1" x14ac:dyDescent="0.25">
      <c r="A4" s="316"/>
      <c r="B4" s="43"/>
      <c r="C4" s="333" t="str">
        <f>+Datos!B9</f>
        <v>Mendoza</v>
      </c>
      <c r="D4" s="331"/>
      <c r="E4" s="331"/>
      <c r="F4" s="331"/>
      <c r="G4" s="331"/>
      <c r="H4" s="331">
        <f>+Datos!B10</f>
        <v>5500</v>
      </c>
      <c r="I4" s="331"/>
      <c r="J4" s="331"/>
      <c r="K4" s="44"/>
      <c r="L4" s="44"/>
      <c r="M4" s="44"/>
      <c r="N4" s="44"/>
      <c r="O4" s="44"/>
      <c r="P4" s="46"/>
      <c r="Q4" s="323"/>
      <c r="R4" s="324"/>
      <c r="S4" s="324"/>
      <c r="T4" s="324"/>
      <c r="U4" s="324"/>
      <c r="V4" s="325"/>
    </row>
    <row r="5" spans="1:22" ht="14.1" customHeight="1" x14ac:dyDescent="0.25">
      <c r="A5" s="316"/>
      <c r="B5" s="43"/>
      <c r="C5" s="334" t="str">
        <f>+Datos!B11</f>
        <v>ventas@rerda.com</v>
      </c>
      <c r="D5" s="335"/>
      <c r="E5" s="335"/>
      <c r="F5" s="335"/>
      <c r="G5" s="335"/>
      <c r="H5" s="335"/>
      <c r="I5" s="335"/>
      <c r="J5" s="47"/>
      <c r="K5" s="47"/>
      <c r="L5" s="48" t="s">
        <v>14462</v>
      </c>
      <c r="M5" s="336">
        <f>+Datos!B5</f>
        <v>30535195869</v>
      </c>
      <c r="N5" s="336"/>
      <c r="O5" s="336"/>
      <c r="P5" s="337"/>
      <c r="Q5" s="323"/>
      <c r="R5" s="324"/>
      <c r="S5" s="324"/>
      <c r="T5" s="324"/>
      <c r="U5" s="324"/>
      <c r="V5" s="325"/>
    </row>
    <row r="6" spans="1:22" ht="14.1" customHeight="1" x14ac:dyDescent="0.25">
      <c r="A6" s="317"/>
      <c r="B6" s="49"/>
      <c r="C6" s="338" t="str">
        <f>+Datos!B12</f>
        <v>0261-4256567 | +549 2615117948</v>
      </c>
      <c r="D6" s="339"/>
      <c r="E6" s="339"/>
      <c r="F6" s="339"/>
      <c r="G6" s="339"/>
      <c r="H6" s="339"/>
      <c r="I6" s="339"/>
      <c r="J6" s="50"/>
      <c r="K6" s="50"/>
      <c r="L6" s="51" t="s">
        <v>14463</v>
      </c>
      <c r="M6" s="340">
        <f>+Datos!B3</f>
        <v>20355</v>
      </c>
      <c r="N6" s="340"/>
      <c r="O6" s="340"/>
      <c r="P6" s="341"/>
      <c r="Q6" s="326"/>
      <c r="R6" s="327"/>
      <c r="S6" s="327"/>
      <c r="T6" s="327"/>
      <c r="U6" s="327"/>
      <c r="V6" s="328"/>
    </row>
    <row r="7" spans="1:22" ht="14.1" customHeight="1" x14ac:dyDescent="0.25">
      <c r="A7" s="52"/>
      <c r="B7" s="53"/>
      <c r="C7" s="304" t="s">
        <v>14464</v>
      </c>
      <c r="D7" s="304"/>
      <c r="E7" s="271" t="str">
        <f>IF(Planilla!T2="","¿…?",Planilla!T2)</f>
        <v>ELENA</v>
      </c>
      <c r="F7" s="271"/>
      <c r="G7" s="271"/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54"/>
    </row>
    <row r="8" spans="1:22" ht="14.1" customHeight="1" x14ac:dyDescent="0.25">
      <c r="A8" s="375" t="s">
        <v>14491</v>
      </c>
      <c r="B8" s="376"/>
      <c r="C8" s="376"/>
      <c r="D8" s="376"/>
      <c r="E8" s="376"/>
      <c r="F8" s="376"/>
      <c r="G8" s="376"/>
      <c r="H8" s="376"/>
      <c r="I8" s="376"/>
      <c r="J8" s="376"/>
      <c r="K8" s="376"/>
      <c r="L8" s="376"/>
      <c r="M8" s="376"/>
      <c r="N8" s="376"/>
      <c r="O8" s="376"/>
      <c r="P8" s="376"/>
      <c r="Q8" s="376"/>
      <c r="R8" s="376"/>
      <c r="S8" s="376"/>
      <c r="T8" s="376"/>
      <c r="U8" s="376"/>
      <c r="V8" s="377"/>
    </row>
    <row r="9" spans="1:22" ht="14.1" customHeight="1" x14ac:dyDescent="0.25">
      <c r="A9" s="378"/>
      <c r="B9" s="379"/>
      <c r="C9" s="379"/>
      <c r="D9" s="379"/>
      <c r="E9" s="379"/>
      <c r="F9" s="379"/>
      <c r="G9" s="379"/>
      <c r="H9" s="379"/>
      <c r="I9" s="379"/>
      <c r="J9" s="379"/>
      <c r="K9" s="379"/>
      <c r="L9" s="379"/>
      <c r="M9" s="379"/>
      <c r="N9" s="379"/>
      <c r="O9" s="379"/>
      <c r="P9" s="379"/>
      <c r="Q9" s="379"/>
      <c r="R9" s="379"/>
      <c r="S9" s="379"/>
      <c r="T9" s="379"/>
      <c r="U9" s="379"/>
      <c r="V9" s="380"/>
    </row>
    <row r="10" spans="1:22" ht="14.1" customHeight="1" x14ac:dyDescent="0.25">
      <c r="A10" s="381"/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V10" s="38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8" t="s">
        <v>14492</v>
      </c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9"/>
      <c r="O12" s="64"/>
      <c r="P12" s="374" t="s">
        <v>14486</v>
      </c>
      <c r="Q12" s="374"/>
      <c r="R12" s="374"/>
      <c r="S12" s="374"/>
      <c r="T12" s="374"/>
      <c r="U12" s="374"/>
      <c r="V12" s="65"/>
    </row>
    <row r="13" spans="1:22" ht="14.1" customHeight="1" x14ac:dyDescent="0.25">
      <c r="A13" s="91"/>
      <c r="B13" s="92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M13" s="390"/>
      <c r="N13" s="391"/>
      <c r="O13" s="64"/>
      <c r="P13" s="374"/>
      <c r="Q13" s="374"/>
      <c r="R13" s="374"/>
      <c r="S13" s="374"/>
      <c r="T13" s="374"/>
      <c r="U13" s="374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2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3"/>
      <c r="B16" s="93"/>
      <c r="C16" s="395"/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6"/>
      <c r="O16" s="349" t="s">
        <v>14467</v>
      </c>
      <c r="P16" s="349"/>
      <c r="Q16" s="349"/>
      <c r="R16" s="399">
        <v>32456987</v>
      </c>
      <c r="S16" s="351"/>
      <c r="T16" s="351"/>
      <c r="U16" s="352"/>
      <c r="V16" s="96"/>
    </row>
    <row r="17" spans="1:22" ht="14.1" customHeight="1" x14ac:dyDescent="0.25">
      <c r="A17" s="393"/>
      <c r="B17" s="93"/>
      <c r="C17" s="397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3"/>
      <c r="B18" s="93"/>
      <c r="C18" s="367" t="s">
        <v>14493</v>
      </c>
      <c r="D18" s="355"/>
      <c r="E18" s="355"/>
      <c r="F18" s="355" t="str">
        <f>VLOOKUP(S18,Sucursales!A:B,2,FALSE)</f>
        <v>RIO GRANDE</v>
      </c>
      <c r="G18" s="355"/>
      <c r="H18" s="355"/>
      <c r="I18" s="355"/>
      <c r="J18" s="355"/>
      <c r="K18" s="355"/>
      <c r="L18" s="355"/>
      <c r="M18" s="355"/>
      <c r="N18" s="79"/>
      <c r="O18" s="356" t="s">
        <v>8921</v>
      </c>
      <c r="P18" s="356"/>
      <c r="Q18" s="356"/>
      <c r="R18" s="356"/>
      <c r="S18" s="357" t="s">
        <v>14280</v>
      </c>
      <c r="T18" s="357"/>
      <c r="U18" s="358"/>
      <c r="V18" s="96"/>
    </row>
    <row r="19" spans="1:22" ht="14.1" customHeight="1" x14ac:dyDescent="0.25">
      <c r="A19" s="393"/>
      <c r="B19" s="93"/>
      <c r="C19" s="367"/>
      <c r="D19" s="355"/>
      <c r="E19" s="355"/>
      <c r="F19" s="355"/>
      <c r="G19" s="355"/>
      <c r="H19" s="355"/>
      <c r="I19" s="355"/>
      <c r="J19" s="355"/>
      <c r="K19" s="355"/>
      <c r="L19" s="355"/>
      <c r="M19" s="355"/>
      <c r="N19" s="82"/>
      <c r="O19" s="356"/>
      <c r="P19" s="356"/>
      <c r="Q19" s="356"/>
      <c r="R19" s="356"/>
      <c r="S19" s="357"/>
      <c r="T19" s="357"/>
      <c r="U19" s="358"/>
      <c r="V19" s="96"/>
    </row>
    <row r="20" spans="1:22" ht="14.1" customHeight="1" x14ac:dyDescent="0.25">
      <c r="A20" s="393"/>
      <c r="B20" s="93"/>
      <c r="C20" s="361" t="str">
        <f>VLOOKUP(S18,Sucursales!A:G,6,FALSE)</f>
        <v>V9420ZAA</v>
      </c>
      <c r="D20" s="362"/>
      <c r="E20" s="362"/>
      <c r="F20" s="362"/>
      <c r="H20" s="365" t="str">
        <f>VLOOKUP(S18,Sucursales!A:H,7,FALSE)</f>
        <v>RIO GRANDE</v>
      </c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6"/>
      <c r="V20" s="96"/>
    </row>
    <row r="21" spans="1:22" ht="14.1" customHeight="1" x14ac:dyDescent="0.25">
      <c r="A21" s="393"/>
      <c r="B21" s="93"/>
      <c r="C21" s="367" t="str">
        <f>VLOOKUP(S18,Sucursales!A:H,8,FALSE)</f>
        <v>TIERRA DEL FUEGO</v>
      </c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3"/>
      <c r="B22" s="93"/>
      <c r="C22" s="368"/>
      <c r="D22" s="369"/>
      <c r="E22" s="369"/>
      <c r="F22" s="369"/>
      <c r="G22" s="369"/>
      <c r="H22" s="369"/>
      <c r="I22" s="369"/>
      <c r="J22" s="369"/>
      <c r="K22" s="369"/>
      <c r="L22" s="369"/>
      <c r="M22" s="369"/>
      <c r="N22" s="370" t="s">
        <v>14489</v>
      </c>
      <c r="O22" s="370"/>
      <c r="P22" s="370"/>
      <c r="Q22" s="370"/>
      <c r="R22" s="400">
        <v>5493514882213</v>
      </c>
      <c r="S22" s="372"/>
      <c r="T22" s="372"/>
      <c r="U22" s="373"/>
      <c r="V22" s="96"/>
    </row>
    <row r="23" spans="1:22" ht="14.1" customHeight="1" thickBot="1" x14ac:dyDescent="0.3">
      <c r="A23" s="39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7"/>
      <c r="B2" s="408"/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8"/>
      <c r="U2" s="408"/>
      <c r="V2" s="409"/>
    </row>
    <row r="3" spans="1:22" ht="14.1" customHeight="1" x14ac:dyDescent="0.25">
      <c r="A3" s="410"/>
      <c r="B3" s="411"/>
      <c r="C3" s="411"/>
      <c r="D3" s="411"/>
      <c r="E3" s="41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2"/>
    </row>
    <row r="4" spans="1:22" ht="14.1" customHeight="1" x14ac:dyDescent="0.25">
      <c r="A4" s="410"/>
      <c r="B4" s="411"/>
      <c r="C4" s="411"/>
      <c r="D4" s="411"/>
      <c r="E4" s="411"/>
      <c r="F4" s="411"/>
      <c r="G4" s="411"/>
      <c r="H4" s="411"/>
      <c r="I4" s="411"/>
      <c r="J4" s="411"/>
      <c r="K4" s="411"/>
      <c r="L4" s="411"/>
      <c r="M4" s="411"/>
      <c r="N4" s="411"/>
      <c r="O4" s="411"/>
      <c r="P4" s="411"/>
      <c r="Q4" s="411"/>
      <c r="R4" s="411"/>
      <c r="S4" s="411"/>
      <c r="T4" s="411"/>
      <c r="U4" s="411"/>
      <c r="V4" s="412"/>
    </row>
    <row r="5" spans="1:22" ht="14.1" customHeight="1" x14ac:dyDescent="0.25">
      <c r="A5" s="410"/>
      <c r="B5" s="411"/>
      <c r="C5" s="411"/>
      <c r="D5" s="411"/>
      <c r="E5" s="411"/>
      <c r="F5" s="411"/>
      <c r="G5" s="411"/>
      <c r="H5" s="411"/>
      <c r="I5" s="411"/>
      <c r="J5" s="411"/>
      <c r="K5" s="411"/>
      <c r="L5" s="411"/>
      <c r="M5" s="411"/>
      <c r="N5" s="411"/>
      <c r="O5" s="411"/>
      <c r="P5" s="411"/>
      <c r="Q5" s="411"/>
      <c r="R5" s="411"/>
      <c r="S5" s="411"/>
      <c r="T5" s="411"/>
      <c r="U5" s="411"/>
      <c r="V5" s="412"/>
    </row>
    <row r="6" spans="1:22" ht="14.1" customHeight="1" x14ac:dyDescent="0.25">
      <c r="A6" s="413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5"/>
    </row>
    <row r="7" spans="1:22" ht="14.1" customHeight="1" x14ac:dyDescent="0.25">
      <c r="A7" s="142"/>
      <c r="B7" s="143"/>
      <c r="C7" s="305" t="s">
        <v>14464</v>
      </c>
      <c r="D7" s="305"/>
      <c r="E7" s="305" t="str">
        <f>IF(Planilla!T2="","¿…?",Planilla!T2)</f>
        <v>ELENA</v>
      </c>
      <c r="F7" s="305"/>
      <c r="G7" s="305"/>
      <c r="H7" s="305"/>
      <c r="I7" s="30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  <c r="U7" s="305"/>
      <c r="V7" s="144"/>
    </row>
    <row r="8" spans="1:22" ht="14.1" customHeight="1" x14ac:dyDescent="0.25">
      <c r="A8" s="423" t="s">
        <v>15074</v>
      </c>
      <c r="B8" s="424"/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  <c r="V8" s="425"/>
    </row>
    <row r="9" spans="1:22" ht="14.1" customHeight="1" x14ac:dyDescent="0.25">
      <c r="A9" s="426"/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8"/>
    </row>
    <row r="10" spans="1:22" ht="14.1" customHeight="1" x14ac:dyDescent="0.25">
      <c r="A10" s="429"/>
      <c r="B10" s="430"/>
      <c r="C10" s="430"/>
      <c r="D10" s="430"/>
      <c r="E10" s="430"/>
      <c r="F10" s="430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1"/>
    </row>
    <row r="11" spans="1:22" ht="4.5" customHeight="1" x14ac:dyDescent="0.25">
      <c r="A11" s="166"/>
      <c r="B11" s="145"/>
      <c r="C11" s="146"/>
      <c r="D11" s="146"/>
      <c r="E11" s="146"/>
      <c r="F11" s="146"/>
      <c r="G11" s="146"/>
      <c r="H11" s="146"/>
      <c r="I11" s="146"/>
      <c r="J11" s="146"/>
      <c r="K11" s="147"/>
      <c r="L11" s="147"/>
      <c r="M11" s="148"/>
      <c r="N11" s="148"/>
      <c r="O11" s="148"/>
      <c r="P11" s="148"/>
      <c r="Q11" s="148"/>
      <c r="R11" s="148"/>
      <c r="S11" s="148"/>
      <c r="T11" s="148"/>
      <c r="U11" s="148"/>
      <c r="V11" s="149"/>
    </row>
    <row r="12" spans="1:22" ht="4.5" customHeight="1" x14ac:dyDescent="0.25">
      <c r="A12" s="167"/>
      <c r="B12" s="165"/>
      <c r="C12" s="432"/>
      <c r="D12" s="432"/>
      <c r="E12" s="432"/>
      <c r="F12" s="432"/>
      <c r="G12" s="432"/>
      <c r="H12" s="432"/>
      <c r="I12" s="432"/>
      <c r="J12" s="432"/>
      <c r="K12" s="432"/>
      <c r="L12" s="432"/>
      <c r="M12" s="432"/>
      <c r="N12" s="432"/>
      <c r="O12" s="164"/>
      <c r="P12" s="433"/>
      <c r="Q12" s="433"/>
      <c r="R12" s="433"/>
      <c r="S12" s="433"/>
      <c r="T12" s="433"/>
      <c r="U12" s="433"/>
      <c r="V12" s="163"/>
    </row>
    <row r="13" spans="1:22" ht="4.5" customHeight="1" x14ac:dyDescent="0.25">
      <c r="A13" s="167"/>
      <c r="B13" s="165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164"/>
      <c r="P13" s="433"/>
      <c r="Q13" s="433"/>
      <c r="R13" s="433"/>
      <c r="S13" s="433"/>
      <c r="T13" s="433"/>
      <c r="U13" s="433"/>
      <c r="V13" s="163"/>
    </row>
    <row r="14" spans="1:22" ht="14.1" customHeight="1" x14ac:dyDescent="0.25">
      <c r="A14" s="150"/>
      <c r="B14" s="151"/>
      <c r="C14" s="152"/>
      <c r="D14" s="153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5"/>
    </row>
    <row r="15" spans="1:22" ht="14.1" customHeight="1" x14ac:dyDescent="0.25">
      <c r="A15" s="416"/>
      <c r="B15" s="172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68"/>
    </row>
    <row r="16" spans="1:22" ht="14.1" customHeight="1" x14ac:dyDescent="0.25">
      <c r="A16" s="417"/>
      <c r="B16" s="172"/>
      <c r="C16" s="345" t="s">
        <v>15649</v>
      </c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  <c r="O16" s="419" t="s">
        <v>14467</v>
      </c>
      <c r="P16" s="419"/>
      <c r="Q16" s="419"/>
      <c r="R16" s="350">
        <v>65498712</v>
      </c>
      <c r="S16" s="351"/>
      <c r="T16" s="351"/>
      <c r="U16" s="352"/>
      <c r="V16" s="168"/>
    </row>
    <row r="17" spans="1:22" ht="14.1" customHeight="1" x14ac:dyDescent="0.25">
      <c r="A17" s="417"/>
      <c r="B17" s="172"/>
      <c r="C17" s="347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156"/>
      <c r="P17" s="157"/>
      <c r="Q17" s="157"/>
      <c r="R17" s="157"/>
      <c r="S17" s="157"/>
      <c r="T17" s="157"/>
      <c r="U17" s="158"/>
      <c r="V17" s="168"/>
    </row>
    <row r="18" spans="1:22" ht="14.1" customHeight="1" x14ac:dyDescent="0.25">
      <c r="A18" s="417"/>
      <c r="B18" s="172"/>
      <c r="C18" s="420" t="s">
        <v>15073</v>
      </c>
      <c r="D18" s="421"/>
      <c r="E18" s="421"/>
      <c r="F18" s="422">
        <f ca="1">TODAY()</f>
        <v>44972</v>
      </c>
      <c r="G18" s="421"/>
      <c r="H18" s="421"/>
      <c r="I18" s="421"/>
      <c r="J18" s="421"/>
      <c r="K18" s="421"/>
      <c r="L18" s="421"/>
      <c r="M18" s="421"/>
      <c r="N18" s="156"/>
      <c r="O18" s="437"/>
      <c r="P18" s="437"/>
      <c r="Q18" s="437"/>
      <c r="R18" s="437"/>
      <c r="S18" s="401"/>
      <c r="T18" s="401"/>
      <c r="U18" s="402"/>
      <c r="V18" s="168"/>
    </row>
    <row r="19" spans="1:22" ht="14.1" customHeight="1" x14ac:dyDescent="0.25">
      <c r="A19" s="417"/>
      <c r="B19" s="172"/>
      <c r="C19" s="420"/>
      <c r="D19" s="421"/>
      <c r="E19" s="421"/>
      <c r="F19" s="421"/>
      <c r="G19" s="421"/>
      <c r="H19" s="421"/>
      <c r="I19" s="421"/>
      <c r="J19" s="421"/>
      <c r="K19" s="421"/>
      <c r="L19" s="421"/>
      <c r="M19" s="421"/>
      <c r="N19" s="159"/>
      <c r="O19" s="437"/>
      <c r="P19" s="437"/>
      <c r="Q19" s="437"/>
      <c r="R19" s="437"/>
      <c r="S19" s="401"/>
      <c r="T19" s="401"/>
      <c r="U19" s="402"/>
      <c r="V19" s="168"/>
    </row>
    <row r="20" spans="1:22" ht="14.1" customHeight="1" x14ac:dyDescent="0.25">
      <c r="A20" s="417"/>
      <c r="B20" s="172"/>
      <c r="C20" s="403"/>
      <c r="D20" s="404"/>
      <c r="E20" s="404"/>
      <c r="F20" s="404"/>
      <c r="H20" s="405"/>
      <c r="I20" s="405"/>
      <c r="J20" s="405"/>
      <c r="K20" s="405"/>
      <c r="L20" s="405"/>
      <c r="M20" s="405"/>
      <c r="N20" s="405"/>
      <c r="O20" s="405"/>
      <c r="P20" s="405"/>
      <c r="Q20" s="405"/>
      <c r="R20" s="405"/>
      <c r="S20" s="405"/>
      <c r="T20" s="405"/>
      <c r="U20" s="406"/>
      <c r="V20" s="168"/>
    </row>
    <row r="21" spans="1:22" ht="14.1" customHeight="1" x14ac:dyDescent="0.25">
      <c r="A21" s="417"/>
      <c r="B21" s="172"/>
      <c r="C21" s="420" t="s">
        <v>15072</v>
      </c>
      <c r="D21" s="421"/>
      <c r="E21" s="421"/>
      <c r="F21" s="421"/>
      <c r="G21" s="421"/>
      <c r="H21" s="421"/>
      <c r="I21" s="421"/>
      <c r="J21" s="421"/>
      <c r="K21" s="421"/>
      <c r="L21" s="421"/>
      <c r="M21" s="421"/>
      <c r="N21" s="159"/>
      <c r="O21" s="160"/>
      <c r="P21" s="160"/>
      <c r="Q21" s="161"/>
      <c r="R21" s="161"/>
      <c r="S21" s="161"/>
      <c r="T21" s="161"/>
      <c r="U21" s="162"/>
      <c r="V21" s="168"/>
    </row>
    <row r="22" spans="1:22" ht="14.1" customHeight="1" x14ac:dyDescent="0.25">
      <c r="A22" s="417"/>
      <c r="B22" s="172"/>
      <c r="C22" s="434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6" t="s">
        <v>14489</v>
      </c>
      <c r="O22" s="436"/>
      <c r="P22" s="436"/>
      <c r="Q22" s="436"/>
      <c r="R22" s="371">
        <v>3514882213</v>
      </c>
      <c r="S22" s="372"/>
      <c r="T22" s="372"/>
      <c r="U22" s="373"/>
      <c r="V22" s="168"/>
    </row>
    <row r="23" spans="1:22" ht="14.1" customHeight="1" thickBot="1" x14ac:dyDescent="0.3">
      <c r="A23" s="418"/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69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515" workbookViewId="0">
      <selection activeCell="D1530" sqref="D1530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8" t="s">
        <v>8920</v>
      </c>
      <c r="B1" s="438"/>
      <c r="C1" s="438"/>
      <c r="D1" s="438"/>
      <c r="E1" s="438"/>
      <c r="F1" s="438"/>
      <c r="G1" s="438"/>
      <c r="H1" s="438"/>
      <c r="I1" s="438"/>
      <c r="J1" s="438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4" t="s">
        <v>8921</v>
      </c>
      <c r="B3" s="135" t="s">
        <v>8922</v>
      </c>
      <c r="C3" s="135" t="s">
        <v>14502</v>
      </c>
      <c r="D3" s="135" t="s">
        <v>8923</v>
      </c>
      <c r="E3" s="135" t="s">
        <v>8924</v>
      </c>
      <c r="F3" s="135" t="s">
        <v>8881</v>
      </c>
      <c r="G3" s="135" t="s">
        <v>8925</v>
      </c>
      <c r="H3" s="136" t="s">
        <v>8882</v>
      </c>
      <c r="I3" s="135" t="s">
        <v>8922</v>
      </c>
      <c r="J3" s="135" t="s">
        <v>8926</v>
      </c>
      <c r="K3" s="135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29" t="s">
        <v>9776</v>
      </c>
      <c r="E4" s="133">
        <v>825</v>
      </c>
      <c r="F4" s="131" t="s">
        <v>9777</v>
      </c>
      <c r="G4" s="129" t="s">
        <v>9050</v>
      </c>
      <c r="H4" s="112" t="s">
        <v>8931</v>
      </c>
      <c r="I4" s="3" t="s">
        <v>9050</v>
      </c>
      <c r="J4" s="129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29" t="s">
        <v>9755</v>
      </c>
      <c r="E5" s="133">
        <v>48</v>
      </c>
      <c r="F5" s="131" t="s">
        <v>9756</v>
      </c>
      <c r="G5" s="129" t="s">
        <v>9754</v>
      </c>
      <c r="H5" s="112" t="s">
        <v>8931</v>
      </c>
      <c r="I5" s="3" t="s">
        <v>9758</v>
      </c>
      <c r="J5" s="129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29" t="s">
        <v>9277</v>
      </c>
      <c r="E6" s="133">
        <v>794</v>
      </c>
      <c r="F6" s="131" t="s">
        <v>9676</v>
      </c>
      <c r="G6" s="129" t="s">
        <v>8974</v>
      </c>
      <c r="H6" s="112" t="s">
        <v>8931</v>
      </c>
      <c r="I6" s="3" t="s">
        <v>8974</v>
      </c>
      <c r="J6" s="129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29" t="s">
        <v>10372</v>
      </c>
      <c r="E7" s="133">
        <v>0</v>
      </c>
      <c r="F7" s="131" t="s">
        <v>10373</v>
      </c>
      <c r="G7" s="129" t="s">
        <v>10371</v>
      </c>
      <c r="H7" s="112" t="s">
        <v>8931</v>
      </c>
      <c r="I7" s="3" t="s">
        <v>9306</v>
      </c>
      <c r="J7" s="129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29" t="s">
        <v>8961</v>
      </c>
      <c r="E8" s="133">
        <v>766</v>
      </c>
      <c r="F8" s="131" t="s">
        <v>8962</v>
      </c>
      <c r="G8" s="129" t="s">
        <v>8960</v>
      </c>
      <c r="H8" s="112" t="s">
        <v>8931</v>
      </c>
      <c r="I8" s="3" t="s">
        <v>9009</v>
      </c>
      <c r="J8" s="129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29" t="s">
        <v>9788</v>
      </c>
      <c r="E9" s="133">
        <v>589</v>
      </c>
      <c r="F9" s="131" t="s">
        <v>9789</v>
      </c>
      <c r="G9" s="129" t="s">
        <v>9787</v>
      </c>
      <c r="H9" s="112" t="s">
        <v>8931</v>
      </c>
      <c r="I9" s="3" t="s">
        <v>9783</v>
      </c>
      <c r="J9" s="129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29" t="s">
        <v>9935</v>
      </c>
      <c r="E10" s="133">
        <v>267</v>
      </c>
      <c r="F10" s="131" t="s">
        <v>9936</v>
      </c>
      <c r="G10" s="129" t="s">
        <v>9934</v>
      </c>
      <c r="H10" s="112" t="s">
        <v>8931</v>
      </c>
      <c r="I10" s="3" t="s">
        <v>9934</v>
      </c>
      <c r="J10" s="129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29" t="s">
        <v>9071</v>
      </c>
      <c r="E11" s="133">
        <v>1076</v>
      </c>
      <c r="F11" s="131" t="s">
        <v>9073</v>
      </c>
      <c r="G11" s="129" t="s">
        <v>9072</v>
      </c>
      <c r="H11" s="112" t="s">
        <v>8931</v>
      </c>
      <c r="I11" s="3" t="s">
        <v>12836</v>
      </c>
      <c r="J11" s="129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29" t="s">
        <v>9067</v>
      </c>
      <c r="E12" s="133">
        <v>0</v>
      </c>
      <c r="F12" s="131" t="s">
        <v>9068</v>
      </c>
      <c r="G12" s="129" t="s">
        <v>9066</v>
      </c>
      <c r="H12" s="112" t="s">
        <v>8931</v>
      </c>
      <c r="I12" s="3" t="s">
        <v>9200</v>
      </c>
      <c r="J12" s="129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29" t="s">
        <v>8928</v>
      </c>
      <c r="E13" s="133">
        <v>152</v>
      </c>
      <c r="F13" s="131" t="s">
        <v>9462</v>
      </c>
      <c r="G13" s="129" t="s">
        <v>9461</v>
      </c>
      <c r="H13" s="112" t="s">
        <v>8931</v>
      </c>
      <c r="I13" s="3" t="s">
        <v>9461</v>
      </c>
      <c r="J13" s="129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29" t="s">
        <v>9339</v>
      </c>
      <c r="E14" s="133">
        <v>4984</v>
      </c>
      <c r="F14" s="131" t="s">
        <v>9340</v>
      </c>
      <c r="G14" s="129" t="s">
        <v>9338</v>
      </c>
      <c r="H14" s="112" t="s">
        <v>8931</v>
      </c>
      <c r="I14" s="3" t="s">
        <v>10320</v>
      </c>
      <c r="J14" s="129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29" t="s">
        <v>8983</v>
      </c>
      <c r="E15" s="133">
        <v>280</v>
      </c>
      <c r="F15" s="131" t="s">
        <v>9791</v>
      </c>
      <c r="G15" s="129" t="s">
        <v>9010</v>
      </c>
      <c r="H15" s="112" t="s">
        <v>8931</v>
      </c>
      <c r="I15" s="3" t="s">
        <v>9796</v>
      </c>
      <c r="J15" s="129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29" t="s">
        <v>9470</v>
      </c>
      <c r="E16" s="133">
        <v>221</v>
      </c>
      <c r="F16" s="131" t="s">
        <v>9471</v>
      </c>
      <c r="G16" s="129" t="s">
        <v>9469</v>
      </c>
      <c r="H16" s="112" t="s">
        <v>8931</v>
      </c>
      <c r="I16" s="3" t="s">
        <v>9360</v>
      </c>
      <c r="J16" s="129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29" t="s">
        <v>9776</v>
      </c>
      <c r="E17" s="133">
        <v>0</v>
      </c>
      <c r="F17" s="131" t="s">
        <v>10394</v>
      </c>
      <c r="G17" s="129" t="s">
        <v>10393</v>
      </c>
      <c r="H17" s="112" t="s">
        <v>8931</v>
      </c>
      <c r="I17" s="3" t="s">
        <v>9429</v>
      </c>
      <c r="J17" s="129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29" t="s">
        <v>9474</v>
      </c>
      <c r="E18" s="133">
        <v>264</v>
      </c>
      <c r="F18" s="131" t="s">
        <v>9475</v>
      </c>
      <c r="G18" s="129" t="s">
        <v>9473</v>
      </c>
      <c r="H18" s="112" t="s">
        <v>8931</v>
      </c>
      <c r="I18" s="3" t="s">
        <v>9644</v>
      </c>
      <c r="J18" s="129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29" t="s">
        <v>9076</v>
      </c>
      <c r="E19" s="133">
        <v>42</v>
      </c>
      <c r="F19" s="131" t="s">
        <v>9794</v>
      </c>
      <c r="G19" s="129" t="s">
        <v>9793</v>
      </c>
      <c r="H19" s="112" t="s">
        <v>8931</v>
      </c>
      <c r="I19" s="3" t="s">
        <v>9793</v>
      </c>
      <c r="J19" s="129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15321</v>
      </c>
      <c r="C20" s="112" t="s">
        <v>3</v>
      </c>
      <c r="D20" s="129" t="s">
        <v>9477</v>
      </c>
      <c r="E20" s="133">
        <v>30</v>
      </c>
      <c r="F20" s="131" t="s">
        <v>9478</v>
      </c>
      <c r="G20" s="129" t="s">
        <v>15321</v>
      </c>
      <c r="H20" s="112" t="s">
        <v>8931</v>
      </c>
      <c r="I20" s="3" t="s">
        <v>9580</v>
      </c>
      <c r="J20" s="129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29" t="s">
        <v>9943</v>
      </c>
      <c r="E21" s="133">
        <v>57</v>
      </c>
      <c r="F21" s="131" t="s">
        <v>9944</v>
      </c>
      <c r="G21" s="129" t="s">
        <v>9942</v>
      </c>
      <c r="H21" s="112" t="s">
        <v>8931</v>
      </c>
      <c r="I21" s="3" t="s">
        <v>10129</v>
      </c>
      <c r="J21" s="129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29" t="s">
        <v>9255</v>
      </c>
      <c r="E22" s="133">
        <v>0</v>
      </c>
      <c r="F22" s="131" t="s">
        <v>9481</v>
      </c>
      <c r="G22" s="129" t="s">
        <v>9480</v>
      </c>
      <c r="H22" s="112" t="s">
        <v>8931</v>
      </c>
      <c r="I22" s="3" t="s">
        <v>9734</v>
      </c>
      <c r="J22" s="129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29" t="s">
        <v>9484</v>
      </c>
      <c r="E23" s="133">
        <v>36</v>
      </c>
      <c r="F23" s="131" t="s">
        <v>9486</v>
      </c>
      <c r="G23" s="129" t="s">
        <v>9485</v>
      </c>
      <c r="H23" s="112" t="s">
        <v>8931</v>
      </c>
      <c r="I23" s="3" t="s">
        <v>9580</v>
      </c>
      <c r="J23" s="129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29" t="s">
        <v>9076</v>
      </c>
      <c r="E24" s="133">
        <v>390</v>
      </c>
      <c r="F24" s="131" t="s">
        <v>9077</v>
      </c>
      <c r="G24" s="129" t="s">
        <v>9075</v>
      </c>
      <c r="H24" s="112" t="s">
        <v>8931</v>
      </c>
      <c r="I24" s="3" t="s">
        <v>9075</v>
      </c>
      <c r="J24" s="129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29" t="s">
        <v>9343</v>
      </c>
      <c r="E25" s="133">
        <v>744</v>
      </c>
      <c r="F25" s="131" t="s">
        <v>9344</v>
      </c>
      <c r="G25" s="129" t="s">
        <v>9342</v>
      </c>
      <c r="H25" s="112" t="s">
        <v>8931</v>
      </c>
      <c r="I25" s="3" t="s">
        <v>9342</v>
      </c>
      <c r="J25" s="129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29" t="s">
        <v>9947</v>
      </c>
      <c r="E26" s="133">
        <v>549</v>
      </c>
      <c r="F26" s="131" t="s">
        <v>9948</v>
      </c>
      <c r="G26" s="129" t="s">
        <v>9946</v>
      </c>
      <c r="H26" s="112" t="s">
        <v>8931</v>
      </c>
      <c r="I26" s="3" t="s">
        <v>9946</v>
      </c>
      <c r="J26" s="129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29" t="s">
        <v>9276</v>
      </c>
      <c r="E27" s="133">
        <v>34</v>
      </c>
      <c r="F27" s="131" t="s">
        <v>9905</v>
      </c>
      <c r="G27" s="129" t="s">
        <v>9904</v>
      </c>
      <c r="H27" s="112" t="s">
        <v>8931</v>
      </c>
      <c r="I27" s="3" t="s">
        <v>9904</v>
      </c>
      <c r="J27" s="129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29" t="s">
        <v>9908</v>
      </c>
      <c r="E28" s="133">
        <v>1524</v>
      </c>
      <c r="F28" s="131" t="s">
        <v>9909</v>
      </c>
      <c r="G28" s="129" t="s">
        <v>9904</v>
      </c>
      <c r="H28" s="112" t="s">
        <v>8931</v>
      </c>
      <c r="I28" s="3" t="s">
        <v>9904</v>
      </c>
      <c r="J28" s="129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29" t="s">
        <v>9912</v>
      </c>
      <c r="E29" s="133">
        <v>1021</v>
      </c>
      <c r="F29" s="131" t="s">
        <v>9913</v>
      </c>
      <c r="G29" s="129" t="s">
        <v>9904</v>
      </c>
      <c r="H29" s="112" t="s">
        <v>8931</v>
      </c>
      <c r="I29" s="3" t="s">
        <v>9904</v>
      </c>
      <c r="J29" s="129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29" t="s">
        <v>10376</v>
      </c>
      <c r="E30" s="133">
        <v>399</v>
      </c>
      <c r="F30" s="131" t="s">
        <v>10377</v>
      </c>
      <c r="G30" s="129" t="s">
        <v>9904</v>
      </c>
      <c r="H30" s="112" t="s">
        <v>8931</v>
      </c>
      <c r="I30" s="3" t="s">
        <v>9904</v>
      </c>
      <c r="J30" s="129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29" t="s">
        <v>9364</v>
      </c>
      <c r="E31" s="133">
        <v>579</v>
      </c>
      <c r="F31" s="131" t="s">
        <v>10404</v>
      </c>
      <c r="G31" s="129" t="s">
        <v>9904</v>
      </c>
      <c r="H31" s="112" t="s">
        <v>8931</v>
      </c>
      <c r="I31" s="3" t="s">
        <v>9904</v>
      </c>
      <c r="J31" s="129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29" t="s">
        <v>9405</v>
      </c>
      <c r="E32" s="133">
        <v>206</v>
      </c>
      <c r="F32" s="131" t="s">
        <v>9489</v>
      </c>
      <c r="G32" s="129" t="s">
        <v>9488</v>
      </c>
      <c r="H32" s="112" t="s">
        <v>8931</v>
      </c>
      <c r="I32" s="3" t="s">
        <v>14524</v>
      </c>
      <c r="J32" s="129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29" t="s">
        <v>10252</v>
      </c>
      <c r="E33" s="133">
        <v>552</v>
      </c>
      <c r="F33" s="131" t="s">
        <v>10253</v>
      </c>
      <c r="G33" s="129" t="s">
        <v>10251</v>
      </c>
      <c r="H33" s="112" t="s">
        <v>8931</v>
      </c>
      <c r="I33" s="3" t="s">
        <v>10251</v>
      </c>
      <c r="J33" s="129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29" t="s">
        <v>9951</v>
      </c>
      <c r="E34" s="133">
        <v>375</v>
      </c>
      <c r="F34" s="131" t="s">
        <v>9952</v>
      </c>
      <c r="G34" s="129" t="s">
        <v>9950</v>
      </c>
      <c r="H34" s="112" t="s">
        <v>8931</v>
      </c>
      <c r="I34" s="3" t="s">
        <v>9922</v>
      </c>
      <c r="J34" s="129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29" t="s">
        <v>9492</v>
      </c>
      <c r="E35" s="133">
        <v>105</v>
      </c>
      <c r="F35" s="131" t="s">
        <v>9493</v>
      </c>
      <c r="G35" s="129" t="s">
        <v>9491</v>
      </c>
      <c r="H35" s="112" t="s">
        <v>8931</v>
      </c>
      <c r="I35" s="3" t="s">
        <v>9596</v>
      </c>
      <c r="J35" s="129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29" t="s">
        <v>10189</v>
      </c>
      <c r="E36" s="133">
        <v>658</v>
      </c>
      <c r="F36" s="131" t="s">
        <v>10190</v>
      </c>
      <c r="G36" s="129" t="s">
        <v>10188</v>
      </c>
      <c r="H36" s="112" t="s">
        <v>8931</v>
      </c>
      <c r="I36" s="3" t="s">
        <v>10182</v>
      </c>
      <c r="J36" s="129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29" t="s">
        <v>10349</v>
      </c>
      <c r="E37" s="133">
        <v>2450</v>
      </c>
      <c r="F37" s="131" t="s">
        <v>10350</v>
      </c>
      <c r="G37" s="129" t="s">
        <v>10188</v>
      </c>
      <c r="H37" s="112" t="s">
        <v>8931</v>
      </c>
      <c r="I37" s="3" t="s">
        <v>10182</v>
      </c>
      <c r="J37" s="129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29" t="s">
        <v>9797</v>
      </c>
      <c r="E38" s="133">
        <v>999</v>
      </c>
      <c r="F38" s="131" t="s">
        <v>9798</v>
      </c>
      <c r="G38" s="129" t="s">
        <v>9796</v>
      </c>
      <c r="H38" s="112" t="s">
        <v>8931</v>
      </c>
      <c r="I38" s="3" t="s">
        <v>9796</v>
      </c>
      <c r="J38" s="129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29" t="s">
        <v>10211</v>
      </c>
      <c r="E39" s="133">
        <v>4264</v>
      </c>
      <c r="F39" s="131" t="s">
        <v>10212</v>
      </c>
      <c r="G39" s="129" t="s">
        <v>10210</v>
      </c>
      <c r="H39" s="112" t="s">
        <v>8931</v>
      </c>
      <c r="I39" s="3" t="s">
        <v>14530</v>
      </c>
      <c r="J39" s="129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29" t="s">
        <v>10363</v>
      </c>
      <c r="E40" s="133">
        <v>0</v>
      </c>
      <c r="F40" s="131" t="s">
        <v>10365</v>
      </c>
      <c r="G40" s="129" t="s">
        <v>10364</v>
      </c>
      <c r="H40" s="112" t="s">
        <v>8931</v>
      </c>
      <c r="I40" s="3" t="s">
        <v>14530</v>
      </c>
      <c r="J40" s="129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29" t="s">
        <v>9959</v>
      </c>
      <c r="E41" s="133">
        <v>0</v>
      </c>
      <c r="F41" s="131" t="s">
        <v>9961</v>
      </c>
      <c r="G41" s="129" t="s">
        <v>9960</v>
      </c>
      <c r="H41" s="112" t="s">
        <v>8931</v>
      </c>
      <c r="I41" s="3" t="s">
        <v>9904</v>
      </c>
      <c r="J41" s="129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29" t="s">
        <v>9964</v>
      </c>
      <c r="E42" s="133">
        <v>0</v>
      </c>
      <c r="F42" s="131" t="s">
        <v>9965</v>
      </c>
      <c r="G42" s="129" t="s">
        <v>9963</v>
      </c>
      <c r="H42" s="112" t="s">
        <v>8931</v>
      </c>
      <c r="I42" s="3" t="s">
        <v>14528</v>
      </c>
      <c r="J42" s="129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29" t="s">
        <v>9496</v>
      </c>
      <c r="E43" s="133">
        <v>0</v>
      </c>
      <c r="F43" s="131" t="s">
        <v>9497</v>
      </c>
      <c r="G43" s="129" t="s">
        <v>9495</v>
      </c>
      <c r="H43" s="112" t="s">
        <v>8931</v>
      </c>
      <c r="I43" s="3" t="s">
        <v>9644</v>
      </c>
      <c r="J43" s="129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29" t="s">
        <v>9360</v>
      </c>
      <c r="E44" s="133">
        <v>302</v>
      </c>
      <c r="F44" s="131" t="s">
        <v>9826</v>
      </c>
      <c r="G44" s="129" t="s">
        <v>9825</v>
      </c>
      <c r="H44" s="112" t="s">
        <v>8931</v>
      </c>
      <c r="I44" s="3" t="s">
        <v>9824</v>
      </c>
      <c r="J44" s="129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29" t="s">
        <v>9018</v>
      </c>
      <c r="E45" s="133">
        <v>1090</v>
      </c>
      <c r="F45" s="131" t="s">
        <v>9019</v>
      </c>
      <c r="G45" s="129" t="s">
        <v>9017</v>
      </c>
      <c r="H45" s="112" t="s">
        <v>8931</v>
      </c>
      <c r="I45" s="3" t="s">
        <v>9013</v>
      </c>
      <c r="J45" s="129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29" t="s">
        <v>9058</v>
      </c>
      <c r="E46" s="133">
        <v>2882</v>
      </c>
      <c r="F46" s="131" t="s">
        <v>9059</v>
      </c>
      <c r="G46" s="129" t="s">
        <v>9057</v>
      </c>
      <c r="H46" s="112" t="s">
        <v>8931</v>
      </c>
      <c r="I46" s="3" t="s">
        <v>8934</v>
      </c>
      <c r="J46" s="129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29" t="s">
        <v>9968</v>
      </c>
      <c r="E47" s="133">
        <v>2</v>
      </c>
      <c r="F47" s="131" t="s">
        <v>9969</v>
      </c>
      <c r="G47" s="129" t="s">
        <v>9967</v>
      </c>
      <c r="H47" s="112" t="s">
        <v>8931</v>
      </c>
      <c r="I47" s="3" t="s">
        <v>9967</v>
      </c>
      <c r="J47" s="129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29" t="s">
        <v>9080</v>
      </c>
      <c r="E48" s="133">
        <v>4751</v>
      </c>
      <c r="F48" s="131" t="s">
        <v>9081</v>
      </c>
      <c r="G48" s="129" t="s">
        <v>9079</v>
      </c>
      <c r="H48" s="112" t="s">
        <v>8931</v>
      </c>
      <c r="I48" s="3" t="s">
        <v>9079</v>
      </c>
      <c r="J48" s="129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29" t="s">
        <v>9347</v>
      </c>
      <c r="E49" s="133">
        <v>4419</v>
      </c>
      <c r="F49" s="131" t="s">
        <v>9348</v>
      </c>
      <c r="G49" s="129" t="s">
        <v>9346</v>
      </c>
      <c r="H49" s="112" t="s">
        <v>8931</v>
      </c>
      <c r="I49" s="3" t="s">
        <v>9346</v>
      </c>
      <c r="J49" s="129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29" t="s">
        <v>8974</v>
      </c>
      <c r="E50" s="133">
        <v>14</v>
      </c>
      <c r="F50" s="131" t="s">
        <v>8976</v>
      </c>
      <c r="G50" s="129" t="s">
        <v>8975</v>
      </c>
      <c r="H50" s="112" t="s">
        <v>8931</v>
      </c>
      <c r="I50" s="3" t="s">
        <v>10175</v>
      </c>
      <c r="J50" s="129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29" t="s">
        <v>9500</v>
      </c>
      <c r="E51" s="133">
        <v>551</v>
      </c>
      <c r="F51" s="131" t="s">
        <v>9502</v>
      </c>
      <c r="G51" s="129" t="s">
        <v>9501</v>
      </c>
      <c r="H51" s="112" t="s">
        <v>8931</v>
      </c>
      <c r="I51" s="3" t="s">
        <v>9758</v>
      </c>
      <c r="J51" s="129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29" t="s">
        <v>9458</v>
      </c>
      <c r="E52" s="133">
        <v>174</v>
      </c>
      <c r="F52" s="131" t="s">
        <v>9505</v>
      </c>
      <c r="G52" s="129" t="s">
        <v>9504</v>
      </c>
      <c r="H52" s="112" t="s">
        <v>8931</v>
      </c>
      <c r="I52" s="3" t="s">
        <v>9466</v>
      </c>
      <c r="J52" s="129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29" t="s">
        <v>9508</v>
      </c>
      <c r="E53" s="133">
        <v>202</v>
      </c>
      <c r="F53" s="131" t="s">
        <v>9509</v>
      </c>
      <c r="G53" s="129" t="s">
        <v>9507</v>
      </c>
      <c r="H53" s="112" t="s">
        <v>8931</v>
      </c>
      <c r="I53" s="3" t="s">
        <v>9507</v>
      </c>
      <c r="J53" s="129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29" t="s">
        <v>14505</v>
      </c>
      <c r="E54" s="133">
        <v>0</v>
      </c>
      <c r="F54" s="131" t="s">
        <v>9972</v>
      </c>
      <c r="G54" s="129" t="s">
        <v>9971</v>
      </c>
      <c r="H54" s="112" t="s">
        <v>8931</v>
      </c>
      <c r="I54" s="3" t="s">
        <v>10049</v>
      </c>
      <c r="J54" s="129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29" t="s">
        <v>9975</v>
      </c>
      <c r="E55" s="133">
        <v>102</v>
      </c>
      <c r="F55" s="131" t="s">
        <v>9976</v>
      </c>
      <c r="G55" s="129" t="s">
        <v>9974</v>
      </c>
      <c r="H55" s="112" t="s">
        <v>8931</v>
      </c>
      <c r="I55" s="3" t="s">
        <v>10113</v>
      </c>
      <c r="J55" s="129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29" t="s">
        <v>8965</v>
      </c>
      <c r="E56" s="133">
        <v>2647</v>
      </c>
      <c r="F56" s="131" t="s">
        <v>8967</v>
      </c>
      <c r="G56" s="129" t="s">
        <v>8966</v>
      </c>
      <c r="H56" s="112" t="s">
        <v>8931</v>
      </c>
      <c r="I56" s="3" t="s">
        <v>9009</v>
      </c>
      <c r="J56" s="129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29" t="s">
        <v>9021</v>
      </c>
      <c r="E57" s="133">
        <v>2384</v>
      </c>
      <c r="F57" s="131" t="s">
        <v>9022</v>
      </c>
      <c r="G57" s="129" t="s">
        <v>8966</v>
      </c>
      <c r="H57" s="112" t="s">
        <v>8931</v>
      </c>
      <c r="I57" s="3" t="s">
        <v>9009</v>
      </c>
      <c r="J57" s="129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29" t="s">
        <v>9221</v>
      </c>
      <c r="E58" s="133">
        <v>1101</v>
      </c>
      <c r="F58" s="131" t="s">
        <v>9511</v>
      </c>
      <c r="G58" s="129" t="s">
        <v>9163</v>
      </c>
      <c r="H58" s="112" t="s">
        <v>8931</v>
      </c>
      <c r="I58" s="3" t="s">
        <v>9163</v>
      </c>
      <c r="J58" s="129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29" t="s">
        <v>9372</v>
      </c>
      <c r="E59" s="133">
        <v>1167</v>
      </c>
      <c r="F59" s="131" t="s">
        <v>9374</v>
      </c>
      <c r="G59" s="129" t="s">
        <v>9373</v>
      </c>
      <c r="H59" s="112" t="s">
        <v>8931</v>
      </c>
      <c r="I59" s="3" t="s">
        <v>9373</v>
      </c>
      <c r="J59" s="129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29" t="s">
        <v>9197</v>
      </c>
      <c r="E60" s="133">
        <v>983</v>
      </c>
      <c r="F60" s="131" t="s">
        <v>9198</v>
      </c>
      <c r="G60" s="129" t="s">
        <v>9196</v>
      </c>
      <c r="H60" s="112" t="s">
        <v>8931</v>
      </c>
      <c r="I60" s="3" t="s">
        <v>12836</v>
      </c>
      <c r="J60" s="129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29" t="s">
        <v>9513</v>
      </c>
      <c r="E61" s="133">
        <v>317</v>
      </c>
      <c r="F61" s="131" t="s">
        <v>9514</v>
      </c>
      <c r="G61" s="129" t="s">
        <v>14498</v>
      </c>
      <c r="H61" s="112" t="s">
        <v>8931</v>
      </c>
      <c r="I61" s="3" t="s">
        <v>9596</v>
      </c>
      <c r="J61" s="129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29" t="s">
        <v>8928</v>
      </c>
      <c r="E62" s="133">
        <v>466</v>
      </c>
      <c r="F62" s="131" t="s">
        <v>9354</v>
      </c>
      <c r="G62" s="129" t="s">
        <v>14497</v>
      </c>
      <c r="H62" s="112" t="s">
        <v>8931</v>
      </c>
      <c r="I62" s="3" t="s">
        <v>14497</v>
      </c>
      <c r="J62" s="129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29" t="s">
        <v>9979</v>
      </c>
      <c r="E63" s="133">
        <v>2</v>
      </c>
      <c r="F63" s="131" t="s">
        <v>9980</v>
      </c>
      <c r="G63" s="129" t="s">
        <v>9978</v>
      </c>
      <c r="H63" s="112" t="s">
        <v>8931</v>
      </c>
      <c r="I63" s="3" t="s">
        <v>9904</v>
      </c>
      <c r="J63" s="129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29" t="s">
        <v>9014</v>
      </c>
      <c r="E64" s="133">
        <v>1611</v>
      </c>
      <c r="F64" s="131" t="s">
        <v>9357</v>
      </c>
      <c r="G64" s="129" t="s">
        <v>9356</v>
      </c>
      <c r="H64" s="112" t="s">
        <v>8931</v>
      </c>
      <c r="I64" s="3" t="s">
        <v>9946</v>
      </c>
      <c r="J64" s="129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29" t="s">
        <v>8928</v>
      </c>
      <c r="E65" s="133">
        <v>274</v>
      </c>
      <c r="F65" s="131" t="s">
        <v>9801</v>
      </c>
      <c r="G65" s="129" t="s">
        <v>9800</v>
      </c>
      <c r="H65" s="112" t="s">
        <v>8931</v>
      </c>
      <c r="I65" s="3" t="s">
        <v>9800</v>
      </c>
      <c r="J65" s="129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29" t="s">
        <v>9343</v>
      </c>
      <c r="E66" s="133">
        <v>709</v>
      </c>
      <c r="F66" s="131" t="s">
        <v>9803</v>
      </c>
      <c r="G66" s="129" t="s">
        <v>14499</v>
      </c>
      <c r="H66" s="112" t="s">
        <v>8931</v>
      </c>
      <c r="I66" s="3" t="s">
        <v>14525</v>
      </c>
      <c r="J66" s="129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29" t="s">
        <v>9277</v>
      </c>
      <c r="E67" s="133">
        <v>272</v>
      </c>
      <c r="F67" s="131" t="s">
        <v>9807</v>
      </c>
      <c r="G67" s="129" t="s">
        <v>9806</v>
      </c>
      <c r="H67" s="112" t="s">
        <v>8931</v>
      </c>
      <c r="I67" s="3" t="s">
        <v>9806</v>
      </c>
      <c r="J67" s="129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29" t="s">
        <v>9652</v>
      </c>
      <c r="E68" s="133">
        <v>998</v>
      </c>
      <c r="F68" s="131" t="s">
        <v>9983</v>
      </c>
      <c r="G68" s="129" t="s">
        <v>9982</v>
      </c>
      <c r="H68" s="112" t="s">
        <v>8931</v>
      </c>
      <c r="I68" s="3" t="s">
        <v>14529</v>
      </c>
      <c r="J68" s="129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29" t="s">
        <v>9517</v>
      </c>
      <c r="E69" s="133">
        <v>253</v>
      </c>
      <c r="F69" s="131" t="s">
        <v>9518</v>
      </c>
      <c r="G69" s="129" t="s">
        <v>9516</v>
      </c>
      <c r="H69" s="112" t="s">
        <v>8931</v>
      </c>
      <c r="I69" s="3" t="s">
        <v>9516</v>
      </c>
      <c r="J69" s="129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29" t="s">
        <v>9521</v>
      </c>
      <c r="E70" s="133">
        <v>0</v>
      </c>
      <c r="F70" s="131" t="s">
        <v>9523</v>
      </c>
      <c r="G70" s="129" t="s">
        <v>9522</v>
      </c>
      <c r="H70" s="112" t="s">
        <v>8931</v>
      </c>
      <c r="I70" s="3" t="s">
        <v>8974</v>
      </c>
      <c r="J70" s="129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29" t="s">
        <v>9526</v>
      </c>
      <c r="E71" s="133">
        <v>251</v>
      </c>
      <c r="F71" s="131" t="s">
        <v>9527</v>
      </c>
      <c r="G71" s="129" t="s">
        <v>9525</v>
      </c>
      <c r="H71" s="112" t="s">
        <v>8931</v>
      </c>
      <c r="I71" s="3" t="s">
        <v>9525</v>
      </c>
      <c r="J71" s="129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29" t="s">
        <v>9530</v>
      </c>
      <c r="E72" s="133">
        <v>621</v>
      </c>
      <c r="F72" s="131" t="s">
        <v>9531</v>
      </c>
      <c r="G72" s="129" t="s">
        <v>9529</v>
      </c>
      <c r="H72" s="112" t="s">
        <v>8931</v>
      </c>
      <c r="I72" s="3" t="s">
        <v>9529</v>
      </c>
      <c r="J72" s="129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29" t="s">
        <v>9986</v>
      </c>
      <c r="E73" s="133">
        <v>38</v>
      </c>
      <c r="F73" s="131" t="s">
        <v>9988</v>
      </c>
      <c r="G73" s="129" t="s">
        <v>9987</v>
      </c>
      <c r="H73" s="112" t="s">
        <v>8931</v>
      </c>
      <c r="I73" s="3" t="s">
        <v>14526</v>
      </c>
      <c r="J73" s="129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29" t="s">
        <v>9477</v>
      </c>
      <c r="E74" s="133">
        <v>259</v>
      </c>
      <c r="F74" s="131" t="s">
        <v>9991</v>
      </c>
      <c r="G74" s="129" t="s">
        <v>9990</v>
      </c>
      <c r="H74" s="112" t="s">
        <v>8931</v>
      </c>
      <c r="I74" s="3" t="s">
        <v>10049</v>
      </c>
      <c r="J74" s="129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29" t="s">
        <v>9247</v>
      </c>
      <c r="E75" s="133">
        <v>4826</v>
      </c>
      <c r="F75" s="131" t="s">
        <v>9248</v>
      </c>
      <c r="G75" s="129" t="s">
        <v>9246</v>
      </c>
      <c r="H75" s="112" t="s">
        <v>8931</v>
      </c>
      <c r="I75" s="3" t="s">
        <v>14517</v>
      </c>
      <c r="J75" s="129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29" t="s">
        <v>9251</v>
      </c>
      <c r="E76" s="133">
        <v>484</v>
      </c>
      <c r="F76" s="131" t="s">
        <v>9252</v>
      </c>
      <c r="G76" s="129" t="s">
        <v>9250</v>
      </c>
      <c r="H76" s="112" t="s">
        <v>8931</v>
      </c>
      <c r="I76" s="3" t="s">
        <v>10185</v>
      </c>
      <c r="J76" s="129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29" t="s">
        <v>9360</v>
      </c>
      <c r="E77" s="133">
        <v>210</v>
      </c>
      <c r="F77" s="131" t="s">
        <v>9361</v>
      </c>
      <c r="G77" s="129" t="s">
        <v>9359</v>
      </c>
      <c r="H77" s="112" t="s">
        <v>8931</v>
      </c>
      <c r="I77" s="3" t="s">
        <v>9359</v>
      </c>
      <c r="J77" s="129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29" t="s">
        <v>10433</v>
      </c>
      <c r="E78" s="133">
        <v>1960</v>
      </c>
      <c r="F78" s="131" t="s">
        <v>10435</v>
      </c>
      <c r="G78" s="129" t="s">
        <v>10434</v>
      </c>
      <c r="H78" s="112" t="s">
        <v>8931</v>
      </c>
      <c r="I78" s="3" t="s">
        <v>9079</v>
      </c>
      <c r="J78" s="129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29" t="s">
        <v>9513</v>
      </c>
      <c r="E79" s="133">
        <v>57</v>
      </c>
      <c r="F79" s="131" t="s">
        <v>9533</v>
      </c>
      <c r="G79" s="129" t="s">
        <v>9430</v>
      </c>
      <c r="H79" s="112" t="s">
        <v>8931</v>
      </c>
      <c r="I79" s="3" t="s">
        <v>9430</v>
      </c>
      <c r="J79" s="129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29" t="s">
        <v>9364</v>
      </c>
      <c r="E80" s="133">
        <v>211</v>
      </c>
      <c r="F80" s="131" t="s">
        <v>9365</v>
      </c>
      <c r="G80" s="129" t="s">
        <v>9363</v>
      </c>
      <c r="H80" s="112" t="s">
        <v>8931</v>
      </c>
      <c r="I80" s="3" t="s">
        <v>9363</v>
      </c>
      <c r="J80" s="129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29" t="s">
        <v>9994</v>
      </c>
      <c r="E81" s="133">
        <v>1172</v>
      </c>
      <c r="F81" s="131" t="s">
        <v>9995</v>
      </c>
      <c r="G81" s="129" t="s">
        <v>9993</v>
      </c>
      <c r="H81" s="112" t="s">
        <v>8931</v>
      </c>
      <c r="I81" s="3" t="s">
        <v>9946</v>
      </c>
      <c r="J81" s="129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29" t="s">
        <v>9014</v>
      </c>
      <c r="E82" s="133">
        <v>7</v>
      </c>
      <c r="F82" s="131" t="s">
        <v>9536</v>
      </c>
      <c r="G82" s="129" t="s">
        <v>9535</v>
      </c>
      <c r="H82" s="112" t="s">
        <v>8931</v>
      </c>
      <c r="I82" s="3" t="s">
        <v>9535</v>
      </c>
      <c r="J82" s="129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29" t="s">
        <v>9368</v>
      </c>
      <c r="E83" s="133">
        <v>1357</v>
      </c>
      <c r="F83" s="131" t="s">
        <v>9369</v>
      </c>
      <c r="G83" s="129" t="s">
        <v>9367</v>
      </c>
      <c r="H83" s="112" t="s">
        <v>8931</v>
      </c>
      <c r="I83" s="3" t="s">
        <v>9306</v>
      </c>
      <c r="J83" s="129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29" t="s">
        <v>9084</v>
      </c>
      <c r="E84" s="133">
        <v>4155</v>
      </c>
      <c r="F84" s="131" t="s">
        <v>9085</v>
      </c>
      <c r="G84" s="129" t="s">
        <v>9083</v>
      </c>
      <c r="H84" s="112" t="s">
        <v>8931</v>
      </c>
      <c r="I84" s="3" t="s">
        <v>14518</v>
      </c>
      <c r="J84" s="129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29" t="s">
        <v>9259</v>
      </c>
      <c r="E85" s="133">
        <v>6595</v>
      </c>
      <c r="F85" s="131" t="s">
        <v>9261</v>
      </c>
      <c r="G85" s="129" t="s">
        <v>9260</v>
      </c>
      <c r="H85" s="112" t="s">
        <v>8931</v>
      </c>
      <c r="I85" s="3" t="s">
        <v>14517</v>
      </c>
      <c r="J85" s="129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29" t="s">
        <v>9108</v>
      </c>
      <c r="E86" s="133">
        <v>2407</v>
      </c>
      <c r="F86" s="131" t="s">
        <v>9110</v>
      </c>
      <c r="G86" s="129" t="s">
        <v>9109</v>
      </c>
      <c r="H86" s="112" t="s">
        <v>8931</v>
      </c>
      <c r="I86" s="3" t="s">
        <v>14518</v>
      </c>
      <c r="J86" s="129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29" t="s">
        <v>9127</v>
      </c>
      <c r="E87" s="133">
        <v>13</v>
      </c>
      <c r="F87" s="131" t="s">
        <v>9128</v>
      </c>
      <c r="G87" s="129" t="s">
        <v>9109</v>
      </c>
      <c r="H87" s="112" t="s">
        <v>8931</v>
      </c>
      <c r="I87" s="3" t="s">
        <v>14518</v>
      </c>
      <c r="J87" s="129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29" t="s">
        <v>9255</v>
      </c>
      <c r="E88" s="133">
        <v>12580</v>
      </c>
      <c r="F88" s="131" t="s">
        <v>9256</v>
      </c>
      <c r="G88" s="129" t="s">
        <v>9254</v>
      </c>
      <c r="H88" s="112" t="s">
        <v>8931</v>
      </c>
      <c r="I88" s="3" t="s">
        <v>14517</v>
      </c>
      <c r="J88" s="129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29" t="s">
        <v>9809</v>
      </c>
      <c r="E89" s="133">
        <v>850</v>
      </c>
      <c r="F89" s="131" t="s">
        <v>9810</v>
      </c>
      <c r="G89" s="129" t="s">
        <v>9139</v>
      </c>
      <c r="H89" s="112" t="s">
        <v>8931</v>
      </c>
      <c r="I89" s="3" t="s">
        <v>9139</v>
      </c>
      <c r="J89" s="129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29" t="s">
        <v>10215</v>
      </c>
      <c r="E90" s="133">
        <v>2374</v>
      </c>
      <c r="F90" s="131" t="s">
        <v>10217</v>
      </c>
      <c r="G90" s="129" t="s">
        <v>10216</v>
      </c>
      <c r="H90" s="112" t="s">
        <v>8931</v>
      </c>
      <c r="I90" s="3" t="s">
        <v>14531</v>
      </c>
      <c r="J90" s="129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29" t="s">
        <v>9998</v>
      </c>
      <c r="E91" s="133">
        <v>509</v>
      </c>
      <c r="F91" s="131" t="s">
        <v>9999</v>
      </c>
      <c r="G91" s="129" t="s">
        <v>9997</v>
      </c>
      <c r="H91" s="112" t="s">
        <v>8931</v>
      </c>
      <c r="I91" s="3" t="s">
        <v>9922</v>
      </c>
      <c r="J91" s="129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29" t="s">
        <v>9539</v>
      </c>
      <c r="E92" s="133">
        <v>0</v>
      </c>
      <c r="F92" s="131" t="s">
        <v>9541</v>
      </c>
      <c r="G92" s="129" t="s">
        <v>9540</v>
      </c>
      <c r="H92" s="112" t="s">
        <v>8931</v>
      </c>
      <c r="I92" s="3" t="s">
        <v>9596</v>
      </c>
      <c r="J92" s="129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29" t="s">
        <v>10002</v>
      </c>
      <c r="E93" s="133">
        <v>645</v>
      </c>
      <c r="F93" s="131" t="s">
        <v>10004</v>
      </c>
      <c r="G93" s="129" t="s">
        <v>10003</v>
      </c>
      <c r="H93" s="112" t="s">
        <v>8931</v>
      </c>
      <c r="I93" s="3" t="s">
        <v>10003</v>
      </c>
      <c r="J93" s="129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29" t="s">
        <v>9119</v>
      </c>
      <c r="E94" s="133">
        <v>0</v>
      </c>
      <c r="F94" s="131" t="s">
        <v>9545</v>
      </c>
      <c r="G94" s="129" t="s">
        <v>9544</v>
      </c>
      <c r="H94" s="112" t="s">
        <v>8931</v>
      </c>
      <c r="I94" s="3" t="s">
        <v>9587</v>
      </c>
      <c r="J94" s="129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29" t="s">
        <v>9548</v>
      </c>
      <c r="E95" s="133">
        <v>245</v>
      </c>
      <c r="F95" s="131" t="s">
        <v>9549</v>
      </c>
      <c r="G95" s="129" t="s">
        <v>9547</v>
      </c>
      <c r="H95" s="112" t="s">
        <v>8931</v>
      </c>
      <c r="I95" s="3" t="s">
        <v>9461</v>
      </c>
      <c r="J95" s="129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29" t="s">
        <v>10007</v>
      </c>
      <c r="E96" s="133">
        <v>405</v>
      </c>
      <c r="F96" s="131" t="s">
        <v>10009</v>
      </c>
      <c r="G96" s="129" t="s">
        <v>10008</v>
      </c>
      <c r="H96" s="112" t="s">
        <v>8931</v>
      </c>
      <c r="I96" s="3" t="s">
        <v>10008</v>
      </c>
      <c r="J96" s="129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29" t="s">
        <v>10012</v>
      </c>
      <c r="E97" s="133">
        <v>270</v>
      </c>
      <c r="F97" s="131" t="s">
        <v>10013</v>
      </c>
      <c r="G97" s="129" t="s">
        <v>10011</v>
      </c>
      <c r="H97" s="112" t="s">
        <v>8931</v>
      </c>
      <c r="I97" s="3" t="s">
        <v>10011</v>
      </c>
      <c r="J97" s="129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29" t="s">
        <v>9935</v>
      </c>
      <c r="E98" s="133">
        <v>538</v>
      </c>
      <c r="F98" s="131" t="s">
        <v>10220</v>
      </c>
      <c r="G98" s="129" t="s">
        <v>10219</v>
      </c>
      <c r="H98" s="112" t="s">
        <v>8931</v>
      </c>
      <c r="I98" s="3" t="s">
        <v>14532</v>
      </c>
      <c r="J98" s="129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29" t="s">
        <v>9062</v>
      </c>
      <c r="E99" s="133">
        <v>1899</v>
      </c>
      <c r="F99" s="131" t="s">
        <v>9064</v>
      </c>
      <c r="G99" s="129" t="s">
        <v>9063</v>
      </c>
      <c r="H99" s="112" t="s">
        <v>8931</v>
      </c>
      <c r="I99" s="3" t="s">
        <v>9075</v>
      </c>
      <c r="J99" s="129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29" t="s">
        <v>9683</v>
      </c>
      <c r="E100" s="133">
        <v>53</v>
      </c>
      <c r="F100" s="131" t="s">
        <v>10016</v>
      </c>
      <c r="G100" s="129" t="s">
        <v>10015</v>
      </c>
      <c r="H100" s="112" t="s">
        <v>8931</v>
      </c>
      <c r="I100" s="3" t="s">
        <v>10015</v>
      </c>
      <c r="J100" s="129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29" t="s">
        <v>10019</v>
      </c>
      <c r="E101" s="133">
        <v>195</v>
      </c>
      <c r="F101" s="131" t="s">
        <v>10020</v>
      </c>
      <c r="G101" s="129" t="s">
        <v>10018</v>
      </c>
      <c r="H101" s="112" t="s">
        <v>8931</v>
      </c>
      <c r="I101" s="3" t="s">
        <v>10113</v>
      </c>
      <c r="J101" s="129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29" t="s">
        <v>10023</v>
      </c>
      <c r="E102" s="133">
        <v>65</v>
      </c>
      <c r="F102" s="131" t="s">
        <v>10024</v>
      </c>
      <c r="G102" s="129" t="s">
        <v>10022</v>
      </c>
      <c r="H102" s="112" t="s">
        <v>8931</v>
      </c>
      <c r="I102" s="3" t="s">
        <v>9934</v>
      </c>
      <c r="J102" s="129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29" t="s">
        <v>9552</v>
      </c>
      <c r="E103" s="133">
        <v>0</v>
      </c>
      <c r="F103" s="131" t="s">
        <v>9553</v>
      </c>
      <c r="G103" s="129" t="s">
        <v>9551</v>
      </c>
      <c r="H103" s="112" t="s">
        <v>8931</v>
      </c>
      <c r="I103" s="3" t="s">
        <v>9050</v>
      </c>
      <c r="J103" s="129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29" t="s">
        <v>9046</v>
      </c>
      <c r="E104" s="133">
        <v>1395</v>
      </c>
      <c r="F104" s="131" t="s">
        <v>9047</v>
      </c>
      <c r="G104" s="129" t="s">
        <v>9045</v>
      </c>
      <c r="H104" s="112" t="s">
        <v>8931</v>
      </c>
      <c r="I104" s="3" t="s">
        <v>9864</v>
      </c>
      <c r="J104" s="129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29" t="s">
        <v>10426</v>
      </c>
      <c r="E105" s="133">
        <v>1043</v>
      </c>
      <c r="F105" s="131" t="s">
        <v>10427</v>
      </c>
      <c r="G105" s="129" t="s">
        <v>10425</v>
      </c>
      <c r="H105" s="112" t="s">
        <v>8931</v>
      </c>
      <c r="I105" s="3" t="s">
        <v>9075</v>
      </c>
      <c r="J105" s="129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29" t="s">
        <v>8931</v>
      </c>
      <c r="E106" s="133">
        <v>132</v>
      </c>
      <c r="F106" s="131" t="s">
        <v>9377</v>
      </c>
      <c r="G106" s="129" t="s">
        <v>9376</v>
      </c>
      <c r="H106" s="112" t="s">
        <v>8931</v>
      </c>
      <c r="I106" s="3" t="s">
        <v>9376</v>
      </c>
      <c r="J106" s="129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29" t="s">
        <v>9038</v>
      </c>
      <c r="E107" s="133">
        <v>1539</v>
      </c>
      <c r="F107" s="131" t="s">
        <v>9039</v>
      </c>
      <c r="G107" s="129" t="s">
        <v>9037</v>
      </c>
      <c r="H107" s="112" t="s">
        <v>8931</v>
      </c>
      <c r="I107" s="3" t="s">
        <v>8934</v>
      </c>
      <c r="J107" s="129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29" t="s">
        <v>9556</v>
      </c>
      <c r="E108" s="133">
        <v>633</v>
      </c>
      <c r="F108" s="131" t="s">
        <v>9557</v>
      </c>
      <c r="G108" s="129" t="s">
        <v>9555</v>
      </c>
      <c r="H108" s="112" t="s">
        <v>8931</v>
      </c>
      <c r="I108" s="3" t="s">
        <v>8974</v>
      </c>
      <c r="J108" s="129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29" t="s">
        <v>10407</v>
      </c>
      <c r="E109" s="133">
        <v>2766</v>
      </c>
      <c r="F109" s="131" t="s">
        <v>10408</v>
      </c>
      <c r="G109" s="129" t="s">
        <v>10406</v>
      </c>
      <c r="H109" s="112" t="s">
        <v>8931</v>
      </c>
      <c r="I109" s="3" t="s">
        <v>14519</v>
      </c>
      <c r="J109" s="129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29" t="s">
        <v>9817</v>
      </c>
      <c r="E110" s="133">
        <v>0</v>
      </c>
      <c r="F110" s="131" t="s">
        <v>9818</v>
      </c>
      <c r="G110" s="129" t="s">
        <v>9816</v>
      </c>
      <c r="H110" s="112" t="s">
        <v>8931</v>
      </c>
      <c r="I110" s="3" t="s">
        <v>9832</v>
      </c>
      <c r="J110" s="129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29" t="s">
        <v>14503</v>
      </c>
      <c r="E111" s="133">
        <v>948</v>
      </c>
      <c r="F111" s="131" t="s">
        <v>10072</v>
      </c>
      <c r="G111" s="129" t="s">
        <v>10071</v>
      </c>
      <c r="H111" s="112" t="s">
        <v>8931</v>
      </c>
      <c r="I111" s="3" t="s">
        <v>10003</v>
      </c>
      <c r="J111" s="129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29" t="s">
        <v>9821</v>
      </c>
      <c r="E112" s="133">
        <v>630</v>
      </c>
      <c r="F112" s="131" t="s">
        <v>9822</v>
      </c>
      <c r="G112" s="129" t="s">
        <v>9820</v>
      </c>
      <c r="H112" s="112" t="s">
        <v>8931</v>
      </c>
      <c r="I112" s="3" t="s">
        <v>9783</v>
      </c>
      <c r="J112" s="129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29" t="s">
        <v>8983</v>
      </c>
      <c r="E113" s="133">
        <v>129</v>
      </c>
      <c r="F113" s="131" t="s">
        <v>9560</v>
      </c>
      <c r="G113" s="129" t="s">
        <v>9559</v>
      </c>
      <c r="H113" s="112" t="s">
        <v>8931</v>
      </c>
      <c r="I113" s="3" t="s">
        <v>9644</v>
      </c>
      <c r="J113" s="129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29" t="s">
        <v>9563</v>
      </c>
      <c r="E114" s="133">
        <v>616</v>
      </c>
      <c r="F114" s="131" t="s">
        <v>9565</v>
      </c>
      <c r="G114" s="129" t="s">
        <v>9564</v>
      </c>
      <c r="H114" s="112" t="s">
        <v>8931</v>
      </c>
      <c r="I114" s="3" t="s">
        <v>9596</v>
      </c>
      <c r="J114" s="129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29" t="s">
        <v>9380</v>
      </c>
      <c r="E115" s="133">
        <v>110</v>
      </c>
      <c r="F115" s="131" t="s">
        <v>9381</v>
      </c>
      <c r="G115" s="129" t="s">
        <v>9379</v>
      </c>
      <c r="H115" s="112" t="s">
        <v>8931</v>
      </c>
      <c r="I115" s="3" t="s">
        <v>9379</v>
      </c>
      <c r="J115" s="129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29" t="s">
        <v>9383</v>
      </c>
      <c r="E116" s="133">
        <v>0</v>
      </c>
      <c r="F116" s="131" t="s">
        <v>9385</v>
      </c>
      <c r="G116" s="129" t="s">
        <v>9384</v>
      </c>
      <c r="H116" s="112" t="s">
        <v>8931</v>
      </c>
      <c r="I116" s="3" t="s">
        <v>9379</v>
      </c>
      <c r="J116" s="129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29" t="s">
        <v>10027</v>
      </c>
      <c r="E117" s="133">
        <v>441</v>
      </c>
      <c r="F117" s="131" t="s">
        <v>10028</v>
      </c>
      <c r="G117" s="129" t="s">
        <v>10026</v>
      </c>
      <c r="H117" s="112" t="s">
        <v>8931</v>
      </c>
      <c r="I117" s="3" t="s">
        <v>10129</v>
      </c>
      <c r="J117" s="129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29" t="s">
        <v>9201</v>
      </c>
      <c r="E118" s="133">
        <v>198</v>
      </c>
      <c r="F118" s="131" t="s">
        <v>9202</v>
      </c>
      <c r="G118" s="129" t="s">
        <v>9200</v>
      </c>
      <c r="H118" s="112" t="s">
        <v>8931</v>
      </c>
      <c r="I118" s="3" t="s">
        <v>9200</v>
      </c>
      <c r="J118" s="129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29" t="s">
        <v>9171</v>
      </c>
      <c r="E119" s="133">
        <v>379</v>
      </c>
      <c r="F119" s="131" t="s">
        <v>9173</v>
      </c>
      <c r="G119" s="129" t="s">
        <v>9172</v>
      </c>
      <c r="H119" s="112" t="s">
        <v>8931</v>
      </c>
      <c r="I119" s="3" t="s">
        <v>10175</v>
      </c>
      <c r="J119" s="129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29" t="s">
        <v>9465</v>
      </c>
      <c r="E120" s="133">
        <v>1846</v>
      </c>
      <c r="F120" s="131" t="s">
        <v>10439</v>
      </c>
      <c r="G120" s="129" t="s">
        <v>10438</v>
      </c>
      <c r="H120" s="112" t="s">
        <v>8931</v>
      </c>
      <c r="I120" s="3" t="s">
        <v>9864</v>
      </c>
      <c r="J120" s="129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29" t="s">
        <v>10031</v>
      </c>
      <c r="E121" s="133">
        <v>362</v>
      </c>
      <c r="F121" s="131" t="s">
        <v>10032</v>
      </c>
      <c r="G121" s="129" t="s">
        <v>10030</v>
      </c>
      <c r="H121" s="112" t="s">
        <v>8931</v>
      </c>
      <c r="I121" s="3" t="s">
        <v>10113</v>
      </c>
      <c r="J121" s="129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29" t="s">
        <v>8931</v>
      </c>
      <c r="E122" s="133">
        <v>187</v>
      </c>
      <c r="F122" s="131" t="s">
        <v>9568</v>
      </c>
      <c r="G122" s="129" t="s">
        <v>9567</v>
      </c>
      <c r="H122" s="112" t="s">
        <v>8931</v>
      </c>
      <c r="I122" s="3" t="s">
        <v>9580</v>
      </c>
      <c r="J122" s="129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29" t="s">
        <v>14503</v>
      </c>
      <c r="E123" s="133">
        <v>3212</v>
      </c>
      <c r="F123" s="131" t="s">
        <v>9088</v>
      </c>
      <c r="G123" s="129" t="s">
        <v>9087</v>
      </c>
      <c r="H123" s="112" t="s">
        <v>8931</v>
      </c>
      <c r="I123" s="3" t="s">
        <v>9087</v>
      </c>
      <c r="J123" s="129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29" t="s">
        <v>9243</v>
      </c>
      <c r="E124" s="133">
        <v>6385</v>
      </c>
      <c r="F124" s="131" t="s">
        <v>9244</v>
      </c>
      <c r="G124" s="129" t="s">
        <v>9087</v>
      </c>
      <c r="H124" s="112" t="s">
        <v>8931</v>
      </c>
      <c r="I124" s="3" t="s">
        <v>9087</v>
      </c>
      <c r="J124" s="129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29" t="s">
        <v>9465</v>
      </c>
      <c r="E125" s="133">
        <v>670</v>
      </c>
      <c r="F125" s="131" t="s">
        <v>9467</v>
      </c>
      <c r="G125" s="129" t="s">
        <v>9466</v>
      </c>
      <c r="H125" s="112" t="s">
        <v>8931</v>
      </c>
      <c r="I125" s="3" t="s">
        <v>9466</v>
      </c>
      <c r="J125" s="129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29" t="s">
        <v>8983</v>
      </c>
      <c r="E126" s="133">
        <v>2849</v>
      </c>
      <c r="F126" s="131" t="s">
        <v>8984</v>
      </c>
      <c r="G126" s="129" t="s">
        <v>8982</v>
      </c>
      <c r="H126" s="112" t="s">
        <v>8931</v>
      </c>
      <c r="I126" s="3" t="s">
        <v>8938</v>
      </c>
      <c r="J126" s="129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29" t="s">
        <v>8995</v>
      </c>
      <c r="E127" s="133">
        <v>438</v>
      </c>
      <c r="F127" s="131" t="s">
        <v>8999</v>
      </c>
      <c r="G127" s="129" t="s">
        <v>8982</v>
      </c>
      <c r="H127" s="112" t="s">
        <v>8931</v>
      </c>
      <c r="I127" s="3" t="s">
        <v>8938</v>
      </c>
      <c r="J127" s="129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29" t="s">
        <v>9205</v>
      </c>
      <c r="E128" s="133">
        <v>1</v>
      </c>
      <c r="F128" s="131" t="s">
        <v>9571</v>
      </c>
      <c r="G128" s="129" t="s">
        <v>9570</v>
      </c>
      <c r="H128" s="112" t="s">
        <v>8931</v>
      </c>
      <c r="I128" s="3" t="s">
        <v>9360</v>
      </c>
      <c r="J128" s="129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29" t="s">
        <v>9299</v>
      </c>
      <c r="E129" s="133">
        <v>2052</v>
      </c>
      <c r="F129" s="131" t="s">
        <v>9300</v>
      </c>
      <c r="G129" s="129" t="s">
        <v>9298</v>
      </c>
      <c r="H129" s="112" t="s">
        <v>8931</v>
      </c>
      <c r="I129" s="3" t="s">
        <v>9276</v>
      </c>
      <c r="J129" s="129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29" t="s">
        <v>9343</v>
      </c>
      <c r="E130" s="133">
        <v>1</v>
      </c>
      <c r="F130" s="131" t="s">
        <v>9574</v>
      </c>
      <c r="G130" s="129" t="s">
        <v>9573</v>
      </c>
      <c r="H130" s="112" t="s">
        <v>8931</v>
      </c>
      <c r="I130" s="3" t="s">
        <v>9693</v>
      </c>
      <c r="J130" s="129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29" t="s">
        <v>9405</v>
      </c>
      <c r="E131" s="133">
        <v>0</v>
      </c>
      <c r="F131" s="131" t="s">
        <v>9576</v>
      </c>
      <c r="G131" s="129" t="s">
        <v>9201</v>
      </c>
      <c r="H131" s="112" t="s">
        <v>8931</v>
      </c>
      <c r="I131" s="3" t="s">
        <v>8974</v>
      </c>
      <c r="J131" s="129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29" t="s">
        <v>9250</v>
      </c>
      <c r="E132" s="133">
        <v>974</v>
      </c>
      <c r="F132" s="131" t="s">
        <v>9829</v>
      </c>
      <c r="G132" s="129" t="s">
        <v>9828</v>
      </c>
      <c r="H132" s="112" t="s">
        <v>8931</v>
      </c>
      <c r="I132" s="3" t="s">
        <v>9824</v>
      </c>
      <c r="J132" s="129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29" t="s">
        <v>9660</v>
      </c>
      <c r="E133" s="133">
        <v>633</v>
      </c>
      <c r="F133" s="131" t="s">
        <v>10035</v>
      </c>
      <c r="G133" s="129" t="s">
        <v>10034</v>
      </c>
      <c r="H133" s="112" t="s">
        <v>8931</v>
      </c>
      <c r="I133" s="3" t="s">
        <v>9758</v>
      </c>
      <c r="J133" s="129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29" t="s">
        <v>8983</v>
      </c>
      <c r="E134" s="133">
        <v>1191</v>
      </c>
      <c r="F134" s="131" t="s">
        <v>9388</v>
      </c>
      <c r="G134" s="129" t="s">
        <v>9387</v>
      </c>
      <c r="H134" s="112" t="s">
        <v>8931</v>
      </c>
      <c r="I134" s="3" t="s">
        <v>9387</v>
      </c>
      <c r="J134" s="129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29" t="s">
        <v>9579</v>
      </c>
      <c r="E135" s="133">
        <v>145</v>
      </c>
      <c r="F135" s="131" t="s">
        <v>9581</v>
      </c>
      <c r="G135" s="129" t="s">
        <v>9580</v>
      </c>
      <c r="H135" s="112" t="s">
        <v>8931</v>
      </c>
      <c r="I135" s="3" t="s">
        <v>9580</v>
      </c>
      <c r="J135" s="129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29" t="s">
        <v>9391</v>
      </c>
      <c r="E136" s="133">
        <v>632</v>
      </c>
      <c r="F136" s="131" t="s">
        <v>9393</v>
      </c>
      <c r="G136" s="129" t="s">
        <v>9392</v>
      </c>
      <c r="H136" s="112" t="s">
        <v>8931</v>
      </c>
      <c r="I136" s="3" t="s">
        <v>9392</v>
      </c>
      <c r="J136" s="129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29" t="s">
        <v>9396</v>
      </c>
      <c r="E137" s="133">
        <v>86</v>
      </c>
      <c r="F137" s="131" t="s">
        <v>9398</v>
      </c>
      <c r="G137" s="129" t="s">
        <v>9397</v>
      </c>
      <c r="H137" s="112" t="s">
        <v>8931</v>
      </c>
      <c r="I137" s="3" t="s">
        <v>14520</v>
      </c>
      <c r="J137" s="129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29" t="s">
        <v>9813</v>
      </c>
      <c r="E138" s="133">
        <v>88</v>
      </c>
      <c r="F138" s="131" t="s">
        <v>9814</v>
      </c>
      <c r="G138" s="129" t="s">
        <v>9397</v>
      </c>
      <c r="H138" s="112" t="s">
        <v>8931</v>
      </c>
      <c r="I138" s="3" t="s">
        <v>9881</v>
      </c>
      <c r="J138" s="129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29" t="s">
        <v>9050</v>
      </c>
      <c r="E139" s="133">
        <v>250</v>
      </c>
      <c r="F139" s="131" t="s">
        <v>10224</v>
      </c>
      <c r="G139" s="129" t="s">
        <v>10223</v>
      </c>
      <c r="H139" s="112" t="s">
        <v>8931</v>
      </c>
      <c r="I139" s="3" t="s">
        <v>10223</v>
      </c>
      <c r="J139" s="129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29" t="s">
        <v>9050</v>
      </c>
      <c r="E140" s="133">
        <v>429</v>
      </c>
      <c r="F140" s="131" t="s">
        <v>10044</v>
      </c>
      <c r="G140" s="129" t="s">
        <v>10043</v>
      </c>
      <c r="H140" s="112" t="s">
        <v>8931</v>
      </c>
      <c r="I140" s="3" t="s">
        <v>10043</v>
      </c>
      <c r="J140" s="129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29" t="s">
        <v>9417</v>
      </c>
      <c r="E141" s="133">
        <v>969</v>
      </c>
      <c r="F141" s="131" t="s">
        <v>9419</v>
      </c>
      <c r="G141" s="129" t="s">
        <v>9418</v>
      </c>
      <c r="H141" s="112" t="s">
        <v>8931</v>
      </c>
      <c r="I141" s="3" t="s">
        <v>9418</v>
      </c>
      <c r="J141" s="129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29" t="s">
        <v>10227</v>
      </c>
      <c r="E142" s="133">
        <v>1186</v>
      </c>
      <c r="F142" s="131" t="s">
        <v>10229</v>
      </c>
      <c r="G142" s="129" t="s">
        <v>10228</v>
      </c>
      <c r="H142" s="112" t="s">
        <v>8931</v>
      </c>
      <c r="I142" s="3" t="s">
        <v>10228</v>
      </c>
      <c r="J142" s="129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29" t="s">
        <v>9099</v>
      </c>
      <c r="E143" s="133">
        <v>712</v>
      </c>
      <c r="F143" s="131" t="s">
        <v>10233</v>
      </c>
      <c r="G143" s="129" t="s">
        <v>10232</v>
      </c>
      <c r="H143" s="112" t="s">
        <v>8931</v>
      </c>
      <c r="I143" s="3" t="s">
        <v>10232</v>
      </c>
      <c r="J143" s="129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29" t="s">
        <v>9050</v>
      </c>
      <c r="E144" s="133">
        <v>48</v>
      </c>
      <c r="F144" s="131" t="s">
        <v>9584</v>
      </c>
      <c r="G144" s="129" t="s">
        <v>9583</v>
      </c>
      <c r="H144" s="112" t="s">
        <v>8931</v>
      </c>
      <c r="I144" s="3" t="s">
        <v>9163</v>
      </c>
      <c r="J144" s="129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29" t="s">
        <v>8987</v>
      </c>
      <c r="E145" s="133">
        <v>532</v>
      </c>
      <c r="F145" s="131" t="s">
        <v>8988</v>
      </c>
      <c r="G145" s="129" t="s">
        <v>8986</v>
      </c>
      <c r="H145" s="112" t="s">
        <v>8931</v>
      </c>
      <c r="I145" s="3" t="s">
        <v>8934</v>
      </c>
      <c r="J145" s="129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29" t="s">
        <v>8983</v>
      </c>
      <c r="E146" s="133">
        <v>339</v>
      </c>
      <c r="F146" s="131" t="s">
        <v>9588</v>
      </c>
      <c r="G146" s="129" t="s">
        <v>9587</v>
      </c>
      <c r="H146" s="112" t="s">
        <v>8931</v>
      </c>
      <c r="I146" s="3" t="s">
        <v>9587</v>
      </c>
      <c r="J146" s="129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29" t="s">
        <v>9968</v>
      </c>
      <c r="E147" s="133">
        <v>599</v>
      </c>
      <c r="F147" s="131" t="s">
        <v>10237</v>
      </c>
      <c r="G147" s="129" t="s">
        <v>10236</v>
      </c>
      <c r="H147" s="112" t="s">
        <v>8931</v>
      </c>
      <c r="I147" s="3" t="s">
        <v>14532</v>
      </c>
      <c r="J147" s="129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29" t="s">
        <v>9591</v>
      </c>
      <c r="E148" s="133">
        <v>233</v>
      </c>
      <c r="F148" s="131" t="s">
        <v>9593</v>
      </c>
      <c r="G148" s="129" t="s">
        <v>9592</v>
      </c>
      <c r="H148" s="112" t="s">
        <v>8931</v>
      </c>
      <c r="I148" s="3" t="s">
        <v>9592</v>
      </c>
      <c r="J148" s="129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29" t="s">
        <v>9832</v>
      </c>
      <c r="E149" s="133">
        <v>1</v>
      </c>
      <c r="F149" s="131" t="s">
        <v>9833</v>
      </c>
      <c r="G149" s="129" t="s">
        <v>9831</v>
      </c>
      <c r="H149" s="112" t="s">
        <v>8931</v>
      </c>
      <c r="I149" s="3" t="s">
        <v>9881</v>
      </c>
      <c r="J149" s="129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29" t="s">
        <v>8929</v>
      </c>
      <c r="E150" s="133">
        <v>1951</v>
      </c>
      <c r="F150" s="131" t="s">
        <v>8932</v>
      </c>
      <c r="G150" s="129" t="s">
        <v>8930</v>
      </c>
      <c r="H150" s="112" t="s">
        <v>8931</v>
      </c>
      <c r="I150" s="3" t="s">
        <v>8930</v>
      </c>
      <c r="J150" s="129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29" t="s">
        <v>10415</v>
      </c>
      <c r="E151" s="133">
        <v>1753</v>
      </c>
      <c r="F151" s="131" t="s">
        <v>10416</v>
      </c>
      <c r="G151" s="129" t="s">
        <v>8930</v>
      </c>
      <c r="H151" s="112" t="s">
        <v>8931</v>
      </c>
      <c r="I151" s="3" t="s">
        <v>8930</v>
      </c>
      <c r="J151" s="129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29" t="s">
        <v>9405</v>
      </c>
      <c r="E152" s="133">
        <v>453</v>
      </c>
      <c r="F152" s="131" t="s">
        <v>9597</v>
      </c>
      <c r="G152" s="129" t="s">
        <v>9596</v>
      </c>
      <c r="H152" s="112" t="s">
        <v>8931</v>
      </c>
      <c r="I152" s="3" t="s">
        <v>9596</v>
      </c>
      <c r="J152" s="129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29" t="s">
        <v>9091</v>
      </c>
      <c r="E153" s="133">
        <v>2317</v>
      </c>
      <c r="F153" s="131" t="s">
        <v>9092</v>
      </c>
      <c r="G153" s="129" t="s">
        <v>9090</v>
      </c>
      <c r="H153" s="112" t="s">
        <v>8931</v>
      </c>
      <c r="I153" s="3" t="s">
        <v>9102</v>
      </c>
      <c r="J153" s="129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29" t="s">
        <v>8931</v>
      </c>
      <c r="E154" s="133">
        <v>677</v>
      </c>
      <c r="F154" s="131" t="s">
        <v>9600</v>
      </c>
      <c r="G154" s="129" t="s">
        <v>9599</v>
      </c>
      <c r="H154" s="112" t="s">
        <v>8931</v>
      </c>
      <c r="I154" s="3" t="s">
        <v>9587</v>
      </c>
      <c r="J154" s="129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29" t="s">
        <v>9205</v>
      </c>
      <c r="E155" s="133">
        <v>50</v>
      </c>
      <c r="F155" s="131" t="s">
        <v>9206</v>
      </c>
      <c r="G155" s="129" t="s">
        <v>9204</v>
      </c>
      <c r="H155" s="112" t="s">
        <v>8931</v>
      </c>
      <c r="I155" s="3" t="s">
        <v>12836</v>
      </c>
      <c r="J155" s="129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29" t="s">
        <v>9603</v>
      </c>
      <c r="E156" s="133">
        <v>500</v>
      </c>
      <c r="F156" s="131" t="s">
        <v>9837</v>
      </c>
      <c r="G156" s="129" t="s">
        <v>9836</v>
      </c>
      <c r="H156" s="112" t="s">
        <v>8931</v>
      </c>
      <c r="I156" s="3" t="s">
        <v>9889</v>
      </c>
      <c r="J156" s="129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29" t="s">
        <v>9603</v>
      </c>
      <c r="E157" s="133">
        <v>209</v>
      </c>
      <c r="F157" s="131" t="s">
        <v>9605</v>
      </c>
      <c r="G157" s="129" t="s">
        <v>9604</v>
      </c>
      <c r="H157" s="112" t="s">
        <v>8931</v>
      </c>
      <c r="I157" s="3" t="s">
        <v>9050</v>
      </c>
      <c r="J157" s="129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29" t="s">
        <v>9209</v>
      </c>
      <c r="E158" s="133">
        <v>4491</v>
      </c>
      <c r="F158" s="131" t="s">
        <v>9210</v>
      </c>
      <c r="G158" s="129" t="s">
        <v>9208</v>
      </c>
      <c r="H158" s="112" t="s">
        <v>8931</v>
      </c>
      <c r="I158" s="3" t="s">
        <v>14518</v>
      </c>
      <c r="J158" s="129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29" t="s">
        <v>9608</v>
      </c>
      <c r="E159" s="133">
        <v>499</v>
      </c>
      <c r="F159" s="131" t="s">
        <v>9609</v>
      </c>
      <c r="G159" s="129" t="s">
        <v>9607</v>
      </c>
      <c r="H159" s="112" t="s">
        <v>8931</v>
      </c>
      <c r="I159" s="3" t="s">
        <v>9360</v>
      </c>
      <c r="J159" s="129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29" t="s">
        <v>14503</v>
      </c>
      <c r="E160" s="133">
        <v>213</v>
      </c>
      <c r="F160" s="131" t="s">
        <v>10047</v>
      </c>
      <c r="G160" s="129" t="s">
        <v>10046</v>
      </c>
      <c r="H160" s="112" t="s">
        <v>8931</v>
      </c>
      <c r="I160" s="3" t="s">
        <v>10129</v>
      </c>
      <c r="J160" s="129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29" t="s">
        <v>10038</v>
      </c>
      <c r="E161" s="133">
        <v>502</v>
      </c>
      <c r="F161" s="131" t="s">
        <v>10040</v>
      </c>
      <c r="G161" s="129" t="s">
        <v>10039</v>
      </c>
      <c r="H161" s="112" t="s">
        <v>8931</v>
      </c>
      <c r="I161" s="3" t="s">
        <v>9904</v>
      </c>
      <c r="J161" s="129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29" t="s">
        <v>9042</v>
      </c>
      <c r="E162" s="133">
        <v>1722</v>
      </c>
      <c r="F162" s="131" t="s">
        <v>9043</v>
      </c>
      <c r="G162" s="129" t="s">
        <v>9041</v>
      </c>
      <c r="H162" s="112" t="s">
        <v>8931</v>
      </c>
      <c r="I162" s="3" t="s">
        <v>9474</v>
      </c>
      <c r="J162" s="129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29" t="s">
        <v>9184</v>
      </c>
      <c r="E163" s="133">
        <v>6006</v>
      </c>
      <c r="F163" s="131" t="s">
        <v>9186</v>
      </c>
      <c r="G163" s="129" t="s">
        <v>9185</v>
      </c>
      <c r="H163" s="112" t="s">
        <v>8931</v>
      </c>
      <c r="I163" s="3" t="s">
        <v>14518</v>
      </c>
      <c r="J163" s="129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15322</v>
      </c>
      <c r="C164" s="112" t="s">
        <v>14500</v>
      </c>
      <c r="D164" s="129" t="s">
        <v>9010</v>
      </c>
      <c r="E164" s="133">
        <v>653</v>
      </c>
      <c r="F164" s="131" t="s">
        <v>10050</v>
      </c>
      <c r="G164" s="129" t="s">
        <v>10049</v>
      </c>
      <c r="H164" s="112" t="s">
        <v>8931</v>
      </c>
      <c r="I164" s="3" t="s">
        <v>10049</v>
      </c>
      <c r="J164" s="129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29" t="s">
        <v>9401</v>
      </c>
      <c r="E165" s="133">
        <v>260</v>
      </c>
      <c r="F165" s="131" t="s">
        <v>9402</v>
      </c>
      <c r="G165" s="129" t="s">
        <v>9400</v>
      </c>
      <c r="H165" s="112" t="s">
        <v>8931</v>
      </c>
      <c r="I165" s="3" t="s">
        <v>14521</v>
      </c>
      <c r="J165" s="129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29" t="s">
        <v>9213</v>
      </c>
      <c r="E166" s="133">
        <v>5443</v>
      </c>
      <c r="F166" s="131" t="s">
        <v>9215</v>
      </c>
      <c r="G166" s="129" t="s">
        <v>9214</v>
      </c>
      <c r="H166" s="112" t="s">
        <v>8931</v>
      </c>
      <c r="I166" s="3" t="s">
        <v>9079</v>
      </c>
      <c r="J166" s="129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29" t="s">
        <v>9255</v>
      </c>
      <c r="E167" s="133">
        <v>16380</v>
      </c>
      <c r="F167" s="131" t="s">
        <v>9271</v>
      </c>
      <c r="G167" s="129" t="s">
        <v>9270</v>
      </c>
      <c r="H167" s="112" t="s">
        <v>8931</v>
      </c>
      <c r="I167" s="3" t="s">
        <v>10185</v>
      </c>
      <c r="J167" s="129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29" t="s">
        <v>9119</v>
      </c>
      <c r="E168" s="133">
        <v>601</v>
      </c>
      <c r="F168" s="131" t="s">
        <v>9615</v>
      </c>
      <c r="G168" s="129" t="s">
        <v>9614</v>
      </c>
      <c r="H168" s="112" t="s">
        <v>8931</v>
      </c>
      <c r="I168" s="3" t="s">
        <v>10166</v>
      </c>
      <c r="J168" s="129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29" t="s">
        <v>10053</v>
      </c>
      <c r="E169" s="133">
        <v>61</v>
      </c>
      <c r="F169" s="131" t="s">
        <v>10054</v>
      </c>
      <c r="G169" s="129" t="s">
        <v>10052</v>
      </c>
      <c r="H169" s="112" t="s">
        <v>8931</v>
      </c>
      <c r="I169" s="3" t="s">
        <v>14527</v>
      </c>
      <c r="J169" s="129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29" t="s">
        <v>9776</v>
      </c>
      <c r="E170" s="133">
        <v>0</v>
      </c>
      <c r="F170" s="131" t="s">
        <v>10057</v>
      </c>
      <c r="G170" s="129" t="s">
        <v>10056</v>
      </c>
      <c r="H170" s="112" t="s">
        <v>8931</v>
      </c>
      <c r="I170" s="3" t="s">
        <v>10096</v>
      </c>
      <c r="J170" s="129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29" t="s">
        <v>10060</v>
      </c>
      <c r="E171" s="133">
        <v>364</v>
      </c>
      <c r="F171" s="131" t="s">
        <v>10061</v>
      </c>
      <c r="G171" s="129" t="s">
        <v>10059</v>
      </c>
      <c r="H171" s="112" t="s">
        <v>8931</v>
      </c>
      <c r="I171" s="3" t="s">
        <v>10011</v>
      </c>
      <c r="J171" s="129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29" t="s">
        <v>9025</v>
      </c>
      <c r="E172" s="133">
        <v>1008</v>
      </c>
      <c r="F172" s="131" t="s">
        <v>9026</v>
      </c>
      <c r="G172" s="129" t="s">
        <v>9024</v>
      </c>
      <c r="H172" s="112" t="s">
        <v>8931</v>
      </c>
      <c r="I172" s="3" t="s">
        <v>9024</v>
      </c>
      <c r="J172" s="129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29" t="s">
        <v>15337</v>
      </c>
      <c r="E173" s="133">
        <v>50</v>
      </c>
      <c r="F173" s="131" t="s">
        <v>10064</v>
      </c>
      <c r="G173" s="129" t="s">
        <v>10063</v>
      </c>
      <c r="H173" s="112" t="s">
        <v>8931</v>
      </c>
      <c r="I173" s="3" t="s">
        <v>10008</v>
      </c>
      <c r="J173" s="129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29" t="s">
        <v>9618</v>
      </c>
      <c r="E174" s="133">
        <v>128</v>
      </c>
      <c r="F174" s="131" t="s">
        <v>9619</v>
      </c>
      <c r="G174" s="129" t="s">
        <v>9617</v>
      </c>
      <c r="H174" s="112" t="s">
        <v>8931</v>
      </c>
      <c r="I174" s="3" t="s">
        <v>9734</v>
      </c>
      <c r="J174" s="129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29" t="s">
        <v>9306</v>
      </c>
      <c r="E175" s="133">
        <v>1125</v>
      </c>
      <c r="F175" s="131" t="s">
        <v>9841</v>
      </c>
      <c r="G175" s="129" t="s">
        <v>9840</v>
      </c>
      <c r="H175" s="112" t="s">
        <v>8931</v>
      </c>
      <c r="I175" s="3" t="s">
        <v>9824</v>
      </c>
      <c r="J175" s="129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29" t="s">
        <v>9603</v>
      </c>
      <c r="E176" s="133">
        <v>3654</v>
      </c>
      <c r="F176" s="131" t="s">
        <v>10068</v>
      </c>
      <c r="G176" s="129" t="s">
        <v>10067</v>
      </c>
      <c r="H176" s="112" t="s">
        <v>8931</v>
      </c>
      <c r="I176" s="3" t="s">
        <v>9904</v>
      </c>
      <c r="J176" s="129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29" t="s">
        <v>9095</v>
      </c>
      <c r="E177" s="133">
        <v>6801</v>
      </c>
      <c r="F177" s="131" t="s">
        <v>9096</v>
      </c>
      <c r="G177" s="129" t="s">
        <v>9094</v>
      </c>
      <c r="H177" s="112" t="s">
        <v>8931</v>
      </c>
      <c r="I177" s="3" t="s">
        <v>14518</v>
      </c>
      <c r="J177" s="129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29" t="s">
        <v>10418</v>
      </c>
      <c r="E178" s="133">
        <v>0</v>
      </c>
      <c r="F178" s="131" t="s">
        <v>10419</v>
      </c>
      <c r="G178" s="129" t="s">
        <v>10418</v>
      </c>
      <c r="H178" s="112" t="s">
        <v>8931</v>
      </c>
      <c r="I178" s="3" t="s">
        <v>9306</v>
      </c>
      <c r="J178" s="129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29" t="s">
        <v>9263</v>
      </c>
      <c r="E179" s="133">
        <v>728</v>
      </c>
      <c r="F179" s="131" t="s">
        <v>9264</v>
      </c>
      <c r="G179" s="129" t="s">
        <v>9058</v>
      </c>
      <c r="H179" s="112" t="s">
        <v>8931</v>
      </c>
      <c r="I179" s="3" t="s">
        <v>9058</v>
      </c>
      <c r="J179" s="129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29" t="s">
        <v>9622</v>
      </c>
      <c r="E180" s="133">
        <v>248</v>
      </c>
      <c r="F180" s="131" t="s">
        <v>9624</v>
      </c>
      <c r="G180" s="129" t="s">
        <v>9623</v>
      </c>
      <c r="H180" s="112" t="s">
        <v>8931</v>
      </c>
      <c r="I180" s="3" t="s">
        <v>9651</v>
      </c>
      <c r="J180" s="129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29" t="s">
        <v>9405</v>
      </c>
      <c r="E181" s="133">
        <v>562</v>
      </c>
      <c r="F181" s="131" t="s">
        <v>9406</v>
      </c>
      <c r="G181" s="129" t="s">
        <v>9404</v>
      </c>
      <c r="H181" s="112" t="s">
        <v>8931</v>
      </c>
      <c r="I181" s="3" t="s">
        <v>9373</v>
      </c>
      <c r="J181" s="129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29" t="s">
        <v>15338</v>
      </c>
      <c r="E182" s="133">
        <v>5009</v>
      </c>
      <c r="F182" s="131" t="s">
        <v>9030</v>
      </c>
      <c r="G182" s="129" t="s">
        <v>9029</v>
      </c>
      <c r="H182" s="112" t="s">
        <v>8931</v>
      </c>
      <c r="I182" s="3" t="s">
        <v>9029</v>
      </c>
      <c r="J182" s="129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29" t="s">
        <v>8931</v>
      </c>
      <c r="E183" s="133">
        <v>7479</v>
      </c>
      <c r="F183" s="131" t="s">
        <v>8954</v>
      </c>
      <c r="G183" s="129" t="s">
        <v>8953</v>
      </c>
      <c r="H183" s="112" t="s">
        <v>8931</v>
      </c>
      <c r="I183" s="3" t="s">
        <v>8930</v>
      </c>
      <c r="J183" s="129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29" t="s">
        <v>9099</v>
      </c>
      <c r="E184" s="133">
        <v>2204</v>
      </c>
      <c r="F184" s="131" t="s">
        <v>9100</v>
      </c>
      <c r="G184" s="129" t="s">
        <v>9098</v>
      </c>
      <c r="H184" s="112" t="s">
        <v>8931</v>
      </c>
      <c r="I184" s="3" t="s">
        <v>12836</v>
      </c>
      <c r="J184" s="129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29" t="s">
        <v>9627</v>
      </c>
      <c r="E185" s="133">
        <v>250</v>
      </c>
      <c r="F185" s="131" t="s">
        <v>9629</v>
      </c>
      <c r="G185" s="129" t="s">
        <v>9628</v>
      </c>
      <c r="H185" s="112" t="s">
        <v>8931</v>
      </c>
      <c r="I185" s="3" t="s">
        <v>9641</v>
      </c>
      <c r="J185" s="129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29" t="s">
        <v>9939</v>
      </c>
      <c r="E186" s="133">
        <v>283</v>
      </c>
      <c r="F186" s="131" t="s">
        <v>9940</v>
      </c>
      <c r="G186" s="129" t="s">
        <v>9938</v>
      </c>
      <c r="H186" s="112" t="s">
        <v>8931</v>
      </c>
      <c r="I186" s="3" t="s">
        <v>14527</v>
      </c>
      <c r="J186" s="129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29" t="s">
        <v>9632</v>
      </c>
      <c r="E187" s="133">
        <v>323</v>
      </c>
      <c r="F187" s="131" t="s">
        <v>9634</v>
      </c>
      <c r="G187" s="129" t="s">
        <v>9633</v>
      </c>
      <c r="H187" s="112" t="s">
        <v>8931</v>
      </c>
      <c r="I187" s="3" t="s">
        <v>9693</v>
      </c>
      <c r="J187" s="129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29" t="s">
        <v>9235</v>
      </c>
      <c r="E188" s="133">
        <v>721</v>
      </c>
      <c r="F188" s="131" t="s">
        <v>9236</v>
      </c>
      <c r="G188" s="129" t="s">
        <v>9234</v>
      </c>
      <c r="H188" s="112" t="s">
        <v>8931</v>
      </c>
      <c r="I188" s="3" t="s">
        <v>9079</v>
      </c>
      <c r="J188" s="129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29" t="s">
        <v>10240</v>
      </c>
      <c r="E189" s="133">
        <v>1298</v>
      </c>
      <c r="F189" s="131" t="s">
        <v>10242</v>
      </c>
      <c r="G189" s="129" t="s">
        <v>10241</v>
      </c>
      <c r="H189" s="112" t="s">
        <v>8931</v>
      </c>
      <c r="I189" s="3" t="s">
        <v>10263</v>
      </c>
      <c r="J189" s="129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29" t="s">
        <v>9255</v>
      </c>
      <c r="E190" s="133">
        <v>5</v>
      </c>
      <c r="F190" s="131" t="s">
        <v>9637</v>
      </c>
      <c r="G190" s="129" t="s">
        <v>9636</v>
      </c>
      <c r="H190" s="112" t="s">
        <v>8931</v>
      </c>
      <c r="I190" s="3" t="s">
        <v>9636</v>
      </c>
      <c r="J190" s="129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29" t="s">
        <v>14506</v>
      </c>
      <c r="E191" s="133">
        <v>75</v>
      </c>
      <c r="F191" s="131" t="s">
        <v>10075</v>
      </c>
      <c r="G191" s="129" t="s">
        <v>10074</v>
      </c>
      <c r="H191" s="112" t="s">
        <v>8931</v>
      </c>
      <c r="I191" s="3" t="s">
        <v>10043</v>
      </c>
      <c r="J191" s="129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29" t="s">
        <v>10107</v>
      </c>
      <c r="E192" s="133">
        <v>875</v>
      </c>
      <c r="F192" s="131" t="s">
        <v>10245</v>
      </c>
      <c r="G192" s="129" t="s">
        <v>10244</v>
      </c>
      <c r="H192" s="112" t="s">
        <v>8931</v>
      </c>
      <c r="I192" s="3" t="s">
        <v>10263</v>
      </c>
      <c r="J192" s="129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29" t="s">
        <v>9307</v>
      </c>
      <c r="E193" s="133">
        <v>456</v>
      </c>
      <c r="F193" s="131" t="s">
        <v>9308</v>
      </c>
      <c r="G193" s="129" t="s">
        <v>9306</v>
      </c>
      <c r="H193" s="112" t="s">
        <v>8931</v>
      </c>
      <c r="I193" s="3" t="s">
        <v>9306</v>
      </c>
      <c r="J193" s="129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29" t="s">
        <v>9311</v>
      </c>
      <c r="E194" s="133">
        <v>915</v>
      </c>
      <c r="F194" s="131" t="s">
        <v>9312</v>
      </c>
      <c r="G194" s="129" t="s">
        <v>9306</v>
      </c>
      <c r="H194" s="112" t="s">
        <v>8931</v>
      </c>
      <c r="I194" s="3" t="s">
        <v>9306</v>
      </c>
      <c r="J194" s="129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29" t="s">
        <v>9315</v>
      </c>
      <c r="E195" s="133">
        <v>443</v>
      </c>
      <c r="F195" s="131" t="s">
        <v>9316</v>
      </c>
      <c r="G195" s="129" t="s">
        <v>9306</v>
      </c>
      <c r="H195" s="112" t="s">
        <v>8931</v>
      </c>
      <c r="I195" s="3" t="s">
        <v>9306</v>
      </c>
      <c r="J195" s="129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29" t="s">
        <v>9319</v>
      </c>
      <c r="E196" s="133">
        <v>1871</v>
      </c>
      <c r="F196" s="131" t="s">
        <v>9320</v>
      </c>
      <c r="G196" s="129" t="s">
        <v>9306</v>
      </c>
      <c r="H196" s="112" t="s">
        <v>8931</v>
      </c>
      <c r="I196" s="3" t="s">
        <v>9306</v>
      </c>
      <c r="J196" s="129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29" t="s">
        <v>9323</v>
      </c>
      <c r="E197" s="133">
        <v>1921</v>
      </c>
      <c r="F197" s="131" t="s">
        <v>9324</v>
      </c>
      <c r="G197" s="129" t="s">
        <v>9306</v>
      </c>
      <c r="H197" s="112" t="s">
        <v>8931</v>
      </c>
      <c r="I197" s="3" t="s">
        <v>9306</v>
      </c>
      <c r="J197" s="129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29" t="s">
        <v>9327</v>
      </c>
      <c r="E198" s="133">
        <v>1493</v>
      </c>
      <c r="F198" s="131" t="s">
        <v>9328</v>
      </c>
      <c r="G198" s="129" t="s">
        <v>9306</v>
      </c>
      <c r="H198" s="112" t="s">
        <v>8931</v>
      </c>
      <c r="I198" s="3" t="s">
        <v>9306</v>
      </c>
      <c r="J198" s="129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29" t="s">
        <v>9331</v>
      </c>
      <c r="E199" s="133">
        <v>1398</v>
      </c>
      <c r="F199" s="131" t="s">
        <v>9332</v>
      </c>
      <c r="G199" s="129" t="s">
        <v>9306</v>
      </c>
      <c r="H199" s="112" t="s">
        <v>8931</v>
      </c>
      <c r="I199" s="3" t="s">
        <v>9306</v>
      </c>
      <c r="J199" s="129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29" t="s">
        <v>9335</v>
      </c>
      <c r="E200" s="133">
        <v>1422</v>
      </c>
      <c r="F200" s="131" t="s">
        <v>9336</v>
      </c>
      <c r="G200" s="129" t="s">
        <v>9306</v>
      </c>
      <c r="H200" s="112" t="s">
        <v>8931</v>
      </c>
      <c r="I200" s="3" t="s">
        <v>9306</v>
      </c>
      <c r="J200" s="129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29" t="s">
        <v>9323</v>
      </c>
      <c r="E201" s="133">
        <v>670</v>
      </c>
      <c r="F201" s="131" t="s">
        <v>10391</v>
      </c>
      <c r="G201" s="129" t="s">
        <v>9306</v>
      </c>
      <c r="H201" s="112" t="s">
        <v>8931</v>
      </c>
      <c r="I201" s="3" t="s">
        <v>9306</v>
      </c>
      <c r="J201" s="129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29" t="s">
        <v>10400</v>
      </c>
      <c r="E202" s="133">
        <v>1342</v>
      </c>
      <c r="F202" s="131" t="s">
        <v>10401</v>
      </c>
      <c r="G202" s="129" t="s">
        <v>9306</v>
      </c>
      <c r="H202" s="112" t="s">
        <v>8931</v>
      </c>
      <c r="I202" s="3" t="s">
        <v>9306</v>
      </c>
      <c r="J202" s="129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29" t="s">
        <v>9123</v>
      </c>
      <c r="E203" s="133">
        <v>3035</v>
      </c>
      <c r="F203" s="131" t="s">
        <v>9124</v>
      </c>
      <c r="G203" s="129" t="s">
        <v>9122</v>
      </c>
      <c r="H203" s="112" t="s">
        <v>8931</v>
      </c>
      <c r="I203" s="3" t="s">
        <v>14518</v>
      </c>
      <c r="J203" s="129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29" t="s">
        <v>9155</v>
      </c>
      <c r="E204" s="133">
        <v>10</v>
      </c>
      <c r="F204" s="131" t="s">
        <v>9156</v>
      </c>
      <c r="G204" s="129" t="s">
        <v>9122</v>
      </c>
      <c r="H204" s="112" t="s">
        <v>8931</v>
      </c>
      <c r="I204" s="3" t="s">
        <v>14518</v>
      </c>
      <c r="J204" s="129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29" t="s">
        <v>9103</v>
      </c>
      <c r="E205" s="133">
        <v>2055</v>
      </c>
      <c r="F205" s="131" t="s">
        <v>9105</v>
      </c>
      <c r="G205" s="129" t="s">
        <v>9104</v>
      </c>
      <c r="H205" s="112" t="s">
        <v>8931</v>
      </c>
      <c r="I205" s="3" t="s">
        <v>9102</v>
      </c>
      <c r="J205" s="129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29" t="s">
        <v>9167</v>
      </c>
      <c r="E206" s="133">
        <v>1471</v>
      </c>
      <c r="F206" s="131" t="s">
        <v>9168</v>
      </c>
      <c r="G206" s="129" t="s">
        <v>9104</v>
      </c>
      <c r="H206" s="112" t="s">
        <v>8931</v>
      </c>
      <c r="I206" s="3" t="s">
        <v>9102</v>
      </c>
      <c r="J206" s="129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29" t="s">
        <v>9150</v>
      </c>
      <c r="E207" s="133">
        <v>1638</v>
      </c>
      <c r="F207" s="131" t="s">
        <v>9152</v>
      </c>
      <c r="G207" s="129" t="s">
        <v>9151</v>
      </c>
      <c r="H207" s="112" t="s">
        <v>8931</v>
      </c>
      <c r="I207" s="3" t="s">
        <v>9102</v>
      </c>
      <c r="J207" s="129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29" t="s">
        <v>10077</v>
      </c>
      <c r="E208" s="133">
        <v>1133</v>
      </c>
      <c r="F208" s="131" t="s">
        <v>10078</v>
      </c>
      <c r="G208" s="129" t="s">
        <v>8950</v>
      </c>
      <c r="H208" s="112" t="s">
        <v>8931</v>
      </c>
      <c r="I208" s="3" t="s">
        <v>8950</v>
      </c>
      <c r="J208" s="129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29" t="s">
        <v>9413</v>
      </c>
      <c r="E209" s="133">
        <v>564</v>
      </c>
      <c r="F209" s="131" t="s">
        <v>9414</v>
      </c>
      <c r="G209" s="129" t="s">
        <v>9412</v>
      </c>
      <c r="H209" s="112" t="s">
        <v>8931</v>
      </c>
      <c r="I209" s="3" t="s">
        <v>9412</v>
      </c>
      <c r="J209" s="129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29" t="s">
        <v>9409</v>
      </c>
      <c r="E210" s="133">
        <v>899</v>
      </c>
      <c r="F210" s="131" t="s">
        <v>9410</v>
      </c>
      <c r="G210" s="129" t="s">
        <v>9408</v>
      </c>
      <c r="H210" s="112" t="s">
        <v>8931</v>
      </c>
      <c r="I210" s="3" t="s">
        <v>14522</v>
      </c>
      <c r="J210" s="129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29" t="s">
        <v>9640</v>
      </c>
      <c r="E211" s="133">
        <v>573</v>
      </c>
      <c r="F211" s="131" t="s">
        <v>9642</v>
      </c>
      <c r="G211" s="129" t="s">
        <v>9641</v>
      </c>
      <c r="H211" s="112" t="s">
        <v>8931</v>
      </c>
      <c r="I211" s="3" t="s">
        <v>9641</v>
      </c>
      <c r="J211" s="129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29" t="s">
        <v>9422</v>
      </c>
      <c r="E212" s="133">
        <v>132</v>
      </c>
      <c r="F212" s="131" t="s">
        <v>9423</v>
      </c>
      <c r="G212" s="129" t="s">
        <v>9421</v>
      </c>
      <c r="H212" s="112" t="s">
        <v>8931</v>
      </c>
      <c r="I212" s="3" t="s">
        <v>9421</v>
      </c>
      <c r="J212" s="129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29" t="s">
        <v>9267</v>
      </c>
      <c r="E213" s="133">
        <v>2670</v>
      </c>
      <c r="F213" s="131" t="s">
        <v>9268</v>
      </c>
      <c r="G213" s="129" t="s">
        <v>9266</v>
      </c>
      <c r="H213" s="112" t="s">
        <v>8931</v>
      </c>
      <c r="I213" s="3" t="s">
        <v>9273</v>
      </c>
      <c r="J213" s="129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29" t="s">
        <v>9849</v>
      </c>
      <c r="E214" s="133">
        <v>171</v>
      </c>
      <c r="F214" s="131" t="s">
        <v>9850</v>
      </c>
      <c r="G214" s="129" t="s">
        <v>9848</v>
      </c>
      <c r="H214" s="112" t="s">
        <v>8931</v>
      </c>
      <c r="I214" s="3" t="s">
        <v>9900</v>
      </c>
      <c r="J214" s="129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29" t="s">
        <v>9645</v>
      </c>
      <c r="E215" s="133">
        <v>98</v>
      </c>
      <c r="F215" s="131" t="s">
        <v>9646</v>
      </c>
      <c r="G215" s="129" t="s">
        <v>9644</v>
      </c>
      <c r="H215" s="112" t="s">
        <v>8931</v>
      </c>
      <c r="I215" s="3" t="s">
        <v>9644</v>
      </c>
      <c r="J215" s="129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29" t="s">
        <v>9319</v>
      </c>
      <c r="E216" s="133">
        <v>5278</v>
      </c>
      <c r="F216" s="131" t="s">
        <v>9427</v>
      </c>
      <c r="G216" s="129" t="s">
        <v>9426</v>
      </c>
      <c r="H216" s="112" t="s">
        <v>8931</v>
      </c>
      <c r="I216" s="3" t="s">
        <v>9306</v>
      </c>
      <c r="J216" s="129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29" t="s">
        <v>9176</v>
      </c>
      <c r="E217" s="133">
        <v>1620</v>
      </c>
      <c r="F217" s="131" t="s">
        <v>9218</v>
      </c>
      <c r="G217" s="129" t="s">
        <v>9217</v>
      </c>
      <c r="H217" s="112" t="s">
        <v>8931</v>
      </c>
      <c r="I217" s="3" t="s">
        <v>10182</v>
      </c>
      <c r="J217" s="129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29" t="s">
        <v>10248</v>
      </c>
      <c r="E218" s="133">
        <v>49</v>
      </c>
      <c r="F218" s="131" t="s">
        <v>10249</v>
      </c>
      <c r="G218" s="129" t="s">
        <v>10247</v>
      </c>
      <c r="H218" s="112" t="s">
        <v>8931</v>
      </c>
      <c r="I218" s="3" t="s">
        <v>10247</v>
      </c>
      <c r="J218" s="129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29" t="s">
        <v>9430</v>
      </c>
      <c r="E219" s="133">
        <v>299</v>
      </c>
      <c r="F219" s="131" t="s">
        <v>9431</v>
      </c>
      <c r="G219" s="129" t="s">
        <v>9429</v>
      </c>
      <c r="H219" s="112" t="s">
        <v>8931</v>
      </c>
      <c r="I219" s="3" t="s">
        <v>9429</v>
      </c>
      <c r="J219" s="129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29" t="s">
        <v>8957</v>
      </c>
      <c r="E220" s="133">
        <v>9718</v>
      </c>
      <c r="F220" s="131" t="s">
        <v>8958</v>
      </c>
      <c r="G220" s="129" t="s">
        <v>8956</v>
      </c>
      <c r="H220" s="112" t="s">
        <v>8931</v>
      </c>
      <c r="I220" s="3" t="s">
        <v>14517</v>
      </c>
      <c r="J220" s="129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29" t="s">
        <v>10380</v>
      </c>
      <c r="E221" s="133">
        <v>1363</v>
      </c>
      <c r="F221" s="131" t="s">
        <v>10381</v>
      </c>
      <c r="G221" s="129" t="s">
        <v>10379</v>
      </c>
      <c r="H221" s="112" t="s">
        <v>8931</v>
      </c>
      <c r="I221" s="3" t="s">
        <v>10096</v>
      </c>
      <c r="J221" s="129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29" t="s">
        <v>9091</v>
      </c>
      <c r="E222" s="133">
        <v>9109</v>
      </c>
      <c r="F222" s="131" t="s">
        <v>10183</v>
      </c>
      <c r="G222" s="129" t="s">
        <v>10182</v>
      </c>
      <c r="H222" s="112" t="s">
        <v>8931</v>
      </c>
      <c r="I222" s="3" t="s">
        <v>10182</v>
      </c>
      <c r="J222" s="129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29" t="s">
        <v>9095</v>
      </c>
      <c r="E223" s="133">
        <v>691</v>
      </c>
      <c r="F223" s="131" t="s">
        <v>9113</v>
      </c>
      <c r="G223" s="129" t="s">
        <v>9112</v>
      </c>
      <c r="H223" s="112" t="s">
        <v>8931</v>
      </c>
      <c r="I223" s="3" t="s">
        <v>14518</v>
      </c>
      <c r="J223" s="129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29" t="s">
        <v>9221</v>
      </c>
      <c r="E224" s="133">
        <v>1453</v>
      </c>
      <c r="F224" s="131" t="s">
        <v>9222</v>
      </c>
      <c r="G224" s="129" t="s">
        <v>9220</v>
      </c>
      <c r="H224" s="112" t="s">
        <v>8931</v>
      </c>
      <c r="I224" s="3" t="s">
        <v>12836</v>
      </c>
      <c r="J224" s="129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29" t="s">
        <v>9470</v>
      </c>
      <c r="E225" s="133">
        <v>173</v>
      </c>
      <c r="F225" s="131" t="s">
        <v>10384</v>
      </c>
      <c r="G225" s="129" t="s">
        <v>10383</v>
      </c>
      <c r="H225" s="112" t="s">
        <v>8931</v>
      </c>
      <c r="I225" s="3" t="s">
        <v>14525</v>
      </c>
      <c r="J225" s="129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29" t="s">
        <v>9050</v>
      </c>
      <c r="E226" s="133">
        <v>2639</v>
      </c>
      <c r="F226" s="131" t="s">
        <v>9051</v>
      </c>
      <c r="G226" s="129" t="s">
        <v>9049</v>
      </c>
      <c r="H226" s="112" t="s">
        <v>8931</v>
      </c>
      <c r="I226" s="3" t="s">
        <v>9474</v>
      </c>
      <c r="J226" s="129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29" t="s">
        <v>9075</v>
      </c>
      <c r="E227" s="133">
        <v>464</v>
      </c>
      <c r="F227" s="131" t="s">
        <v>9649</v>
      </c>
      <c r="G227" s="129" t="s">
        <v>9648</v>
      </c>
      <c r="H227" s="112" t="s">
        <v>8931</v>
      </c>
      <c r="I227" s="3" t="s">
        <v>14524</v>
      </c>
      <c r="J227" s="129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29" t="s">
        <v>8931</v>
      </c>
      <c r="E228" s="133">
        <v>1758</v>
      </c>
      <c r="F228" s="131" t="s">
        <v>9225</v>
      </c>
      <c r="G228" s="129" t="s">
        <v>9224</v>
      </c>
      <c r="H228" s="112" t="s">
        <v>8931</v>
      </c>
      <c r="I228" s="3" t="s">
        <v>14519</v>
      </c>
      <c r="J228" s="129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29" t="s">
        <v>9652</v>
      </c>
      <c r="E229" s="133">
        <v>571</v>
      </c>
      <c r="F229" s="131" t="s">
        <v>9653</v>
      </c>
      <c r="G229" s="129" t="s">
        <v>9651</v>
      </c>
      <c r="H229" s="112" t="s">
        <v>8931</v>
      </c>
      <c r="I229" s="3" t="s">
        <v>9651</v>
      </c>
      <c r="J229" s="129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29" t="s">
        <v>9438</v>
      </c>
      <c r="E230" s="133">
        <v>811</v>
      </c>
      <c r="F230" s="131" t="s">
        <v>9439</v>
      </c>
      <c r="G230" s="129" t="s">
        <v>9437</v>
      </c>
      <c r="H230" s="112" t="s">
        <v>8931</v>
      </c>
      <c r="I230" s="3" t="s">
        <v>9437</v>
      </c>
      <c r="J230" s="129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29" t="s">
        <v>9014</v>
      </c>
      <c r="E231" s="133">
        <v>359</v>
      </c>
      <c r="F231" s="131" t="s">
        <v>10342</v>
      </c>
      <c r="G231" s="129" t="s">
        <v>9908</v>
      </c>
      <c r="H231" s="112" t="s">
        <v>8931</v>
      </c>
      <c r="I231" s="3" t="s">
        <v>9908</v>
      </c>
      <c r="J231" s="129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29" t="s">
        <v>9449</v>
      </c>
      <c r="E232" s="133">
        <v>2032</v>
      </c>
      <c r="F232" s="131" t="s">
        <v>9451</v>
      </c>
      <c r="G232" s="129" t="s">
        <v>9450</v>
      </c>
      <c r="H232" s="112" t="s">
        <v>8931</v>
      </c>
      <c r="I232" s="3" t="s">
        <v>9306</v>
      </c>
      <c r="J232" s="129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29" t="s">
        <v>9856</v>
      </c>
      <c r="E233" s="133">
        <v>122</v>
      </c>
      <c r="F233" s="131" t="s">
        <v>9858</v>
      </c>
      <c r="G233" s="129" t="s">
        <v>9857</v>
      </c>
      <c r="H233" s="112" t="s">
        <v>8931</v>
      </c>
      <c r="I233" s="3" t="s">
        <v>9824</v>
      </c>
      <c r="J233" s="129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29" t="s">
        <v>10345</v>
      </c>
      <c r="E234" s="133">
        <v>55</v>
      </c>
      <c r="F234" s="131" t="s">
        <v>10346</v>
      </c>
      <c r="G234" s="129" t="s">
        <v>10344</v>
      </c>
      <c r="H234" s="112" t="s">
        <v>8931</v>
      </c>
      <c r="I234" s="3" t="s">
        <v>14522</v>
      </c>
      <c r="J234" s="129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29" t="s">
        <v>10060</v>
      </c>
      <c r="E235" s="133">
        <v>1958</v>
      </c>
      <c r="F235" s="131" t="s">
        <v>10159</v>
      </c>
      <c r="G235" s="129" t="s">
        <v>10158</v>
      </c>
      <c r="H235" s="112" t="s">
        <v>8931</v>
      </c>
      <c r="I235" s="3" t="s">
        <v>14530</v>
      </c>
      <c r="J235" s="129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29" t="s">
        <v>10162</v>
      </c>
      <c r="E236" s="133">
        <v>2714</v>
      </c>
      <c r="F236" s="131" t="s">
        <v>10163</v>
      </c>
      <c r="G236" s="129" t="s">
        <v>10158</v>
      </c>
      <c r="H236" s="112" t="s">
        <v>8931</v>
      </c>
      <c r="I236" s="3" t="s">
        <v>14530</v>
      </c>
      <c r="J236" s="129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29" t="s">
        <v>10166</v>
      </c>
      <c r="E237" s="133">
        <v>1333</v>
      </c>
      <c r="F237" s="131" t="s">
        <v>10167</v>
      </c>
      <c r="G237" s="129" t="s">
        <v>10158</v>
      </c>
      <c r="H237" s="112" t="s">
        <v>8931</v>
      </c>
      <c r="I237" s="3" t="s">
        <v>14530</v>
      </c>
      <c r="J237" s="129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29" t="s">
        <v>10192</v>
      </c>
      <c r="E238" s="133">
        <v>2460</v>
      </c>
      <c r="F238" s="131" t="s">
        <v>10193</v>
      </c>
      <c r="G238" s="129" t="s">
        <v>10158</v>
      </c>
      <c r="H238" s="112" t="s">
        <v>8931</v>
      </c>
      <c r="I238" s="3" t="s">
        <v>14530</v>
      </c>
      <c r="J238" s="129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29" t="s">
        <v>10196</v>
      </c>
      <c r="E239" s="133">
        <v>5556</v>
      </c>
      <c r="F239" s="131" t="s">
        <v>10197</v>
      </c>
      <c r="G239" s="129" t="s">
        <v>10158</v>
      </c>
      <c r="H239" s="112" t="s">
        <v>8931</v>
      </c>
      <c r="I239" s="3" t="s">
        <v>14530</v>
      </c>
      <c r="J239" s="129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29" t="s">
        <v>10200</v>
      </c>
      <c r="E240" s="133">
        <v>350</v>
      </c>
      <c r="F240" s="131" t="s">
        <v>10201</v>
      </c>
      <c r="G240" s="129" t="s">
        <v>10158</v>
      </c>
      <c r="H240" s="112" t="s">
        <v>8931</v>
      </c>
      <c r="I240" s="3" t="s">
        <v>14530</v>
      </c>
      <c r="J240" s="129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29" t="s">
        <v>10204</v>
      </c>
      <c r="E241" s="133">
        <v>865</v>
      </c>
      <c r="F241" s="131" t="s">
        <v>10205</v>
      </c>
      <c r="G241" s="129" t="s">
        <v>10158</v>
      </c>
      <c r="H241" s="112" t="s">
        <v>8931</v>
      </c>
      <c r="I241" s="3" t="s">
        <v>14530</v>
      </c>
      <c r="J241" s="129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29" t="s">
        <v>9477</v>
      </c>
      <c r="E242" s="133">
        <v>2702</v>
      </c>
      <c r="F242" s="131" t="s">
        <v>10208</v>
      </c>
      <c r="G242" s="129" t="s">
        <v>10158</v>
      </c>
      <c r="H242" s="112" t="s">
        <v>8931</v>
      </c>
      <c r="I242" s="3" t="s">
        <v>14530</v>
      </c>
      <c r="J242" s="129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29" t="s">
        <v>10260</v>
      </c>
      <c r="E243" s="133">
        <v>7454</v>
      </c>
      <c r="F243" s="131" t="s">
        <v>10261</v>
      </c>
      <c r="G243" s="129" t="s">
        <v>10259</v>
      </c>
      <c r="H243" s="112" t="s">
        <v>8931</v>
      </c>
      <c r="I243" s="3" t="s">
        <v>14522</v>
      </c>
      <c r="J243" s="129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29" t="s">
        <v>9221</v>
      </c>
      <c r="E244" s="133">
        <v>2097</v>
      </c>
      <c r="F244" s="131" t="s">
        <v>9442</v>
      </c>
      <c r="G244" s="129" t="s">
        <v>9441</v>
      </c>
      <c r="H244" s="112" t="s">
        <v>8931</v>
      </c>
      <c r="I244" s="3" t="s">
        <v>9441</v>
      </c>
      <c r="J244" s="129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29" t="s">
        <v>9303</v>
      </c>
      <c r="E245" s="133">
        <v>507</v>
      </c>
      <c r="F245" s="131" t="s">
        <v>9304</v>
      </c>
      <c r="G245" s="129" t="s">
        <v>9302</v>
      </c>
      <c r="H245" s="112" t="s">
        <v>8931</v>
      </c>
      <c r="I245" s="3" t="s">
        <v>9273</v>
      </c>
      <c r="J245" s="129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29" t="s">
        <v>8943</v>
      </c>
      <c r="E246" s="133">
        <v>3745</v>
      </c>
      <c r="F246" s="131" t="s">
        <v>8971</v>
      </c>
      <c r="G246" s="129" t="s">
        <v>8970</v>
      </c>
      <c r="H246" s="112" t="s">
        <v>8931</v>
      </c>
      <c r="I246" s="3" t="s">
        <v>9009</v>
      </c>
      <c r="J246" s="129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29" t="s">
        <v>8961</v>
      </c>
      <c r="E247" s="133">
        <v>2052</v>
      </c>
      <c r="F247" s="131" t="s">
        <v>10173</v>
      </c>
      <c r="G247" s="129" t="s">
        <v>8970</v>
      </c>
      <c r="H247" s="112" t="s">
        <v>8931</v>
      </c>
      <c r="I247" s="3" t="s">
        <v>9009</v>
      </c>
      <c r="J247" s="129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29" t="s">
        <v>9276</v>
      </c>
      <c r="E248" s="133">
        <v>226</v>
      </c>
      <c r="F248" s="131" t="s">
        <v>9853</v>
      </c>
      <c r="G248" s="129" t="s">
        <v>9852</v>
      </c>
      <c r="H248" s="112" t="s">
        <v>8931</v>
      </c>
      <c r="I248" s="3" t="s">
        <v>9824</v>
      </c>
      <c r="J248" s="129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29" t="s">
        <v>10081</v>
      </c>
      <c r="E249" s="133">
        <v>1101</v>
      </c>
      <c r="F249" s="131" t="s">
        <v>10082</v>
      </c>
      <c r="G249" s="129" t="s">
        <v>10080</v>
      </c>
      <c r="H249" s="112" t="s">
        <v>8931</v>
      </c>
      <c r="I249" s="3" t="s">
        <v>14527</v>
      </c>
      <c r="J249" s="129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29" t="s">
        <v>9656</v>
      </c>
      <c r="E250" s="133">
        <v>2015</v>
      </c>
      <c r="F250" s="131" t="s">
        <v>9657</v>
      </c>
      <c r="G250" s="129" t="s">
        <v>9655</v>
      </c>
      <c r="H250" s="112" t="s">
        <v>8931</v>
      </c>
      <c r="I250" s="3" t="s">
        <v>9163</v>
      </c>
      <c r="J250" s="129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15323</v>
      </c>
      <c r="C251" s="112" t="s">
        <v>14500</v>
      </c>
      <c r="D251" s="129" t="s">
        <v>10088</v>
      </c>
      <c r="E251" s="133">
        <v>650</v>
      </c>
      <c r="F251" s="131" t="s">
        <v>10090</v>
      </c>
      <c r="G251" s="129" t="s">
        <v>10089</v>
      </c>
      <c r="H251" s="112" t="s">
        <v>8931</v>
      </c>
      <c r="I251" s="3" t="s">
        <v>14527</v>
      </c>
      <c r="J251" s="129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29" t="s">
        <v>9434</v>
      </c>
      <c r="E252" s="133">
        <v>7476</v>
      </c>
      <c r="F252" s="131" t="s">
        <v>9435</v>
      </c>
      <c r="G252" s="129" t="s">
        <v>9433</v>
      </c>
      <c r="H252" s="112" t="s">
        <v>8931</v>
      </c>
      <c r="I252" s="3" t="s">
        <v>9306</v>
      </c>
      <c r="J252" s="129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29" t="s">
        <v>9454</v>
      </c>
      <c r="E253" s="133">
        <v>645</v>
      </c>
      <c r="F253" s="131" t="s">
        <v>9455</v>
      </c>
      <c r="G253" s="129" t="s">
        <v>9453</v>
      </c>
      <c r="H253" s="112" t="s">
        <v>8931</v>
      </c>
      <c r="I253" s="3" t="s">
        <v>9453</v>
      </c>
      <c r="J253" s="129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29" t="s">
        <v>8939</v>
      </c>
      <c r="E254" s="133">
        <v>556</v>
      </c>
      <c r="F254" s="131" t="s">
        <v>9274</v>
      </c>
      <c r="G254" s="129" t="s">
        <v>9273</v>
      </c>
      <c r="H254" s="112" t="s">
        <v>8931</v>
      </c>
      <c r="I254" s="3" t="s">
        <v>9273</v>
      </c>
      <c r="J254" s="129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29" t="s">
        <v>10093</v>
      </c>
      <c r="E255" s="133">
        <v>300</v>
      </c>
      <c r="F255" s="131" t="s">
        <v>10094</v>
      </c>
      <c r="G255" s="129" t="s">
        <v>10092</v>
      </c>
      <c r="H255" s="112" t="s">
        <v>8931</v>
      </c>
      <c r="I255" s="3" t="s">
        <v>9922</v>
      </c>
      <c r="J255" s="129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29" t="s">
        <v>10256</v>
      </c>
      <c r="E256" s="133">
        <v>1602</v>
      </c>
      <c r="F256" s="131" t="s">
        <v>10257</v>
      </c>
      <c r="G256" s="129" t="s">
        <v>10255</v>
      </c>
      <c r="H256" s="112" t="s">
        <v>8931</v>
      </c>
      <c r="I256" s="3" t="s">
        <v>14531</v>
      </c>
      <c r="J256" s="129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29" t="s">
        <v>9660</v>
      </c>
      <c r="E257" s="133">
        <v>0</v>
      </c>
      <c r="F257" s="131" t="s">
        <v>9661</v>
      </c>
      <c r="G257" s="129" t="s">
        <v>9659</v>
      </c>
      <c r="H257" s="112" t="s">
        <v>8931</v>
      </c>
      <c r="I257" s="3" t="s">
        <v>9516</v>
      </c>
      <c r="J257" s="129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29" t="s">
        <v>9664</v>
      </c>
      <c r="E258" s="133">
        <v>395</v>
      </c>
      <c r="F258" s="131" t="s">
        <v>9665</v>
      </c>
      <c r="G258" s="129" t="s">
        <v>9663</v>
      </c>
      <c r="H258" s="112" t="s">
        <v>8931</v>
      </c>
      <c r="I258" s="3" t="s">
        <v>9693</v>
      </c>
      <c r="J258" s="129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29" t="s">
        <v>8938</v>
      </c>
      <c r="E259" s="133">
        <v>448</v>
      </c>
      <c r="F259" s="131" t="s">
        <v>9228</v>
      </c>
      <c r="G259" s="129" t="s">
        <v>9227</v>
      </c>
      <c r="H259" s="112" t="s">
        <v>8931</v>
      </c>
      <c r="I259" s="3" t="s">
        <v>14519</v>
      </c>
      <c r="J259" s="129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29" t="s">
        <v>10353</v>
      </c>
      <c r="E260" s="133">
        <v>1101</v>
      </c>
      <c r="F260" s="131" t="s">
        <v>10354</v>
      </c>
      <c r="G260" s="129" t="s">
        <v>9227</v>
      </c>
      <c r="H260" s="112" t="s">
        <v>8931</v>
      </c>
      <c r="I260" s="3" t="s">
        <v>14519</v>
      </c>
      <c r="J260" s="129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29" t="s">
        <v>9955</v>
      </c>
      <c r="E261" s="133">
        <v>363</v>
      </c>
      <c r="F261" s="131" t="s">
        <v>9956</v>
      </c>
      <c r="G261" s="129" t="s">
        <v>9954</v>
      </c>
      <c r="H261" s="112" t="s">
        <v>8931</v>
      </c>
      <c r="I261" s="3" t="s">
        <v>9954</v>
      </c>
      <c r="J261" s="129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29" t="s">
        <v>9277</v>
      </c>
      <c r="E262" s="133">
        <v>2402</v>
      </c>
      <c r="F262" s="131" t="s">
        <v>9278</v>
      </c>
      <c r="G262" s="129" t="s">
        <v>9276</v>
      </c>
      <c r="H262" s="112" t="s">
        <v>8931</v>
      </c>
      <c r="I262" s="3" t="s">
        <v>9276</v>
      </c>
      <c r="J262" s="129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29" t="s">
        <v>9603</v>
      </c>
      <c r="E263" s="133">
        <v>252</v>
      </c>
      <c r="F263" s="131" t="s">
        <v>10186</v>
      </c>
      <c r="G263" s="129" t="s">
        <v>10185</v>
      </c>
      <c r="H263" s="112" t="s">
        <v>8931</v>
      </c>
      <c r="I263" s="3" t="s">
        <v>10185</v>
      </c>
      <c r="J263" s="129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29" t="s">
        <v>9668</v>
      </c>
      <c r="E264" s="133">
        <v>53</v>
      </c>
      <c r="F264" s="131" t="s">
        <v>9669</v>
      </c>
      <c r="G264" s="129" t="s">
        <v>9667</v>
      </c>
      <c r="H264" s="112" t="s">
        <v>8931</v>
      </c>
      <c r="I264" s="3" t="s">
        <v>9636</v>
      </c>
      <c r="J264" s="129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29" t="s">
        <v>10179</v>
      </c>
      <c r="E265" s="133">
        <v>4319</v>
      </c>
      <c r="F265" s="131" t="s">
        <v>10180</v>
      </c>
      <c r="G265" s="129" t="s">
        <v>10178</v>
      </c>
      <c r="H265" s="112" t="s">
        <v>8931</v>
      </c>
      <c r="I265" s="3" t="s">
        <v>8938</v>
      </c>
      <c r="J265" s="129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29" t="s">
        <v>10300</v>
      </c>
      <c r="E266" s="133">
        <v>167</v>
      </c>
      <c r="F266" s="131" t="s">
        <v>10301</v>
      </c>
      <c r="G266" s="129" t="s">
        <v>10299</v>
      </c>
      <c r="H266" s="112" t="s">
        <v>8931</v>
      </c>
      <c r="I266" s="3" t="s">
        <v>10299</v>
      </c>
      <c r="J266" s="129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29" t="s">
        <v>10264</v>
      </c>
      <c r="E267" s="133">
        <v>3088</v>
      </c>
      <c r="F267" s="131" t="s">
        <v>10265</v>
      </c>
      <c r="G267" s="129" t="s">
        <v>10263</v>
      </c>
      <c r="H267" s="112" t="s">
        <v>8931</v>
      </c>
      <c r="I267" s="3" t="s">
        <v>10263</v>
      </c>
      <c r="J267" s="129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29" t="s">
        <v>10268</v>
      </c>
      <c r="E268" s="133">
        <v>337</v>
      </c>
      <c r="F268" s="131" t="s">
        <v>10269</v>
      </c>
      <c r="G268" s="129" t="s">
        <v>10263</v>
      </c>
      <c r="H268" s="112" t="s">
        <v>8931</v>
      </c>
      <c r="I268" s="3" t="s">
        <v>10263</v>
      </c>
      <c r="J268" s="129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29" t="s">
        <v>9672</v>
      </c>
      <c r="E269" s="133">
        <v>234</v>
      </c>
      <c r="F269" s="131" t="s">
        <v>9674</v>
      </c>
      <c r="G269" s="129" t="s">
        <v>9673</v>
      </c>
      <c r="H269" s="112" t="s">
        <v>8931</v>
      </c>
      <c r="I269" s="3" t="s">
        <v>9050</v>
      </c>
      <c r="J269" s="129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29" t="s">
        <v>9683</v>
      </c>
      <c r="E270" s="133">
        <v>176</v>
      </c>
      <c r="F270" s="131" t="s">
        <v>9684</v>
      </c>
      <c r="G270" s="129" t="s">
        <v>9682</v>
      </c>
      <c r="H270" s="112" t="s">
        <v>8931</v>
      </c>
      <c r="I270" s="3" t="s">
        <v>9430</v>
      </c>
      <c r="J270" s="129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29" t="s">
        <v>9935</v>
      </c>
      <c r="E271" s="133">
        <v>2973</v>
      </c>
      <c r="F271" s="131" t="s">
        <v>10097</v>
      </c>
      <c r="G271" s="129" t="s">
        <v>10096</v>
      </c>
      <c r="H271" s="112" t="s">
        <v>8931</v>
      </c>
      <c r="I271" s="3" t="s">
        <v>10096</v>
      </c>
      <c r="J271" s="129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29" t="s">
        <v>8995</v>
      </c>
      <c r="E272" s="133">
        <v>2683</v>
      </c>
      <c r="F272" s="131" t="s">
        <v>8996</v>
      </c>
      <c r="G272" s="129" t="s">
        <v>8994</v>
      </c>
      <c r="H272" s="112" t="s">
        <v>8931</v>
      </c>
      <c r="I272" s="3" t="s">
        <v>8938</v>
      </c>
      <c r="J272" s="129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29" t="s">
        <v>9679</v>
      </c>
      <c r="E273" s="133">
        <v>589</v>
      </c>
      <c r="F273" s="131" t="s">
        <v>9680</v>
      </c>
      <c r="G273" s="129" t="s">
        <v>9678</v>
      </c>
      <c r="H273" s="112" t="s">
        <v>8931</v>
      </c>
      <c r="I273" s="3" t="s">
        <v>9651</v>
      </c>
      <c r="J273" s="129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29" t="s">
        <v>8983</v>
      </c>
      <c r="E274" s="133">
        <v>257</v>
      </c>
      <c r="F274" s="131" t="s">
        <v>10100</v>
      </c>
      <c r="G274" s="129" t="s">
        <v>10099</v>
      </c>
      <c r="H274" s="112" t="s">
        <v>8931</v>
      </c>
      <c r="I274" s="3" t="s">
        <v>9922</v>
      </c>
      <c r="J274" s="129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29" t="s">
        <v>10103</v>
      </c>
      <c r="E275" s="133">
        <v>253</v>
      </c>
      <c r="F275" s="131" t="s">
        <v>10104</v>
      </c>
      <c r="G275" s="129" t="s">
        <v>10102</v>
      </c>
      <c r="H275" s="112" t="s">
        <v>8931</v>
      </c>
      <c r="I275" s="3" t="s">
        <v>10003</v>
      </c>
      <c r="J275" s="129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29" t="s">
        <v>10387</v>
      </c>
      <c r="E276" s="133">
        <v>177</v>
      </c>
      <c r="F276" s="131" t="s">
        <v>10388</v>
      </c>
      <c r="G276" s="129" t="s">
        <v>10386</v>
      </c>
      <c r="H276" s="112" t="s">
        <v>8931</v>
      </c>
      <c r="I276" s="3" t="s">
        <v>14525</v>
      </c>
      <c r="J276" s="129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29" t="s">
        <v>9295</v>
      </c>
      <c r="E277" s="133">
        <v>52</v>
      </c>
      <c r="F277" s="131" t="s">
        <v>9296</v>
      </c>
      <c r="G277" s="129" t="s">
        <v>9294</v>
      </c>
      <c r="H277" s="112" t="s">
        <v>8931</v>
      </c>
      <c r="I277" s="3" t="s">
        <v>9276</v>
      </c>
      <c r="J277" s="129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29" t="s">
        <v>9687</v>
      </c>
      <c r="E278" s="133">
        <v>635</v>
      </c>
      <c r="F278" s="131" t="s">
        <v>9688</v>
      </c>
      <c r="G278" s="129" t="s">
        <v>9686</v>
      </c>
      <c r="H278" s="112" t="s">
        <v>8931</v>
      </c>
      <c r="I278" s="3" t="s">
        <v>9644</v>
      </c>
      <c r="J278" s="129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29" t="s">
        <v>9221</v>
      </c>
      <c r="E279" s="133">
        <v>401</v>
      </c>
      <c r="F279" s="131" t="s">
        <v>9691</v>
      </c>
      <c r="G279" s="129" t="s">
        <v>9690</v>
      </c>
      <c r="H279" s="112" t="s">
        <v>8931</v>
      </c>
      <c r="I279" s="3" t="s">
        <v>9050</v>
      </c>
      <c r="J279" s="129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29" t="s">
        <v>10107</v>
      </c>
      <c r="E280" s="133">
        <v>141</v>
      </c>
      <c r="F280" s="131" t="s">
        <v>10108</v>
      </c>
      <c r="G280" s="129" t="s">
        <v>10106</v>
      </c>
      <c r="H280" s="112" t="s">
        <v>8931</v>
      </c>
      <c r="I280" s="3" t="s">
        <v>14527</v>
      </c>
      <c r="J280" s="129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29" t="s">
        <v>9694</v>
      </c>
      <c r="E281" s="133">
        <v>345</v>
      </c>
      <c r="F281" s="131" t="s">
        <v>9695</v>
      </c>
      <c r="G281" s="129" t="s">
        <v>9693</v>
      </c>
      <c r="H281" s="112" t="s">
        <v>8931</v>
      </c>
      <c r="I281" s="3" t="s">
        <v>9693</v>
      </c>
      <c r="J281" s="129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29" t="s">
        <v>8928</v>
      </c>
      <c r="E282" s="133">
        <v>197</v>
      </c>
      <c r="F282" s="131" t="s">
        <v>9698</v>
      </c>
      <c r="G282" s="129" t="s">
        <v>9697</v>
      </c>
      <c r="H282" s="112" t="s">
        <v>8931</v>
      </c>
      <c r="I282" s="3" t="s">
        <v>9697</v>
      </c>
      <c r="J282" s="129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29" t="s">
        <v>9861</v>
      </c>
      <c r="E283" s="133">
        <v>672</v>
      </c>
      <c r="F283" s="131" t="s">
        <v>9862</v>
      </c>
      <c r="G283" s="129" t="s">
        <v>9860</v>
      </c>
      <c r="H283" s="112" t="s">
        <v>8931</v>
      </c>
      <c r="I283" s="3" t="s">
        <v>9832</v>
      </c>
      <c r="J283" s="129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29" t="s">
        <v>9784</v>
      </c>
      <c r="E284" s="133">
        <v>173</v>
      </c>
      <c r="F284" s="131" t="s">
        <v>9785</v>
      </c>
      <c r="G284" s="129" t="s">
        <v>9783</v>
      </c>
      <c r="H284" s="112" t="s">
        <v>8931</v>
      </c>
      <c r="I284" s="3" t="s">
        <v>9783</v>
      </c>
      <c r="J284" s="129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29" t="s">
        <v>9159</v>
      </c>
      <c r="E285" s="133">
        <v>635</v>
      </c>
      <c r="F285" s="131" t="s">
        <v>9160</v>
      </c>
      <c r="G285" s="129" t="s">
        <v>14437</v>
      </c>
      <c r="H285" s="112" t="s">
        <v>8931</v>
      </c>
      <c r="I285" s="3" t="s">
        <v>9075</v>
      </c>
      <c r="J285" s="129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29" t="s">
        <v>9701</v>
      </c>
      <c r="E286" s="133">
        <v>624</v>
      </c>
      <c r="F286" s="131" t="s">
        <v>9702</v>
      </c>
      <c r="G286" s="129" t="s">
        <v>9700</v>
      </c>
      <c r="H286" s="112" t="s">
        <v>8931</v>
      </c>
      <c r="I286" s="3" t="s">
        <v>9596</v>
      </c>
      <c r="J286" s="129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15324</v>
      </c>
      <c r="C287" s="112" t="s">
        <v>14500</v>
      </c>
      <c r="D287" s="129" t="s">
        <v>8965</v>
      </c>
      <c r="E287" s="133">
        <v>47</v>
      </c>
      <c r="F287" s="131" t="s">
        <v>10111</v>
      </c>
      <c r="G287" s="129" t="s">
        <v>10110</v>
      </c>
      <c r="H287" s="112" t="s">
        <v>8931</v>
      </c>
      <c r="I287" s="3" t="s">
        <v>10129</v>
      </c>
      <c r="J287" s="129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29" t="s">
        <v>9343</v>
      </c>
      <c r="E288" s="133">
        <v>117</v>
      </c>
      <c r="F288" s="131" t="s">
        <v>10304</v>
      </c>
      <c r="G288" s="129" t="s">
        <v>10303</v>
      </c>
      <c r="H288" s="112" t="s">
        <v>8931</v>
      </c>
      <c r="I288" s="3" t="s">
        <v>10303</v>
      </c>
      <c r="J288" s="129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29" t="s">
        <v>9865</v>
      </c>
      <c r="E289" s="133">
        <v>451</v>
      </c>
      <c r="F289" s="131" t="s">
        <v>9866</v>
      </c>
      <c r="G289" s="129" t="s">
        <v>9864</v>
      </c>
      <c r="H289" s="112" t="s">
        <v>8931</v>
      </c>
      <c r="I289" s="3" t="s">
        <v>9864</v>
      </c>
      <c r="J289" s="129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29" t="s">
        <v>10276</v>
      </c>
      <c r="E290" s="133">
        <v>51</v>
      </c>
      <c r="F290" s="131" t="s">
        <v>10277</v>
      </c>
      <c r="G290" s="129" t="s">
        <v>10275</v>
      </c>
      <c r="H290" s="112" t="s">
        <v>8931</v>
      </c>
      <c r="I290" s="3" t="s">
        <v>10275</v>
      </c>
      <c r="J290" s="129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29" t="s">
        <v>9705</v>
      </c>
      <c r="E291" s="133">
        <v>214</v>
      </c>
      <c r="F291" s="131" t="s">
        <v>9706</v>
      </c>
      <c r="G291" s="129" t="s">
        <v>9704</v>
      </c>
      <c r="H291" s="112" t="s">
        <v>8931</v>
      </c>
      <c r="I291" s="3" t="s">
        <v>9507</v>
      </c>
      <c r="J291" s="129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29" t="s">
        <v>9360</v>
      </c>
      <c r="E292" s="133">
        <v>389</v>
      </c>
      <c r="F292" s="131" t="s">
        <v>9869</v>
      </c>
      <c r="G292" s="129" t="s">
        <v>9868</v>
      </c>
      <c r="H292" s="112" t="s">
        <v>8931</v>
      </c>
      <c r="I292" s="3" t="s">
        <v>9864</v>
      </c>
      <c r="J292" s="129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15325</v>
      </c>
      <c r="C293" s="112" t="s">
        <v>14500</v>
      </c>
      <c r="D293" s="129" t="s">
        <v>9276</v>
      </c>
      <c r="E293" s="133">
        <v>682</v>
      </c>
      <c r="F293" s="131" t="s">
        <v>10114</v>
      </c>
      <c r="G293" s="129" t="s">
        <v>10113</v>
      </c>
      <c r="H293" s="112" t="s">
        <v>8931</v>
      </c>
      <c r="I293" s="3" t="s">
        <v>10113</v>
      </c>
      <c r="J293" s="129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29" t="s">
        <v>10117</v>
      </c>
      <c r="E294" s="133">
        <v>4325</v>
      </c>
      <c r="F294" s="131" t="s">
        <v>10118</v>
      </c>
      <c r="G294" s="129" t="s">
        <v>10116</v>
      </c>
      <c r="H294" s="112" t="s">
        <v>8931</v>
      </c>
      <c r="I294" s="3" t="s">
        <v>10011</v>
      </c>
      <c r="J294" s="129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29" t="s">
        <v>10121</v>
      </c>
      <c r="E295" s="133">
        <v>0</v>
      </c>
      <c r="F295" s="131" t="s">
        <v>10122</v>
      </c>
      <c r="G295" s="129" t="s">
        <v>10120</v>
      </c>
      <c r="H295" s="112" t="s">
        <v>8931</v>
      </c>
      <c r="I295" s="3" t="s">
        <v>14528</v>
      </c>
      <c r="J295" s="129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29" t="s">
        <v>9075</v>
      </c>
      <c r="E296" s="133">
        <v>602</v>
      </c>
      <c r="F296" s="131" t="s">
        <v>10125</v>
      </c>
      <c r="G296" s="129" t="s">
        <v>10124</v>
      </c>
      <c r="H296" s="112" t="s">
        <v>8931</v>
      </c>
      <c r="I296" s="3" t="s">
        <v>14528</v>
      </c>
      <c r="J296" s="129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29" t="s">
        <v>10368</v>
      </c>
      <c r="E297" s="133">
        <v>0</v>
      </c>
      <c r="F297" s="131" t="s">
        <v>10369</v>
      </c>
      <c r="G297" s="129" t="s">
        <v>10367</v>
      </c>
      <c r="H297" s="112" t="s">
        <v>8931</v>
      </c>
      <c r="I297" s="3" t="s">
        <v>10367</v>
      </c>
      <c r="J297" s="129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29" t="s">
        <v>9709</v>
      </c>
      <c r="E298" s="133">
        <v>3</v>
      </c>
      <c r="F298" s="131" t="s">
        <v>9710</v>
      </c>
      <c r="G298" s="129" t="s">
        <v>9708</v>
      </c>
      <c r="H298" s="112" t="s">
        <v>8931</v>
      </c>
      <c r="I298" s="3" t="s">
        <v>9730</v>
      </c>
      <c r="J298" s="129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29" t="s">
        <v>9434</v>
      </c>
      <c r="E299" s="133">
        <v>2602</v>
      </c>
      <c r="F299" s="131" t="s">
        <v>10280</v>
      </c>
      <c r="G299" s="129" t="s">
        <v>10279</v>
      </c>
      <c r="H299" s="112" t="s">
        <v>8931</v>
      </c>
      <c r="I299" s="3" t="s">
        <v>10263</v>
      </c>
      <c r="J299" s="129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29" t="s">
        <v>10166</v>
      </c>
      <c r="E300" s="133">
        <v>405</v>
      </c>
      <c r="F300" s="131" t="s">
        <v>10176</v>
      </c>
      <c r="G300" s="129" t="s">
        <v>10175</v>
      </c>
      <c r="H300" s="112" t="s">
        <v>8931</v>
      </c>
      <c r="I300" s="3" t="s">
        <v>10175</v>
      </c>
      <c r="J300" s="129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29" t="s">
        <v>9143</v>
      </c>
      <c r="E301" s="133">
        <v>2498</v>
      </c>
      <c r="F301" s="131" t="s">
        <v>9144</v>
      </c>
      <c r="G301" s="129" t="s">
        <v>9142</v>
      </c>
      <c r="H301" s="112" t="s">
        <v>8931</v>
      </c>
      <c r="I301" s="3" t="s">
        <v>10175</v>
      </c>
      <c r="J301" s="129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29" t="s">
        <v>9713</v>
      </c>
      <c r="E302" s="133">
        <v>517</v>
      </c>
      <c r="F302" s="131" t="s">
        <v>9714</v>
      </c>
      <c r="G302" s="129" t="s">
        <v>9712</v>
      </c>
      <c r="H302" s="112" t="s">
        <v>8931</v>
      </c>
      <c r="I302" s="3" t="s">
        <v>8974</v>
      </c>
      <c r="J302" s="129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29" t="s">
        <v>9139</v>
      </c>
      <c r="E303" s="133">
        <v>3395</v>
      </c>
      <c r="F303" s="131" t="s">
        <v>9140</v>
      </c>
      <c r="G303" s="129" t="s">
        <v>9138</v>
      </c>
      <c r="H303" s="112" t="s">
        <v>8931</v>
      </c>
      <c r="I303" s="3" t="s">
        <v>12836</v>
      </c>
      <c r="J303" s="129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29" t="s">
        <v>9193</v>
      </c>
      <c r="E304" s="133">
        <v>1071</v>
      </c>
      <c r="F304" s="131" t="s">
        <v>9194</v>
      </c>
      <c r="G304" s="129" t="s">
        <v>9192</v>
      </c>
      <c r="H304" s="112" t="s">
        <v>8931</v>
      </c>
      <c r="I304" s="3" t="s">
        <v>14518</v>
      </c>
      <c r="J304" s="129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29" t="s">
        <v>9717</v>
      </c>
      <c r="E305" s="133">
        <v>146</v>
      </c>
      <c r="F305" s="131" t="s">
        <v>9718</v>
      </c>
      <c r="G305" s="129" t="s">
        <v>9716</v>
      </c>
      <c r="H305" s="112" t="s">
        <v>8931</v>
      </c>
      <c r="I305" s="3" t="s">
        <v>9727</v>
      </c>
      <c r="J305" s="129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29" t="s">
        <v>9871</v>
      </c>
      <c r="E306" s="133">
        <v>698</v>
      </c>
      <c r="F306" s="131" t="s">
        <v>9872</v>
      </c>
      <c r="G306" s="129" t="s">
        <v>9832</v>
      </c>
      <c r="H306" s="112" t="s">
        <v>8931</v>
      </c>
      <c r="I306" s="3" t="s">
        <v>9832</v>
      </c>
      <c r="J306" s="129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29" t="s">
        <v>9255</v>
      </c>
      <c r="E307" s="133">
        <v>14178</v>
      </c>
      <c r="F307" s="131" t="s">
        <v>9281</v>
      </c>
      <c r="G307" s="129" t="s">
        <v>9280</v>
      </c>
      <c r="H307" s="112" t="s">
        <v>8931</v>
      </c>
      <c r="I307" s="3" t="s">
        <v>14518</v>
      </c>
      <c r="J307" s="129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29" t="s">
        <v>10307</v>
      </c>
      <c r="E308" s="133">
        <v>2836</v>
      </c>
      <c r="F308" s="131" t="s">
        <v>10308</v>
      </c>
      <c r="G308" s="129" t="s">
        <v>10306</v>
      </c>
      <c r="H308" s="112" t="s">
        <v>8931</v>
      </c>
      <c r="I308" s="3" t="s">
        <v>14533</v>
      </c>
      <c r="J308" s="129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29" t="s">
        <v>9189</v>
      </c>
      <c r="E309" s="133">
        <v>2009</v>
      </c>
      <c r="F309" s="131" t="s">
        <v>9190</v>
      </c>
      <c r="G309" s="129" t="s">
        <v>9188</v>
      </c>
      <c r="H309" s="112" t="s">
        <v>8931</v>
      </c>
      <c r="I309" s="3" t="s">
        <v>9079</v>
      </c>
      <c r="J309" s="129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29" t="s">
        <v>10311</v>
      </c>
      <c r="E310" s="133">
        <v>416</v>
      </c>
      <c r="F310" s="131" t="s">
        <v>10312</v>
      </c>
      <c r="G310" s="129" t="s">
        <v>10310</v>
      </c>
      <c r="H310" s="112" t="s">
        <v>8931</v>
      </c>
      <c r="I310" s="3" t="s">
        <v>10310</v>
      </c>
      <c r="J310" s="129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29" t="s">
        <v>9360</v>
      </c>
      <c r="E311" s="133">
        <v>156</v>
      </c>
      <c r="F311" s="131" t="s">
        <v>9721</v>
      </c>
      <c r="G311" s="129" t="s">
        <v>9720</v>
      </c>
      <c r="H311" s="112" t="s">
        <v>8931</v>
      </c>
      <c r="I311" s="3" t="s">
        <v>9430</v>
      </c>
      <c r="J311" s="129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29" t="s">
        <v>9091</v>
      </c>
      <c r="E312" s="133">
        <v>6133</v>
      </c>
      <c r="F312" s="131" t="s">
        <v>9116</v>
      </c>
      <c r="G312" s="129" t="s">
        <v>9115</v>
      </c>
      <c r="H312" s="112" t="s">
        <v>8931</v>
      </c>
      <c r="I312" s="3" t="s">
        <v>9102</v>
      </c>
      <c r="J312" s="129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29" t="s">
        <v>9627</v>
      </c>
      <c r="E313" s="133">
        <v>115</v>
      </c>
      <c r="F313" s="131" t="s">
        <v>9875</v>
      </c>
      <c r="G313" s="129" t="s">
        <v>9874</v>
      </c>
      <c r="H313" s="112" t="s">
        <v>8931</v>
      </c>
      <c r="I313" s="3" t="s">
        <v>9889</v>
      </c>
      <c r="J313" s="129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29" t="s">
        <v>9050</v>
      </c>
      <c r="E314" s="133">
        <v>310</v>
      </c>
      <c r="F314" s="131" t="s">
        <v>10127</v>
      </c>
      <c r="G314" s="129" t="s">
        <v>9108</v>
      </c>
      <c r="H314" s="112" t="s">
        <v>8931</v>
      </c>
      <c r="I314" s="3" t="s">
        <v>14529</v>
      </c>
      <c r="J314" s="129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29" t="s">
        <v>9724</v>
      </c>
      <c r="E315" s="133">
        <v>1340</v>
      </c>
      <c r="F315" s="131" t="s">
        <v>9725</v>
      </c>
      <c r="G315" s="129" t="s">
        <v>9723</v>
      </c>
      <c r="H315" s="112" t="s">
        <v>8931</v>
      </c>
      <c r="I315" s="3" t="s">
        <v>9644</v>
      </c>
      <c r="J315" s="129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29" t="s">
        <v>9645</v>
      </c>
      <c r="E316" s="133">
        <v>597</v>
      </c>
      <c r="F316" s="131" t="s">
        <v>9728</v>
      </c>
      <c r="G316" s="129" t="s">
        <v>9727</v>
      </c>
      <c r="H316" s="112" t="s">
        <v>8931</v>
      </c>
      <c r="I316" s="3" t="s">
        <v>9727</v>
      </c>
      <c r="J316" s="129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29" t="s">
        <v>9010</v>
      </c>
      <c r="E317" s="133">
        <v>1144</v>
      </c>
      <c r="F317" s="131" t="s">
        <v>10315</v>
      </c>
      <c r="G317" s="129" t="s">
        <v>10314</v>
      </c>
      <c r="H317" s="112" t="s">
        <v>8931</v>
      </c>
      <c r="I317" s="3" t="s">
        <v>10314</v>
      </c>
      <c r="J317" s="129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29" t="s">
        <v>10130</v>
      </c>
      <c r="E318" s="133">
        <v>300</v>
      </c>
      <c r="F318" s="131" t="s">
        <v>10131</v>
      </c>
      <c r="G318" s="129" t="s">
        <v>10129</v>
      </c>
      <c r="H318" s="112" t="s">
        <v>8931</v>
      </c>
      <c r="I318" s="3" t="s">
        <v>10129</v>
      </c>
      <c r="J318" s="129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29" t="s">
        <v>9769</v>
      </c>
      <c r="E319" s="133">
        <v>3001</v>
      </c>
      <c r="F319" s="131" t="s">
        <v>10318</v>
      </c>
      <c r="G319" s="129" t="s">
        <v>10317</v>
      </c>
      <c r="H319" s="112" t="s">
        <v>8931</v>
      </c>
      <c r="I319" s="3" t="s">
        <v>10317</v>
      </c>
      <c r="J319" s="129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29" t="s">
        <v>10134</v>
      </c>
      <c r="E320" s="133">
        <v>453</v>
      </c>
      <c r="F320" s="131" t="s">
        <v>10135</v>
      </c>
      <c r="G320" s="129" t="s">
        <v>10133</v>
      </c>
      <c r="H320" s="112" t="s">
        <v>8931</v>
      </c>
      <c r="I320" s="3" t="s">
        <v>10015</v>
      </c>
      <c r="J320" s="129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29" t="s">
        <v>9306</v>
      </c>
      <c r="E321" s="133">
        <v>324</v>
      </c>
      <c r="F321" s="131" t="s">
        <v>10138</v>
      </c>
      <c r="G321" s="129" t="s">
        <v>10137</v>
      </c>
      <c r="H321" s="112" t="s">
        <v>8931</v>
      </c>
      <c r="I321" s="3" t="s">
        <v>9918</v>
      </c>
      <c r="J321" s="129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29" t="s">
        <v>9731</v>
      </c>
      <c r="E322" s="133">
        <v>5</v>
      </c>
      <c r="F322" s="131" t="s">
        <v>9732</v>
      </c>
      <c r="G322" s="129" t="s">
        <v>9730</v>
      </c>
      <c r="H322" s="112" t="s">
        <v>8931</v>
      </c>
      <c r="I322" s="3" t="s">
        <v>9730</v>
      </c>
      <c r="J322" s="129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29" t="s">
        <v>9205</v>
      </c>
      <c r="E323" s="133">
        <v>86</v>
      </c>
      <c r="F323" s="131" t="s">
        <v>9735</v>
      </c>
      <c r="G323" s="129" t="s">
        <v>9734</v>
      </c>
      <c r="H323" s="112" t="s">
        <v>8931</v>
      </c>
      <c r="I323" s="3" t="s">
        <v>9734</v>
      </c>
      <c r="J323" s="129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29" t="s">
        <v>9002</v>
      </c>
      <c r="E324" s="133">
        <v>3063</v>
      </c>
      <c r="F324" s="131" t="s">
        <v>9003</v>
      </c>
      <c r="G324" s="129" t="s">
        <v>9001</v>
      </c>
      <c r="H324" s="112" t="s">
        <v>8931</v>
      </c>
      <c r="I324" s="3" t="s">
        <v>8930</v>
      </c>
      <c r="J324" s="129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29" t="s">
        <v>9738</v>
      </c>
      <c r="E325" s="133">
        <v>501</v>
      </c>
      <c r="F325" s="131" t="s">
        <v>9739</v>
      </c>
      <c r="G325" s="129" t="s">
        <v>9737</v>
      </c>
      <c r="H325" s="112" t="s">
        <v>8931</v>
      </c>
      <c r="I325" s="3" t="s">
        <v>9737</v>
      </c>
      <c r="J325" s="129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29" t="s">
        <v>9755</v>
      </c>
      <c r="E326" s="133">
        <v>355</v>
      </c>
      <c r="F326" s="131" t="s">
        <v>9879</v>
      </c>
      <c r="G326" s="129" t="s">
        <v>9878</v>
      </c>
      <c r="H326" s="112" t="s">
        <v>8931</v>
      </c>
      <c r="I326" s="3" t="s">
        <v>9878</v>
      </c>
      <c r="J326" s="129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29" t="s">
        <v>9287</v>
      </c>
      <c r="E327" s="133">
        <v>202</v>
      </c>
      <c r="F327" s="131" t="s">
        <v>9288</v>
      </c>
      <c r="G327" s="129" t="s">
        <v>9286</v>
      </c>
      <c r="H327" s="112" t="s">
        <v>8931</v>
      </c>
      <c r="I327" s="3" t="s">
        <v>9273</v>
      </c>
      <c r="J327" s="129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29" t="s">
        <v>9025</v>
      </c>
      <c r="E328" s="133">
        <v>0</v>
      </c>
      <c r="F328" s="131" t="s">
        <v>9612</v>
      </c>
      <c r="G328" s="129" t="s">
        <v>9611</v>
      </c>
      <c r="H328" s="112" t="s">
        <v>8931</v>
      </c>
      <c r="I328" s="3" t="s">
        <v>9693</v>
      </c>
      <c r="J328" s="129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29" t="s">
        <v>10272</v>
      </c>
      <c r="E329" s="133">
        <v>1660</v>
      </c>
      <c r="F329" s="131" t="s">
        <v>10273</v>
      </c>
      <c r="G329" s="129" t="s">
        <v>10271</v>
      </c>
      <c r="H329" s="112" t="s">
        <v>8931</v>
      </c>
      <c r="I329" s="3" t="s">
        <v>14522</v>
      </c>
      <c r="J329" s="129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29" t="s">
        <v>9652</v>
      </c>
      <c r="E330" s="133">
        <v>325</v>
      </c>
      <c r="F330" s="131" t="s">
        <v>10283</v>
      </c>
      <c r="G330" s="129" t="s">
        <v>10282</v>
      </c>
      <c r="H330" s="112" t="s">
        <v>8931</v>
      </c>
      <c r="I330" s="3" t="s">
        <v>10282</v>
      </c>
      <c r="J330" s="129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29" t="s">
        <v>10286</v>
      </c>
      <c r="E331" s="133">
        <v>2037</v>
      </c>
      <c r="F331" s="131" t="s">
        <v>10287</v>
      </c>
      <c r="G331" s="129" t="s">
        <v>10285</v>
      </c>
      <c r="H331" s="112" t="s">
        <v>8931</v>
      </c>
      <c r="I331" s="3" t="s">
        <v>14522</v>
      </c>
      <c r="J331" s="129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29" t="s">
        <v>9006</v>
      </c>
      <c r="E332" s="133">
        <v>555</v>
      </c>
      <c r="F332" s="131" t="s">
        <v>9007</v>
      </c>
      <c r="G332" s="129" t="s">
        <v>9005</v>
      </c>
      <c r="H332" s="112" t="s">
        <v>8931</v>
      </c>
      <c r="I332" s="3" t="s">
        <v>9005</v>
      </c>
      <c r="J332" s="129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29" t="s">
        <v>10141</v>
      </c>
      <c r="E333" s="133">
        <v>567</v>
      </c>
      <c r="F333" s="131" t="s">
        <v>10143</v>
      </c>
      <c r="G333" s="129" t="s">
        <v>10142</v>
      </c>
      <c r="H333" s="112" t="s">
        <v>8931</v>
      </c>
      <c r="I333" s="3" t="s">
        <v>9922</v>
      </c>
      <c r="J333" s="129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29" t="s">
        <v>9180</v>
      </c>
      <c r="E334" s="133">
        <v>4115</v>
      </c>
      <c r="F334" s="131" t="s">
        <v>9181</v>
      </c>
      <c r="G334" s="129" t="s">
        <v>9179</v>
      </c>
      <c r="H334" s="112" t="s">
        <v>8931</v>
      </c>
      <c r="I334" s="3" t="s">
        <v>10175</v>
      </c>
      <c r="J334" s="129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29" t="s">
        <v>9010</v>
      </c>
      <c r="E335" s="133">
        <v>102</v>
      </c>
      <c r="F335" s="131" t="s">
        <v>9011</v>
      </c>
      <c r="G335" s="129" t="s">
        <v>9009</v>
      </c>
      <c r="H335" s="112" t="s">
        <v>8931</v>
      </c>
      <c r="I335" s="3" t="s">
        <v>9009</v>
      </c>
      <c r="J335" s="129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29" t="s">
        <v>9058</v>
      </c>
      <c r="E336" s="133">
        <v>429</v>
      </c>
      <c r="F336" s="131" t="s">
        <v>10397</v>
      </c>
      <c r="G336" s="129" t="s">
        <v>9009</v>
      </c>
      <c r="H336" s="112" t="s">
        <v>8931</v>
      </c>
      <c r="I336" s="3" t="s">
        <v>9009</v>
      </c>
      <c r="J336" s="129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29" t="s">
        <v>9119</v>
      </c>
      <c r="E337" s="133">
        <v>3171</v>
      </c>
      <c r="F337" s="131" t="s">
        <v>9120</v>
      </c>
      <c r="G337" s="129" t="s">
        <v>9118</v>
      </c>
      <c r="H337" s="112" t="s">
        <v>8931</v>
      </c>
      <c r="I337" s="3" t="s">
        <v>14518</v>
      </c>
      <c r="J337" s="129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29" t="s">
        <v>9477</v>
      </c>
      <c r="E338" s="133">
        <v>164</v>
      </c>
      <c r="F338" s="131" t="s">
        <v>10360</v>
      </c>
      <c r="G338" s="129" t="s">
        <v>10359</v>
      </c>
      <c r="H338" s="112" t="s">
        <v>8931</v>
      </c>
      <c r="I338" s="3" t="s">
        <v>10247</v>
      </c>
      <c r="J338" s="129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29" t="s">
        <v>9014</v>
      </c>
      <c r="E339" s="133">
        <v>1398</v>
      </c>
      <c r="F339" s="131" t="s">
        <v>9015</v>
      </c>
      <c r="G339" s="129" t="s">
        <v>9013</v>
      </c>
      <c r="H339" s="112" t="s">
        <v>8931</v>
      </c>
      <c r="I339" s="3" t="s">
        <v>9013</v>
      </c>
      <c r="J339" s="129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29" t="s">
        <v>10146</v>
      </c>
      <c r="E340" s="133">
        <v>175</v>
      </c>
      <c r="F340" s="131" t="s">
        <v>10147</v>
      </c>
      <c r="G340" s="129" t="s">
        <v>10145</v>
      </c>
      <c r="H340" s="112" t="s">
        <v>8931</v>
      </c>
      <c r="I340" s="3" t="s">
        <v>14529</v>
      </c>
      <c r="J340" s="129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29" t="s">
        <v>9445</v>
      </c>
      <c r="E341" s="133">
        <v>878</v>
      </c>
      <c r="F341" s="131" t="s">
        <v>9446</v>
      </c>
      <c r="G341" s="129" t="s">
        <v>9444</v>
      </c>
      <c r="H341" s="112" t="s">
        <v>8931</v>
      </c>
      <c r="I341" s="3" t="s">
        <v>14523</v>
      </c>
      <c r="J341" s="129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29" t="s">
        <v>9844</v>
      </c>
      <c r="E342" s="133">
        <v>335</v>
      </c>
      <c r="F342" s="131" t="s">
        <v>9846</v>
      </c>
      <c r="G342" s="129" t="s">
        <v>9845</v>
      </c>
      <c r="H342" s="112" t="s">
        <v>8931</v>
      </c>
      <c r="I342" s="3" t="s">
        <v>9881</v>
      </c>
      <c r="J342" s="129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29" t="s">
        <v>9882</v>
      </c>
      <c r="E343" s="133">
        <v>175</v>
      </c>
      <c r="F343" s="131" t="s">
        <v>9883</v>
      </c>
      <c r="G343" s="129" t="s">
        <v>9845</v>
      </c>
      <c r="H343" s="112" t="s">
        <v>8931</v>
      </c>
      <c r="I343" s="3" t="s">
        <v>9881</v>
      </c>
      <c r="J343" s="129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29" t="s">
        <v>9886</v>
      </c>
      <c r="E344" s="133">
        <v>629</v>
      </c>
      <c r="F344" s="131" t="s">
        <v>9887</v>
      </c>
      <c r="G344" s="129" t="s">
        <v>9845</v>
      </c>
      <c r="H344" s="112" t="s">
        <v>8931</v>
      </c>
      <c r="I344" s="3" t="s">
        <v>9881</v>
      </c>
      <c r="J344" s="129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29" t="s">
        <v>9716</v>
      </c>
      <c r="E345" s="133">
        <v>58</v>
      </c>
      <c r="F345" s="131" t="s">
        <v>9890</v>
      </c>
      <c r="G345" s="129" t="s">
        <v>9889</v>
      </c>
      <c r="H345" s="112" t="s">
        <v>8931</v>
      </c>
      <c r="I345" s="3" t="s">
        <v>9889</v>
      </c>
      <c r="J345" s="129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29" t="s">
        <v>8974</v>
      </c>
      <c r="E346" s="133">
        <v>37</v>
      </c>
      <c r="F346" s="131" t="s">
        <v>10321</v>
      </c>
      <c r="G346" s="129" t="s">
        <v>10320</v>
      </c>
      <c r="H346" s="112" t="s">
        <v>8931</v>
      </c>
      <c r="I346" s="3" t="s">
        <v>10320</v>
      </c>
      <c r="J346" s="129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29" t="s">
        <v>10293</v>
      </c>
      <c r="E347" s="133">
        <v>472</v>
      </c>
      <c r="F347" s="131" t="s">
        <v>10294</v>
      </c>
      <c r="G347" s="129" t="s">
        <v>10292</v>
      </c>
      <c r="H347" s="112" t="s">
        <v>8931</v>
      </c>
      <c r="I347" s="3" t="s">
        <v>14532</v>
      </c>
      <c r="J347" s="129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29" t="s">
        <v>9893</v>
      </c>
      <c r="E348" s="133">
        <v>498</v>
      </c>
      <c r="F348" s="131" t="s">
        <v>9894</v>
      </c>
      <c r="G348" s="129" t="s">
        <v>9892</v>
      </c>
      <c r="H348" s="112" t="s">
        <v>8931</v>
      </c>
      <c r="I348" s="3" t="s">
        <v>9889</v>
      </c>
      <c r="J348" s="129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29" t="s">
        <v>9266</v>
      </c>
      <c r="E349" s="133">
        <v>0</v>
      </c>
      <c r="F349" s="131" t="s">
        <v>9742</v>
      </c>
      <c r="G349" s="129" t="s">
        <v>9741</v>
      </c>
      <c r="H349" s="112" t="s">
        <v>8931</v>
      </c>
      <c r="I349" s="3" t="s">
        <v>9596</v>
      </c>
      <c r="J349" s="129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29" t="s">
        <v>10240</v>
      </c>
      <c r="E350" s="133">
        <v>226</v>
      </c>
      <c r="F350" s="131" t="s">
        <v>10290</v>
      </c>
      <c r="G350" s="129" t="s">
        <v>10289</v>
      </c>
      <c r="H350" s="112" t="s">
        <v>8931</v>
      </c>
      <c r="I350" s="3" t="s">
        <v>14522</v>
      </c>
      <c r="J350" s="129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29" t="s">
        <v>14504</v>
      </c>
      <c r="E351" s="133">
        <v>1846</v>
      </c>
      <c r="F351" s="131" t="s">
        <v>9284</v>
      </c>
      <c r="G351" s="129" t="s">
        <v>9283</v>
      </c>
      <c r="H351" s="112" t="s">
        <v>8931</v>
      </c>
      <c r="I351" s="3" t="s">
        <v>14517</v>
      </c>
      <c r="J351" s="129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29" t="s">
        <v>9062</v>
      </c>
      <c r="E352" s="133">
        <v>3317</v>
      </c>
      <c r="F352" s="131" t="s">
        <v>9147</v>
      </c>
      <c r="G352" s="129" t="s">
        <v>9061</v>
      </c>
      <c r="H352" s="112" t="s">
        <v>8931</v>
      </c>
      <c r="I352" s="3" t="s">
        <v>9075</v>
      </c>
      <c r="J352" s="129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29" t="s">
        <v>10150</v>
      </c>
      <c r="E353" s="133">
        <v>195</v>
      </c>
      <c r="F353" s="131" t="s">
        <v>10151</v>
      </c>
      <c r="G353" s="129" t="s">
        <v>10149</v>
      </c>
      <c r="H353" s="112" t="s">
        <v>8931</v>
      </c>
      <c r="I353" s="3" t="s">
        <v>9918</v>
      </c>
      <c r="J353" s="129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29" t="s">
        <v>10154</v>
      </c>
      <c r="E354" s="133">
        <v>2190</v>
      </c>
      <c r="F354" s="131" t="s">
        <v>10155</v>
      </c>
      <c r="G354" s="129" t="s">
        <v>10153</v>
      </c>
      <c r="H354" s="112" t="s">
        <v>8931</v>
      </c>
      <c r="I354" s="3" t="s">
        <v>10096</v>
      </c>
      <c r="J354" s="129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29" t="s">
        <v>9731</v>
      </c>
      <c r="E355" s="133">
        <v>76</v>
      </c>
      <c r="F355" s="131" t="s">
        <v>9916</v>
      </c>
      <c r="G355" s="129" t="s">
        <v>9915</v>
      </c>
      <c r="H355" s="112" t="s">
        <v>8931</v>
      </c>
      <c r="I355" s="3" t="s">
        <v>14526</v>
      </c>
      <c r="J355" s="129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29" t="s">
        <v>8928</v>
      </c>
      <c r="E356" s="133">
        <v>213</v>
      </c>
      <c r="F356" s="131" t="s">
        <v>9744</v>
      </c>
      <c r="G356" s="129" t="s">
        <v>9548</v>
      </c>
      <c r="H356" s="112" t="s">
        <v>8931</v>
      </c>
      <c r="I356" s="3" t="s">
        <v>9548</v>
      </c>
      <c r="J356" s="129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29" t="s">
        <v>10324</v>
      </c>
      <c r="E357" s="133">
        <v>623</v>
      </c>
      <c r="F357" s="131" t="s">
        <v>10325</v>
      </c>
      <c r="G357" s="129" t="s">
        <v>10323</v>
      </c>
      <c r="H357" s="112" t="s">
        <v>8931</v>
      </c>
      <c r="I357" s="3" t="s">
        <v>10323</v>
      </c>
      <c r="J357" s="129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29" t="s">
        <v>9645</v>
      </c>
      <c r="E358" s="133">
        <v>599</v>
      </c>
      <c r="F358" s="131" t="s">
        <v>10328</v>
      </c>
      <c r="G358" s="129" t="s">
        <v>10327</v>
      </c>
      <c r="H358" s="112" t="s">
        <v>8931</v>
      </c>
      <c r="I358" s="3" t="s">
        <v>10327</v>
      </c>
      <c r="J358" s="129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29" t="s">
        <v>9239</v>
      </c>
      <c r="E359" s="133">
        <v>0</v>
      </c>
      <c r="F359" s="131" t="s">
        <v>9240</v>
      </c>
      <c r="G359" s="129" t="s">
        <v>9126</v>
      </c>
      <c r="H359" s="112" t="s">
        <v>8931</v>
      </c>
      <c r="I359" s="3" t="s">
        <v>14518</v>
      </c>
      <c r="J359" s="129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29" t="s">
        <v>9131</v>
      </c>
      <c r="E360" s="133">
        <v>3394</v>
      </c>
      <c r="F360" s="131" t="s">
        <v>9132</v>
      </c>
      <c r="G360" s="129" t="s">
        <v>9130</v>
      </c>
      <c r="H360" s="112" t="s">
        <v>8931</v>
      </c>
      <c r="I360" s="3" t="s">
        <v>10182</v>
      </c>
      <c r="J360" s="129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29" t="s">
        <v>9231</v>
      </c>
      <c r="E361" s="133">
        <v>3156</v>
      </c>
      <c r="F361" s="131" t="s">
        <v>9232</v>
      </c>
      <c r="G361" s="129" t="s">
        <v>9130</v>
      </c>
      <c r="H361" s="112" t="s">
        <v>8931</v>
      </c>
      <c r="I361" s="3" t="s">
        <v>10182</v>
      </c>
      <c r="J361" s="129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29" t="s">
        <v>8935</v>
      </c>
      <c r="E362" s="133">
        <v>1140</v>
      </c>
      <c r="F362" s="131" t="s">
        <v>8936</v>
      </c>
      <c r="G362" s="129" t="s">
        <v>8934</v>
      </c>
      <c r="H362" s="112" t="s">
        <v>8931</v>
      </c>
      <c r="I362" s="3" t="s">
        <v>8934</v>
      </c>
      <c r="J362" s="129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29" t="s">
        <v>9747</v>
      </c>
      <c r="E363" s="133">
        <v>268</v>
      </c>
      <c r="F363" s="131" t="s">
        <v>9748</v>
      </c>
      <c r="G363" s="129" t="s">
        <v>9746</v>
      </c>
      <c r="H363" s="112" t="s">
        <v>8931</v>
      </c>
      <c r="I363" s="3" t="s">
        <v>9525</v>
      </c>
      <c r="J363" s="129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29" t="s">
        <v>9205</v>
      </c>
      <c r="E364" s="133">
        <v>26</v>
      </c>
      <c r="F364" s="131" t="s">
        <v>10430</v>
      </c>
      <c r="G364" s="129" t="s">
        <v>10429</v>
      </c>
      <c r="H364" s="112" t="s">
        <v>8931</v>
      </c>
      <c r="I364" s="3" t="s">
        <v>9793</v>
      </c>
      <c r="J364" s="129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29" t="s">
        <v>9919</v>
      </c>
      <c r="E365" s="133">
        <v>198</v>
      </c>
      <c r="F365" s="131" t="s">
        <v>9920</v>
      </c>
      <c r="G365" s="129" t="s">
        <v>9918</v>
      </c>
      <c r="H365" s="112" t="s">
        <v>8931</v>
      </c>
      <c r="I365" s="3" t="s">
        <v>9918</v>
      </c>
      <c r="J365" s="129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29" t="s">
        <v>9751</v>
      </c>
      <c r="E366" s="133">
        <v>757</v>
      </c>
      <c r="F366" s="131" t="s">
        <v>9752</v>
      </c>
      <c r="G366" s="129" t="s">
        <v>9750</v>
      </c>
      <c r="H366" s="112" t="s">
        <v>8931</v>
      </c>
      <c r="I366" s="3" t="s">
        <v>9651</v>
      </c>
      <c r="J366" s="129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29" t="s">
        <v>9054</v>
      </c>
      <c r="E367" s="133">
        <v>22</v>
      </c>
      <c r="F367" s="131" t="s">
        <v>9055</v>
      </c>
      <c r="G367" s="129" t="s">
        <v>9053</v>
      </c>
      <c r="H367" s="112" t="s">
        <v>8931</v>
      </c>
      <c r="I367" s="3" t="s">
        <v>9474</v>
      </c>
      <c r="J367" s="129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29" t="s">
        <v>9759</v>
      </c>
      <c r="E368" s="133">
        <v>542</v>
      </c>
      <c r="F368" s="131" t="s">
        <v>9760</v>
      </c>
      <c r="G368" s="129" t="s">
        <v>9758</v>
      </c>
      <c r="H368" s="112" t="s">
        <v>8931</v>
      </c>
      <c r="I368" s="3" t="s">
        <v>9758</v>
      </c>
      <c r="J368" s="129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29" t="s">
        <v>9343</v>
      </c>
      <c r="E369" s="133">
        <v>455</v>
      </c>
      <c r="F369" s="131" t="s">
        <v>9763</v>
      </c>
      <c r="G369" s="129" t="s">
        <v>9762</v>
      </c>
      <c r="H369" s="112" t="s">
        <v>8931</v>
      </c>
      <c r="I369" s="3" t="s">
        <v>9525</v>
      </c>
      <c r="J369" s="129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29" t="s">
        <v>9923</v>
      </c>
      <c r="E370" s="133">
        <v>218</v>
      </c>
      <c r="F370" s="131" t="s">
        <v>9924</v>
      </c>
      <c r="G370" s="129" t="s">
        <v>9922</v>
      </c>
      <c r="H370" s="112" t="s">
        <v>8931</v>
      </c>
      <c r="I370" s="3" t="s">
        <v>9922</v>
      </c>
      <c r="J370" s="129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29" t="s">
        <v>8974</v>
      </c>
      <c r="E371" s="133">
        <v>649</v>
      </c>
      <c r="F371" s="131" t="s">
        <v>9766</v>
      </c>
      <c r="G371" s="129" t="s">
        <v>9765</v>
      </c>
      <c r="H371" s="112" t="s">
        <v>8931</v>
      </c>
      <c r="I371" s="3" t="s">
        <v>9765</v>
      </c>
      <c r="J371" s="129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29" t="s">
        <v>9221</v>
      </c>
      <c r="E372" s="133">
        <v>90</v>
      </c>
      <c r="F372" s="131" t="s">
        <v>10357</v>
      </c>
      <c r="G372" s="129" t="s">
        <v>10356</v>
      </c>
      <c r="H372" s="112" t="s">
        <v>8931</v>
      </c>
      <c r="I372" s="3" t="s">
        <v>9200</v>
      </c>
      <c r="J372" s="129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29" t="s">
        <v>9176</v>
      </c>
      <c r="E373" s="133">
        <v>45</v>
      </c>
      <c r="F373" s="131" t="s">
        <v>9177</v>
      </c>
      <c r="G373" s="129" t="s">
        <v>9175</v>
      </c>
      <c r="H373" s="112" t="s">
        <v>8931</v>
      </c>
      <c r="I373" s="3" t="s">
        <v>10182</v>
      </c>
      <c r="J373" s="129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29" t="s">
        <v>9769</v>
      </c>
      <c r="E374" s="133">
        <v>299</v>
      </c>
      <c r="F374" s="131" t="s">
        <v>9770</v>
      </c>
      <c r="G374" s="129" t="s">
        <v>9768</v>
      </c>
      <c r="H374" s="112" t="s">
        <v>8931</v>
      </c>
      <c r="I374" s="3" t="s">
        <v>9507</v>
      </c>
      <c r="J374" s="129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29" t="s">
        <v>9135</v>
      </c>
      <c r="E375" s="133">
        <v>664</v>
      </c>
      <c r="F375" s="131" t="s">
        <v>9136</v>
      </c>
      <c r="G375" s="129" t="s">
        <v>9134</v>
      </c>
      <c r="H375" s="112" t="s">
        <v>8931</v>
      </c>
      <c r="I375" s="3" t="s">
        <v>9102</v>
      </c>
      <c r="J375" s="129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29" t="s">
        <v>9773</v>
      </c>
      <c r="E376" s="133">
        <v>102</v>
      </c>
      <c r="F376" s="131" t="s">
        <v>9774</v>
      </c>
      <c r="G376" s="129" t="s">
        <v>9772</v>
      </c>
      <c r="H376" s="112" t="s">
        <v>8931</v>
      </c>
      <c r="I376" s="3" t="s">
        <v>9641</v>
      </c>
      <c r="J376" s="129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29" t="s">
        <v>10331</v>
      </c>
      <c r="E377" s="133">
        <v>575</v>
      </c>
      <c r="F377" s="131" t="s">
        <v>10332</v>
      </c>
      <c r="G377" s="129" t="s">
        <v>10330</v>
      </c>
      <c r="H377" s="112" t="s">
        <v>8931</v>
      </c>
      <c r="I377" s="3" t="s">
        <v>10323</v>
      </c>
      <c r="J377" s="129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29" t="s">
        <v>10335</v>
      </c>
      <c r="E378" s="133">
        <v>1597</v>
      </c>
      <c r="F378" s="131" t="s">
        <v>10336</v>
      </c>
      <c r="G378" s="129" t="s">
        <v>10334</v>
      </c>
      <c r="H378" s="112" t="s">
        <v>8931</v>
      </c>
      <c r="I378" s="3" t="s">
        <v>10367</v>
      </c>
      <c r="J378" s="129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29" t="s">
        <v>8939</v>
      </c>
      <c r="E379" s="133">
        <v>1202</v>
      </c>
      <c r="F379" s="131" t="s">
        <v>8940</v>
      </c>
      <c r="G379" s="129" t="s">
        <v>8938</v>
      </c>
      <c r="H379" s="112" t="s">
        <v>8931</v>
      </c>
      <c r="I379" s="3" t="s">
        <v>8938</v>
      </c>
      <c r="J379" s="129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29" t="s">
        <v>8979</v>
      </c>
      <c r="E380" s="133">
        <v>2579</v>
      </c>
      <c r="F380" s="131" t="s">
        <v>8980</v>
      </c>
      <c r="G380" s="129" t="s">
        <v>8978</v>
      </c>
      <c r="H380" s="112" t="s">
        <v>8931</v>
      </c>
      <c r="I380" s="3" t="s">
        <v>9005</v>
      </c>
      <c r="J380" s="129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29" t="s">
        <v>8943</v>
      </c>
      <c r="E381" s="133">
        <v>6001</v>
      </c>
      <c r="F381" s="131" t="s">
        <v>8944</v>
      </c>
      <c r="G381" s="129" t="s">
        <v>8942</v>
      </c>
      <c r="H381" s="112" t="s">
        <v>8931</v>
      </c>
      <c r="I381" s="3" t="s">
        <v>9009</v>
      </c>
      <c r="J381" s="129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29" t="s">
        <v>8938</v>
      </c>
      <c r="E382" s="133">
        <v>3044</v>
      </c>
      <c r="F382" s="131" t="s">
        <v>8947</v>
      </c>
      <c r="G382" s="129" t="s">
        <v>8946</v>
      </c>
      <c r="H382" s="112" t="s">
        <v>8931</v>
      </c>
      <c r="I382" s="3" t="s">
        <v>8930</v>
      </c>
      <c r="J382" s="129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29" t="s">
        <v>9291</v>
      </c>
      <c r="E383" s="133">
        <v>6121</v>
      </c>
      <c r="F383" s="131" t="s">
        <v>9292</v>
      </c>
      <c r="G383" s="129" t="s">
        <v>9290</v>
      </c>
      <c r="H383" s="112" t="s">
        <v>8931</v>
      </c>
      <c r="I383" s="3" t="s">
        <v>14517</v>
      </c>
      <c r="J383" s="129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29" t="s">
        <v>9351</v>
      </c>
      <c r="E384" s="133">
        <v>120</v>
      </c>
      <c r="F384" s="131" t="s">
        <v>9352</v>
      </c>
      <c r="G384" s="129" t="s">
        <v>9350</v>
      </c>
      <c r="H384" s="112" t="s">
        <v>8931</v>
      </c>
      <c r="I384" s="3" t="s">
        <v>9967</v>
      </c>
      <c r="J384" s="129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29" t="s">
        <v>10339</v>
      </c>
      <c r="E385" s="133">
        <v>322</v>
      </c>
      <c r="F385" s="131" t="s">
        <v>10340</v>
      </c>
      <c r="G385" s="129" t="s">
        <v>10338</v>
      </c>
      <c r="H385" s="112" t="s">
        <v>8931</v>
      </c>
      <c r="I385" s="3" t="s">
        <v>9306</v>
      </c>
      <c r="J385" s="129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29" t="s">
        <v>10170</v>
      </c>
      <c r="E386" s="133">
        <v>4001</v>
      </c>
      <c r="F386" s="131" t="s">
        <v>10171</v>
      </c>
      <c r="G386" s="129" t="s">
        <v>10169</v>
      </c>
      <c r="H386" s="112" t="s">
        <v>8931</v>
      </c>
      <c r="I386" s="3" t="s">
        <v>10169</v>
      </c>
      <c r="J386" s="129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29" t="s">
        <v>10296</v>
      </c>
      <c r="E387" s="133">
        <v>806</v>
      </c>
      <c r="F387" s="131" t="s">
        <v>10297</v>
      </c>
      <c r="G387" s="129" t="s">
        <v>10169</v>
      </c>
      <c r="H387" s="112" t="s">
        <v>8931</v>
      </c>
      <c r="I387" s="3" t="s">
        <v>10169</v>
      </c>
      <c r="J387" s="129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29" t="s">
        <v>9927</v>
      </c>
      <c r="E388" s="133">
        <v>7</v>
      </c>
      <c r="F388" s="131" t="s">
        <v>9928</v>
      </c>
      <c r="G388" s="129" t="s">
        <v>9926</v>
      </c>
      <c r="H388" s="112" t="s">
        <v>8931</v>
      </c>
      <c r="I388" s="3" t="s">
        <v>10113</v>
      </c>
      <c r="J388" s="129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29" t="s">
        <v>8991</v>
      </c>
      <c r="E389" s="133">
        <v>4041</v>
      </c>
      <c r="F389" s="131" t="s">
        <v>8992</v>
      </c>
      <c r="G389" s="129" t="s">
        <v>8990</v>
      </c>
      <c r="H389" s="112" t="s">
        <v>8931</v>
      </c>
      <c r="I389" s="3" t="s">
        <v>8930</v>
      </c>
      <c r="J389" s="129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29" t="s">
        <v>8950</v>
      </c>
      <c r="E390" s="133">
        <v>3586</v>
      </c>
      <c r="F390" s="131" t="s">
        <v>8951</v>
      </c>
      <c r="G390" s="129" t="s">
        <v>8949</v>
      </c>
      <c r="H390" s="112" t="s">
        <v>8931</v>
      </c>
      <c r="I390" s="3" t="s">
        <v>8938</v>
      </c>
      <c r="J390" s="129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29" t="s">
        <v>9645</v>
      </c>
      <c r="E391" s="133">
        <v>265</v>
      </c>
      <c r="F391" s="131" t="s">
        <v>10086</v>
      </c>
      <c r="G391" s="129" t="s">
        <v>10085</v>
      </c>
      <c r="H391" s="112" t="s">
        <v>8931</v>
      </c>
      <c r="I391" s="3" t="s">
        <v>14529</v>
      </c>
      <c r="J391" s="129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29" t="s">
        <v>9780</v>
      </c>
      <c r="E392" s="133">
        <v>396</v>
      </c>
      <c r="F392" s="131" t="s">
        <v>9781</v>
      </c>
      <c r="G392" s="129" t="s">
        <v>9779</v>
      </c>
      <c r="H392" s="112" t="s">
        <v>8931</v>
      </c>
      <c r="I392" s="3" t="s">
        <v>9535</v>
      </c>
      <c r="J392" s="129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29" t="s">
        <v>9360</v>
      </c>
      <c r="E393" s="133">
        <v>711</v>
      </c>
      <c r="F393" s="131" t="s">
        <v>9898</v>
      </c>
      <c r="G393" s="129" t="s">
        <v>9897</v>
      </c>
      <c r="H393" s="112" t="s">
        <v>8931</v>
      </c>
      <c r="I393" s="3" t="s">
        <v>9832</v>
      </c>
      <c r="J393" s="129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29" t="s">
        <v>9033</v>
      </c>
      <c r="E394" s="133">
        <v>444</v>
      </c>
      <c r="F394" s="131" t="s">
        <v>9035</v>
      </c>
      <c r="G394" s="129" t="s">
        <v>9034</v>
      </c>
      <c r="H394" s="112" t="s">
        <v>8931</v>
      </c>
      <c r="I394" s="3" t="s">
        <v>9024</v>
      </c>
      <c r="J394" s="129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29" t="s">
        <v>9458</v>
      </c>
      <c r="E395" s="133">
        <v>187</v>
      </c>
      <c r="F395" s="131" t="s">
        <v>9459</v>
      </c>
      <c r="G395" s="129" t="s">
        <v>9457</v>
      </c>
      <c r="H395" s="112" t="s">
        <v>8931</v>
      </c>
      <c r="I395" s="3" t="s">
        <v>9596</v>
      </c>
      <c r="J395" s="129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29" t="s">
        <v>9931</v>
      </c>
      <c r="E396" s="133">
        <v>170</v>
      </c>
      <c r="F396" s="131" t="s">
        <v>9932</v>
      </c>
      <c r="G396" s="129" t="s">
        <v>9930</v>
      </c>
      <c r="H396" s="112" t="s">
        <v>8931</v>
      </c>
      <c r="I396" s="3" t="s">
        <v>14526</v>
      </c>
      <c r="J396" s="129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29" t="s">
        <v>9163</v>
      </c>
      <c r="E397" s="133">
        <v>6185</v>
      </c>
      <c r="F397" s="131" t="s">
        <v>9164</v>
      </c>
      <c r="G397" s="129" t="s">
        <v>9162</v>
      </c>
      <c r="H397" s="112" t="s">
        <v>8931</v>
      </c>
      <c r="I397" s="3" t="s">
        <v>9075</v>
      </c>
      <c r="J397" s="129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29" t="s">
        <v>10411</v>
      </c>
      <c r="E398" s="133">
        <v>1764</v>
      </c>
      <c r="F398" s="131" t="s">
        <v>10412</v>
      </c>
      <c r="G398" s="129" t="s">
        <v>10410</v>
      </c>
      <c r="H398" s="112" t="s">
        <v>8931</v>
      </c>
      <c r="I398" s="3" t="s">
        <v>9024</v>
      </c>
      <c r="J398" s="129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29" t="s">
        <v>9901</v>
      </c>
      <c r="E399" s="133">
        <v>35</v>
      </c>
      <c r="F399" s="131" t="s">
        <v>9902</v>
      </c>
      <c r="G399" s="129" t="s">
        <v>9900</v>
      </c>
      <c r="H399" s="112" t="s">
        <v>8931</v>
      </c>
      <c r="I399" s="3" t="s">
        <v>9900</v>
      </c>
      <c r="J399" s="129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29" t="s">
        <v>9205</v>
      </c>
      <c r="E400" s="133">
        <v>0</v>
      </c>
      <c r="F400" s="131" t="s">
        <v>10423</v>
      </c>
      <c r="G400" s="129" t="s">
        <v>10422</v>
      </c>
      <c r="H400" s="112" t="s">
        <v>8931</v>
      </c>
      <c r="I400" s="3" t="s">
        <v>8934</v>
      </c>
      <c r="J400" s="129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29" t="s">
        <v>10442</v>
      </c>
      <c r="E401" s="133">
        <v>321</v>
      </c>
      <c r="F401" s="131" t="s">
        <v>10445</v>
      </c>
      <c r="G401" s="129" t="s">
        <v>10443</v>
      </c>
      <c r="H401" s="112" t="s">
        <v>10444</v>
      </c>
      <c r="I401" s="3" t="s">
        <v>10444</v>
      </c>
      <c r="J401" s="129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29" t="s">
        <v>10448</v>
      </c>
      <c r="E402" s="133">
        <v>770</v>
      </c>
      <c r="F402" s="131" t="s">
        <v>10449</v>
      </c>
      <c r="G402" s="129" t="s">
        <v>10443</v>
      </c>
      <c r="H402" s="112" t="s">
        <v>10444</v>
      </c>
      <c r="I402" s="3" t="s">
        <v>10444</v>
      </c>
      <c r="J402" s="129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29" t="s">
        <v>10452</v>
      </c>
      <c r="E403" s="133">
        <v>131</v>
      </c>
      <c r="F403" s="131" t="s">
        <v>10453</v>
      </c>
      <c r="G403" s="129" t="s">
        <v>10443</v>
      </c>
      <c r="H403" s="112" t="s">
        <v>10444</v>
      </c>
      <c r="I403" s="3" t="s">
        <v>10444</v>
      </c>
      <c r="J403" s="129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29" t="s">
        <v>10442</v>
      </c>
      <c r="E404" s="133">
        <v>2821</v>
      </c>
      <c r="F404" s="131" t="s">
        <v>10456</v>
      </c>
      <c r="G404" s="129" t="s">
        <v>10443</v>
      </c>
      <c r="H404" s="112" t="s">
        <v>10444</v>
      </c>
      <c r="I404" s="3" t="s">
        <v>10444</v>
      </c>
      <c r="J404" s="129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29" t="s">
        <v>10459</v>
      </c>
      <c r="E405" s="133">
        <v>66</v>
      </c>
      <c r="F405" s="131" t="s">
        <v>10460</v>
      </c>
      <c r="G405" s="129" t="s">
        <v>10443</v>
      </c>
      <c r="H405" s="112" t="s">
        <v>10444</v>
      </c>
      <c r="I405" s="3" t="s">
        <v>10444</v>
      </c>
      <c r="J405" s="129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29" t="s">
        <v>10463</v>
      </c>
      <c r="E406" s="133">
        <v>756</v>
      </c>
      <c r="F406" s="131" t="s">
        <v>10464</v>
      </c>
      <c r="G406" s="129" t="s">
        <v>10443</v>
      </c>
      <c r="H406" s="112" t="s">
        <v>10444</v>
      </c>
      <c r="I406" s="3" t="s">
        <v>10444</v>
      </c>
      <c r="J406" s="129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29" t="s">
        <v>10467</v>
      </c>
      <c r="E407" s="133">
        <v>31</v>
      </c>
      <c r="F407" s="131" t="s">
        <v>10468</v>
      </c>
      <c r="G407" s="129" t="s">
        <v>10443</v>
      </c>
      <c r="H407" s="112" t="s">
        <v>10444</v>
      </c>
      <c r="I407" s="3" t="s">
        <v>10444</v>
      </c>
      <c r="J407" s="129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29" t="s">
        <v>9769</v>
      </c>
      <c r="E408" s="133">
        <v>11256</v>
      </c>
      <c r="F408" s="131" t="s">
        <v>10470</v>
      </c>
      <c r="G408" s="129" t="s">
        <v>10443</v>
      </c>
      <c r="H408" s="112" t="s">
        <v>10444</v>
      </c>
      <c r="I408" s="3" t="s">
        <v>10444</v>
      </c>
      <c r="J408" s="129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29" t="s">
        <v>10473</v>
      </c>
      <c r="E409" s="133">
        <v>5150</v>
      </c>
      <c r="F409" s="131" t="s">
        <v>10474</v>
      </c>
      <c r="G409" s="129" t="s">
        <v>10443</v>
      </c>
      <c r="H409" s="112" t="s">
        <v>10444</v>
      </c>
      <c r="I409" s="3" t="s">
        <v>10444</v>
      </c>
      <c r="J409" s="129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29" t="s">
        <v>10452</v>
      </c>
      <c r="E410" s="133">
        <v>1577</v>
      </c>
      <c r="F410" s="131" t="s">
        <v>10477</v>
      </c>
      <c r="G410" s="129" t="s">
        <v>10443</v>
      </c>
      <c r="H410" s="112" t="s">
        <v>10444</v>
      </c>
      <c r="I410" s="3" t="s">
        <v>10444</v>
      </c>
      <c r="J410" s="129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29" t="s">
        <v>10480</v>
      </c>
      <c r="E411" s="133">
        <v>815</v>
      </c>
      <c r="F411" s="131" t="s">
        <v>10481</v>
      </c>
      <c r="G411" s="129" t="s">
        <v>10443</v>
      </c>
      <c r="H411" s="112" t="s">
        <v>10444</v>
      </c>
      <c r="I411" s="3" t="s">
        <v>10444</v>
      </c>
      <c r="J411" s="129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29" t="s">
        <v>10484</v>
      </c>
      <c r="E412" s="133">
        <v>1352</v>
      </c>
      <c r="F412" s="131" t="s">
        <v>10485</v>
      </c>
      <c r="G412" s="129" t="s">
        <v>10443</v>
      </c>
      <c r="H412" s="112" t="s">
        <v>10444</v>
      </c>
      <c r="I412" s="3" t="s">
        <v>10444</v>
      </c>
      <c r="J412" s="129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29" t="s">
        <v>10487</v>
      </c>
      <c r="E413" s="133">
        <v>3702</v>
      </c>
      <c r="F413" s="131" t="s">
        <v>10488</v>
      </c>
      <c r="G413" s="129" t="s">
        <v>10443</v>
      </c>
      <c r="H413" s="112" t="s">
        <v>10444</v>
      </c>
      <c r="I413" s="3" t="s">
        <v>10444</v>
      </c>
      <c r="J413" s="129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29" t="s">
        <v>9660</v>
      </c>
      <c r="E414" s="133">
        <v>2710</v>
      </c>
      <c r="F414" s="131" t="s">
        <v>10491</v>
      </c>
      <c r="G414" s="129" t="s">
        <v>10443</v>
      </c>
      <c r="H414" s="112" t="s">
        <v>10444</v>
      </c>
      <c r="I414" s="3" t="s">
        <v>10444</v>
      </c>
      <c r="J414" s="129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29" t="s">
        <v>10494</v>
      </c>
      <c r="E415" s="133">
        <v>2901</v>
      </c>
      <c r="F415" s="131" t="s">
        <v>10495</v>
      </c>
      <c r="G415" s="129" t="s">
        <v>10443</v>
      </c>
      <c r="H415" s="112" t="s">
        <v>10444</v>
      </c>
      <c r="I415" s="3" t="s">
        <v>10444</v>
      </c>
      <c r="J415" s="129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29" t="s">
        <v>10498</v>
      </c>
      <c r="E416" s="133">
        <v>4675</v>
      </c>
      <c r="F416" s="131" t="s">
        <v>10499</v>
      </c>
      <c r="G416" s="129" t="s">
        <v>10443</v>
      </c>
      <c r="H416" s="112" t="s">
        <v>10444</v>
      </c>
      <c r="I416" s="3" t="s">
        <v>10444</v>
      </c>
      <c r="J416" s="129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29" t="s">
        <v>9660</v>
      </c>
      <c r="E417" s="133">
        <v>6354</v>
      </c>
      <c r="F417" s="131" t="s">
        <v>10502</v>
      </c>
      <c r="G417" s="129" t="s">
        <v>10443</v>
      </c>
      <c r="H417" s="112" t="s">
        <v>10444</v>
      </c>
      <c r="I417" s="3" t="s">
        <v>10444</v>
      </c>
      <c r="J417" s="129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29" t="s">
        <v>8965</v>
      </c>
      <c r="E418" s="133">
        <v>698</v>
      </c>
      <c r="F418" s="131" t="s">
        <v>10505</v>
      </c>
      <c r="G418" s="129" t="s">
        <v>10443</v>
      </c>
      <c r="H418" s="112" t="s">
        <v>10444</v>
      </c>
      <c r="I418" s="3" t="s">
        <v>10444</v>
      </c>
      <c r="J418" s="129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29" t="s">
        <v>10508</v>
      </c>
      <c r="E419" s="133">
        <v>452</v>
      </c>
      <c r="F419" s="131" t="s">
        <v>10509</v>
      </c>
      <c r="G419" s="129" t="s">
        <v>10443</v>
      </c>
      <c r="H419" s="112" t="s">
        <v>10444</v>
      </c>
      <c r="I419" s="3" t="s">
        <v>10444</v>
      </c>
      <c r="J419" s="129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29" t="s">
        <v>10512</v>
      </c>
      <c r="E420" s="133">
        <v>176</v>
      </c>
      <c r="F420" s="131" t="s">
        <v>10513</v>
      </c>
      <c r="G420" s="129" t="s">
        <v>10443</v>
      </c>
      <c r="H420" s="112" t="s">
        <v>10444</v>
      </c>
      <c r="I420" s="3" t="s">
        <v>10444</v>
      </c>
      <c r="J420" s="129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29" t="s">
        <v>10516</v>
      </c>
      <c r="E421" s="133">
        <v>3001</v>
      </c>
      <c r="F421" s="131" t="s">
        <v>10517</v>
      </c>
      <c r="G421" s="129" t="s">
        <v>10443</v>
      </c>
      <c r="H421" s="112" t="s">
        <v>10444</v>
      </c>
      <c r="I421" s="3" t="s">
        <v>10444</v>
      </c>
      <c r="J421" s="129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29" t="s">
        <v>10520</v>
      </c>
      <c r="E422" s="133">
        <v>552</v>
      </c>
      <c r="F422" s="131" t="s">
        <v>10521</v>
      </c>
      <c r="G422" s="129" t="s">
        <v>10443</v>
      </c>
      <c r="H422" s="112" t="s">
        <v>10444</v>
      </c>
      <c r="I422" s="3" t="s">
        <v>10444</v>
      </c>
      <c r="J422" s="129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29" t="s">
        <v>8961</v>
      </c>
      <c r="E423" s="133">
        <v>3882</v>
      </c>
      <c r="F423" s="131" t="s">
        <v>10524</v>
      </c>
      <c r="G423" s="129" t="s">
        <v>10443</v>
      </c>
      <c r="H423" s="112" t="s">
        <v>10444</v>
      </c>
      <c r="I423" s="3" t="s">
        <v>10444</v>
      </c>
      <c r="J423" s="129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29" t="s">
        <v>10527</v>
      </c>
      <c r="E424" s="133">
        <v>2476</v>
      </c>
      <c r="F424" s="131" t="s">
        <v>10528</v>
      </c>
      <c r="G424" s="129" t="s">
        <v>10443</v>
      </c>
      <c r="H424" s="112" t="s">
        <v>10444</v>
      </c>
      <c r="I424" s="3" t="s">
        <v>10444</v>
      </c>
      <c r="J424" s="129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29" t="s">
        <v>10531</v>
      </c>
      <c r="E425" s="133">
        <v>2349</v>
      </c>
      <c r="F425" s="131" t="s">
        <v>10532</v>
      </c>
      <c r="G425" s="129" t="s">
        <v>10443</v>
      </c>
      <c r="H425" s="112" t="s">
        <v>10444</v>
      </c>
      <c r="I425" s="3" t="s">
        <v>10444</v>
      </c>
      <c r="J425" s="129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15326</v>
      </c>
      <c r="C426" s="112" t="s">
        <v>14500</v>
      </c>
      <c r="D426" s="129" t="s">
        <v>10531</v>
      </c>
      <c r="E426" s="133">
        <v>4576</v>
      </c>
      <c r="F426" s="131" t="s">
        <v>10534</v>
      </c>
      <c r="G426" s="129" t="s">
        <v>10443</v>
      </c>
      <c r="H426" s="112" t="s">
        <v>10444</v>
      </c>
      <c r="I426" s="3" t="s">
        <v>10444</v>
      </c>
      <c r="J426" s="129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29" t="s">
        <v>10537</v>
      </c>
      <c r="E427" s="133">
        <v>3381</v>
      </c>
      <c r="F427" s="131" t="s">
        <v>10538</v>
      </c>
      <c r="G427" s="129" t="s">
        <v>10443</v>
      </c>
      <c r="H427" s="112" t="s">
        <v>10444</v>
      </c>
      <c r="I427" s="3" t="s">
        <v>10444</v>
      </c>
      <c r="J427" s="129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29" t="s">
        <v>10541</v>
      </c>
      <c r="E428" s="133">
        <v>5254</v>
      </c>
      <c r="F428" s="131" t="s">
        <v>10542</v>
      </c>
      <c r="G428" s="129" t="s">
        <v>10443</v>
      </c>
      <c r="H428" s="112" t="s">
        <v>10444</v>
      </c>
      <c r="I428" s="3" t="s">
        <v>10444</v>
      </c>
      <c r="J428" s="129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29" t="s">
        <v>9131</v>
      </c>
      <c r="E429" s="133">
        <v>780</v>
      </c>
      <c r="F429" s="131" t="s">
        <v>10545</v>
      </c>
      <c r="G429" s="129" t="s">
        <v>10443</v>
      </c>
      <c r="H429" s="112" t="s">
        <v>10444</v>
      </c>
      <c r="I429" s="3" t="s">
        <v>10444</v>
      </c>
      <c r="J429" s="129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29" t="s">
        <v>10548</v>
      </c>
      <c r="E430" s="133">
        <v>1750</v>
      </c>
      <c r="F430" s="131" t="s">
        <v>10549</v>
      </c>
      <c r="G430" s="129" t="s">
        <v>10443</v>
      </c>
      <c r="H430" s="112" t="s">
        <v>10444</v>
      </c>
      <c r="I430" s="3" t="s">
        <v>10444</v>
      </c>
      <c r="J430" s="129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29" t="s">
        <v>10552</v>
      </c>
      <c r="E431" s="133">
        <v>1999</v>
      </c>
      <c r="F431" s="131" t="s">
        <v>10553</v>
      </c>
      <c r="G431" s="129" t="s">
        <v>10443</v>
      </c>
      <c r="H431" s="112" t="s">
        <v>10444</v>
      </c>
      <c r="I431" s="3" t="s">
        <v>10444</v>
      </c>
      <c r="J431" s="129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29" t="s">
        <v>10556</v>
      </c>
      <c r="E432" s="133">
        <v>1954</v>
      </c>
      <c r="F432" s="131" t="s">
        <v>10557</v>
      </c>
      <c r="G432" s="129" t="s">
        <v>10443</v>
      </c>
      <c r="H432" s="112" t="s">
        <v>10444</v>
      </c>
      <c r="I432" s="3" t="s">
        <v>10444</v>
      </c>
      <c r="J432" s="129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29" t="s">
        <v>10560</v>
      </c>
      <c r="E433" s="133">
        <v>753</v>
      </c>
      <c r="F433" s="131" t="s">
        <v>10561</v>
      </c>
      <c r="G433" s="129" t="s">
        <v>10443</v>
      </c>
      <c r="H433" s="112" t="s">
        <v>10444</v>
      </c>
      <c r="I433" s="3" t="s">
        <v>10444</v>
      </c>
      <c r="J433" s="129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29" t="s">
        <v>10564</v>
      </c>
      <c r="E434" s="133">
        <v>2995</v>
      </c>
      <c r="F434" s="131" t="s">
        <v>10565</v>
      </c>
      <c r="G434" s="129" t="s">
        <v>10443</v>
      </c>
      <c r="H434" s="112" t="s">
        <v>10444</v>
      </c>
      <c r="I434" s="3" t="s">
        <v>10444</v>
      </c>
      <c r="J434" s="129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29" t="s">
        <v>10568</v>
      </c>
      <c r="E435" s="133">
        <v>5719</v>
      </c>
      <c r="F435" s="131" t="s">
        <v>10569</v>
      </c>
      <c r="G435" s="129" t="s">
        <v>10443</v>
      </c>
      <c r="H435" s="112" t="s">
        <v>10444</v>
      </c>
      <c r="I435" s="3" t="s">
        <v>10444</v>
      </c>
      <c r="J435" s="129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29" t="s">
        <v>10572</v>
      </c>
      <c r="E436" s="133">
        <v>5924</v>
      </c>
      <c r="F436" s="131" t="s">
        <v>10573</v>
      </c>
      <c r="G436" s="129" t="s">
        <v>10443</v>
      </c>
      <c r="H436" s="112" t="s">
        <v>10444</v>
      </c>
      <c r="I436" s="3" t="s">
        <v>10444</v>
      </c>
      <c r="J436" s="129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29" t="s">
        <v>10576</v>
      </c>
      <c r="E437" s="133">
        <v>4624</v>
      </c>
      <c r="F437" s="131" t="s">
        <v>10577</v>
      </c>
      <c r="G437" s="129" t="s">
        <v>10443</v>
      </c>
      <c r="H437" s="112" t="s">
        <v>10444</v>
      </c>
      <c r="I437" s="3" t="s">
        <v>10444</v>
      </c>
      <c r="J437" s="129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29" t="s">
        <v>10251</v>
      </c>
      <c r="E438" s="133">
        <v>24</v>
      </c>
      <c r="F438" s="131" t="s">
        <v>10580</v>
      </c>
      <c r="G438" s="129" t="s">
        <v>10443</v>
      </c>
      <c r="H438" s="112" t="s">
        <v>10444</v>
      </c>
      <c r="I438" s="3" t="s">
        <v>10444</v>
      </c>
      <c r="J438" s="129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15327</v>
      </c>
      <c r="C439" s="112" t="s">
        <v>14500</v>
      </c>
      <c r="D439" s="129" t="s">
        <v>9351</v>
      </c>
      <c r="E439" s="133">
        <v>1069</v>
      </c>
      <c r="F439" s="131" t="s">
        <v>10582</v>
      </c>
      <c r="G439" s="129" t="s">
        <v>10443</v>
      </c>
      <c r="H439" s="112" t="s">
        <v>10444</v>
      </c>
      <c r="I439" s="3" t="s">
        <v>10444</v>
      </c>
      <c r="J439" s="129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29" t="s">
        <v>9769</v>
      </c>
      <c r="E440" s="133">
        <v>5337</v>
      </c>
      <c r="F440" s="131" t="s">
        <v>10585</v>
      </c>
      <c r="G440" s="129" t="s">
        <v>10443</v>
      </c>
      <c r="H440" s="112" t="s">
        <v>10444</v>
      </c>
      <c r="I440" s="3" t="s">
        <v>10444</v>
      </c>
      <c r="J440" s="129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29" t="s">
        <v>10588</v>
      </c>
      <c r="E441" s="133">
        <v>1153</v>
      </c>
      <c r="F441" s="131" t="s">
        <v>10589</v>
      </c>
      <c r="G441" s="129" t="s">
        <v>10443</v>
      </c>
      <c r="H441" s="112" t="s">
        <v>10444</v>
      </c>
      <c r="I441" s="3" t="s">
        <v>10444</v>
      </c>
      <c r="J441" s="129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29" t="s">
        <v>9652</v>
      </c>
      <c r="E442" s="133">
        <v>326</v>
      </c>
      <c r="F442" s="131" t="s">
        <v>10592</v>
      </c>
      <c r="G442" s="129" t="s">
        <v>10443</v>
      </c>
      <c r="H442" s="112" t="s">
        <v>10444</v>
      </c>
      <c r="I442" s="3" t="s">
        <v>10444</v>
      </c>
      <c r="J442" s="129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29" t="s">
        <v>10595</v>
      </c>
      <c r="E443" s="133">
        <v>768</v>
      </c>
      <c r="F443" s="131" t="s">
        <v>10596</v>
      </c>
      <c r="G443" s="129" t="s">
        <v>10443</v>
      </c>
      <c r="H443" s="112" t="s">
        <v>10444</v>
      </c>
      <c r="I443" s="3" t="s">
        <v>10444</v>
      </c>
      <c r="J443" s="129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29" t="s">
        <v>10599</v>
      </c>
      <c r="E444" s="133">
        <v>250</v>
      </c>
      <c r="F444" s="131" t="s">
        <v>10600</v>
      </c>
      <c r="G444" s="129" t="s">
        <v>10443</v>
      </c>
      <c r="H444" s="112" t="s">
        <v>10444</v>
      </c>
      <c r="I444" s="3" t="s">
        <v>10444</v>
      </c>
      <c r="J444" s="129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29" t="s">
        <v>10602</v>
      </c>
      <c r="E445" s="133">
        <v>3855</v>
      </c>
      <c r="F445" s="131" t="s">
        <v>10603</v>
      </c>
      <c r="G445" s="129" t="s">
        <v>10443</v>
      </c>
      <c r="H445" s="112" t="s">
        <v>10444</v>
      </c>
      <c r="I445" s="3" t="s">
        <v>10444</v>
      </c>
      <c r="J445" s="129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29" t="s">
        <v>10606</v>
      </c>
      <c r="E446" s="133">
        <v>616</v>
      </c>
      <c r="F446" s="131" t="s">
        <v>10607</v>
      </c>
      <c r="G446" s="129" t="s">
        <v>10443</v>
      </c>
      <c r="H446" s="112" t="s">
        <v>10444</v>
      </c>
      <c r="I446" s="3" t="s">
        <v>10444</v>
      </c>
      <c r="J446" s="129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29" t="s">
        <v>9343</v>
      </c>
      <c r="E447" s="133">
        <v>250</v>
      </c>
      <c r="F447" s="131" t="s">
        <v>10610</v>
      </c>
      <c r="G447" s="129" t="s">
        <v>10443</v>
      </c>
      <c r="H447" s="112" t="s">
        <v>10444</v>
      </c>
      <c r="I447" s="3" t="s">
        <v>10444</v>
      </c>
      <c r="J447" s="129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29" t="s">
        <v>8939</v>
      </c>
      <c r="E448" s="133">
        <v>132</v>
      </c>
      <c r="F448" s="131" t="s">
        <v>10613</v>
      </c>
      <c r="G448" s="129" t="s">
        <v>10443</v>
      </c>
      <c r="H448" s="112" t="s">
        <v>10444</v>
      </c>
      <c r="I448" s="3" t="s">
        <v>10444</v>
      </c>
      <c r="J448" s="129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29" t="s">
        <v>8950</v>
      </c>
      <c r="E449" s="133">
        <v>2128</v>
      </c>
      <c r="F449" s="131" t="s">
        <v>10616</v>
      </c>
      <c r="G449" s="129" t="s">
        <v>10443</v>
      </c>
      <c r="H449" s="112" t="s">
        <v>10444</v>
      </c>
      <c r="I449" s="3" t="s">
        <v>10444</v>
      </c>
      <c r="J449" s="129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29" t="s">
        <v>10619</v>
      </c>
      <c r="E450" s="133">
        <v>2888</v>
      </c>
      <c r="F450" s="131" t="s">
        <v>10620</v>
      </c>
      <c r="G450" s="129" t="s">
        <v>10443</v>
      </c>
      <c r="H450" s="112" t="s">
        <v>10444</v>
      </c>
      <c r="I450" s="3" t="s">
        <v>10444</v>
      </c>
      <c r="J450" s="129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29" t="s">
        <v>10623</v>
      </c>
      <c r="E451" s="133">
        <v>368</v>
      </c>
      <c r="F451" s="131" t="s">
        <v>10624</v>
      </c>
      <c r="G451" s="129" t="s">
        <v>10443</v>
      </c>
      <c r="H451" s="112" t="s">
        <v>10444</v>
      </c>
      <c r="I451" s="3" t="s">
        <v>10444</v>
      </c>
      <c r="J451" s="129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29" t="s">
        <v>8961</v>
      </c>
      <c r="E452" s="133">
        <v>945</v>
      </c>
      <c r="F452" s="131" t="s">
        <v>10627</v>
      </c>
      <c r="G452" s="129" t="s">
        <v>10443</v>
      </c>
      <c r="H452" s="112" t="s">
        <v>10444</v>
      </c>
      <c r="I452" s="3" t="s">
        <v>10444</v>
      </c>
      <c r="J452" s="129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29" t="s">
        <v>10527</v>
      </c>
      <c r="E453" s="133">
        <v>4164</v>
      </c>
      <c r="F453" s="131" t="s">
        <v>10630</v>
      </c>
      <c r="G453" s="129" t="s">
        <v>10443</v>
      </c>
      <c r="H453" s="112" t="s">
        <v>10444</v>
      </c>
      <c r="I453" s="3" t="s">
        <v>10444</v>
      </c>
      <c r="J453" s="129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29" t="s">
        <v>10633</v>
      </c>
      <c r="E454" s="133">
        <v>40</v>
      </c>
      <c r="F454" s="131" t="s">
        <v>10634</v>
      </c>
      <c r="G454" s="129" t="s">
        <v>10443</v>
      </c>
      <c r="H454" s="112" t="s">
        <v>10444</v>
      </c>
      <c r="I454" s="3" t="s">
        <v>10444</v>
      </c>
      <c r="J454" s="129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29" t="s">
        <v>10637</v>
      </c>
      <c r="E455" s="133">
        <v>777</v>
      </c>
      <c r="F455" s="131" t="s">
        <v>10638</v>
      </c>
      <c r="G455" s="129" t="s">
        <v>10443</v>
      </c>
      <c r="H455" s="112" t="s">
        <v>10444</v>
      </c>
      <c r="I455" s="3" t="s">
        <v>10444</v>
      </c>
      <c r="J455" s="129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29" t="s">
        <v>10641</v>
      </c>
      <c r="E456" s="133">
        <v>663</v>
      </c>
      <c r="F456" s="131" t="s">
        <v>10642</v>
      </c>
      <c r="G456" s="129" t="s">
        <v>10443</v>
      </c>
      <c r="H456" s="112" t="s">
        <v>10444</v>
      </c>
      <c r="I456" s="3" t="s">
        <v>10444</v>
      </c>
      <c r="J456" s="129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29" t="s">
        <v>10641</v>
      </c>
      <c r="E457" s="133">
        <v>663</v>
      </c>
      <c r="F457" s="131" t="s">
        <v>10645</v>
      </c>
      <c r="G457" s="129" t="s">
        <v>10443</v>
      </c>
      <c r="H457" s="112" t="s">
        <v>10444</v>
      </c>
      <c r="I457" s="3" t="s">
        <v>10444</v>
      </c>
      <c r="J457" s="129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29" t="s">
        <v>10516</v>
      </c>
      <c r="E458" s="133">
        <v>1349</v>
      </c>
      <c r="F458" s="131" t="s">
        <v>10648</v>
      </c>
      <c r="G458" s="129" t="s">
        <v>10443</v>
      </c>
      <c r="H458" s="112" t="s">
        <v>10444</v>
      </c>
      <c r="I458" s="3" t="s">
        <v>10444</v>
      </c>
      <c r="J458" s="129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29" t="s">
        <v>9176</v>
      </c>
      <c r="E459" s="133">
        <v>1100</v>
      </c>
      <c r="F459" s="131" t="s">
        <v>10651</v>
      </c>
      <c r="G459" s="129" t="s">
        <v>10443</v>
      </c>
      <c r="H459" s="112" t="s">
        <v>10444</v>
      </c>
      <c r="I459" s="3" t="s">
        <v>10444</v>
      </c>
      <c r="J459" s="129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29" t="s">
        <v>10654</v>
      </c>
      <c r="E460" s="133">
        <v>550</v>
      </c>
      <c r="F460" s="131" t="s">
        <v>10655</v>
      </c>
      <c r="G460" s="129" t="s">
        <v>10443</v>
      </c>
      <c r="H460" s="112" t="s">
        <v>10444</v>
      </c>
      <c r="I460" s="3" t="s">
        <v>10444</v>
      </c>
      <c r="J460" s="129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29" t="s">
        <v>10658</v>
      </c>
      <c r="E461" s="133">
        <v>2190</v>
      </c>
      <c r="F461" s="131" t="s">
        <v>10659</v>
      </c>
      <c r="G461" s="129" t="s">
        <v>10443</v>
      </c>
      <c r="H461" s="112" t="s">
        <v>10444</v>
      </c>
      <c r="I461" s="3" t="s">
        <v>10444</v>
      </c>
      <c r="J461" s="129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29" t="s">
        <v>10662</v>
      </c>
      <c r="E462" s="133">
        <v>1950</v>
      </c>
      <c r="F462" s="131" t="s">
        <v>10663</v>
      </c>
      <c r="G462" s="129" t="s">
        <v>10443</v>
      </c>
      <c r="H462" s="112" t="s">
        <v>10444</v>
      </c>
      <c r="I462" s="3" t="s">
        <v>10444</v>
      </c>
      <c r="J462" s="129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29" t="s">
        <v>10487</v>
      </c>
      <c r="E463" s="133">
        <v>1441</v>
      </c>
      <c r="F463" s="131" t="s">
        <v>10666</v>
      </c>
      <c r="G463" s="129" t="s">
        <v>10443</v>
      </c>
      <c r="H463" s="112" t="s">
        <v>10444</v>
      </c>
      <c r="I463" s="3" t="s">
        <v>10444</v>
      </c>
      <c r="J463" s="129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29" t="s">
        <v>9205</v>
      </c>
      <c r="E464" s="133">
        <v>151</v>
      </c>
      <c r="F464" s="131" t="s">
        <v>10669</v>
      </c>
      <c r="G464" s="129" t="s">
        <v>10443</v>
      </c>
      <c r="H464" s="112" t="s">
        <v>10444</v>
      </c>
      <c r="I464" s="3" t="s">
        <v>10444</v>
      </c>
      <c r="J464" s="129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29" t="s">
        <v>9205</v>
      </c>
      <c r="E465" s="133">
        <v>151</v>
      </c>
      <c r="F465" s="131" t="s">
        <v>10672</v>
      </c>
      <c r="G465" s="129" t="s">
        <v>10443</v>
      </c>
      <c r="H465" s="112" t="s">
        <v>10444</v>
      </c>
      <c r="I465" s="3" t="s">
        <v>10444</v>
      </c>
      <c r="J465" s="129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29" t="s">
        <v>10516</v>
      </c>
      <c r="E466" s="133">
        <v>1349</v>
      </c>
      <c r="F466" s="131" t="s">
        <v>10675</v>
      </c>
      <c r="G466" s="129" t="s">
        <v>10443</v>
      </c>
      <c r="H466" s="112" t="s">
        <v>10444</v>
      </c>
      <c r="I466" s="3" t="s">
        <v>10444</v>
      </c>
      <c r="J466" s="129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29" t="s">
        <v>10678</v>
      </c>
      <c r="E467" s="133">
        <v>2000</v>
      </c>
      <c r="F467" s="131" t="s">
        <v>10679</v>
      </c>
      <c r="G467" s="129" t="s">
        <v>10443</v>
      </c>
      <c r="H467" s="112" t="s">
        <v>10444</v>
      </c>
      <c r="I467" s="3" t="s">
        <v>10444</v>
      </c>
      <c r="J467" s="129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29" t="s">
        <v>10749</v>
      </c>
      <c r="E468" s="133">
        <v>0</v>
      </c>
      <c r="F468" s="131" t="s">
        <v>10815</v>
      </c>
      <c r="G468" s="129" t="s">
        <v>10814</v>
      </c>
      <c r="H468" s="112" t="s">
        <v>10681</v>
      </c>
      <c r="I468" s="3" t="s">
        <v>14566</v>
      </c>
      <c r="J468" s="129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29" t="s">
        <v>8974</v>
      </c>
      <c r="E469" s="133">
        <v>0</v>
      </c>
      <c r="F469" s="131" t="s">
        <v>10857</v>
      </c>
      <c r="G469" s="129" t="s">
        <v>10856</v>
      </c>
      <c r="H469" s="112" t="s">
        <v>10681</v>
      </c>
      <c r="I469" s="3" t="s">
        <v>10790</v>
      </c>
      <c r="J469" s="129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29" t="s">
        <v>10686</v>
      </c>
      <c r="E470" s="133">
        <v>0</v>
      </c>
      <c r="F470" s="131" t="s">
        <v>10687</v>
      </c>
      <c r="G470" s="129" t="s">
        <v>10685</v>
      </c>
      <c r="H470" s="112" t="s">
        <v>10681</v>
      </c>
      <c r="I470" s="3" t="s">
        <v>10685</v>
      </c>
      <c r="J470" s="129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29" t="s">
        <v>9627</v>
      </c>
      <c r="E471" s="133">
        <v>198</v>
      </c>
      <c r="F471" s="131" t="s">
        <v>10690</v>
      </c>
      <c r="G471" s="129" t="s">
        <v>10689</v>
      </c>
      <c r="H471" s="112" t="s">
        <v>10681</v>
      </c>
      <c r="I471" s="3" t="s">
        <v>10689</v>
      </c>
      <c r="J471" s="129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29" t="s">
        <v>10818</v>
      </c>
      <c r="E472" s="133">
        <v>0</v>
      </c>
      <c r="F472" s="131" t="s">
        <v>10820</v>
      </c>
      <c r="G472" s="129" t="s">
        <v>10819</v>
      </c>
      <c r="H472" s="112" t="s">
        <v>10681</v>
      </c>
      <c r="I472" s="3" t="s">
        <v>10819</v>
      </c>
      <c r="J472" s="129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15328</v>
      </c>
      <c r="C473" s="112" t="s">
        <v>3</v>
      </c>
      <c r="D473" s="129" t="s">
        <v>10692</v>
      </c>
      <c r="E473" s="133">
        <v>0</v>
      </c>
      <c r="F473" s="131" t="s">
        <v>10693</v>
      </c>
      <c r="G473" s="129" t="s">
        <v>15328</v>
      </c>
      <c r="H473" s="112" t="s">
        <v>10681</v>
      </c>
      <c r="I473" s="3" t="s">
        <v>10790</v>
      </c>
      <c r="J473" s="129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29" t="s">
        <v>8928</v>
      </c>
      <c r="E474" s="133">
        <v>543</v>
      </c>
      <c r="F474" s="131" t="s">
        <v>10696</v>
      </c>
      <c r="G474" s="129" t="s">
        <v>10695</v>
      </c>
      <c r="H474" s="112" t="s">
        <v>10681</v>
      </c>
      <c r="I474" s="3" t="s">
        <v>10695</v>
      </c>
      <c r="J474" s="129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29" t="s">
        <v>9014</v>
      </c>
      <c r="E475" s="133">
        <v>200</v>
      </c>
      <c r="F475" s="131" t="s">
        <v>10699</v>
      </c>
      <c r="G475" s="129" t="s">
        <v>10698</v>
      </c>
      <c r="H475" s="112" t="s">
        <v>10681</v>
      </c>
      <c r="I475" s="3" t="s">
        <v>14566</v>
      </c>
      <c r="J475" s="129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29" t="s">
        <v>10702</v>
      </c>
      <c r="E476" s="133">
        <v>0</v>
      </c>
      <c r="F476" s="131" t="s">
        <v>10703</v>
      </c>
      <c r="G476" s="129" t="s">
        <v>10701</v>
      </c>
      <c r="H476" s="112" t="s">
        <v>10681</v>
      </c>
      <c r="I476" s="3" t="s">
        <v>10798</v>
      </c>
      <c r="J476" s="129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29" t="s">
        <v>10706</v>
      </c>
      <c r="E477" s="133">
        <v>0</v>
      </c>
      <c r="F477" s="131" t="s">
        <v>10707</v>
      </c>
      <c r="G477" s="129" t="s">
        <v>10705</v>
      </c>
      <c r="H477" s="112" t="s">
        <v>10681</v>
      </c>
      <c r="I477" s="3" t="s">
        <v>10689</v>
      </c>
      <c r="J477" s="129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29" t="s">
        <v>10710</v>
      </c>
      <c r="E478" s="133">
        <v>0</v>
      </c>
      <c r="F478" s="131" t="s">
        <v>10711</v>
      </c>
      <c r="G478" s="129" t="s">
        <v>10709</v>
      </c>
      <c r="H478" s="112" t="s">
        <v>10681</v>
      </c>
      <c r="I478" s="3" t="s">
        <v>10709</v>
      </c>
      <c r="J478" s="129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29" t="s">
        <v>10823</v>
      </c>
      <c r="E479" s="133">
        <v>0</v>
      </c>
      <c r="F479" s="131" t="s">
        <v>10824</v>
      </c>
      <c r="G479" s="129" t="s">
        <v>10822</v>
      </c>
      <c r="H479" s="112" t="s">
        <v>10681</v>
      </c>
      <c r="I479" s="3" t="s">
        <v>10770</v>
      </c>
      <c r="J479" s="129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29" t="s">
        <v>10714</v>
      </c>
      <c r="E480" s="133">
        <v>0</v>
      </c>
      <c r="F480" s="131" t="s">
        <v>10715</v>
      </c>
      <c r="G480" s="129" t="s">
        <v>10713</v>
      </c>
      <c r="H480" s="112" t="s">
        <v>10681</v>
      </c>
      <c r="I480" s="3" t="s">
        <v>14567</v>
      </c>
      <c r="J480" s="129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29" t="s">
        <v>10718</v>
      </c>
      <c r="E481" s="133">
        <v>0</v>
      </c>
      <c r="F481" s="131" t="s">
        <v>10719</v>
      </c>
      <c r="G481" s="129" t="s">
        <v>10717</v>
      </c>
      <c r="H481" s="112" t="s">
        <v>10681</v>
      </c>
      <c r="I481" s="3" t="s">
        <v>11247</v>
      </c>
      <c r="J481" s="129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29" t="s">
        <v>10722</v>
      </c>
      <c r="E482" s="133">
        <v>0</v>
      </c>
      <c r="F482" s="131" t="s">
        <v>10723</v>
      </c>
      <c r="G482" s="129" t="s">
        <v>10721</v>
      </c>
      <c r="H482" s="112" t="s">
        <v>10681</v>
      </c>
      <c r="I482" s="3" t="s">
        <v>10798</v>
      </c>
      <c r="J482" s="129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29" t="s">
        <v>9014</v>
      </c>
      <c r="E483" s="133">
        <v>0</v>
      </c>
      <c r="F483" s="131" t="s">
        <v>10726</v>
      </c>
      <c r="G483" s="129" t="s">
        <v>10725</v>
      </c>
      <c r="H483" s="112" t="s">
        <v>10681</v>
      </c>
      <c r="I483" s="3" t="s">
        <v>10695</v>
      </c>
      <c r="J483" s="129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29" t="s">
        <v>10729</v>
      </c>
      <c r="E484" s="133">
        <v>0</v>
      </c>
      <c r="F484" s="131" t="s">
        <v>10730</v>
      </c>
      <c r="G484" s="129" t="s">
        <v>10728</v>
      </c>
      <c r="H484" s="112" t="s">
        <v>10681</v>
      </c>
      <c r="I484" s="3" t="s">
        <v>14566</v>
      </c>
      <c r="J484" s="129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29" t="s">
        <v>10686</v>
      </c>
      <c r="E485" s="133">
        <v>0</v>
      </c>
      <c r="F485" s="131" t="s">
        <v>10859</v>
      </c>
      <c r="G485" s="129" t="s">
        <v>14438</v>
      </c>
      <c r="H485" s="112" t="s">
        <v>10681</v>
      </c>
      <c r="I485" s="3" t="s">
        <v>11247</v>
      </c>
      <c r="J485" s="129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29" t="s">
        <v>10826</v>
      </c>
      <c r="E486" s="133">
        <v>0</v>
      </c>
      <c r="F486" s="131" t="s">
        <v>10827</v>
      </c>
      <c r="G486" s="129" t="s">
        <v>10826</v>
      </c>
      <c r="H486" s="112" t="s">
        <v>10681</v>
      </c>
      <c r="I486" s="3" t="s">
        <v>10695</v>
      </c>
      <c r="J486" s="129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29" t="s">
        <v>10733</v>
      </c>
      <c r="E487" s="133">
        <v>0</v>
      </c>
      <c r="F487" s="131" t="s">
        <v>10734</v>
      </c>
      <c r="G487" s="129" t="s">
        <v>10732</v>
      </c>
      <c r="H487" s="112" t="s">
        <v>10681</v>
      </c>
      <c r="I487" s="3" t="s">
        <v>14568</v>
      </c>
      <c r="J487" s="129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29" t="s">
        <v>10729</v>
      </c>
      <c r="E488" s="133">
        <v>0</v>
      </c>
      <c r="F488" s="131" t="s">
        <v>10737</v>
      </c>
      <c r="G488" s="129" t="s">
        <v>10736</v>
      </c>
      <c r="H488" s="112" t="s">
        <v>10681</v>
      </c>
      <c r="I488" s="3" t="s">
        <v>14567</v>
      </c>
      <c r="J488" s="129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29" t="s">
        <v>10823</v>
      </c>
      <c r="E489" s="133">
        <v>0</v>
      </c>
      <c r="F489" s="131" t="s">
        <v>10854</v>
      </c>
      <c r="G489" s="129" t="s">
        <v>10853</v>
      </c>
      <c r="H489" s="112" t="s">
        <v>10681</v>
      </c>
      <c r="I489" s="3" t="s">
        <v>10786</v>
      </c>
      <c r="J489" s="129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29" t="s">
        <v>10823</v>
      </c>
      <c r="E490" s="133">
        <v>0</v>
      </c>
      <c r="F490" s="131" t="s">
        <v>10830</v>
      </c>
      <c r="G490" s="129" t="s">
        <v>10829</v>
      </c>
      <c r="H490" s="112" t="s">
        <v>10681</v>
      </c>
      <c r="I490" s="3" t="s">
        <v>10695</v>
      </c>
      <c r="J490" s="129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29" t="s">
        <v>10823</v>
      </c>
      <c r="E491" s="133">
        <v>0</v>
      </c>
      <c r="F491" s="131" t="s">
        <v>10833</v>
      </c>
      <c r="G491" s="129" t="s">
        <v>10832</v>
      </c>
      <c r="H491" s="112" t="s">
        <v>10681</v>
      </c>
      <c r="I491" s="3" t="s">
        <v>10695</v>
      </c>
      <c r="J491" s="129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29" t="s">
        <v>10802</v>
      </c>
      <c r="E492" s="133">
        <v>0</v>
      </c>
      <c r="F492" s="131" t="s">
        <v>10804</v>
      </c>
      <c r="G492" s="129" t="s">
        <v>10803</v>
      </c>
      <c r="H492" s="112" t="s">
        <v>10681</v>
      </c>
      <c r="I492" s="3" t="s">
        <v>10801</v>
      </c>
      <c r="J492" s="129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29" t="s">
        <v>10740</v>
      </c>
      <c r="E493" s="133">
        <v>0</v>
      </c>
      <c r="F493" s="131" t="s">
        <v>10741</v>
      </c>
      <c r="G493" s="129" t="s">
        <v>10739</v>
      </c>
      <c r="H493" s="112" t="s">
        <v>10681</v>
      </c>
      <c r="I493" s="3" t="s">
        <v>10790</v>
      </c>
      <c r="J493" s="129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29" t="s">
        <v>10744</v>
      </c>
      <c r="E494" s="133">
        <v>0</v>
      </c>
      <c r="F494" s="131" t="s">
        <v>10746</v>
      </c>
      <c r="G494" s="129" t="s">
        <v>10745</v>
      </c>
      <c r="H494" s="112" t="s">
        <v>10681</v>
      </c>
      <c r="I494" s="3" t="s">
        <v>10695</v>
      </c>
      <c r="J494" s="129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29" t="s">
        <v>10754</v>
      </c>
      <c r="E495" s="133">
        <v>0</v>
      </c>
      <c r="F495" s="131" t="s">
        <v>10755</v>
      </c>
      <c r="G495" s="129" t="s">
        <v>10753</v>
      </c>
      <c r="H495" s="112" t="s">
        <v>10681</v>
      </c>
      <c r="I495" s="3" t="s">
        <v>10790</v>
      </c>
      <c r="J495" s="129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29" t="s">
        <v>10749</v>
      </c>
      <c r="E496" s="133">
        <v>0</v>
      </c>
      <c r="F496" s="131" t="s">
        <v>10751</v>
      </c>
      <c r="G496" s="129" t="s">
        <v>10750</v>
      </c>
      <c r="H496" s="112" t="s">
        <v>10681</v>
      </c>
      <c r="I496" s="3" t="s">
        <v>14567</v>
      </c>
      <c r="J496" s="129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29" t="s">
        <v>10758</v>
      </c>
      <c r="E497" s="133">
        <v>0</v>
      </c>
      <c r="F497" s="131" t="s">
        <v>10759</v>
      </c>
      <c r="G497" s="129" t="s">
        <v>10757</v>
      </c>
      <c r="H497" s="112" t="s">
        <v>10681</v>
      </c>
      <c r="I497" s="3" t="s">
        <v>14566</v>
      </c>
      <c r="J497" s="129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29" t="s">
        <v>10762</v>
      </c>
      <c r="E498" s="133">
        <v>0</v>
      </c>
      <c r="F498" s="131" t="s">
        <v>10763</v>
      </c>
      <c r="G498" s="129" t="s">
        <v>10761</v>
      </c>
      <c r="H498" s="112" t="s">
        <v>10681</v>
      </c>
      <c r="I498" s="3" t="s">
        <v>10770</v>
      </c>
      <c r="J498" s="129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29" t="s">
        <v>10823</v>
      </c>
      <c r="E499" s="133">
        <v>0</v>
      </c>
      <c r="F499" s="131" t="s">
        <v>10836</v>
      </c>
      <c r="G499" s="129" t="s">
        <v>10835</v>
      </c>
      <c r="H499" s="112" t="s">
        <v>10681</v>
      </c>
      <c r="I499" s="3" t="s">
        <v>14568</v>
      </c>
      <c r="J499" s="129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29" t="s">
        <v>10771</v>
      </c>
      <c r="E500" s="133">
        <v>143</v>
      </c>
      <c r="F500" s="131" t="s">
        <v>10772</v>
      </c>
      <c r="G500" s="129" t="s">
        <v>10770</v>
      </c>
      <c r="H500" s="112" t="s">
        <v>10681</v>
      </c>
      <c r="I500" s="3" t="s">
        <v>10770</v>
      </c>
      <c r="J500" s="129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29" t="s">
        <v>10823</v>
      </c>
      <c r="E501" s="133">
        <v>0</v>
      </c>
      <c r="F501" s="131" t="s">
        <v>10839</v>
      </c>
      <c r="G501" s="129" t="s">
        <v>10838</v>
      </c>
      <c r="H501" s="112" t="s">
        <v>10681</v>
      </c>
      <c r="I501" s="3" t="s">
        <v>10801</v>
      </c>
      <c r="J501" s="129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29" t="s">
        <v>10823</v>
      </c>
      <c r="E502" s="133">
        <v>0</v>
      </c>
      <c r="F502" s="131" t="s">
        <v>10842</v>
      </c>
      <c r="G502" s="129" t="s">
        <v>10841</v>
      </c>
      <c r="H502" s="112" t="s">
        <v>10681</v>
      </c>
      <c r="I502" s="3" t="s">
        <v>10695</v>
      </c>
      <c r="J502" s="129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29" t="s">
        <v>10775</v>
      </c>
      <c r="E503" s="133">
        <v>100</v>
      </c>
      <c r="F503" s="131" t="s">
        <v>10776</v>
      </c>
      <c r="G503" s="129" t="s">
        <v>10774</v>
      </c>
      <c r="H503" s="112" t="s">
        <v>10681</v>
      </c>
      <c r="I503" s="3" t="s">
        <v>11247</v>
      </c>
      <c r="J503" s="129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29" t="s">
        <v>10845</v>
      </c>
      <c r="E504" s="133">
        <v>0</v>
      </c>
      <c r="F504" s="131" t="s">
        <v>10846</v>
      </c>
      <c r="G504" s="129" t="s">
        <v>10844</v>
      </c>
      <c r="H504" s="112" t="s">
        <v>10681</v>
      </c>
      <c r="I504" s="3" t="s">
        <v>10798</v>
      </c>
      <c r="J504" s="129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29" t="s">
        <v>10779</v>
      </c>
      <c r="E505" s="133">
        <v>0</v>
      </c>
      <c r="F505" s="131" t="s">
        <v>10780</v>
      </c>
      <c r="G505" s="129" t="s">
        <v>10778</v>
      </c>
      <c r="H505" s="112" t="s">
        <v>10681</v>
      </c>
      <c r="I505" s="3" t="s">
        <v>11247</v>
      </c>
      <c r="J505" s="129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29" t="s">
        <v>8928</v>
      </c>
      <c r="E506" s="133">
        <v>761</v>
      </c>
      <c r="F506" s="131" t="s">
        <v>10683</v>
      </c>
      <c r="G506" s="129" t="s">
        <v>10682</v>
      </c>
      <c r="H506" s="112" t="s">
        <v>10681</v>
      </c>
      <c r="I506" s="3" t="s">
        <v>14511</v>
      </c>
      <c r="J506" s="129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29" t="s">
        <v>10807</v>
      </c>
      <c r="E507" s="133">
        <v>100</v>
      </c>
      <c r="F507" s="131" t="s">
        <v>10808</v>
      </c>
      <c r="G507" s="129" t="s">
        <v>10682</v>
      </c>
      <c r="H507" s="112" t="s">
        <v>10681</v>
      </c>
      <c r="I507" s="3" t="s">
        <v>14511</v>
      </c>
      <c r="J507" s="129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29" t="s">
        <v>15339</v>
      </c>
      <c r="E508" s="133">
        <v>1500</v>
      </c>
      <c r="F508" s="131" t="s">
        <v>10811</v>
      </c>
      <c r="G508" s="129" t="s">
        <v>10682</v>
      </c>
      <c r="H508" s="112" t="s">
        <v>10681</v>
      </c>
      <c r="I508" s="3" t="s">
        <v>14511</v>
      </c>
      <c r="J508" s="129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29" t="s">
        <v>9430</v>
      </c>
      <c r="E509" s="133">
        <v>881</v>
      </c>
      <c r="F509" s="131" t="s">
        <v>10862</v>
      </c>
      <c r="G509" s="129" t="s">
        <v>10682</v>
      </c>
      <c r="H509" s="112" t="s">
        <v>10681</v>
      </c>
      <c r="I509" s="3" t="s">
        <v>14511</v>
      </c>
      <c r="J509" s="129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29" t="s">
        <v>10783</v>
      </c>
      <c r="E510" s="133">
        <v>100</v>
      </c>
      <c r="F510" s="131" t="s">
        <v>10784</v>
      </c>
      <c r="G510" s="129" t="s">
        <v>10782</v>
      </c>
      <c r="H510" s="112" t="s">
        <v>10681</v>
      </c>
      <c r="I510" s="3" t="s">
        <v>10786</v>
      </c>
      <c r="J510" s="129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29" t="s">
        <v>10766</v>
      </c>
      <c r="E511" s="133">
        <v>0</v>
      </c>
      <c r="F511" s="131" t="s">
        <v>10768</v>
      </c>
      <c r="G511" s="129" t="s">
        <v>10767</v>
      </c>
      <c r="H511" s="112" t="s">
        <v>10681</v>
      </c>
      <c r="I511" s="3" t="s">
        <v>14569</v>
      </c>
      <c r="J511" s="129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29" t="s">
        <v>10787</v>
      </c>
      <c r="E512" s="133">
        <v>375</v>
      </c>
      <c r="F512" s="131" t="s">
        <v>10788</v>
      </c>
      <c r="G512" s="129" t="s">
        <v>10786</v>
      </c>
      <c r="H512" s="112" t="s">
        <v>10681</v>
      </c>
      <c r="I512" s="3" t="s">
        <v>10786</v>
      </c>
      <c r="J512" s="129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29" t="s">
        <v>10791</v>
      </c>
      <c r="E513" s="133">
        <v>50</v>
      </c>
      <c r="F513" s="131" t="s">
        <v>10792</v>
      </c>
      <c r="G513" s="129" t="s">
        <v>10790</v>
      </c>
      <c r="H513" s="112" t="s">
        <v>10681</v>
      </c>
      <c r="I513" s="3" t="s">
        <v>10798</v>
      </c>
      <c r="J513" s="129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29" t="s">
        <v>10795</v>
      </c>
      <c r="E514" s="133">
        <v>410</v>
      </c>
      <c r="F514" s="131" t="s">
        <v>10796</v>
      </c>
      <c r="G514" s="129" t="s">
        <v>10794</v>
      </c>
      <c r="H514" s="112" t="s">
        <v>10681</v>
      </c>
      <c r="I514" s="3" t="s">
        <v>10770</v>
      </c>
      <c r="J514" s="129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29" t="s">
        <v>9968</v>
      </c>
      <c r="E515" s="133">
        <v>785</v>
      </c>
      <c r="F515" s="131" t="s">
        <v>10799</v>
      </c>
      <c r="G515" s="129" t="s">
        <v>10798</v>
      </c>
      <c r="H515" s="112" t="s">
        <v>10681</v>
      </c>
      <c r="I515" s="3" t="s">
        <v>10798</v>
      </c>
      <c r="J515" s="129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29" t="s">
        <v>10849</v>
      </c>
      <c r="E516" s="133">
        <v>10</v>
      </c>
      <c r="F516" s="131" t="s">
        <v>10851</v>
      </c>
      <c r="G516" s="129" t="s">
        <v>10850</v>
      </c>
      <c r="H516" s="112" t="s">
        <v>10681</v>
      </c>
      <c r="I516" s="3" t="s">
        <v>10695</v>
      </c>
      <c r="J516" s="129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29" t="s">
        <v>10870</v>
      </c>
      <c r="E517" s="133">
        <v>0</v>
      </c>
      <c r="F517" s="131" t="s">
        <v>10871</v>
      </c>
      <c r="G517" s="129" t="s">
        <v>10869</v>
      </c>
      <c r="H517" s="112" t="s">
        <v>10866</v>
      </c>
      <c r="I517" s="3" t="s">
        <v>11529</v>
      </c>
      <c r="J517" s="129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29" t="s">
        <v>9171</v>
      </c>
      <c r="E518" s="133">
        <v>580</v>
      </c>
      <c r="F518" s="131" t="s">
        <v>10874</v>
      </c>
      <c r="G518" s="129" t="s">
        <v>10873</v>
      </c>
      <c r="H518" s="112" t="s">
        <v>10866</v>
      </c>
      <c r="I518" s="3" t="s">
        <v>9005</v>
      </c>
      <c r="J518" s="129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29" t="s">
        <v>10877</v>
      </c>
      <c r="E519" s="133">
        <v>0</v>
      </c>
      <c r="F519" s="131" t="s">
        <v>10878</v>
      </c>
      <c r="G519" s="129" t="s">
        <v>10876</v>
      </c>
      <c r="H519" s="112" t="s">
        <v>10866</v>
      </c>
      <c r="I519" s="3" t="s">
        <v>9005</v>
      </c>
      <c r="J519" s="129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29" t="s">
        <v>10881</v>
      </c>
      <c r="E520" s="133">
        <v>1000</v>
      </c>
      <c r="F520" s="131" t="s">
        <v>10882</v>
      </c>
      <c r="G520" s="129" t="s">
        <v>10880</v>
      </c>
      <c r="H520" s="112" t="s">
        <v>10866</v>
      </c>
      <c r="I520" s="3" t="s">
        <v>11529</v>
      </c>
      <c r="J520" s="129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29" t="s">
        <v>11010</v>
      </c>
      <c r="E521" s="133">
        <v>0</v>
      </c>
      <c r="F521" s="131" t="s">
        <v>11011</v>
      </c>
      <c r="G521" s="129" t="s">
        <v>11009</v>
      </c>
      <c r="H521" s="112" t="s">
        <v>10866</v>
      </c>
      <c r="I521" s="3" t="s">
        <v>14563</v>
      </c>
      <c r="J521" s="129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29" t="s">
        <v>10885</v>
      </c>
      <c r="E522" s="133">
        <v>490</v>
      </c>
      <c r="F522" s="131" t="s">
        <v>10886</v>
      </c>
      <c r="G522" s="129" t="s">
        <v>10884</v>
      </c>
      <c r="H522" s="112" t="s">
        <v>10866</v>
      </c>
      <c r="I522" s="3" t="s">
        <v>9430</v>
      </c>
      <c r="J522" s="129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29" t="s">
        <v>11010</v>
      </c>
      <c r="E523" s="133">
        <v>0</v>
      </c>
      <c r="F523" s="131" t="s">
        <v>11014</v>
      </c>
      <c r="G523" s="129" t="s">
        <v>11013</v>
      </c>
      <c r="H523" s="112" t="s">
        <v>10866</v>
      </c>
      <c r="I523" s="3" t="s">
        <v>9005</v>
      </c>
      <c r="J523" s="129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29" t="s">
        <v>10889</v>
      </c>
      <c r="E524" s="133">
        <v>150</v>
      </c>
      <c r="F524" s="131" t="s">
        <v>10890</v>
      </c>
      <c r="G524" s="129" t="s">
        <v>10888</v>
      </c>
      <c r="H524" s="112" t="s">
        <v>10866</v>
      </c>
      <c r="I524" s="3" t="s">
        <v>14557</v>
      </c>
      <c r="J524" s="129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29" t="s">
        <v>10928</v>
      </c>
      <c r="E525" s="133">
        <v>0</v>
      </c>
      <c r="F525" s="131" t="s">
        <v>10930</v>
      </c>
      <c r="G525" s="129" t="s">
        <v>10929</v>
      </c>
      <c r="H525" s="112" t="s">
        <v>10866</v>
      </c>
      <c r="I525" s="3" t="s">
        <v>13117</v>
      </c>
      <c r="J525" s="129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29" t="s">
        <v>10893</v>
      </c>
      <c r="E526" s="133">
        <v>0</v>
      </c>
      <c r="F526" s="131" t="s">
        <v>10894</v>
      </c>
      <c r="G526" s="129" t="s">
        <v>10892</v>
      </c>
      <c r="H526" s="112" t="s">
        <v>10866</v>
      </c>
      <c r="I526" s="3" t="s">
        <v>14557</v>
      </c>
      <c r="J526" s="129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29" t="s">
        <v>8928</v>
      </c>
      <c r="E527" s="133">
        <v>100</v>
      </c>
      <c r="F527" s="131" t="s">
        <v>10898</v>
      </c>
      <c r="G527" s="129" t="s">
        <v>10897</v>
      </c>
      <c r="H527" s="112" t="s">
        <v>10866</v>
      </c>
      <c r="I527" s="3" t="s">
        <v>12836</v>
      </c>
      <c r="J527" s="129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29" t="s">
        <v>10904</v>
      </c>
      <c r="E528" s="133">
        <v>268</v>
      </c>
      <c r="F528" s="131" t="s">
        <v>10906</v>
      </c>
      <c r="G528" s="129" t="s">
        <v>10905</v>
      </c>
      <c r="H528" s="112" t="s">
        <v>10866</v>
      </c>
      <c r="I528" s="3" t="s">
        <v>14558</v>
      </c>
      <c r="J528" s="129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29" t="s">
        <v>9660</v>
      </c>
      <c r="E529" s="133">
        <v>304</v>
      </c>
      <c r="F529" s="131" t="s">
        <v>10901</v>
      </c>
      <c r="G529" s="129" t="s">
        <v>10900</v>
      </c>
      <c r="H529" s="112" t="s">
        <v>10866</v>
      </c>
      <c r="I529" s="3" t="s">
        <v>9392</v>
      </c>
      <c r="J529" s="129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29" t="s">
        <v>11040</v>
      </c>
      <c r="E530" s="133">
        <v>5120</v>
      </c>
      <c r="F530" s="131" t="s">
        <v>11041</v>
      </c>
      <c r="G530" s="129" t="s">
        <v>11039</v>
      </c>
      <c r="H530" s="112" t="s">
        <v>10866</v>
      </c>
      <c r="I530" s="3" t="s">
        <v>9005</v>
      </c>
      <c r="J530" s="129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29" t="s">
        <v>10909</v>
      </c>
      <c r="E531" s="133">
        <v>0</v>
      </c>
      <c r="F531" s="131" t="s">
        <v>10910</v>
      </c>
      <c r="G531" s="129" t="s">
        <v>10908</v>
      </c>
      <c r="H531" s="112" t="s">
        <v>10866</v>
      </c>
      <c r="I531" s="3" t="s">
        <v>9143</v>
      </c>
      <c r="J531" s="129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29" t="s">
        <v>9351</v>
      </c>
      <c r="E532" s="133">
        <v>490</v>
      </c>
      <c r="F532" s="131" t="s">
        <v>10914</v>
      </c>
      <c r="G532" s="129" t="s">
        <v>10913</v>
      </c>
      <c r="H532" s="112" t="s">
        <v>10866</v>
      </c>
      <c r="I532" s="3" t="s">
        <v>14559</v>
      </c>
      <c r="J532" s="129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29" t="s">
        <v>9627</v>
      </c>
      <c r="E533" s="133">
        <v>502</v>
      </c>
      <c r="F533" s="131" t="s">
        <v>10918</v>
      </c>
      <c r="G533" s="129" t="s">
        <v>10917</v>
      </c>
      <c r="H533" s="112" t="s">
        <v>10866</v>
      </c>
      <c r="I533" s="3" t="s">
        <v>9143</v>
      </c>
      <c r="J533" s="129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29" t="s">
        <v>8928</v>
      </c>
      <c r="E534" s="133">
        <v>0</v>
      </c>
      <c r="F534" s="131" t="s">
        <v>10922</v>
      </c>
      <c r="G534" s="129" t="s">
        <v>10921</v>
      </c>
      <c r="H534" s="112" t="s">
        <v>10866</v>
      </c>
      <c r="I534" s="3" t="s">
        <v>12543</v>
      </c>
      <c r="J534" s="129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29" t="s">
        <v>8939</v>
      </c>
      <c r="E535" s="133">
        <v>374</v>
      </c>
      <c r="F535" s="131" t="s">
        <v>10925</v>
      </c>
      <c r="G535" s="129" t="s">
        <v>10924</v>
      </c>
      <c r="H535" s="112" t="s">
        <v>10866</v>
      </c>
      <c r="I535" s="3" t="s">
        <v>10093</v>
      </c>
      <c r="J535" s="129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29" t="s">
        <v>11010</v>
      </c>
      <c r="E536" s="133">
        <v>0</v>
      </c>
      <c r="F536" s="131" t="s">
        <v>11017</v>
      </c>
      <c r="G536" s="129" t="s">
        <v>11016</v>
      </c>
      <c r="H536" s="112" t="s">
        <v>10866</v>
      </c>
      <c r="I536" s="3" t="s">
        <v>12543</v>
      </c>
      <c r="J536" s="129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29" t="s">
        <v>11020</v>
      </c>
      <c r="E537" s="133">
        <v>0</v>
      </c>
      <c r="F537" s="131" t="s">
        <v>11021</v>
      </c>
      <c r="G537" s="129" t="s">
        <v>11019</v>
      </c>
      <c r="H537" s="112" t="s">
        <v>10866</v>
      </c>
      <c r="I537" s="3" t="s">
        <v>9682</v>
      </c>
      <c r="J537" s="129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29" t="s">
        <v>10937</v>
      </c>
      <c r="E538" s="133">
        <v>0</v>
      </c>
      <c r="F538" s="131" t="s">
        <v>10938</v>
      </c>
      <c r="G538" s="129" t="s">
        <v>10936</v>
      </c>
      <c r="H538" s="112" t="s">
        <v>10866</v>
      </c>
      <c r="I538" s="3" t="s">
        <v>14560</v>
      </c>
      <c r="J538" s="129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29" t="s">
        <v>10933</v>
      </c>
      <c r="E539" s="133">
        <v>147</v>
      </c>
      <c r="F539" s="131" t="s">
        <v>10934</v>
      </c>
      <c r="G539" s="129" t="s">
        <v>10932</v>
      </c>
      <c r="H539" s="112" t="s">
        <v>10866</v>
      </c>
      <c r="I539" s="3" t="s">
        <v>12543</v>
      </c>
      <c r="J539" s="129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29" t="s">
        <v>9645</v>
      </c>
      <c r="E540" s="133">
        <v>1007</v>
      </c>
      <c r="F540" s="131" t="s">
        <v>10950</v>
      </c>
      <c r="G540" s="129" t="s">
        <v>10949</v>
      </c>
      <c r="H540" s="112" t="s">
        <v>10866</v>
      </c>
      <c r="I540" s="3" t="s">
        <v>9682</v>
      </c>
      <c r="J540" s="129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29" t="s">
        <v>9603</v>
      </c>
      <c r="E541" s="133">
        <v>1</v>
      </c>
      <c r="F541" s="131" t="s">
        <v>10941</v>
      </c>
      <c r="G541" s="129" t="s">
        <v>10940</v>
      </c>
      <c r="H541" s="112" t="s">
        <v>10866</v>
      </c>
      <c r="I541" s="3" t="s">
        <v>14560</v>
      </c>
      <c r="J541" s="129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15329</v>
      </c>
      <c r="C542" s="112" t="s">
        <v>14500</v>
      </c>
      <c r="D542" s="129" t="s">
        <v>9360</v>
      </c>
      <c r="E542" s="133">
        <v>1031</v>
      </c>
      <c r="F542" s="131" t="s">
        <v>10943</v>
      </c>
      <c r="G542" s="129" t="s">
        <v>15329</v>
      </c>
      <c r="H542" s="112" t="s">
        <v>10866</v>
      </c>
      <c r="I542" s="3" t="s">
        <v>8974</v>
      </c>
      <c r="J542" s="129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29" t="s">
        <v>10946</v>
      </c>
      <c r="E543" s="133">
        <v>100</v>
      </c>
      <c r="F543" s="131" t="s">
        <v>10947</v>
      </c>
      <c r="G543" s="129" t="s">
        <v>10945</v>
      </c>
      <c r="H543" s="112" t="s">
        <v>10866</v>
      </c>
      <c r="I543" s="3" t="s">
        <v>12543</v>
      </c>
      <c r="J543" s="129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29" t="s">
        <v>11024</v>
      </c>
      <c r="E544" s="133">
        <v>100</v>
      </c>
      <c r="F544" s="131" t="s">
        <v>11025</v>
      </c>
      <c r="G544" s="129" t="s">
        <v>11023</v>
      </c>
      <c r="H544" s="112" t="s">
        <v>10866</v>
      </c>
      <c r="I544" s="3" t="s">
        <v>12836</v>
      </c>
      <c r="J544" s="129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29" t="s">
        <v>9351</v>
      </c>
      <c r="E545" s="133">
        <v>198</v>
      </c>
      <c r="F545" s="131" t="s">
        <v>10953</v>
      </c>
      <c r="G545" s="129" t="s">
        <v>10952</v>
      </c>
      <c r="H545" s="112" t="s">
        <v>10866</v>
      </c>
      <c r="I545" s="3" t="s">
        <v>9050</v>
      </c>
      <c r="J545" s="129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29" t="s">
        <v>8928</v>
      </c>
      <c r="E546" s="133">
        <v>100</v>
      </c>
      <c r="F546" s="131" t="s">
        <v>10956</v>
      </c>
      <c r="G546" s="129" t="s">
        <v>10955</v>
      </c>
      <c r="H546" s="112" t="s">
        <v>10866</v>
      </c>
      <c r="I546" s="3" t="s">
        <v>14560</v>
      </c>
      <c r="J546" s="129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29" t="s">
        <v>9343</v>
      </c>
      <c r="E547" s="133">
        <v>100</v>
      </c>
      <c r="F547" s="131" t="s">
        <v>10959</v>
      </c>
      <c r="G547" s="129" t="s">
        <v>10958</v>
      </c>
      <c r="H547" s="112" t="s">
        <v>10866</v>
      </c>
      <c r="I547" s="3" t="s">
        <v>11002</v>
      </c>
      <c r="J547" s="129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29" t="s">
        <v>11035</v>
      </c>
      <c r="E548" s="133">
        <v>0</v>
      </c>
      <c r="F548" s="131" t="s">
        <v>11037</v>
      </c>
      <c r="G548" s="129" t="s">
        <v>11036</v>
      </c>
      <c r="H548" s="112" t="s">
        <v>10866</v>
      </c>
      <c r="I548" s="3" t="s">
        <v>13117</v>
      </c>
      <c r="J548" s="129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29" t="s">
        <v>10962</v>
      </c>
      <c r="E549" s="133">
        <v>391</v>
      </c>
      <c r="F549" s="131" t="s">
        <v>10963</v>
      </c>
      <c r="G549" s="129" t="s">
        <v>10961</v>
      </c>
      <c r="H549" s="112" t="s">
        <v>10866</v>
      </c>
      <c r="I549" s="3" t="s">
        <v>14559</v>
      </c>
      <c r="J549" s="129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29" t="s">
        <v>9343</v>
      </c>
      <c r="E550" s="133">
        <v>358</v>
      </c>
      <c r="F550" s="131" t="s">
        <v>10966</v>
      </c>
      <c r="G550" s="129" t="s">
        <v>10965</v>
      </c>
      <c r="H550" s="112" t="s">
        <v>10866</v>
      </c>
      <c r="I550" s="3" t="s">
        <v>12836</v>
      </c>
      <c r="J550" s="129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29" t="s">
        <v>9477</v>
      </c>
      <c r="E551" s="133">
        <v>100</v>
      </c>
      <c r="F551" s="131" t="s">
        <v>10970</v>
      </c>
      <c r="G551" s="129" t="s">
        <v>10969</v>
      </c>
      <c r="H551" s="112" t="s">
        <v>10866</v>
      </c>
      <c r="I551" s="3" t="s">
        <v>10969</v>
      </c>
      <c r="J551" s="129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29" t="s">
        <v>8983</v>
      </c>
      <c r="E552" s="133">
        <v>100</v>
      </c>
      <c r="F552" s="131" t="s">
        <v>10974</v>
      </c>
      <c r="G552" s="129" t="s">
        <v>10973</v>
      </c>
      <c r="H552" s="112" t="s">
        <v>10866</v>
      </c>
      <c r="I552" s="3" t="s">
        <v>14559</v>
      </c>
      <c r="J552" s="129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15330</v>
      </c>
      <c r="C553" s="112" t="s">
        <v>14500</v>
      </c>
      <c r="D553" s="129" t="s">
        <v>9221</v>
      </c>
      <c r="E553" s="133">
        <v>601</v>
      </c>
      <c r="F553" s="131" t="s">
        <v>10976</v>
      </c>
      <c r="G553" s="129" t="s">
        <v>15343</v>
      </c>
      <c r="H553" s="112" t="s">
        <v>10866</v>
      </c>
      <c r="I553" s="3" t="s">
        <v>14561</v>
      </c>
      <c r="J553" s="129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29" t="s">
        <v>9143</v>
      </c>
      <c r="E554" s="133">
        <v>135</v>
      </c>
      <c r="F554" s="131" t="s">
        <v>10979</v>
      </c>
      <c r="G554" s="129" t="s">
        <v>10978</v>
      </c>
      <c r="H554" s="112" t="s">
        <v>10866</v>
      </c>
      <c r="I554" s="3" t="s">
        <v>9266</v>
      </c>
      <c r="J554" s="129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29" t="s">
        <v>10982</v>
      </c>
      <c r="E555" s="133">
        <v>0</v>
      </c>
      <c r="F555" s="131" t="s">
        <v>10983</v>
      </c>
      <c r="G555" s="129" t="s">
        <v>10981</v>
      </c>
      <c r="H555" s="112" t="s">
        <v>10866</v>
      </c>
      <c r="I555" s="3" t="s">
        <v>9005</v>
      </c>
      <c r="J555" s="129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29" t="s">
        <v>9458</v>
      </c>
      <c r="E556" s="133">
        <v>575</v>
      </c>
      <c r="F556" s="131" t="s">
        <v>10986</v>
      </c>
      <c r="G556" s="129" t="s">
        <v>10985</v>
      </c>
      <c r="H556" s="112" t="s">
        <v>10866</v>
      </c>
      <c r="I556" s="3" t="s">
        <v>10985</v>
      </c>
      <c r="J556" s="129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29" t="s">
        <v>10865</v>
      </c>
      <c r="E557" s="133">
        <v>102</v>
      </c>
      <c r="F557" s="131" t="s">
        <v>10867</v>
      </c>
      <c r="G557" s="129" t="s">
        <v>10864</v>
      </c>
      <c r="H557" s="112" t="s">
        <v>10866</v>
      </c>
      <c r="I557" s="3" t="s">
        <v>9005</v>
      </c>
      <c r="J557" s="129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29" t="s">
        <v>11028</v>
      </c>
      <c r="E558" s="133">
        <v>0</v>
      </c>
      <c r="F558" s="131" t="s">
        <v>11029</v>
      </c>
      <c r="G558" s="129" t="s">
        <v>11027</v>
      </c>
      <c r="H558" s="112" t="s">
        <v>10866</v>
      </c>
      <c r="I558" s="3" t="s">
        <v>11862</v>
      </c>
      <c r="J558" s="129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29" t="s">
        <v>10988</v>
      </c>
      <c r="E559" s="133">
        <v>0</v>
      </c>
      <c r="F559" s="131" t="s">
        <v>10989</v>
      </c>
      <c r="G559" s="129" t="s">
        <v>9611</v>
      </c>
      <c r="H559" s="112" t="s">
        <v>10866</v>
      </c>
      <c r="I559" s="3" t="s">
        <v>9682</v>
      </c>
      <c r="J559" s="129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29" t="s">
        <v>10992</v>
      </c>
      <c r="E560" s="133">
        <v>233</v>
      </c>
      <c r="F560" s="131" t="s">
        <v>10993</v>
      </c>
      <c r="G560" s="129" t="s">
        <v>10991</v>
      </c>
      <c r="H560" s="112" t="s">
        <v>10866</v>
      </c>
      <c r="I560" s="3" t="s">
        <v>14562</v>
      </c>
      <c r="J560" s="129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29" t="s">
        <v>11010</v>
      </c>
      <c r="E561" s="133">
        <v>0</v>
      </c>
      <c r="F561" s="131" t="s">
        <v>11032</v>
      </c>
      <c r="G561" s="129" t="s">
        <v>11031</v>
      </c>
      <c r="H561" s="112" t="s">
        <v>10866</v>
      </c>
      <c r="I561" s="3" t="s">
        <v>14559</v>
      </c>
      <c r="J561" s="129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29" t="s">
        <v>10038</v>
      </c>
      <c r="E562" s="133">
        <v>0</v>
      </c>
      <c r="F562" s="131" t="s">
        <v>10996</v>
      </c>
      <c r="G562" s="129" t="s">
        <v>10995</v>
      </c>
      <c r="H562" s="112" t="s">
        <v>10866</v>
      </c>
      <c r="I562" s="3" t="s">
        <v>12836</v>
      </c>
      <c r="J562" s="129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29" t="s">
        <v>9986</v>
      </c>
      <c r="E563" s="133">
        <v>199</v>
      </c>
      <c r="F563" s="131" t="s">
        <v>10999</v>
      </c>
      <c r="G563" s="129" t="s">
        <v>10998</v>
      </c>
      <c r="H563" s="112" t="s">
        <v>10866</v>
      </c>
      <c r="I563" s="3" t="s">
        <v>9908</v>
      </c>
      <c r="J563" s="129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29" t="s">
        <v>11002</v>
      </c>
      <c r="E564" s="133">
        <v>199</v>
      </c>
      <c r="F564" s="131" t="s">
        <v>11003</v>
      </c>
      <c r="G564" s="129" t="s">
        <v>11001</v>
      </c>
      <c r="H564" s="112" t="s">
        <v>10866</v>
      </c>
      <c r="I564" s="3" t="s">
        <v>14558</v>
      </c>
      <c r="J564" s="129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29" t="s">
        <v>11006</v>
      </c>
      <c r="E565" s="133">
        <v>250</v>
      </c>
      <c r="F565" s="131" t="s">
        <v>11007</v>
      </c>
      <c r="G565" s="129" t="s">
        <v>11005</v>
      </c>
      <c r="H565" s="112" t="s">
        <v>10866</v>
      </c>
      <c r="I565" s="3" t="s">
        <v>11862</v>
      </c>
      <c r="J565" s="129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29" t="s">
        <v>15340</v>
      </c>
      <c r="E566" s="133">
        <v>0</v>
      </c>
      <c r="F566" s="131" t="s">
        <v>11055</v>
      </c>
      <c r="G566" s="129" t="s">
        <v>11054</v>
      </c>
      <c r="H566" s="112" t="s">
        <v>11044</v>
      </c>
      <c r="I566" s="3" t="s">
        <v>14609</v>
      </c>
      <c r="J566" s="129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29" t="s">
        <v>9968</v>
      </c>
      <c r="E567" s="133">
        <v>0</v>
      </c>
      <c r="F567" s="131" t="s">
        <v>11058</v>
      </c>
      <c r="G567" s="129" t="s">
        <v>11057</v>
      </c>
      <c r="H567" s="112" t="s">
        <v>11044</v>
      </c>
      <c r="I567" s="3" t="s">
        <v>14609</v>
      </c>
      <c r="J567" s="129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29" t="s">
        <v>9025</v>
      </c>
      <c r="E568" s="133">
        <v>300</v>
      </c>
      <c r="F568" s="131" t="s">
        <v>11061</v>
      </c>
      <c r="G568" s="129" t="s">
        <v>11060</v>
      </c>
      <c r="H568" s="112" t="s">
        <v>11044</v>
      </c>
      <c r="I568" s="3" t="s">
        <v>9466</v>
      </c>
      <c r="J568" s="129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29" t="s">
        <v>11093</v>
      </c>
      <c r="E569" s="133">
        <v>0</v>
      </c>
      <c r="F569" s="131" t="s">
        <v>11094</v>
      </c>
      <c r="G569" s="129" t="s">
        <v>11092</v>
      </c>
      <c r="H569" s="112" t="s">
        <v>11044</v>
      </c>
      <c r="I569" s="3" t="s">
        <v>14612</v>
      </c>
      <c r="J569" s="129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29" t="s">
        <v>8928</v>
      </c>
      <c r="E570" s="133">
        <v>180</v>
      </c>
      <c r="F570" s="131" t="s">
        <v>11045</v>
      </c>
      <c r="G570" s="129" t="s">
        <v>11043</v>
      </c>
      <c r="H570" s="112" t="s">
        <v>11044</v>
      </c>
      <c r="I570" s="3" t="s">
        <v>14608</v>
      </c>
      <c r="J570" s="129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29" t="s">
        <v>9912</v>
      </c>
      <c r="E571" s="133">
        <v>490</v>
      </c>
      <c r="F571" s="131" t="s">
        <v>11048</v>
      </c>
      <c r="G571" s="129" t="s">
        <v>11043</v>
      </c>
      <c r="H571" s="112" t="s">
        <v>11044</v>
      </c>
      <c r="I571" s="3" t="s">
        <v>14608</v>
      </c>
      <c r="J571" s="129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29" t="s">
        <v>11051</v>
      </c>
      <c r="E572" s="133">
        <v>801</v>
      </c>
      <c r="F572" s="131" t="s">
        <v>11052</v>
      </c>
      <c r="G572" s="129" t="s">
        <v>11043</v>
      </c>
      <c r="H572" s="112" t="s">
        <v>11044</v>
      </c>
      <c r="I572" s="3" t="s">
        <v>14608</v>
      </c>
      <c r="J572" s="129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29" t="s">
        <v>10818</v>
      </c>
      <c r="E573" s="133">
        <v>0</v>
      </c>
      <c r="F573" s="131" t="s">
        <v>11064</v>
      </c>
      <c r="G573" s="129" t="s">
        <v>11063</v>
      </c>
      <c r="H573" s="112" t="s">
        <v>11044</v>
      </c>
      <c r="I573" s="3" t="s">
        <v>14610</v>
      </c>
      <c r="J573" s="129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29" t="s">
        <v>11097</v>
      </c>
      <c r="E574" s="133">
        <v>102</v>
      </c>
      <c r="F574" s="131" t="s">
        <v>11098</v>
      </c>
      <c r="G574" s="129" t="s">
        <v>11096</v>
      </c>
      <c r="H574" s="112" t="s">
        <v>11044</v>
      </c>
      <c r="I574" s="3" t="s">
        <v>11111</v>
      </c>
      <c r="J574" s="129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29" t="s">
        <v>8983</v>
      </c>
      <c r="E575" s="133">
        <v>801</v>
      </c>
      <c r="F575" s="131" t="s">
        <v>11101</v>
      </c>
      <c r="G575" s="129" t="s">
        <v>11100</v>
      </c>
      <c r="H575" s="112" t="s">
        <v>11044</v>
      </c>
      <c r="I575" s="3" t="s">
        <v>14612</v>
      </c>
      <c r="J575" s="129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29" t="s">
        <v>11104</v>
      </c>
      <c r="E576" s="133">
        <v>0</v>
      </c>
      <c r="F576" s="131" t="s">
        <v>11105</v>
      </c>
      <c r="G576" s="129" t="s">
        <v>11103</v>
      </c>
      <c r="H576" s="112" t="s">
        <v>11044</v>
      </c>
      <c r="I576" s="3" t="s">
        <v>14612</v>
      </c>
      <c r="J576" s="129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29" t="s">
        <v>11108</v>
      </c>
      <c r="E577" s="133">
        <v>1192</v>
      </c>
      <c r="F577" s="131" t="s">
        <v>11109</v>
      </c>
      <c r="G577" s="129" t="s">
        <v>11107</v>
      </c>
      <c r="H577" s="112" t="s">
        <v>11044</v>
      </c>
      <c r="I577" s="3" t="s">
        <v>14610</v>
      </c>
      <c r="J577" s="129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29" t="s">
        <v>11112</v>
      </c>
      <c r="E578" s="133">
        <v>114</v>
      </c>
      <c r="F578" s="131" t="s">
        <v>11113</v>
      </c>
      <c r="G578" s="129" t="s">
        <v>11111</v>
      </c>
      <c r="H578" s="112" t="s">
        <v>11044</v>
      </c>
      <c r="I578" s="3" t="s">
        <v>11111</v>
      </c>
      <c r="J578" s="129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29" t="s">
        <v>9405</v>
      </c>
      <c r="E579" s="133">
        <v>347</v>
      </c>
      <c r="F579" s="131" t="s">
        <v>11067</v>
      </c>
      <c r="G579" s="129" t="s">
        <v>11066</v>
      </c>
      <c r="H579" s="112" t="s">
        <v>11044</v>
      </c>
      <c r="I579" s="3" t="s">
        <v>14611</v>
      </c>
      <c r="J579" s="129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29" t="s">
        <v>11137</v>
      </c>
      <c r="E580" s="133">
        <v>0</v>
      </c>
      <c r="F580" s="131" t="s">
        <v>11138</v>
      </c>
      <c r="G580" s="129" t="s">
        <v>11136</v>
      </c>
      <c r="H580" s="112" t="s">
        <v>11044</v>
      </c>
      <c r="I580" s="3" t="s">
        <v>14612</v>
      </c>
      <c r="J580" s="129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29" t="s">
        <v>9221</v>
      </c>
      <c r="E581" s="133">
        <v>1</v>
      </c>
      <c r="F581" s="131" t="s">
        <v>11070</v>
      </c>
      <c r="G581" s="129" t="s">
        <v>11069</v>
      </c>
      <c r="H581" s="112" t="s">
        <v>11044</v>
      </c>
      <c r="I581" s="3" t="s">
        <v>14611</v>
      </c>
      <c r="J581" s="129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29" t="s">
        <v>11124</v>
      </c>
      <c r="E582" s="133">
        <v>0</v>
      </c>
      <c r="F582" s="131" t="s">
        <v>11125</v>
      </c>
      <c r="G582" s="129" t="s">
        <v>11123</v>
      </c>
      <c r="H582" s="112" t="s">
        <v>11044</v>
      </c>
      <c r="I582" s="3" t="s">
        <v>14612</v>
      </c>
      <c r="J582" s="129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29" t="s">
        <v>11116</v>
      </c>
      <c r="E583" s="133">
        <v>0</v>
      </c>
      <c r="F583" s="131" t="s">
        <v>11117</v>
      </c>
      <c r="G583" s="129" t="s">
        <v>11115</v>
      </c>
      <c r="H583" s="112" t="s">
        <v>11044</v>
      </c>
      <c r="I583" s="3" t="s">
        <v>11115</v>
      </c>
      <c r="J583" s="129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29" t="s">
        <v>11120</v>
      </c>
      <c r="E584" s="133">
        <v>293</v>
      </c>
      <c r="F584" s="131" t="s">
        <v>11121</v>
      </c>
      <c r="G584" s="129" t="s">
        <v>11119</v>
      </c>
      <c r="H584" s="112" t="s">
        <v>11044</v>
      </c>
      <c r="I584" s="3" t="s">
        <v>14613</v>
      </c>
      <c r="J584" s="129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29" t="s">
        <v>11073</v>
      </c>
      <c r="E585" s="133">
        <v>1315</v>
      </c>
      <c r="F585" s="131" t="s">
        <v>11074</v>
      </c>
      <c r="G585" s="129" t="s">
        <v>11072</v>
      </c>
      <c r="H585" s="112" t="s">
        <v>11044</v>
      </c>
      <c r="I585" s="3" t="s">
        <v>14608</v>
      </c>
      <c r="J585" s="129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29" t="s">
        <v>11127</v>
      </c>
      <c r="E586" s="133">
        <v>22</v>
      </c>
      <c r="F586" s="131" t="s">
        <v>11128</v>
      </c>
      <c r="G586" s="129" t="s">
        <v>9720</v>
      </c>
      <c r="H586" s="112" t="s">
        <v>11044</v>
      </c>
      <c r="I586" s="3" t="s">
        <v>9720</v>
      </c>
      <c r="J586" s="129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29" t="s">
        <v>9050</v>
      </c>
      <c r="E587" s="133">
        <v>790</v>
      </c>
      <c r="F587" s="131" t="s">
        <v>11077</v>
      </c>
      <c r="G587" s="129" t="s">
        <v>11076</v>
      </c>
      <c r="H587" s="112" t="s">
        <v>11044</v>
      </c>
      <c r="I587" s="3" t="s">
        <v>14609</v>
      </c>
      <c r="J587" s="129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29" t="s">
        <v>11080</v>
      </c>
      <c r="E588" s="133">
        <v>240</v>
      </c>
      <c r="F588" s="131" t="s">
        <v>11081</v>
      </c>
      <c r="G588" s="129" t="s">
        <v>11079</v>
      </c>
      <c r="H588" s="112" t="s">
        <v>11044</v>
      </c>
      <c r="I588" s="3" t="s">
        <v>14611</v>
      </c>
      <c r="J588" s="129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29" t="s">
        <v>11083</v>
      </c>
      <c r="E589" s="133">
        <v>307</v>
      </c>
      <c r="F589" s="131" t="s">
        <v>11084</v>
      </c>
      <c r="G589" s="129" t="s">
        <v>9205</v>
      </c>
      <c r="H589" s="112" t="s">
        <v>11044</v>
      </c>
      <c r="I589" s="3" t="s">
        <v>9205</v>
      </c>
      <c r="J589" s="129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29" t="s">
        <v>8983</v>
      </c>
      <c r="E590" s="133">
        <v>891</v>
      </c>
      <c r="F590" s="131" t="s">
        <v>11131</v>
      </c>
      <c r="G590" s="129" t="s">
        <v>11130</v>
      </c>
      <c r="H590" s="112" t="s">
        <v>11044</v>
      </c>
      <c r="I590" s="3" t="s">
        <v>15344</v>
      </c>
      <c r="J590" s="129" t="s">
        <v>11131</v>
      </c>
      <c r="K590" s="1" t="s">
        <v>15344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29" t="s">
        <v>9205</v>
      </c>
      <c r="E591" s="133">
        <v>0</v>
      </c>
      <c r="F591" s="131" t="s">
        <v>11134</v>
      </c>
      <c r="G591" s="129" t="s">
        <v>11133</v>
      </c>
      <c r="H591" s="112" t="s">
        <v>11044</v>
      </c>
      <c r="I591" s="3" t="s">
        <v>11133</v>
      </c>
      <c r="J591" s="129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29" t="s">
        <v>9652</v>
      </c>
      <c r="E592" s="133">
        <v>315</v>
      </c>
      <c r="F592" s="131" t="s">
        <v>11090</v>
      </c>
      <c r="G592" s="129" t="s">
        <v>11089</v>
      </c>
      <c r="H592" s="112" t="s">
        <v>11044</v>
      </c>
      <c r="I592" s="3" t="s">
        <v>9720</v>
      </c>
      <c r="J592" s="129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29" t="s">
        <v>9660</v>
      </c>
      <c r="E593" s="133">
        <v>99</v>
      </c>
      <c r="F593" s="131" t="s">
        <v>11087</v>
      </c>
      <c r="G593" s="129" t="s">
        <v>11086</v>
      </c>
      <c r="H593" s="112" t="s">
        <v>11044</v>
      </c>
      <c r="I593" s="3" t="s">
        <v>14610</v>
      </c>
      <c r="J593" s="129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29" t="s">
        <v>9477</v>
      </c>
      <c r="E594" s="133">
        <v>151</v>
      </c>
      <c r="F594" s="131" t="s">
        <v>11440</v>
      </c>
      <c r="G594" s="129" t="s">
        <v>11439</v>
      </c>
      <c r="H594" s="112" t="s">
        <v>9458</v>
      </c>
      <c r="I594" s="3" t="s">
        <v>11425</v>
      </c>
      <c r="J594" s="129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29" t="s">
        <v>8983</v>
      </c>
      <c r="E595" s="133">
        <v>178</v>
      </c>
      <c r="F595" s="131" t="s">
        <v>11443</v>
      </c>
      <c r="G595" s="129" t="s">
        <v>11442</v>
      </c>
      <c r="H595" s="112" t="s">
        <v>9458</v>
      </c>
      <c r="I595" s="3" t="s">
        <v>11425</v>
      </c>
      <c r="J595" s="129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29" t="s">
        <v>11182</v>
      </c>
      <c r="E596" s="133">
        <v>1</v>
      </c>
      <c r="F596" s="131" t="s">
        <v>11183</v>
      </c>
      <c r="G596" s="129" t="s">
        <v>11181</v>
      </c>
      <c r="H596" s="112" t="s">
        <v>9458</v>
      </c>
      <c r="I596" s="3" t="s">
        <v>9139</v>
      </c>
      <c r="J596" s="129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29" t="s">
        <v>11529</v>
      </c>
      <c r="E597" s="133">
        <v>130</v>
      </c>
      <c r="F597" s="131" t="s">
        <v>11531</v>
      </c>
      <c r="G597" s="129" t="s">
        <v>11530</v>
      </c>
      <c r="H597" s="112" t="s">
        <v>9458</v>
      </c>
      <c r="I597" s="3" t="s">
        <v>11425</v>
      </c>
      <c r="J597" s="129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29" t="s">
        <v>11446</v>
      </c>
      <c r="E598" s="133">
        <v>110</v>
      </c>
      <c r="F598" s="131" t="s">
        <v>11448</v>
      </c>
      <c r="G598" s="129" t="s">
        <v>11447</v>
      </c>
      <c r="H598" s="112" t="s">
        <v>9458</v>
      </c>
      <c r="I598" s="3" t="s">
        <v>14623</v>
      </c>
      <c r="J598" s="129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29" t="s">
        <v>10865</v>
      </c>
      <c r="E599" s="133">
        <v>698</v>
      </c>
      <c r="F599" s="131" t="s">
        <v>11451</v>
      </c>
      <c r="G599" s="129" t="s">
        <v>11450</v>
      </c>
      <c r="H599" s="112" t="s">
        <v>9458</v>
      </c>
      <c r="I599" s="3" t="s">
        <v>11610</v>
      </c>
      <c r="J599" s="129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29" t="s">
        <v>9405</v>
      </c>
      <c r="E600" s="133">
        <v>604</v>
      </c>
      <c r="F600" s="131" t="s">
        <v>11179</v>
      </c>
      <c r="G600" s="129" t="s">
        <v>11178</v>
      </c>
      <c r="H600" s="112" t="s">
        <v>9458</v>
      </c>
      <c r="I600" s="3" t="s">
        <v>9118</v>
      </c>
      <c r="J600" s="129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29" t="s">
        <v>11459</v>
      </c>
      <c r="E601" s="133">
        <v>1104</v>
      </c>
      <c r="F601" s="131" t="s">
        <v>11460</v>
      </c>
      <c r="G601" s="129" t="s">
        <v>9119</v>
      </c>
      <c r="H601" s="112" t="s">
        <v>9458</v>
      </c>
      <c r="I601" s="3" t="s">
        <v>14624</v>
      </c>
      <c r="J601" s="129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29" t="s">
        <v>11186</v>
      </c>
      <c r="E602" s="133">
        <v>577</v>
      </c>
      <c r="F602" s="131" t="s">
        <v>11187</v>
      </c>
      <c r="G602" s="129" t="s">
        <v>11185</v>
      </c>
      <c r="H602" s="112" t="s">
        <v>9458</v>
      </c>
      <c r="I602" s="3" t="s">
        <v>10786</v>
      </c>
      <c r="J602" s="129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29" t="s">
        <v>10606</v>
      </c>
      <c r="E603" s="133">
        <v>544</v>
      </c>
      <c r="F603" s="131" t="s">
        <v>11190</v>
      </c>
      <c r="G603" s="129" t="s">
        <v>11189</v>
      </c>
      <c r="H603" s="112" t="s">
        <v>9458</v>
      </c>
      <c r="I603" s="3" t="s">
        <v>9118</v>
      </c>
      <c r="J603" s="129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29" t="s">
        <v>11766</v>
      </c>
      <c r="E604" s="133">
        <v>0</v>
      </c>
      <c r="F604" s="131" t="s">
        <v>11767</v>
      </c>
      <c r="G604" s="129" t="s">
        <v>11765</v>
      </c>
      <c r="H604" s="112" t="s">
        <v>9458</v>
      </c>
      <c r="I604" s="3" t="s">
        <v>10786</v>
      </c>
      <c r="J604" s="129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29" t="s">
        <v>8983</v>
      </c>
      <c r="E605" s="133">
        <v>1053</v>
      </c>
      <c r="F605" s="131" t="s">
        <v>11454</v>
      </c>
      <c r="G605" s="129" t="s">
        <v>11453</v>
      </c>
      <c r="H605" s="112" t="s">
        <v>9458</v>
      </c>
      <c r="I605" s="3" t="s">
        <v>11610</v>
      </c>
      <c r="J605" s="129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29" t="s">
        <v>11193</v>
      </c>
      <c r="E606" s="133">
        <v>505</v>
      </c>
      <c r="F606" s="131" t="s">
        <v>11194</v>
      </c>
      <c r="G606" s="129" t="s">
        <v>11192</v>
      </c>
      <c r="H606" s="112" t="s">
        <v>9458</v>
      </c>
      <c r="I606" s="3" t="s">
        <v>9118</v>
      </c>
      <c r="J606" s="129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29" t="s">
        <v>9050</v>
      </c>
      <c r="E607" s="133">
        <v>684</v>
      </c>
      <c r="F607" s="131" t="s">
        <v>11457</v>
      </c>
      <c r="G607" s="129" t="s">
        <v>11456</v>
      </c>
      <c r="H607" s="112" t="s">
        <v>9458</v>
      </c>
      <c r="I607" s="3" t="s">
        <v>8930</v>
      </c>
      <c r="J607" s="129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29" t="s">
        <v>11463</v>
      </c>
      <c r="E608" s="133">
        <v>107</v>
      </c>
      <c r="F608" s="131" t="s">
        <v>11464</v>
      </c>
      <c r="G608" s="129" t="s">
        <v>11462</v>
      </c>
      <c r="H608" s="112" t="s">
        <v>9458</v>
      </c>
      <c r="I608" s="3" t="s">
        <v>13348</v>
      </c>
      <c r="J608" s="129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29" t="s">
        <v>11197</v>
      </c>
      <c r="E609" s="133">
        <v>168</v>
      </c>
      <c r="F609" s="131" t="s">
        <v>11198</v>
      </c>
      <c r="G609" s="129" t="s">
        <v>11196</v>
      </c>
      <c r="H609" s="112" t="s">
        <v>9458</v>
      </c>
      <c r="I609" s="3" t="s">
        <v>9118</v>
      </c>
      <c r="J609" s="129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29" t="s">
        <v>9458</v>
      </c>
      <c r="E610" s="133">
        <v>599</v>
      </c>
      <c r="F610" s="131" t="s">
        <v>11467</v>
      </c>
      <c r="G610" s="129" t="s">
        <v>11466</v>
      </c>
      <c r="H610" s="112" t="s">
        <v>9458</v>
      </c>
      <c r="I610" s="3" t="s">
        <v>13348</v>
      </c>
      <c r="J610" s="129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29" t="s">
        <v>11470</v>
      </c>
      <c r="E611" s="133">
        <v>110</v>
      </c>
      <c r="F611" s="131" t="s">
        <v>11471</v>
      </c>
      <c r="G611" s="129" t="s">
        <v>11469</v>
      </c>
      <c r="H611" s="112" t="s">
        <v>9458</v>
      </c>
      <c r="I611" s="3" t="s">
        <v>11425</v>
      </c>
      <c r="J611" s="129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29" t="s">
        <v>11201</v>
      </c>
      <c r="E612" s="133">
        <v>101</v>
      </c>
      <c r="F612" s="131" t="s">
        <v>11202</v>
      </c>
      <c r="G612" s="129" t="s">
        <v>11200</v>
      </c>
      <c r="H612" s="112" t="s">
        <v>9458</v>
      </c>
      <c r="I612" s="3" t="s">
        <v>9118</v>
      </c>
      <c r="J612" s="129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29" t="s">
        <v>9603</v>
      </c>
      <c r="E613" s="133">
        <v>945</v>
      </c>
      <c r="F613" s="131" t="s">
        <v>11474</v>
      </c>
      <c r="G613" s="129" t="s">
        <v>11473</v>
      </c>
      <c r="H613" s="112" t="s">
        <v>9458</v>
      </c>
      <c r="I613" s="3" t="s">
        <v>11610</v>
      </c>
      <c r="J613" s="129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29" t="s">
        <v>11477</v>
      </c>
      <c r="E614" s="133">
        <v>99</v>
      </c>
      <c r="F614" s="131" t="s">
        <v>11478</v>
      </c>
      <c r="G614" s="129" t="s">
        <v>11476</v>
      </c>
      <c r="H614" s="112" t="s">
        <v>9458</v>
      </c>
      <c r="I614" s="3" t="s">
        <v>13348</v>
      </c>
      <c r="J614" s="129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29" t="s">
        <v>10380</v>
      </c>
      <c r="E615" s="133">
        <v>165</v>
      </c>
      <c r="F615" s="131" t="s">
        <v>11205</v>
      </c>
      <c r="G615" s="129" t="s">
        <v>11204</v>
      </c>
      <c r="H615" s="112" t="s">
        <v>9458</v>
      </c>
      <c r="I615" s="3" t="s">
        <v>14614</v>
      </c>
      <c r="J615" s="129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29" t="s">
        <v>10053</v>
      </c>
      <c r="E616" s="133">
        <v>235</v>
      </c>
      <c r="F616" s="131" t="s">
        <v>11481</v>
      </c>
      <c r="G616" s="129" t="s">
        <v>11480</v>
      </c>
      <c r="H616" s="112" t="s">
        <v>9458</v>
      </c>
      <c r="I616" s="3" t="s">
        <v>8930</v>
      </c>
      <c r="J616" s="129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29" t="s">
        <v>11484</v>
      </c>
      <c r="E617" s="133">
        <v>460</v>
      </c>
      <c r="F617" s="131" t="s">
        <v>11485</v>
      </c>
      <c r="G617" s="129" t="s">
        <v>11483</v>
      </c>
      <c r="H617" s="112" t="s">
        <v>9458</v>
      </c>
      <c r="I617" s="3" t="s">
        <v>13348</v>
      </c>
      <c r="J617" s="129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29" t="s">
        <v>11724</v>
      </c>
      <c r="E618" s="133">
        <v>227</v>
      </c>
      <c r="F618" s="131" t="s">
        <v>11725</v>
      </c>
      <c r="G618" s="129" t="s">
        <v>11723</v>
      </c>
      <c r="H618" s="112" t="s">
        <v>9458</v>
      </c>
      <c r="I618" s="3" t="s">
        <v>11338</v>
      </c>
      <c r="J618" s="129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29" t="s">
        <v>10248</v>
      </c>
      <c r="E619" s="133">
        <v>50</v>
      </c>
      <c r="F619" s="131" t="s">
        <v>11211</v>
      </c>
      <c r="G619" s="129" t="s">
        <v>11210</v>
      </c>
      <c r="H619" s="112" t="s">
        <v>9458</v>
      </c>
      <c r="I619" s="3" t="s">
        <v>9139</v>
      </c>
      <c r="J619" s="129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29" t="s">
        <v>10448</v>
      </c>
      <c r="E620" s="133">
        <v>472</v>
      </c>
      <c r="F620" s="131" t="s">
        <v>11214</v>
      </c>
      <c r="G620" s="129" t="s">
        <v>11213</v>
      </c>
      <c r="H620" s="112" t="s">
        <v>9458</v>
      </c>
      <c r="I620" s="3" t="s">
        <v>9118</v>
      </c>
      <c r="J620" s="129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29" t="s">
        <v>11740</v>
      </c>
      <c r="E621" s="133">
        <v>0</v>
      </c>
      <c r="F621" s="131" t="s">
        <v>11742</v>
      </c>
      <c r="G621" s="129" t="s">
        <v>11741</v>
      </c>
      <c r="H621" s="112" t="s">
        <v>9458</v>
      </c>
      <c r="I621" s="3" t="s">
        <v>10786</v>
      </c>
      <c r="J621" s="129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29" t="s">
        <v>11728</v>
      </c>
      <c r="E622" s="133">
        <v>0</v>
      </c>
      <c r="F622" s="131" t="s">
        <v>11729</v>
      </c>
      <c r="G622" s="129" t="s">
        <v>11727</v>
      </c>
      <c r="H622" s="112" t="s">
        <v>9458</v>
      </c>
      <c r="I622" s="3" t="s">
        <v>9139</v>
      </c>
      <c r="J622" s="129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29" t="s">
        <v>11140</v>
      </c>
      <c r="E623" s="133">
        <v>210</v>
      </c>
      <c r="F623" s="131" t="s">
        <v>11141</v>
      </c>
      <c r="G623" s="129" t="s">
        <v>9458</v>
      </c>
      <c r="H623" s="112" t="s">
        <v>9458</v>
      </c>
      <c r="I623" s="3" t="s">
        <v>14511</v>
      </c>
      <c r="J623" s="129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29" t="s">
        <v>11144</v>
      </c>
      <c r="E624" s="133">
        <v>3479</v>
      </c>
      <c r="F624" s="131" t="s">
        <v>11145</v>
      </c>
      <c r="G624" s="129" t="s">
        <v>9458</v>
      </c>
      <c r="H624" s="112" t="s">
        <v>9458</v>
      </c>
      <c r="I624" s="3" t="s">
        <v>14511</v>
      </c>
      <c r="J624" s="129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29" t="s">
        <v>11140</v>
      </c>
      <c r="E625" s="133">
        <v>2547</v>
      </c>
      <c r="F625" s="131" t="s">
        <v>11148</v>
      </c>
      <c r="G625" s="129" t="s">
        <v>9458</v>
      </c>
      <c r="H625" s="112" t="s">
        <v>9458</v>
      </c>
      <c r="I625" s="3" t="s">
        <v>14511</v>
      </c>
      <c r="J625" s="129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29" t="s">
        <v>11151</v>
      </c>
      <c r="E626" s="133">
        <v>1351</v>
      </c>
      <c r="F626" s="131" t="s">
        <v>11152</v>
      </c>
      <c r="G626" s="129" t="s">
        <v>9458</v>
      </c>
      <c r="H626" s="112" t="s">
        <v>9458</v>
      </c>
      <c r="I626" s="3" t="s">
        <v>14511</v>
      </c>
      <c r="J626" s="129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29" t="s">
        <v>14508</v>
      </c>
      <c r="E627" s="133">
        <v>6237</v>
      </c>
      <c r="F627" s="131" t="s">
        <v>11155</v>
      </c>
      <c r="G627" s="129" t="s">
        <v>9458</v>
      </c>
      <c r="H627" s="112" t="s">
        <v>9458</v>
      </c>
      <c r="I627" s="3" t="s">
        <v>14511</v>
      </c>
      <c r="J627" s="129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29" t="s">
        <v>11158</v>
      </c>
      <c r="E628" s="133">
        <v>3160</v>
      </c>
      <c r="F628" s="131" t="s">
        <v>11159</v>
      </c>
      <c r="G628" s="129" t="s">
        <v>9458</v>
      </c>
      <c r="H628" s="112" t="s">
        <v>9458</v>
      </c>
      <c r="I628" s="3" t="s">
        <v>14511</v>
      </c>
      <c r="J628" s="129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29" t="s">
        <v>14508</v>
      </c>
      <c r="E629" s="133">
        <v>3782</v>
      </c>
      <c r="F629" s="131" t="s">
        <v>11162</v>
      </c>
      <c r="G629" s="129" t="s">
        <v>9458</v>
      </c>
      <c r="H629" s="112" t="s">
        <v>9458</v>
      </c>
      <c r="I629" s="3" t="s">
        <v>14511</v>
      </c>
      <c r="J629" s="129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29" t="s">
        <v>11165</v>
      </c>
      <c r="E630" s="133">
        <v>2921</v>
      </c>
      <c r="F630" s="131" t="s">
        <v>11166</v>
      </c>
      <c r="G630" s="129" t="s">
        <v>9458</v>
      </c>
      <c r="H630" s="112" t="s">
        <v>9458</v>
      </c>
      <c r="I630" s="3" t="s">
        <v>14511</v>
      </c>
      <c r="J630" s="129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29" t="s">
        <v>11169</v>
      </c>
      <c r="E631" s="133">
        <v>251</v>
      </c>
      <c r="F631" s="131" t="s">
        <v>11170</v>
      </c>
      <c r="G631" s="129" t="s">
        <v>9458</v>
      </c>
      <c r="H631" s="112" t="s">
        <v>9458</v>
      </c>
      <c r="I631" s="3" t="s">
        <v>14511</v>
      </c>
      <c r="J631" s="129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29" t="s">
        <v>10606</v>
      </c>
      <c r="E632" s="133">
        <v>753</v>
      </c>
      <c r="F632" s="131" t="s">
        <v>11173</v>
      </c>
      <c r="G632" s="129" t="s">
        <v>9458</v>
      </c>
      <c r="H632" s="112" t="s">
        <v>9458</v>
      </c>
      <c r="I632" s="3" t="s">
        <v>14511</v>
      </c>
      <c r="J632" s="129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29" t="s">
        <v>10179</v>
      </c>
      <c r="E633" s="133">
        <v>3458</v>
      </c>
      <c r="F633" s="131" t="s">
        <v>11176</v>
      </c>
      <c r="G633" s="129" t="s">
        <v>9458</v>
      </c>
      <c r="H633" s="112" t="s">
        <v>9458</v>
      </c>
      <c r="I633" s="3" t="s">
        <v>14511</v>
      </c>
      <c r="J633" s="129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29" t="s">
        <v>11207</v>
      </c>
      <c r="E634" s="133">
        <v>7200</v>
      </c>
      <c r="F634" s="131" t="s">
        <v>11208</v>
      </c>
      <c r="G634" s="129" t="s">
        <v>9458</v>
      </c>
      <c r="H634" s="112" t="s">
        <v>9458</v>
      </c>
      <c r="I634" s="3" t="s">
        <v>14511</v>
      </c>
      <c r="J634" s="129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29" t="s">
        <v>11712</v>
      </c>
      <c r="E635" s="133">
        <v>690</v>
      </c>
      <c r="F635" s="131" t="s">
        <v>11713</v>
      </c>
      <c r="G635" s="129" t="s">
        <v>9458</v>
      </c>
      <c r="H635" s="112" t="s">
        <v>9458</v>
      </c>
      <c r="I635" s="3" t="s">
        <v>14511</v>
      </c>
      <c r="J635" s="129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29" t="s">
        <v>11716</v>
      </c>
      <c r="E636" s="133">
        <v>1</v>
      </c>
      <c r="F636" s="131" t="s">
        <v>11717</v>
      </c>
      <c r="G636" s="129" t="s">
        <v>9458</v>
      </c>
      <c r="H636" s="112" t="s">
        <v>9458</v>
      </c>
      <c r="I636" s="3" t="s">
        <v>14511</v>
      </c>
      <c r="J636" s="129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15331</v>
      </c>
      <c r="C637" s="3" t="s">
        <v>3</v>
      </c>
      <c r="D637" s="129" t="s">
        <v>11432</v>
      </c>
      <c r="E637" s="133">
        <v>2680</v>
      </c>
      <c r="F637" s="131" t="s">
        <v>11746</v>
      </c>
      <c r="G637" s="129" t="s">
        <v>9458</v>
      </c>
      <c r="H637" s="112" t="s">
        <v>9458</v>
      </c>
      <c r="I637" s="3" t="s">
        <v>14511</v>
      </c>
      <c r="J637" s="129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29" t="s">
        <v>9603</v>
      </c>
      <c r="E638" s="133">
        <v>381</v>
      </c>
      <c r="F638" s="131" t="s">
        <v>11749</v>
      </c>
      <c r="G638" s="129" t="s">
        <v>9458</v>
      </c>
      <c r="H638" s="112" t="s">
        <v>9458</v>
      </c>
      <c r="I638" s="3" t="s">
        <v>14511</v>
      </c>
      <c r="J638" s="129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29" t="s">
        <v>9351</v>
      </c>
      <c r="E639" s="133">
        <v>198</v>
      </c>
      <c r="F639" s="131" t="s">
        <v>11488</v>
      </c>
      <c r="G639" s="129" t="s">
        <v>11487</v>
      </c>
      <c r="H639" s="112" t="s">
        <v>9458</v>
      </c>
      <c r="I639" s="3" t="s">
        <v>11425</v>
      </c>
      <c r="J639" s="129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29" t="s">
        <v>9458</v>
      </c>
      <c r="E640" s="133">
        <v>470</v>
      </c>
      <c r="F640" s="131" t="s">
        <v>11491</v>
      </c>
      <c r="G640" s="129" t="s">
        <v>11490</v>
      </c>
      <c r="H640" s="112" t="s">
        <v>9458</v>
      </c>
      <c r="I640" s="3" t="s">
        <v>11610</v>
      </c>
      <c r="J640" s="129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29" t="s">
        <v>11217</v>
      </c>
      <c r="E641" s="133">
        <v>1069</v>
      </c>
      <c r="F641" s="131" t="s">
        <v>11218</v>
      </c>
      <c r="G641" s="129" t="s">
        <v>11216</v>
      </c>
      <c r="H641" s="112" t="s">
        <v>9458</v>
      </c>
      <c r="I641" s="3" t="s">
        <v>14614</v>
      </c>
      <c r="J641" s="129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29" t="s">
        <v>11494</v>
      </c>
      <c r="E642" s="133">
        <v>840</v>
      </c>
      <c r="F642" s="131" t="s">
        <v>11495</v>
      </c>
      <c r="G642" s="129" t="s">
        <v>11493</v>
      </c>
      <c r="H642" s="112" t="s">
        <v>9458</v>
      </c>
      <c r="I642" s="3" t="s">
        <v>11610</v>
      </c>
      <c r="J642" s="129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29" t="s">
        <v>11221</v>
      </c>
      <c r="E643" s="133">
        <v>403</v>
      </c>
      <c r="F643" s="131" t="s">
        <v>11222</v>
      </c>
      <c r="G643" s="129" t="s">
        <v>11220</v>
      </c>
      <c r="H643" s="112" t="s">
        <v>9458</v>
      </c>
      <c r="I643" s="3" t="s">
        <v>11220</v>
      </c>
      <c r="J643" s="129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29" t="s">
        <v>9360</v>
      </c>
      <c r="E644" s="133">
        <v>200</v>
      </c>
      <c r="F644" s="131" t="s">
        <v>11225</v>
      </c>
      <c r="G644" s="129" t="s">
        <v>11224</v>
      </c>
      <c r="H644" s="112" t="s">
        <v>9458</v>
      </c>
      <c r="I644" s="3" t="s">
        <v>14615</v>
      </c>
      <c r="J644" s="129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29" t="s">
        <v>11498</v>
      </c>
      <c r="E645" s="133">
        <v>137</v>
      </c>
      <c r="F645" s="131" t="s">
        <v>11499</v>
      </c>
      <c r="G645" s="129" t="s">
        <v>11497</v>
      </c>
      <c r="H645" s="112" t="s">
        <v>9458</v>
      </c>
      <c r="I645" s="3" t="s">
        <v>11525</v>
      </c>
      <c r="J645" s="129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29" t="s">
        <v>8982</v>
      </c>
      <c r="E646" s="133">
        <v>231</v>
      </c>
      <c r="F646" s="131" t="s">
        <v>11227</v>
      </c>
      <c r="G646" s="129" t="s">
        <v>14439</v>
      </c>
      <c r="H646" s="112" t="s">
        <v>9458</v>
      </c>
      <c r="I646" s="3" t="s">
        <v>10786</v>
      </c>
      <c r="J646" s="129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29" t="s">
        <v>9205</v>
      </c>
      <c r="E647" s="133">
        <v>449</v>
      </c>
      <c r="F647" s="131" t="s">
        <v>11230</v>
      </c>
      <c r="G647" s="129" t="s">
        <v>11229</v>
      </c>
      <c r="H647" s="112" t="s">
        <v>9458</v>
      </c>
      <c r="I647" s="3" t="s">
        <v>9118</v>
      </c>
      <c r="J647" s="129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29" t="s">
        <v>8974</v>
      </c>
      <c r="E648" s="133">
        <v>353</v>
      </c>
      <c r="F648" s="131" t="s">
        <v>11232</v>
      </c>
      <c r="G648" s="129" t="s">
        <v>14441</v>
      </c>
      <c r="H648" s="112" t="s">
        <v>9458</v>
      </c>
      <c r="I648" s="3" t="s">
        <v>9118</v>
      </c>
      <c r="J648" s="129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29" t="s">
        <v>9645</v>
      </c>
      <c r="E649" s="133">
        <v>631</v>
      </c>
      <c r="F649" s="131" t="s">
        <v>11235</v>
      </c>
      <c r="G649" s="129" t="s">
        <v>11234</v>
      </c>
      <c r="H649" s="112" t="s">
        <v>9458</v>
      </c>
      <c r="I649" s="3" t="s">
        <v>9118</v>
      </c>
      <c r="J649" s="129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29" t="s">
        <v>9458</v>
      </c>
      <c r="E650" s="133">
        <v>391</v>
      </c>
      <c r="F650" s="131" t="s">
        <v>11506</v>
      </c>
      <c r="G650" s="129" t="s">
        <v>11505</v>
      </c>
      <c r="H650" s="112" t="s">
        <v>9458</v>
      </c>
      <c r="I650" s="3" t="s">
        <v>11425</v>
      </c>
      <c r="J650" s="129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29" t="s">
        <v>11502</v>
      </c>
      <c r="E651" s="133">
        <v>163</v>
      </c>
      <c r="F651" s="131" t="s">
        <v>11503</v>
      </c>
      <c r="G651" s="129" t="s">
        <v>11501</v>
      </c>
      <c r="H651" s="112" t="s">
        <v>9458</v>
      </c>
      <c r="I651" s="3" t="s">
        <v>14617</v>
      </c>
      <c r="J651" s="129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29" t="s">
        <v>11238</v>
      </c>
      <c r="E652" s="133">
        <v>0</v>
      </c>
      <c r="F652" s="131" t="s">
        <v>11239</v>
      </c>
      <c r="G652" s="129" t="s">
        <v>11237</v>
      </c>
      <c r="H652" s="112" t="s">
        <v>9458</v>
      </c>
      <c r="I652" s="3" t="s">
        <v>11338</v>
      </c>
      <c r="J652" s="129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29" t="s">
        <v>11509</v>
      </c>
      <c r="E653" s="133">
        <v>470</v>
      </c>
      <c r="F653" s="131" t="s">
        <v>11510</v>
      </c>
      <c r="G653" s="129" t="s">
        <v>11508</v>
      </c>
      <c r="H653" s="112" t="s">
        <v>9458</v>
      </c>
      <c r="I653" s="3" t="s">
        <v>8930</v>
      </c>
      <c r="J653" s="129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29" t="s">
        <v>9405</v>
      </c>
      <c r="E654" s="133">
        <v>790</v>
      </c>
      <c r="F654" s="131" t="s">
        <v>11242</v>
      </c>
      <c r="G654" s="129" t="s">
        <v>11241</v>
      </c>
      <c r="H654" s="112" t="s">
        <v>9458</v>
      </c>
      <c r="I654" s="3" t="s">
        <v>9118</v>
      </c>
      <c r="J654" s="129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29" t="s">
        <v>9405</v>
      </c>
      <c r="E655" s="133">
        <v>370</v>
      </c>
      <c r="F655" s="131" t="s">
        <v>11513</v>
      </c>
      <c r="G655" s="129" t="s">
        <v>11512</v>
      </c>
      <c r="H655" s="112" t="s">
        <v>9458</v>
      </c>
      <c r="I655" s="3" t="s">
        <v>11610</v>
      </c>
      <c r="J655" s="129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29" t="s">
        <v>9050</v>
      </c>
      <c r="E656" s="133">
        <v>754</v>
      </c>
      <c r="F656" s="131" t="s">
        <v>11516</v>
      </c>
      <c r="G656" s="129" t="s">
        <v>11515</v>
      </c>
      <c r="H656" s="112" t="s">
        <v>9458</v>
      </c>
      <c r="I656" s="3" t="s">
        <v>14623</v>
      </c>
      <c r="J656" s="129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29" t="s">
        <v>9500</v>
      </c>
      <c r="E657" s="133">
        <v>205</v>
      </c>
      <c r="F657" s="131" t="s">
        <v>11519</v>
      </c>
      <c r="G657" s="129" t="s">
        <v>11518</v>
      </c>
      <c r="H657" s="112" t="s">
        <v>9458</v>
      </c>
      <c r="I657" s="3" t="s">
        <v>14623</v>
      </c>
      <c r="J657" s="129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29" t="s">
        <v>11522</v>
      </c>
      <c r="E658" s="133">
        <v>200</v>
      </c>
      <c r="F658" s="131" t="s">
        <v>11523</v>
      </c>
      <c r="G658" s="129" t="s">
        <v>11521</v>
      </c>
      <c r="H658" s="112" t="s">
        <v>9458</v>
      </c>
      <c r="I658" s="3" t="s">
        <v>14625</v>
      </c>
      <c r="J658" s="129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29" t="s">
        <v>9927</v>
      </c>
      <c r="E659" s="133">
        <v>403</v>
      </c>
      <c r="F659" s="131" t="s">
        <v>11526</v>
      </c>
      <c r="G659" s="129" t="s">
        <v>11525</v>
      </c>
      <c r="H659" s="112" t="s">
        <v>9458</v>
      </c>
      <c r="I659" s="3" t="s">
        <v>11610</v>
      </c>
      <c r="J659" s="129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29" t="s">
        <v>10380</v>
      </c>
      <c r="E660" s="133">
        <v>297</v>
      </c>
      <c r="F660" s="131" t="s">
        <v>11535</v>
      </c>
      <c r="G660" s="129" t="s">
        <v>11534</v>
      </c>
      <c r="H660" s="112" t="s">
        <v>9458</v>
      </c>
      <c r="I660" s="3" t="s">
        <v>11610</v>
      </c>
      <c r="J660" s="129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29" t="s">
        <v>9221</v>
      </c>
      <c r="E661" s="133">
        <v>316</v>
      </c>
      <c r="F661" s="131" t="s">
        <v>11538</v>
      </c>
      <c r="G661" s="129" t="s">
        <v>11537</v>
      </c>
      <c r="H661" s="112" t="s">
        <v>9458</v>
      </c>
      <c r="I661" s="3" t="s">
        <v>14624</v>
      </c>
      <c r="J661" s="129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29" t="s">
        <v>9660</v>
      </c>
      <c r="E662" s="133">
        <v>0</v>
      </c>
      <c r="F662" s="131" t="s">
        <v>11541</v>
      </c>
      <c r="G662" s="129" t="s">
        <v>11540</v>
      </c>
      <c r="H662" s="112" t="s">
        <v>9458</v>
      </c>
      <c r="I662" s="3" t="s">
        <v>11525</v>
      </c>
      <c r="J662" s="129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29" t="s">
        <v>11544</v>
      </c>
      <c r="E663" s="133">
        <v>0</v>
      </c>
      <c r="F663" s="131" t="s">
        <v>11545</v>
      </c>
      <c r="G663" s="129" t="s">
        <v>11543</v>
      </c>
      <c r="H663" s="112" t="s">
        <v>9458</v>
      </c>
      <c r="I663" s="3" t="s">
        <v>11425</v>
      </c>
      <c r="J663" s="129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29" t="s">
        <v>9713</v>
      </c>
      <c r="E664" s="133">
        <v>26</v>
      </c>
      <c r="F664" s="131" t="s">
        <v>11548</v>
      </c>
      <c r="G664" s="129" t="s">
        <v>11547</v>
      </c>
      <c r="H664" s="112" t="s">
        <v>9458</v>
      </c>
      <c r="I664" s="3" t="s">
        <v>11525</v>
      </c>
      <c r="J664" s="129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29" t="s">
        <v>11551</v>
      </c>
      <c r="E665" s="133">
        <v>485</v>
      </c>
      <c r="F665" s="131" t="s">
        <v>11552</v>
      </c>
      <c r="G665" s="129" t="s">
        <v>11550</v>
      </c>
      <c r="H665" s="112" t="s">
        <v>9458</v>
      </c>
      <c r="I665" s="3" t="s">
        <v>13348</v>
      </c>
      <c r="J665" s="129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29" t="s">
        <v>9968</v>
      </c>
      <c r="E666" s="133">
        <v>102</v>
      </c>
      <c r="F666" s="131" t="s">
        <v>11555</v>
      </c>
      <c r="G666" s="129" t="s">
        <v>11554</v>
      </c>
      <c r="H666" s="112" t="s">
        <v>9458</v>
      </c>
      <c r="I666" s="3" t="s">
        <v>11610</v>
      </c>
      <c r="J666" s="129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29" t="s">
        <v>9014</v>
      </c>
      <c r="E667" s="133">
        <v>50</v>
      </c>
      <c r="F667" s="131" t="s">
        <v>11558</v>
      </c>
      <c r="G667" s="129" t="s">
        <v>11557</v>
      </c>
      <c r="H667" s="112" t="s">
        <v>9458</v>
      </c>
      <c r="I667" s="3" t="s">
        <v>11610</v>
      </c>
      <c r="J667" s="129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29" t="s">
        <v>9014</v>
      </c>
      <c r="E668" s="133">
        <v>314</v>
      </c>
      <c r="F668" s="131" t="s">
        <v>11561</v>
      </c>
      <c r="G668" s="129" t="s">
        <v>11560</v>
      </c>
      <c r="H668" s="112" t="s">
        <v>9458</v>
      </c>
      <c r="I668" s="3" t="s">
        <v>11525</v>
      </c>
      <c r="J668" s="129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29" t="s">
        <v>9405</v>
      </c>
      <c r="E669" s="133">
        <v>373</v>
      </c>
      <c r="F669" s="131" t="s">
        <v>11571</v>
      </c>
      <c r="G669" s="129" t="s">
        <v>11570</v>
      </c>
      <c r="H669" s="112" t="s">
        <v>9458</v>
      </c>
      <c r="I669" s="3" t="s">
        <v>14624</v>
      </c>
      <c r="J669" s="129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29" t="s">
        <v>9205</v>
      </c>
      <c r="E670" s="133">
        <v>15</v>
      </c>
      <c r="F670" s="131" t="s">
        <v>11245</v>
      </c>
      <c r="G670" s="129" t="s">
        <v>11244</v>
      </c>
      <c r="H670" s="112" t="s">
        <v>9458</v>
      </c>
      <c r="I670" s="3" t="s">
        <v>9139</v>
      </c>
      <c r="J670" s="129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29" t="s">
        <v>11564</v>
      </c>
      <c r="E671" s="133">
        <v>202</v>
      </c>
      <c r="F671" s="131" t="s">
        <v>11565</v>
      </c>
      <c r="G671" s="129" t="s">
        <v>11563</v>
      </c>
      <c r="H671" s="112" t="s">
        <v>9458</v>
      </c>
      <c r="I671" s="3" t="s">
        <v>11525</v>
      </c>
      <c r="J671" s="129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29" t="s">
        <v>10448</v>
      </c>
      <c r="E672" s="133">
        <v>295</v>
      </c>
      <c r="F672" s="131" t="s">
        <v>11568</v>
      </c>
      <c r="G672" s="129" t="s">
        <v>11567</v>
      </c>
      <c r="H672" s="112" t="s">
        <v>9458</v>
      </c>
      <c r="I672" s="3" t="s">
        <v>13348</v>
      </c>
      <c r="J672" s="129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29" t="s">
        <v>8928</v>
      </c>
      <c r="E673" s="133">
        <v>531</v>
      </c>
      <c r="F673" s="131" t="s">
        <v>11251</v>
      </c>
      <c r="G673" s="129" t="s">
        <v>11250</v>
      </c>
      <c r="H673" s="112" t="s">
        <v>9458</v>
      </c>
      <c r="I673" s="3" t="s">
        <v>9139</v>
      </c>
      <c r="J673" s="129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29" t="s">
        <v>9935</v>
      </c>
      <c r="E674" s="133">
        <v>1</v>
      </c>
      <c r="F674" s="131" t="s">
        <v>11581</v>
      </c>
      <c r="G674" s="129" t="s">
        <v>11580</v>
      </c>
      <c r="H674" s="112" t="s">
        <v>9458</v>
      </c>
      <c r="I674" s="3" t="s">
        <v>14623</v>
      </c>
      <c r="J674" s="129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29" t="s">
        <v>9205</v>
      </c>
      <c r="E675" s="133">
        <v>462</v>
      </c>
      <c r="F675" s="131" t="s">
        <v>11574</v>
      </c>
      <c r="G675" s="129" t="s">
        <v>11573</v>
      </c>
      <c r="H675" s="112" t="s">
        <v>9458</v>
      </c>
      <c r="I675" s="3" t="s">
        <v>14617</v>
      </c>
      <c r="J675" s="129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29" t="s">
        <v>9139</v>
      </c>
      <c r="E676" s="133">
        <v>60</v>
      </c>
      <c r="F676" s="131" t="s">
        <v>11254</v>
      </c>
      <c r="G676" s="129" t="s">
        <v>11253</v>
      </c>
      <c r="H676" s="112" t="s">
        <v>9458</v>
      </c>
      <c r="I676" s="3" t="s">
        <v>14614</v>
      </c>
      <c r="J676" s="129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29" t="s">
        <v>11257</v>
      </c>
      <c r="E677" s="133">
        <v>184</v>
      </c>
      <c r="F677" s="131" t="s">
        <v>11258</v>
      </c>
      <c r="G677" s="129" t="s">
        <v>11256</v>
      </c>
      <c r="H677" s="112" t="s">
        <v>9458</v>
      </c>
      <c r="I677" s="3" t="s">
        <v>14614</v>
      </c>
      <c r="J677" s="129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29" t="s">
        <v>11261</v>
      </c>
      <c r="E678" s="133">
        <v>255</v>
      </c>
      <c r="F678" s="131" t="s">
        <v>11262</v>
      </c>
      <c r="G678" s="129" t="s">
        <v>11260</v>
      </c>
      <c r="H678" s="112" t="s">
        <v>9458</v>
      </c>
      <c r="I678" s="3" t="s">
        <v>9118</v>
      </c>
      <c r="J678" s="129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29" t="s">
        <v>11265</v>
      </c>
      <c r="E679" s="133">
        <v>0</v>
      </c>
      <c r="F679" s="131" t="s">
        <v>11266</v>
      </c>
      <c r="G679" s="129" t="s">
        <v>11264</v>
      </c>
      <c r="H679" s="112" t="s">
        <v>9458</v>
      </c>
      <c r="I679" s="3" t="s">
        <v>9139</v>
      </c>
      <c r="J679" s="129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29" t="s">
        <v>8983</v>
      </c>
      <c r="E680" s="133">
        <v>897</v>
      </c>
      <c r="F680" s="131" t="s">
        <v>11269</v>
      </c>
      <c r="G680" s="129" t="s">
        <v>11268</v>
      </c>
      <c r="H680" s="112" t="s">
        <v>9458</v>
      </c>
      <c r="I680" s="3" t="s">
        <v>11334</v>
      </c>
      <c r="J680" s="129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29" t="s">
        <v>11193</v>
      </c>
      <c r="E681" s="133">
        <v>1</v>
      </c>
      <c r="F681" s="131" t="s">
        <v>11248</v>
      </c>
      <c r="G681" s="129" t="s">
        <v>11247</v>
      </c>
      <c r="H681" s="112" t="s">
        <v>9458</v>
      </c>
      <c r="I681" s="3" t="s">
        <v>12822</v>
      </c>
      <c r="J681" s="129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29" t="s">
        <v>11577</v>
      </c>
      <c r="E682" s="133">
        <v>99</v>
      </c>
      <c r="F682" s="131" t="s">
        <v>11578</v>
      </c>
      <c r="G682" s="129" t="s">
        <v>11576</v>
      </c>
      <c r="H682" s="112" t="s">
        <v>9458</v>
      </c>
      <c r="I682" s="3" t="s">
        <v>8930</v>
      </c>
      <c r="J682" s="129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29" t="s">
        <v>11271</v>
      </c>
      <c r="E683" s="133">
        <v>0</v>
      </c>
      <c r="F683" s="131" t="s">
        <v>11272</v>
      </c>
      <c r="G683" s="129" t="s">
        <v>10736</v>
      </c>
      <c r="H683" s="112" t="s">
        <v>9458</v>
      </c>
      <c r="I683" s="3" t="s">
        <v>9139</v>
      </c>
      <c r="J683" s="129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29" t="s">
        <v>11584</v>
      </c>
      <c r="E684" s="133">
        <v>494</v>
      </c>
      <c r="F684" s="131" t="s">
        <v>11585</v>
      </c>
      <c r="G684" s="129" t="s">
        <v>11583</v>
      </c>
      <c r="H684" s="112" t="s">
        <v>9458</v>
      </c>
      <c r="I684" s="3" t="s">
        <v>13348</v>
      </c>
      <c r="J684" s="129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29" t="s">
        <v>11588</v>
      </c>
      <c r="E685" s="133">
        <v>266</v>
      </c>
      <c r="F685" s="131" t="s">
        <v>11589</v>
      </c>
      <c r="G685" s="129" t="s">
        <v>11587</v>
      </c>
      <c r="H685" s="112" t="s">
        <v>9458</v>
      </c>
      <c r="I685" s="3" t="s">
        <v>14625</v>
      </c>
      <c r="J685" s="129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29" t="s">
        <v>9266</v>
      </c>
      <c r="E686" s="133">
        <v>44</v>
      </c>
      <c r="F686" s="131" t="s">
        <v>11275</v>
      </c>
      <c r="G686" s="129" t="s">
        <v>11274</v>
      </c>
      <c r="H686" s="112" t="s">
        <v>9458</v>
      </c>
      <c r="I686" s="3" t="s">
        <v>11338</v>
      </c>
      <c r="J686" s="129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29" t="s">
        <v>11607</v>
      </c>
      <c r="E687" s="133">
        <v>174</v>
      </c>
      <c r="F687" s="131" t="s">
        <v>11608</v>
      </c>
      <c r="G687" s="129" t="s">
        <v>11606</v>
      </c>
      <c r="H687" s="112" t="s">
        <v>9458</v>
      </c>
      <c r="I687" s="3" t="s">
        <v>11425</v>
      </c>
      <c r="J687" s="129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29" t="s">
        <v>9935</v>
      </c>
      <c r="E688" s="133">
        <v>205</v>
      </c>
      <c r="F688" s="131" t="s">
        <v>11278</v>
      </c>
      <c r="G688" s="129" t="s">
        <v>11277</v>
      </c>
      <c r="H688" s="112" t="s">
        <v>9458</v>
      </c>
      <c r="I688" s="3" t="s">
        <v>11338</v>
      </c>
      <c r="J688" s="129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29" t="s">
        <v>11280</v>
      </c>
      <c r="E689" s="133">
        <v>246</v>
      </c>
      <c r="F689" s="131" t="s">
        <v>11281</v>
      </c>
      <c r="G689" s="129" t="s">
        <v>14442</v>
      </c>
      <c r="H689" s="112" t="s">
        <v>9458</v>
      </c>
      <c r="I689" s="3" t="s">
        <v>14616</v>
      </c>
      <c r="J689" s="129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29" t="s">
        <v>9627</v>
      </c>
      <c r="E690" s="133">
        <v>751</v>
      </c>
      <c r="F690" s="131" t="s">
        <v>11592</v>
      </c>
      <c r="G690" s="129" t="s">
        <v>11591</v>
      </c>
      <c r="H690" s="112" t="s">
        <v>9458</v>
      </c>
      <c r="I690" s="3" t="s">
        <v>14624</v>
      </c>
      <c r="J690" s="129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29" t="s">
        <v>11284</v>
      </c>
      <c r="E691" s="133">
        <v>332</v>
      </c>
      <c r="F691" s="131" t="s">
        <v>11285</v>
      </c>
      <c r="G691" s="129" t="s">
        <v>11283</v>
      </c>
      <c r="H691" s="112" t="s">
        <v>9458</v>
      </c>
      <c r="I691" s="3" t="s">
        <v>9118</v>
      </c>
      <c r="J691" s="129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29" t="s">
        <v>11288</v>
      </c>
      <c r="E692" s="133">
        <v>51</v>
      </c>
      <c r="F692" s="131" t="s">
        <v>11289</v>
      </c>
      <c r="G692" s="129" t="s">
        <v>11287</v>
      </c>
      <c r="H692" s="112" t="s">
        <v>9458</v>
      </c>
      <c r="I692" s="3" t="s">
        <v>9118</v>
      </c>
      <c r="J692" s="129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29" t="s">
        <v>11595</v>
      </c>
      <c r="E693" s="133">
        <v>495</v>
      </c>
      <c r="F693" s="131" t="s">
        <v>11596</v>
      </c>
      <c r="G693" s="129" t="s">
        <v>11594</v>
      </c>
      <c r="H693" s="112" t="s">
        <v>9458</v>
      </c>
      <c r="I693" s="3" t="s">
        <v>11610</v>
      </c>
      <c r="J693" s="129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29" t="s">
        <v>11292</v>
      </c>
      <c r="E694" s="133">
        <v>0</v>
      </c>
      <c r="F694" s="131" t="s">
        <v>11293</v>
      </c>
      <c r="G694" s="129" t="s">
        <v>11291</v>
      </c>
      <c r="H694" s="112" t="s">
        <v>9458</v>
      </c>
      <c r="I694" s="3" t="s">
        <v>14617</v>
      </c>
      <c r="J694" s="129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29" t="s">
        <v>11603</v>
      </c>
      <c r="E695" s="133">
        <v>330</v>
      </c>
      <c r="F695" s="131" t="s">
        <v>11604</v>
      </c>
      <c r="G695" s="129" t="s">
        <v>11602</v>
      </c>
      <c r="H695" s="112" t="s">
        <v>9458</v>
      </c>
      <c r="I695" s="3" t="s">
        <v>14617</v>
      </c>
      <c r="J695" s="129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29" t="s">
        <v>11599</v>
      </c>
      <c r="E696" s="133">
        <v>598</v>
      </c>
      <c r="F696" s="131" t="s">
        <v>11600</v>
      </c>
      <c r="G696" s="129" t="s">
        <v>11598</v>
      </c>
      <c r="H696" s="112" t="s">
        <v>9458</v>
      </c>
      <c r="I696" s="3" t="s">
        <v>11610</v>
      </c>
      <c r="J696" s="129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29" t="s">
        <v>11296</v>
      </c>
      <c r="E697" s="133">
        <v>758</v>
      </c>
      <c r="F697" s="131" t="s">
        <v>11297</v>
      </c>
      <c r="G697" s="129" t="s">
        <v>11295</v>
      </c>
      <c r="H697" s="112" t="s">
        <v>9458</v>
      </c>
      <c r="I697" s="3" t="s">
        <v>11338</v>
      </c>
      <c r="J697" s="129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29" t="s">
        <v>11422</v>
      </c>
      <c r="E698" s="133">
        <v>518</v>
      </c>
      <c r="F698" s="131" t="s">
        <v>11423</v>
      </c>
      <c r="G698" s="129" t="s">
        <v>14443</v>
      </c>
      <c r="H698" s="112" t="s">
        <v>9458</v>
      </c>
      <c r="I698" s="3" t="s">
        <v>10786</v>
      </c>
      <c r="J698" s="129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29" t="s">
        <v>8983</v>
      </c>
      <c r="E699" s="133">
        <v>401</v>
      </c>
      <c r="F699" s="131" t="s">
        <v>11744</v>
      </c>
      <c r="G699" s="129" t="s">
        <v>9474</v>
      </c>
      <c r="H699" s="112" t="s">
        <v>9458</v>
      </c>
      <c r="I699" s="3" t="s">
        <v>9139</v>
      </c>
      <c r="J699" s="129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29" t="s">
        <v>10606</v>
      </c>
      <c r="E700" s="133">
        <v>352</v>
      </c>
      <c r="F700" s="131" t="s">
        <v>11611</v>
      </c>
      <c r="G700" s="129" t="s">
        <v>11610</v>
      </c>
      <c r="H700" s="112" t="s">
        <v>9458</v>
      </c>
      <c r="I700" s="3" t="s">
        <v>11610</v>
      </c>
      <c r="J700" s="129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29" t="s">
        <v>9530</v>
      </c>
      <c r="E701" s="133">
        <v>283</v>
      </c>
      <c r="F701" s="131" t="s">
        <v>11303</v>
      </c>
      <c r="G701" s="129" t="s">
        <v>11302</v>
      </c>
      <c r="H701" s="112" t="s">
        <v>9458</v>
      </c>
      <c r="I701" s="3" t="s">
        <v>9118</v>
      </c>
      <c r="J701" s="129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29" t="s">
        <v>5784</v>
      </c>
      <c r="E702" s="133">
        <v>301</v>
      </c>
      <c r="F702" s="131" t="s">
        <v>11614</v>
      </c>
      <c r="G702" s="129" t="s">
        <v>11613</v>
      </c>
      <c r="H702" s="112" t="s">
        <v>9458</v>
      </c>
      <c r="I702" s="3" t="s">
        <v>11525</v>
      </c>
      <c r="J702" s="129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29" t="s">
        <v>11784</v>
      </c>
      <c r="E703" s="133">
        <v>6</v>
      </c>
      <c r="F703" s="131" t="s">
        <v>11785</v>
      </c>
      <c r="G703" s="129" t="s">
        <v>11783</v>
      </c>
      <c r="H703" s="112" t="s">
        <v>9458</v>
      </c>
      <c r="I703" s="3" t="s">
        <v>9139</v>
      </c>
      <c r="J703" s="129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29" t="s">
        <v>9660</v>
      </c>
      <c r="E704" s="133">
        <v>707</v>
      </c>
      <c r="F704" s="131" t="s">
        <v>11300</v>
      </c>
      <c r="G704" s="129" t="s">
        <v>11299</v>
      </c>
      <c r="H704" s="112" t="s">
        <v>9458</v>
      </c>
      <c r="I704" s="3" t="s">
        <v>14618</v>
      </c>
      <c r="J704" s="129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29" t="s">
        <v>10904</v>
      </c>
      <c r="E705" s="133">
        <v>150</v>
      </c>
      <c r="F705" s="131" t="s">
        <v>11305</v>
      </c>
      <c r="G705" s="129" t="s">
        <v>10255</v>
      </c>
      <c r="H705" s="112" t="s">
        <v>9458</v>
      </c>
      <c r="I705" s="3" t="s">
        <v>9118</v>
      </c>
      <c r="J705" s="129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29" t="s">
        <v>9360</v>
      </c>
      <c r="E706" s="133">
        <v>462</v>
      </c>
      <c r="F706" s="131" t="s">
        <v>11617</v>
      </c>
      <c r="G706" s="129" t="s">
        <v>11616</v>
      </c>
      <c r="H706" s="112" t="s">
        <v>9458</v>
      </c>
      <c r="I706" s="3" t="s">
        <v>11610</v>
      </c>
      <c r="J706" s="129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29" t="s">
        <v>11308</v>
      </c>
      <c r="E707" s="133">
        <v>223</v>
      </c>
      <c r="F707" s="131" t="s">
        <v>11309</v>
      </c>
      <c r="G707" s="129" t="s">
        <v>11307</v>
      </c>
      <c r="H707" s="112" t="s">
        <v>9458</v>
      </c>
      <c r="I707" s="3" t="s">
        <v>11334</v>
      </c>
      <c r="J707" s="129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29" t="s">
        <v>11620</v>
      </c>
      <c r="E708" s="133">
        <v>1441</v>
      </c>
      <c r="F708" s="131" t="s">
        <v>11621</v>
      </c>
      <c r="G708" s="129" t="s">
        <v>11619</v>
      </c>
      <c r="H708" s="112" t="s">
        <v>9458</v>
      </c>
      <c r="I708" s="3" t="s">
        <v>13348</v>
      </c>
      <c r="J708" s="129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29" t="s">
        <v>9919</v>
      </c>
      <c r="E709" s="133">
        <v>248</v>
      </c>
      <c r="F709" s="131" t="s">
        <v>11624</v>
      </c>
      <c r="G709" s="129" t="s">
        <v>11623</v>
      </c>
      <c r="H709" s="112" t="s">
        <v>9458</v>
      </c>
      <c r="I709" s="3" t="s">
        <v>13348</v>
      </c>
      <c r="J709" s="129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29" t="s">
        <v>14503</v>
      </c>
      <c r="E710" s="133">
        <v>964</v>
      </c>
      <c r="F710" s="131" t="s">
        <v>11312</v>
      </c>
      <c r="G710" s="129" t="s">
        <v>11311</v>
      </c>
      <c r="H710" s="112" t="s">
        <v>9458</v>
      </c>
      <c r="I710" s="3" t="s">
        <v>9118</v>
      </c>
      <c r="J710" s="129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29" t="s">
        <v>11627</v>
      </c>
      <c r="E711" s="133">
        <v>25</v>
      </c>
      <c r="F711" s="131" t="s">
        <v>11628</v>
      </c>
      <c r="G711" s="129" t="s">
        <v>11626</v>
      </c>
      <c r="H711" s="112" t="s">
        <v>9458</v>
      </c>
      <c r="I711" s="3" t="s">
        <v>13348</v>
      </c>
      <c r="J711" s="129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29" t="s">
        <v>9477</v>
      </c>
      <c r="E712" s="133">
        <v>18</v>
      </c>
      <c r="F712" s="131" t="s">
        <v>11788</v>
      </c>
      <c r="G712" s="129" t="s">
        <v>11787</v>
      </c>
      <c r="H712" s="112" t="s">
        <v>9458</v>
      </c>
      <c r="I712" s="3" t="s">
        <v>14618</v>
      </c>
      <c r="J712" s="129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29" t="s">
        <v>9603</v>
      </c>
      <c r="E713" s="133">
        <v>802</v>
      </c>
      <c r="F713" s="131" t="s">
        <v>11315</v>
      </c>
      <c r="G713" s="129" t="s">
        <v>11314</v>
      </c>
      <c r="H713" s="112" t="s">
        <v>9458</v>
      </c>
      <c r="I713" s="3" t="s">
        <v>11334</v>
      </c>
      <c r="J713" s="129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29" t="s">
        <v>9246</v>
      </c>
      <c r="E714" s="133">
        <v>297</v>
      </c>
      <c r="F714" s="131" t="s">
        <v>11631</v>
      </c>
      <c r="G714" s="129" t="s">
        <v>11630</v>
      </c>
      <c r="H714" s="112" t="s">
        <v>9458</v>
      </c>
      <c r="I714" s="3" t="s">
        <v>14624</v>
      </c>
      <c r="J714" s="129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29" t="s">
        <v>9050</v>
      </c>
      <c r="E715" s="133">
        <v>709</v>
      </c>
      <c r="F715" s="131" t="s">
        <v>11318</v>
      </c>
      <c r="G715" s="129" t="s">
        <v>11317</v>
      </c>
      <c r="H715" s="112" t="s">
        <v>9458</v>
      </c>
      <c r="I715" s="3" t="s">
        <v>11338</v>
      </c>
      <c r="J715" s="129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29" t="s">
        <v>9401</v>
      </c>
      <c r="E716" s="133">
        <v>398</v>
      </c>
      <c r="F716" s="131" t="s">
        <v>11633</v>
      </c>
      <c r="G716" s="129" t="s">
        <v>14444</v>
      </c>
      <c r="H716" s="112" t="s">
        <v>9458</v>
      </c>
      <c r="I716" s="3" t="s">
        <v>13348</v>
      </c>
      <c r="J716" s="129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29" t="s">
        <v>11257</v>
      </c>
      <c r="E717" s="133">
        <v>433</v>
      </c>
      <c r="F717" s="131" t="s">
        <v>11636</v>
      </c>
      <c r="G717" s="129" t="s">
        <v>11635</v>
      </c>
      <c r="H717" s="112" t="s">
        <v>9458</v>
      </c>
      <c r="I717" s="3" t="s">
        <v>13348</v>
      </c>
      <c r="J717" s="129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29" t="s">
        <v>11732</v>
      </c>
      <c r="E718" s="133">
        <v>1</v>
      </c>
      <c r="F718" s="131" t="s">
        <v>11733</v>
      </c>
      <c r="G718" s="129" t="s">
        <v>11731</v>
      </c>
      <c r="H718" s="112" t="s">
        <v>9458</v>
      </c>
      <c r="I718" s="3" t="s">
        <v>11220</v>
      </c>
      <c r="J718" s="129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29" t="s">
        <v>8974</v>
      </c>
      <c r="E719" s="133">
        <v>112</v>
      </c>
      <c r="F719" s="131" t="s">
        <v>11321</v>
      </c>
      <c r="G719" s="129" t="s">
        <v>9864</v>
      </c>
      <c r="H719" s="112" t="s">
        <v>9458</v>
      </c>
      <c r="I719" s="3" t="s">
        <v>11338</v>
      </c>
      <c r="J719" s="129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29" t="s">
        <v>9050</v>
      </c>
      <c r="E720" s="133">
        <v>557</v>
      </c>
      <c r="F720" s="131" t="s">
        <v>11323</v>
      </c>
      <c r="G720" s="129" t="s">
        <v>14445</v>
      </c>
      <c r="H720" s="112" t="s">
        <v>9458</v>
      </c>
      <c r="I720" s="3" t="s">
        <v>9118</v>
      </c>
      <c r="J720" s="129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29" t="s">
        <v>9221</v>
      </c>
      <c r="E721" s="133">
        <v>1</v>
      </c>
      <c r="F721" s="131" t="s">
        <v>11326</v>
      </c>
      <c r="G721" s="129" t="s">
        <v>11325</v>
      </c>
      <c r="H721" s="112" t="s">
        <v>9458</v>
      </c>
      <c r="I721" s="3" t="s">
        <v>11338</v>
      </c>
      <c r="J721" s="129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29" t="s">
        <v>9477</v>
      </c>
      <c r="E722" s="133">
        <v>63</v>
      </c>
      <c r="F722" s="131" t="s">
        <v>11329</v>
      </c>
      <c r="G722" s="129" t="s">
        <v>11328</v>
      </c>
      <c r="H722" s="112" t="s">
        <v>9458</v>
      </c>
      <c r="I722" s="3" t="s">
        <v>14615</v>
      </c>
      <c r="J722" s="129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29" t="s">
        <v>9660</v>
      </c>
      <c r="E723" s="133">
        <v>4444</v>
      </c>
      <c r="F723" s="131" t="s">
        <v>11332</v>
      </c>
      <c r="G723" s="129" t="s">
        <v>11331</v>
      </c>
      <c r="H723" s="112" t="s">
        <v>9458</v>
      </c>
      <c r="I723" s="3" t="s">
        <v>9139</v>
      </c>
      <c r="J723" s="129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29" t="s">
        <v>9935</v>
      </c>
      <c r="E724" s="133">
        <v>624</v>
      </c>
      <c r="F724" s="131" t="s">
        <v>11426</v>
      </c>
      <c r="G724" s="129" t="s">
        <v>11425</v>
      </c>
      <c r="H724" s="112" t="s">
        <v>9458</v>
      </c>
      <c r="I724" s="3" t="s">
        <v>11425</v>
      </c>
      <c r="J724" s="129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29" t="s">
        <v>10215</v>
      </c>
      <c r="E725" s="133">
        <v>484</v>
      </c>
      <c r="F725" s="131" t="s">
        <v>11429</v>
      </c>
      <c r="G725" s="129" t="s">
        <v>11425</v>
      </c>
      <c r="H725" s="112" t="s">
        <v>9458</v>
      </c>
      <c r="I725" s="3" t="s">
        <v>11425</v>
      </c>
      <c r="J725" s="129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29" t="s">
        <v>11432</v>
      </c>
      <c r="E726" s="133">
        <v>1982</v>
      </c>
      <c r="F726" s="131" t="s">
        <v>11433</v>
      </c>
      <c r="G726" s="129" t="s">
        <v>11425</v>
      </c>
      <c r="H726" s="112" t="s">
        <v>9458</v>
      </c>
      <c r="I726" s="3" t="s">
        <v>11425</v>
      </c>
      <c r="J726" s="129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29" t="s">
        <v>11436</v>
      </c>
      <c r="E727" s="133">
        <v>1044</v>
      </c>
      <c r="F727" s="131" t="s">
        <v>11437</v>
      </c>
      <c r="G727" s="129" t="s">
        <v>11425</v>
      </c>
      <c r="H727" s="112" t="s">
        <v>9458</v>
      </c>
      <c r="I727" s="3" t="s">
        <v>11425</v>
      </c>
      <c r="J727" s="129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29" t="s">
        <v>11720</v>
      </c>
      <c r="E728" s="133">
        <v>0</v>
      </c>
      <c r="F728" s="131" t="s">
        <v>11721</v>
      </c>
      <c r="G728" s="129" t="s">
        <v>11425</v>
      </c>
      <c r="H728" s="112" t="s">
        <v>9458</v>
      </c>
      <c r="I728" s="3" t="s">
        <v>11425</v>
      </c>
      <c r="J728" s="129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29" t="s">
        <v>11335</v>
      </c>
      <c r="E729" s="133">
        <v>43</v>
      </c>
      <c r="F729" s="131" t="s">
        <v>11336</v>
      </c>
      <c r="G729" s="129" t="s">
        <v>11334</v>
      </c>
      <c r="H729" s="112" t="s">
        <v>9458</v>
      </c>
      <c r="I729" s="3" t="s">
        <v>11334</v>
      </c>
      <c r="J729" s="129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29" t="s">
        <v>9477</v>
      </c>
      <c r="E730" s="133">
        <v>1193</v>
      </c>
      <c r="F730" s="131" t="s">
        <v>11339</v>
      </c>
      <c r="G730" s="129" t="s">
        <v>11338</v>
      </c>
      <c r="H730" s="112" t="s">
        <v>9458</v>
      </c>
      <c r="I730" s="3" t="s">
        <v>11338</v>
      </c>
      <c r="J730" s="129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29" t="s">
        <v>11639</v>
      </c>
      <c r="E731" s="133">
        <v>81</v>
      </c>
      <c r="F731" s="131" t="s">
        <v>11640</v>
      </c>
      <c r="G731" s="129" t="s">
        <v>11638</v>
      </c>
      <c r="H731" s="112" t="s">
        <v>9458</v>
      </c>
      <c r="I731" s="3" t="s">
        <v>14624</v>
      </c>
      <c r="J731" s="129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29" t="s">
        <v>9221</v>
      </c>
      <c r="E732" s="133">
        <v>499</v>
      </c>
      <c r="F732" s="131" t="s">
        <v>11345</v>
      </c>
      <c r="G732" s="129" t="s">
        <v>11344</v>
      </c>
      <c r="H732" s="112" t="s">
        <v>9458</v>
      </c>
      <c r="I732" s="3" t="s">
        <v>9118</v>
      </c>
      <c r="J732" s="129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29" t="s">
        <v>11770</v>
      </c>
      <c r="E733" s="133">
        <v>417</v>
      </c>
      <c r="F733" s="131" t="s">
        <v>11771</v>
      </c>
      <c r="G733" s="129" t="s">
        <v>11769</v>
      </c>
      <c r="H733" s="112" t="s">
        <v>9458</v>
      </c>
      <c r="I733" s="3" t="s">
        <v>9139</v>
      </c>
      <c r="J733" s="129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29" t="s">
        <v>11207</v>
      </c>
      <c r="E734" s="133">
        <v>305</v>
      </c>
      <c r="F734" s="131" t="s">
        <v>11342</v>
      </c>
      <c r="G734" s="129" t="s">
        <v>11341</v>
      </c>
      <c r="H734" s="112" t="s">
        <v>9458</v>
      </c>
      <c r="I734" s="3" t="s">
        <v>14619</v>
      </c>
      <c r="J734" s="129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29" t="s">
        <v>10790</v>
      </c>
      <c r="E735" s="133">
        <v>235</v>
      </c>
      <c r="F735" s="131" t="s">
        <v>11348</v>
      </c>
      <c r="G735" s="129" t="s">
        <v>11347</v>
      </c>
      <c r="H735" s="112" t="s">
        <v>9458</v>
      </c>
      <c r="I735" s="3" t="s">
        <v>9139</v>
      </c>
      <c r="J735" s="129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29" t="s">
        <v>8974</v>
      </c>
      <c r="E736" s="133">
        <v>405</v>
      </c>
      <c r="F736" s="131" t="s">
        <v>11647</v>
      </c>
      <c r="G736" s="129" t="s">
        <v>11646</v>
      </c>
      <c r="H736" s="112" t="s">
        <v>9458</v>
      </c>
      <c r="I736" s="3" t="s">
        <v>11425</v>
      </c>
      <c r="J736" s="129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29" t="s">
        <v>9339</v>
      </c>
      <c r="E737" s="133">
        <v>201</v>
      </c>
      <c r="F737" s="131" t="s">
        <v>11644</v>
      </c>
      <c r="G737" s="129" t="s">
        <v>11643</v>
      </c>
      <c r="H737" s="112" t="s">
        <v>9458</v>
      </c>
      <c r="I737" s="3" t="s">
        <v>14617</v>
      </c>
      <c r="J737" s="129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29" t="s">
        <v>9458</v>
      </c>
      <c r="E738" s="133">
        <v>45</v>
      </c>
      <c r="F738" s="131" t="s">
        <v>11650</v>
      </c>
      <c r="G738" s="129" t="s">
        <v>11649</v>
      </c>
      <c r="H738" s="112" t="s">
        <v>9458</v>
      </c>
      <c r="I738" s="3" t="s">
        <v>11425</v>
      </c>
      <c r="J738" s="129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29" t="s">
        <v>8983</v>
      </c>
      <c r="E739" s="133">
        <v>230</v>
      </c>
      <c r="F739" s="131" t="s">
        <v>11352</v>
      </c>
      <c r="G739" s="129" t="s">
        <v>11351</v>
      </c>
      <c r="H739" s="112" t="s">
        <v>9458</v>
      </c>
      <c r="I739" s="3" t="s">
        <v>14587</v>
      </c>
      <c r="J739" s="129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29" t="s">
        <v>9513</v>
      </c>
      <c r="E740" s="133">
        <v>198</v>
      </c>
      <c r="F740" s="131" t="s">
        <v>11355</v>
      </c>
      <c r="G740" s="129" t="s">
        <v>11354</v>
      </c>
      <c r="H740" s="112" t="s">
        <v>9458</v>
      </c>
      <c r="I740" s="3" t="s">
        <v>9118</v>
      </c>
      <c r="J740" s="129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29" t="s">
        <v>11419</v>
      </c>
      <c r="E741" s="133">
        <v>0</v>
      </c>
      <c r="F741" s="131" t="s">
        <v>11420</v>
      </c>
      <c r="G741" s="129" t="s">
        <v>15345</v>
      </c>
      <c r="H741" s="112" t="s">
        <v>9458</v>
      </c>
      <c r="I741" s="3" t="s">
        <v>14622</v>
      </c>
      <c r="J741" s="129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29" t="s">
        <v>9660</v>
      </c>
      <c r="E742" s="133">
        <v>533</v>
      </c>
      <c r="F742" s="131" t="s">
        <v>11359</v>
      </c>
      <c r="G742" s="129" t="s">
        <v>11358</v>
      </c>
      <c r="H742" s="112" t="s">
        <v>9458</v>
      </c>
      <c r="I742" s="3" t="s">
        <v>14620</v>
      </c>
      <c r="J742" s="129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29" t="s">
        <v>9484</v>
      </c>
      <c r="E743" s="133">
        <v>841</v>
      </c>
      <c r="F743" s="131" t="s">
        <v>11363</v>
      </c>
      <c r="G743" s="129" t="s">
        <v>11362</v>
      </c>
      <c r="H743" s="112" t="s">
        <v>9458</v>
      </c>
      <c r="I743" s="3" t="s">
        <v>11220</v>
      </c>
      <c r="J743" s="129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29" t="s">
        <v>10782</v>
      </c>
      <c r="E744" s="133">
        <v>1100</v>
      </c>
      <c r="F744" s="131" t="s">
        <v>11653</v>
      </c>
      <c r="G744" s="129" t="s">
        <v>11652</v>
      </c>
      <c r="H744" s="112" t="s">
        <v>9458</v>
      </c>
      <c r="I744" s="3" t="s">
        <v>13348</v>
      </c>
      <c r="J744" s="129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29" t="s">
        <v>11509</v>
      </c>
      <c r="E745" s="133">
        <v>538</v>
      </c>
      <c r="F745" s="131" t="s">
        <v>11656</v>
      </c>
      <c r="G745" s="129" t="s">
        <v>11655</v>
      </c>
      <c r="H745" s="112" t="s">
        <v>9458</v>
      </c>
      <c r="I745" s="3" t="s">
        <v>14623</v>
      </c>
      <c r="J745" s="129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29" t="s">
        <v>11663</v>
      </c>
      <c r="E746" s="133">
        <v>170</v>
      </c>
      <c r="F746" s="131" t="s">
        <v>11665</v>
      </c>
      <c r="G746" s="129" t="s">
        <v>11664</v>
      </c>
      <c r="H746" s="112" t="s">
        <v>9458</v>
      </c>
      <c r="I746" s="3" t="s">
        <v>14617</v>
      </c>
      <c r="J746" s="129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29" t="s">
        <v>8974</v>
      </c>
      <c r="E747" s="133">
        <v>650</v>
      </c>
      <c r="F747" s="131" t="s">
        <v>11367</v>
      </c>
      <c r="G747" s="129" t="s">
        <v>11366</v>
      </c>
      <c r="H747" s="112" t="s">
        <v>9458</v>
      </c>
      <c r="I747" s="3" t="s">
        <v>11334</v>
      </c>
      <c r="J747" s="129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29" t="s">
        <v>9747</v>
      </c>
      <c r="E748" s="133">
        <v>1105</v>
      </c>
      <c r="F748" s="131" t="s">
        <v>11370</v>
      </c>
      <c r="G748" s="129" t="s">
        <v>11369</v>
      </c>
      <c r="H748" s="112" t="s">
        <v>9458</v>
      </c>
      <c r="I748" s="3" t="s">
        <v>11338</v>
      </c>
      <c r="J748" s="129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29" t="s">
        <v>11373</v>
      </c>
      <c r="E749" s="133">
        <v>98</v>
      </c>
      <c r="F749" s="131" t="s">
        <v>11375</v>
      </c>
      <c r="G749" s="129" t="s">
        <v>11374</v>
      </c>
      <c r="H749" s="112" t="s">
        <v>9458</v>
      </c>
      <c r="I749" s="3" t="s">
        <v>9118</v>
      </c>
      <c r="J749" s="129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29" t="s">
        <v>8983</v>
      </c>
      <c r="E750" s="133">
        <v>953</v>
      </c>
      <c r="F750" s="131" t="s">
        <v>11774</v>
      </c>
      <c r="G750" s="129" t="s">
        <v>11773</v>
      </c>
      <c r="H750" s="112" t="s">
        <v>9458</v>
      </c>
      <c r="I750" s="3" t="s">
        <v>14621</v>
      </c>
      <c r="J750" s="129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29" t="s">
        <v>11659</v>
      </c>
      <c r="E751" s="133">
        <v>350</v>
      </c>
      <c r="F751" s="131" t="s">
        <v>11660</v>
      </c>
      <c r="G751" s="129" t="s">
        <v>11658</v>
      </c>
      <c r="H751" s="112" t="s">
        <v>9458</v>
      </c>
      <c r="I751" s="3" t="s">
        <v>14625</v>
      </c>
      <c r="J751" s="129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29" t="s">
        <v>9935</v>
      </c>
      <c r="E752" s="133">
        <v>152</v>
      </c>
      <c r="F752" s="131" t="s">
        <v>11378</v>
      </c>
      <c r="G752" s="129" t="s">
        <v>11377</v>
      </c>
      <c r="H752" s="112" t="s">
        <v>9458</v>
      </c>
      <c r="I752" s="3" t="s">
        <v>11220</v>
      </c>
      <c r="J752" s="129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29" t="s">
        <v>11736</v>
      </c>
      <c r="E753" s="133">
        <v>0</v>
      </c>
      <c r="F753" s="131" t="s">
        <v>11737</v>
      </c>
      <c r="G753" s="129" t="s">
        <v>11735</v>
      </c>
      <c r="H753" s="112" t="s">
        <v>9458</v>
      </c>
      <c r="I753" s="3" t="s">
        <v>14616</v>
      </c>
      <c r="J753" s="129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29" t="s">
        <v>9050</v>
      </c>
      <c r="E754" s="133">
        <v>1</v>
      </c>
      <c r="F754" s="131" t="s">
        <v>11791</v>
      </c>
      <c r="G754" s="129" t="s">
        <v>11790</v>
      </c>
      <c r="H754" s="112" t="s">
        <v>9458</v>
      </c>
      <c r="I754" s="3" t="s">
        <v>14616</v>
      </c>
      <c r="J754" s="129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29" t="s">
        <v>9652</v>
      </c>
      <c r="E755" s="133">
        <v>1</v>
      </c>
      <c r="F755" s="131" t="s">
        <v>11668</v>
      </c>
      <c r="G755" s="129" t="s">
        <v>11667</v>
      </c>
      <c r="H755" s="112" t="s">
        <v>9458</v>
      </c>
      <c r="I755" s="3" t="s">
        <v>14624</v>
      </c>
      <c r="J755" s="129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29" t="s">
        <v>8928</v>
      </c>
      <c r="E756" s="133">
        <v>314</v>
      </c>
      <c r="F756" s="131" t="s">
        <v>11381</v>
      </c>
      <c r="G756" s="129" t="s">
        <v>11380</v>
      </c>
      <c r="H756" s="112" t="s">
        <v>9458</v>
      </c>
      <c r="I756" s="3" t="s">
        <v>14614</v>
      </c>
      <c r="J756" s="129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29" t="s">
        <v>11752</v>
      </c>
      <c r="E757" s="133">
        <v>398</v>
      </c>
      <c r="F757" s="131" t="s">
        <v>11753</v>
      </c>
      <c r="G757" s="129" t="s">
        <v>11751</v>
      </c>
      <c r="H757" s="112" t="s">
        <v>9458</v>
      </c>
      <c r="I757" s="3" t="s">
        <v>8930</v>
      </c>
      <c r="J757" s="129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29" t="s">
        <v>9058</v>
      </c>
      <c r="E758" s="133">
        <v>1</v>
      </c>
      <c r="F758" s="131" t="s">
        <v>11781</v>
      </c>
      <c r="G758" s="129" t="s">
        <v>11780</v>
      </c>
      <c r="H758" s="112" t="s">
        <v>9458</v>
      </c>
      <c r="I758" s="3" t="s">
        <v>10786</v>
      </c>
      <c r="J758" s="129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15332</v>
      </c>
      <c r="C759" s="3" t="s">
        <v>3</v>
      </c>
      <c r="D759" s="129" t="s">
        <v>11383</v>
      </c>
      <c r="E759" s="133">
        <v>111</v>
      </c>
      <c r="F759" s="131" t="s">
        <v>11385</v>
      </c>
      <c r="G759" s="129" t="s">
        <v>11384</v>
      </c>
      <c r="H759" s="112" t="s">
        <v>9458</v>
      </c>
      <c r="I759" s="3" t="s">
        <v>9118</v>
      </c>
      <c r="J759" s="129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29" t="s">
        <v>10380</v>
      </c>
      <c r="E760" s="133">
        <v>51</v>
      </c>
      <c r="F760" s="131" t="s">
        <v>11671</v>
      </c>
      <c r="G760" s="129" t="s">
        <v>11670</v>
      </c>
      <c r="H760" s="112" t="s">
        <v>9458</v>
      </c>
      <c r="I760" s="3" t="s">
        <v>14623</v>
      </c>
      <c r="J760" s="129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29" t="s">
        <v>9660</v>
      </c>
      <c r="E761" s="133">
        <v>2035</v>
      </c>
      <c r="F761" s="131" t="s">
        <v>11388</v>
      </c>
      <c r="G761" s="129" t="s">
        <v>11387</v>
      </c>
      <c r="H761" s="112" t="s">
        <v>9458</v>
      </c>
      <c r="I761" s="3" t="s">
        <v>9139</v>
      </c>
      <c r="J761" s="129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29" t="s">
        <v>11677</v>
      </c>
      <c r="E762" s="133">
        <v>630</v>
      </c>
      <c r="F762" s="131" t="s">
        <v>11678</v>
      </c>
      <c r="G762" s="129" t="s">
        <v>14446</v>
      </c>
      <c r="H762" s="112" t="s">
        <v>9458</v>
      </c>
      <c r="I762" s="3" t="s">
        <v>11425</v>
      </c>
      <c r="J762" s="129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29" t="s">
        <v>11391</v>
      </c>
      <c r="E763" s="133">
        <v>61</v>
      </c>
      <c r="F763" s="131" t="s">
        <v>11392</v>
      </c>
      <c r="G763" s="129" t="s">
        <v>11390</v>
      </c>
      <c r="H763" s="112" t="s">
        <v>9458</v>
      </c>
      <c r="I763" s="3" t="s">
        <v>9139</v>
      </c>
      <c r="J763" s="129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29" t="s">
        <v>11674</v>
      </c>
      <c r="E764" s="133">
        <v>262</v>
      </c>
      <c r="F764" s="131" t="s">
        <v>11675</v>
      </c>
      <c r="G764" s="129" t="s">
        <v>11673</v>
      </c>
      <c r="H764" s="112" t="s">
        <v>9458</v>
      </c>
      <c r="I764" s="3" t="s">
        <v>14624</v>
      </c>
      <c r="J764" s="129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29" t="s">
        <v>8928</v>
      </c>
      <c r="E765" s="133">
        <v>199</v>
      </c>
      <c r="F765" s="131" t="s">
        <v>11395</v>
      </c>
      <c r="G765" s="129" t="s">
        <v>11394</v>
      </c>
      <c r="H765" s="112" t="s">
        <v>9458</v>
      </c>
      <c r="I765" s="3" t="s">
        <v>14614</v>
      </c>
      <c r="J765" s="129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29" t="s">
        <v>9935</v>
      </c>
      <c r="E766" s="133">
        <v>495</v>
      </c>
      <c r="F766" s="131" t="s">
        <v>11398</v>
      </c>
      <c r="G766" s="129" t="s">
        <v>11397</v>
      </c>
      <c r="H766" s="112" t="s">
        <v>9458</v>
      </c>
      <c r="I766" s="3" t="s">
        <v>9118</v>
      </c>
      <c r="J766" s="129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29" t="s">
        <v>9360</v>
      </c>
      <c r="E767" s="133">
        <v>288</v>
      </c>
      <c r="F767" s="131" t="s">
        <v>11778</v>
      </c>
      <c r="G767" s="129" t="s">
        <v>11777</v>
      </c>
      <c r="H767" s="112" t="s">
        <v>9458</v>
      </c>
      <c r="I767" s="3" t="s">
        <v>14618</v>
      </c>
      <c r="J767" s="129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29" t="s">
        <v>9076</v>
      </c>
      <c r="E768" s="133">
        <v>0</v>
      </c>
      <c r="F768" s="131" t="s">
        <v>11794</v>
      </c>
      <c r="G768" s="129" t="s">
        <v>11793</v>
      </c>
      <c r="H768" s="112" t="s">
        <v>9458</v>
      </c>
      <c r="I768" s="3" t="s">
        <v>12822</v>
      </c>
      <c r="J768" s="129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29" t="s">
        <v>8974</v>
      </c>
      <c r="E769" s="133">
        <v>46</v>
      </c>
      <c r="F769" s="131" t="s">
        <v>11402</v>
      </c>
      <c r="G769" s="129" t="s">
        <v>11401</v>
      </c>
      <c r="H769" s="112" t="s">
        <v>9458</v>
      </c>
      <c r="I769" s="3" t="s">
        <v>14621</v>
      </c>
      <c r="J769" s="129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29" t="s">
        <v>9405</v>
      </c>
      <c r="E770" s="133">
        <v>505</v>
      </c>
      <c r="F770" s="131" t="s">
        <v>11405</v>
      </c>
      <c r="G770" s="129" t="s">
        <v>11404</v>
      </c>
      <c r="H770" s="112" t="s">
        <v>9458</v>
      </c>
      <c r="I770" s="3" t="s">
        <v>11220</v>
      </c>
      <c r="J770" s="129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29" t="s">
        <v>11681</v>
      </c>
      <c r="E771" s="133">
        <v>106</v>
      </c>
      <c r="F771" s="131" t="s">
        <v>11682</v>
      </c>
      <c r="G771" s="129" t="s">
        <v>11680</v>
      </c>
      <c r="H771" s="112" t="s">
        <v>9458</v>
      </c>
      <c r="I771" s="3" t="s">
        <v>14617</v>
      </c>
      <c r="J771" s="129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29" t="s">
        <v>11408</v>
      </c>
      <c r="E772" s="133">
        <v>905</v>
      </c>
      <c r="F772" s="131" t="s">
        <v>11409</v>
      </c>
      <c r="G772" s="129" t="s">
        <v>11407</v>
      </c>
      <c r="H772" s="112" t="s">
        <v>9458</v>
      </c>
      <c r="I772" s="3" t="s">
        <v>11338</v>
      </c>
      <c r="J772" s="129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29" t="s">
        <v>11412</v>
      </c>
      <c r="E773" s="133">
        <v>745</v>
      </c>
      <c r="F773" s="131" t="s">
        <v>11413</v>
      </c>
      <c r="G773" s="129" t="s">
        <v>11411</v>
      </c>
      <c r="H773" s="112" t="s">
        <v>9458</v>
      </c>
      <c r="I773" s="3" t="s">
        <v>14616</v>
      </c>
      <c r="J773" s="129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29" t="s">
        <v>10248</v>
      </c>
      <c r="E774" s="133">
        <v>299</v>
      </c>
      <c r="F774" s="131" t="s">
        <v>11416</v>
      </c>
      <c r="G774" s="129" t="s">
        <v>11415</v>
      </c>
      <c r="H774" s="112" t="s">
        <v>9458</v>
      </c>
      <c r="I774" s="3" t="s">
        <v>12822</v>
      </c>
      <c r="J774" s="129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29" t="s">
        <v>8928</v>
      </c>
      <c r="E775" s="133">
        <v>164</v>
      </c>
      <c r="F775" s="131" t="s">
        <v>11701</v>
      </c>
      <c r="G775" s="129" t="s">
        <v>11700</v>
      </c>
      <c r="H775" s="112" t="s">
        <v>9458</v>
      </c>
      <c r="I775" s="3" t="s">
        <v>14617</v>
      </c>
      <c r="J775" s="129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29" t="s">
        <v>11685</v>
      </c>
      <c r="E776" s="133">
        <v>300</v>
      </c>
      <c r="F776" s="131" t="s">
        <v>11686</v>
      </c>
      <c r="G776" s="129" t="s">
        <v>11684</v>
      </c>
      <c r="H776" s="112" t="s">
        <v>9458</v>
      </c>
      <c r="I776" s="3" t="s">
        <v>11525</v>
      </c>
      <c r="J776" s="129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29" t="s">
        <v>10681</v>
      </c>
      <c r="E777" s="133">
        <v>1190</v>
      </c>
      <c r="F777" s="131" t="s">
        <v>11690</v>
      </c>
      <c r="G777" s="129" t="s">
        <v>11689</v>
      </c>
      <c r="H777" s="112" t="s">
        <v>9458</v>
      </c>
      <c r="I777" s="3" t="s">
        <v>8930</v>
      </c>
      <c r="J777" s="129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29" t="s">
        <v>8979</v>
      </c>
      <c r="E778" s="133">
        <v>2756</v>
      </c>
      <c r="F778" s="131" t="s">
        <v>11756</v>
      </c>
      <c r="G778" s="129" t="s">
        <v>11689</v>
      </c>
      <c r="H778" s="112" t="s">
        <v>9458</v>
      </c>
      <c r="I778" s="3" t="s">
        <v>8930</v>
      </c>
      <c r="J778" s="129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29" t="s">
        <v>11759</v>
      </c>
      <c r="E779" s="133">
        <v>690</v>
      </c>
      <c r="F779" s="131" t="s">
        <v>11760</v>
      </c>
      <c r="G779" s="129" t="s">
        <v>11689</v>
      </c>
      <c r="H779" s="112" t="s">
        <v>9458</v>
      </c>
      <c r="I779" s="3" t="s">
        <v>8930</v>
      </c>
      <c r="J779" s="129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29" t="s">
        <v>11477</v>
      </c>
      <c r="E780" s="133">
        <v>405</v>
      </c>
      <c r="F780" s="131" t="s">
        <v>11763</v>
      </c>
      <c r="G780" s="129" t="s">
        <v>11689</v>
      </c>
      <c r="H780" s="112" t="s">
        <v>9458</v>
      </c>
      <c r="I780" s="3" t="s">
        <v>8930</v>
      </c>
      <c r="J780" s="129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29" t="s">
        <v>11610</v>
      </c>
      <c r="E781" s="133">
        <v>760</v>
      </c>
      <c r="F781" s="131" t="s">
        <v>11693</v>
      </c>
      <c r="G781" s="129" t="s">
        <v>11692</v>
      </c>
      <c r="H781" s="112" t="s">
        <v>9458</v>
      </c>
      <c r="I781" s="3" t="s">
        <v>8930</v>
      </c>
      <c r="J781" s="129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29" t="s">
        <v>11704</v>
      </c>
      <c r="E782" s="133">
        <v>599</v>
      </c>
      <c r="F782" s="131" t="s">
        <v>11705</v>
      </c>
      <c r="G782" s="129" t="s">
        <v>11703</v>
      </c>
      <c r="H782" s="112" t="s">
        <v>9458</v>
      </c>
      <c r="I782" s="3" t="s">
        <v>14617</v>
      </c>
      <c r="J782" s="129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29" t="s">
        <v>11696</v>
      </c>
      <c r="E783" s="133">
        <v>995</v>
      </c>
      <c r="F783" s="131" t="s">
        <v>11697</v>
      </c>
      <c r="G783" s="129" t="s">
        <v>11695</v>
      </c>
      <c r="H783" s="112" t="s">
        <v>9458</v>
      </c>
      <c r="I783" s="3" t="s">
        <v>11525</v>
      </c>
      <c r="J783" s="129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29" t="s">
        <v>11708</v>
      </c>
      <c r="E784" s="133">
        <v>847</v>
      </c>
      <c r="F784" s="131" t="s">
        <v>11709</v>
      </c>
      <c r="G784" s="129" t="s">
        <v>11707</v>
      </c>
      <c r="H784" s="112" t="s">
        <v>9458</v>
      </c>
      <c r="I784" s="3" t="s">
        <v>13348</v>
      </c>
      <c r="J784" s="129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29" t="s">
        <v>11883</v>
      </c>
      <c r="E785" s="133">
        <v>595</v>
      </c>
      <c r="F785" s="131" t="s">
        <v>11884</v>
      </c>
      <c r="G785" s="129" t="s">
        <v>11882</v>
      </c>
      <c r="H785" s="112" t="s">
        <v>10380</v>
      </c>
      <c r="I785" s="3" t="s">
        <v>9387</v>
      </c>
      <c r="J785" s="129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29" t="s">
        <v>10380</v>
      </c>
      <c r="E786" s="133">
        <v>689</v>
      </c>
      <c r="F786" s="131" t="s">
        <v>11805</v>
      </c>
      <c r="G786" s="129" t="s">
        <v>9017</v>
      </c>
      <c r="H786" s="112" t="s">
        <v>10380</v>
      </c>
      <c r="I786" s="3" t="s">
        <v>9017</v>
      </c>
      <c r="J786" s="129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29" t="s">
        <v>9660</v>
      </c>
      <c r="E787" s="133">
        <v>0</v>
      </c>
      <c r="F787" s="131" t="s">
        <v>11909</v>
      </c>
      <c r="G787" s="129" t="s">
        <v>11908</v>
      </c>
      <c r="H787" s="112" t="s">
        <v>10380</v>
      </c>
      <c r="I787" s="3" t="s">
        <v>11921</v>
      </c>
      <c r="J787" s="129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29" t="s">
        <v>11808</v>
      </c>
      <c r="E788" s="133">
        <v>0</v>
      </c>
      <c r="F788" s="131" t="s">
        <v>11809</v>
      </c>
      <c r="G788" s="129" t="s">
        <v>11807</v>
      </c>
      <c r="H788" s="112" t="s">
        <v>10380</v>
      </c>
      <c r="I788" s="3" t="s">
        <v>11870</v>
      </c>
      <c r="J788" s="129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29" t="s">
        <v>9652</v>
      </c>
      <c r="E789" s="133">
        <v>1</v>
      </c>
      <c r="F789" s="131" t="s">
        <v>11887</v>
      </c>
      <c r="G789" s="129" t="s">
        <v>11886</v>
      </c>
      <c r="H789" s="112" t="s">
        <v>10380</v>
      </c>
      <c r="I789" s="3" t="s">
        <v>9058</v>
      </c>
      <c r="J789" s="129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29" t="s">
        <v>8928</v>
      </c>
      <c r="E790" s="133">
        <v>555</v>
      </c>
      <c r="F790" s="131" t="s">
        <v>11812</v>
      </c>
      <c r="G790" s="129" t="s">
        <v>11811</v>
      </c>
      <c r="H790" s="112" t="s">
        <v>10380</v>
      </c>
      <c r="I790" s="3" t="s">
        <v>11811</v>
      </c>
      <c r="J790" s="129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29" t="s">
        <v>11796</v>
      </c>
      <c r="E791" s="133">
        <v>1098</v>
      </c>
      <c r="F791" s="131" t="s">
        <v>11797</v>
      </c>
      <c r="G791" s="129" t="s">
        <v>10380</v>
      </c>
      <c r="H791" s="112" t="s">
        <v>10380</v>
      </c>
      <c r="I791" s="3" t="s">
        <v>14511</v>
      </c>
      <c r="J791" s="129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29" t="s">
        <v>9603</v>
      </c>
      <c r="E792" s="133">
        <v>2295</v>
      </c>
      <c r="F792" s="131" t="s">
        <v>11800</v>
      </c>
      <c r="G792" s="129" t="s">
        <v>10380</v>
      </c>
      <c r="H792" s="112" t="s">
        <v>10380</v>
      </c>
      <c r="I792" s="3" t="s">
        <v>14511</v>
      </c>
      <c r="J792" s="129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29" t="s">
        <v>11216</v>
      </c>
      <c r="E793" s="133">
        <v>1890</v>
      </c>
      <c r="F793" s="131" t="s">
        <v>11803</v>
      </c>
      <c r="G793" s="129" t="s">
        <v>10380</v>
      </c>
      <c r="H793" s="112" t="s">
        <v>10380</v>
      </c>
      <c r="I793" s="3" t="s">
        <v>14511</v>
      </c>
      <c r="J793" s="129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29" t="s">
        <v>11796</v>
      </c>
      <c r="E794" s="133">
        <v>798</v>
      </c>
      <c r="F794" s="131" t="s">
        <v>11929</v>
      </c>
      <c r="G794" s="129" t="s">
        <v>10380</v>
      </c>
      <c r="H794" s="112" t="s">
        <v>10380</v>
      </c>
      <c r="I794" s="3" t="s">
        <v>14511</v>
      </c>
      <c r="J794" s="129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29" t="s">
        <v>11912</v>
      </c>
      <c r="E795" s="133">
        <v>999</v>
      </c>
      <c r="F795" s="131" t="s">
        <v>11913</v>
      </c>
      <c r="G795" s="129" t="s">
        <v>11911</v>
      </c>
      <c r="H795" s="112" t="s">
        <v>10380</v>
      </c>
      <c r="I795" s="3" t="s">
        <v>11911</v>
      </c>
      <c r="J795" s="129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29" t="s">
        <v>9277</v>
      </c>
      <c r="E796" s="133">
        <v>1184</v>
      </c>
      <c r="F796" s="131" t="s">
        <v>11815</v>
      </c>
      <c r="G796" s="129" t="s">
        <v>11814</v>
      </c>
      <c r="H796" s="112" t="s">
        <v>10380</v>
      </c>
      <c r="I796" s="3" t="s">
        <v>11814</v>
      </c>
      <c r="J796" s="129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29" t="s">
        <v>9652</v>
      </c>
      <c r="E797" s="133">
        <v>810</v>
      </c>
      <c r="F797" s="131" t="s">
        <v>11818</v>
      </c>
      <c r="G797" s="129" t="s">
        <v>11817</v>
      </c>
      <c r="H797" s="112" t="s">
        <v>10380</v>
      </c>
      <c r="I797" s="3" t="s">
        <v>11817</v>
      </c>
      <c r="J797" s="129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29" t="s">
        <v>11878</v>
      </c>
      <c r="E798" s="133">
        <v>0</v>
      </c>
      <c r="F798" s="131" t="s">
        <v>11880</v>
      </c>
      <c r="G798" s="129" t="s">
        <v>11879</v>
      </c>
      <c r="H798" s="112" t="s">
        <v>10380</v>
      </c>
      <c r="I798" s="3" t="s">
        <v>9453</v>
      </c>
      <c r="J798" s="129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29" t="s">
        <v>8928</v>
      </c>
      <c r="E799" s="133">
        <v>0</v>
      </c>
      <c r="F799" s="131" t="s">
        <v>11890</v>
      </c>
      <c r="G799" s="129" t="s">
        <v>11889</v>
      </c>
      <c r="H799" s="112" t="s">
        <v>10380</v>
      </c>
      <c r="I799" s="3" t="s">
        <v>11901</v>
      </c>
      <c r="J799" s="129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29" t="s">
        <v>11893</v>
      </c>
      <c r="E800" s="133">
        <v>2113</v>
      </c>
      <c r="F800" s="131" t="s">
        <v>11895</v>
      </c>
      <c r="G800" s="129" t="s">
        <v>11894</v>
      </c>
      <c r="H800" s="112" t="s">
        <v>10380</v>
      </c>
      <c r="I800" s="3" t="s">
        <v>11901</v>
      </c>
      <c r="J800" s="129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29" t="s">
        <v>9603</v>
      </c>
      <c r="E801" s="133">
        <v>942</v>
      </c>
      <c r="F801" s="131" t="s">
        <v>11825</v>
      </c>
      <c r="G801" s="129" t="s">
        <v>11824</v>
      </c>
      <c r="H801" s="112" t="s">
        <v>10380</v>
      </c>
      <c r="I801" s="3" t="s">
        <v>11824</v>
      </c>
      <c r="J801" s="129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29" t="s">
        <v>8974</v>
      </c>
      <c r="E802" s="133">
        <v>100</v>
      </c>
      <c r="F802" s="131" t="s">
        <v>11828</v>
      </c>
      <c r="G802" s="129" t="s">
        <v>11827</v>
      </c>
      <c r="H802" s="112" t="s">
        <v>10380</v>
      </c>
      <c r="I802" s="3" t="s">
        <v>14533</v>
      </c>
      <c r="J802" s="129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29" t="s">
        <v>11831</v>
      </c>
      <c r="E803" s="133">
        <v>0</v>
      </c>
      <c r="F803" s="131" t="s">
        <v>11832</v>
      </c>
      <c r="G803" s="129" t="s">
        <v>11830</v>
      </c>
      <c r="H803" s="112" t="s">
        <v>10380</v>
      </c>
      <c r="I803" s="3" t="s">
        <v>11830</v>
      </c>
      <c r="J803" s="129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29" t="s">
        <v>11834</v>
      </c>
      <c r="E804" s="133">
        <v>1801</v>
      </c>
      <c r="F804" s="131" t="s">
        <v>11835</v>
      </c>
      <c r="G804" s="129" t="s">
        <v>9058</v>
      </c>
      <c r="H804" s="112" t="s">
        <v>10380</v>
      </c>
      <c r="I804" s="3" t="s">
        <v>9058</v>
      </c>
      <c r="J804" s="129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29" t="s">
        <v>9139</v>
      </c>
      <c r="E805" s="133">
        <v>798</v>
      </c>
      <c r="F805" s="131" t="s">
        <v>11897</v>
      </c>
      <c r="G805" s="129" t="s">
        <v>11573</v>
      </c>
      <c r="H805" s="112" t="s">
        <v>10380</v>
      </c>
      <c r="I805" s="3" t="s">
        <v>8928</v>
      </c>
      <c r="J805" s="129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29" t="s">
        <v>9050</v>
      </c>
      <c r="E806" s="133">
        <v>0</v>
      </c>
      <c r="F806" s="131" t="s">
        <v>11838</v>
      </c>
      <c r="G806" s="129" t="s">
        <v>11837</v>
      </c>
      <c r="H806" s="112" t="s">
        <v>10380</v>
      </c>
      <c r="I806" s="3" t="s">
        <v>9013</v>
      </c>
      <c r="J806" s="129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29" t="s">
        <v>10904</v>
      </c>
      <c r="E807" s="133">
        <v>0</v>
      </c>
      <c r="F807" s="131" t="s">
        <v>11842</v>
      </c>
      <c r="G807" s="129" t="s">
        <v>11841</v>
      </c>
      <c r="H807" s="112" t="s">
        <v>10380</v>
      </c>
      <c r="I807" s="3" t="s">
        <v>11870</v>
      </c>
      <c r="J807" s="129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29" t="s">
        <v>9014</v>
      </c>
      <c r="E808" s="133">
        <v>984</v>
      </c>
      <c r="F808" s="131" t="s">
        <v>11845</v>
      </c>
      <c r="G808" s="129" t="s">
        <v>11844</v>
      </c>
      <c r="H808" s="112" t="s">
        <v>10380</v>
      </c>
      <c r="I808" s="3" t="s">
        <v>11844</v>
      </c>
      <c r="J808" s="129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29" t="s">
        <v>9360</v>
      </c>
      <c r="E809" s="133">
        <v>599</v>
      </c>
      <c r="F809" s="131" t="s">
        <v>11847</v>
      </c>
      <c r="G809" s="129" t="s">
        <v>9453</v>
      </c>
      <c r="H809" s="112" t="s">
        <v>10380</v>
      </c>
      <c r="I809" s="3" t="s">
        <v>9453</v>
      </c>
      <c r="J809" s="129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29" t="s">
        <v>9405</v>
      </c>
      <c r="E810" s="133">
        <v>501</v>
      </c>
      <c r="F810" s="131" t="s">
        <v>11916</v>
      </c>
      <c r="G810" s="129" t="s">
        <v>11915</v>
      </c>
      <c r="H810" s="112" t="s">
        <v>10380</v>
      </c>
      <c r="I810" s="3" t="s">
        <v>11918</v>
      </c>
      <c r="J810" s="129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29" t="s">
        <v>11108</v>
      </c>
      <c r="E811" s="133">
        <v>1199</v>
      </c>
      <c r="F811" s="131" t="s">
        <v>11919</v>
      </c>
      <c r="G811" s="129" t="s">
        <v>11918</v>
      </c>
      <c r="H811" s="112" t="s">
        <v>10380</v>
      </c>
      <c r="I811" s="3" t="s">
        <v>11918</v>
      </c>
      <c r="J811" s="129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29" t="s">
        <v>11820</v>
      </c>
      <c r="E812" s="133">
        <v>115</v>
      </c>
      <c r="F812" s="131" t="s">
        <v>11822</v>
      </c>
      <c r="G812" s="129" t="s">
        <v>11821</v>
      </c>
      <c r="H812" s="112" t="s">
        <v>10380</v>
      </c>
      <c r="I812" s="3" t="s">
        <v>14533</v>
      </c>
      <c r="J812" s="129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29" t="s">
        <v>9050</v>
      </c>
      <c r="E813" s="133">
        <v>642</v>
      </c>
      <c r="F813" s="131" t="s">
        <v>11850</v>
      </c>
      <c r="G813" s="129" t="s">
        <v>11849</v>
      </c>
      <c r="H813" s="112" t="s">
        <v>10380</v>
      </c>
      <c r="I813" s="3" t="s">
        <v>11858</v>
      </c>
      <c r="J813" s="129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29" t="s">
        <v>11922</v>
      </c>
      <c r="E814" s="133">
        <v>998</v>
      </c>
      <c r="F814" s="131" t="s">
        <v>11923</v>
      </c>
      <c r="G814" s="129" t="s">
        <v>11921</v>
      </c>
      <c r="H814" s="112" t="s">
        <v>10380</v>
      </c>
      <c r="I814" s="3" t="s">
        <v>11921</v>
      </c>
      <c r="J814" s="129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29" t="s">
        <v>9139</v>
      </c>
      <c r="E815" s="133">
        <v>0</v>
      </c>
      <c r="F815" s="131" t="s">
        <v>11853</v>
      </c>
      <c r="G815" s="129" t="s">
        <v>11852</v>
      </c>
      <c r="H815" s="112" t="s">
        <v>10380</v>
      </c>
      <c r="I815" s="3" t="s">
        <v>11911</v>
      </c>
      <c r="J815" s="129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29" t="s">
        <v>9652</v>
      </c>
      <c r="E816" s="133">
        <v>605</v>
      </c>
      <c r="F816" s="131" t="s">
        <v>11856</v>
      </c>
      <c r="G816" s="129" t="s">
        <v>11855</v>
      </c>
      <c r="H816" s="112" t="s">
        <v>10380</v>
      </c>
      <c r="I816" s="3" t="s">
        <v>11855</v>
      </c>
      <c r="J816" s="129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29" t="s">
        <v>8983</v>
      </c>
      <c r="E817" s="133">
        <v>0</v>
      </c>
      <c r="F817" s="131" t="s">
        <v>11899</v>
      </c>
      <c r="G817" s="129" t="s">
        <v>11351</v>
      </c>
      <c r="H817" s="112" t="s">
        <v>10380</v>
      </c>
      <c r="I817" s="3" t="s">
        <v>9058</v>
      </c>
      <c r="J817" s="129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29" t="s">
        <v>11859</v>
      </c>
      <c r="E818" s="133">
        <v>0</v>
      </c>
      <c r="F818" s="131" t="s">
        <v>11860</v>
      </c>
      <c r="G818" s="129" t="s">
        <v>11858</v>
      </c>
      <c r="H818" s="112" t="s">
        <v>10380</v>
      </c>
      <c r="I818" s="3" t="s">
        <v>11858</v>
      </c>
      <c r="J818" s="129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29" t="s">
        <v>9205</v>
      </c>
      <c r="E819" s="133">
        <v>0</v>
      </c>
      <c r="F819" s="131" t="s">
        <v>11863</v>
      </c>
      <c r="G819" s="129" t="s">
        <v>11862</v>
      </c>
      <c r="H819" s="112" t="s">
        <v>10380</v>
      </c>
      <c r="I819" s="3" t="s">
        <v>11855</v>
      </c>
      <c r="J819" s="129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29" t="s">
        <v>11217</v>
      </c>
      <c r="E820" s="133">
        <v>687</v>
      </c>
      <c r="F820" s="131" t="s">
        <v>11866</v>
      </c>
      <c r="G820" s="129" t="s">
        <v>11865</v>
      </c>
      <c r="H820" s="112" t="s">
        <v>10380</v>
      </c>
      <c r="I820" s="3" t="s">
        <v>11865</v>
      </c>
      <c r="J820" s="129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29" t="s">
        <v>9205</v>
      </c>
      <c r="E821" s="133">
        <v>895</v>
      </c>
      <c r="F821" s="131" t="s">
        <v>11868</v>
      </c>
      <c r="G821" s="129" t="s">
        <v>9013</v>
      </c>
      <c r="H821" s="112" t="s">
        <v>10380</v>
      </c>
      <c r="I821" s="3" t="s">
        <v>9013</v>
      </c>
      <c r="J821" s="129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29" t="s">
        <v>11871</v>
      </c>
      <c r="E822" s="133">
        <v>850</v>
      </c>
      <c r="F822" s="131" t="s">
        <v>11872</v>
      </c>
      <c r="G822" s="129" t="s">
        <v>11870</v>
      </c>
      <c r="H822" s="112" t="s">
        <v>10380</v>
      </c>
      <c r="I822" s="3" t="s">
        <v>11870</v>
      </c>
      <c r="J822" s="129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29" t="s">
        <v>11874</v>
      </c>
      <c r="E823" s="133">
        <v>204</v>
      </c>
      <c r="F823" s="131" t="s">
        <v>11875</v>
      </c>
      <c r="G823" s="129" t="s">
        <v>9892</v>
      </c>
      <c r="H823" s="112" t="s">
        <v>10380</v>
      </c>
      <c r="I823" s="3" t="s">
        <v>10739</v>
      </c>
      <c r="J823" s="129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29" t="s">
        <v>11902</v>
      </c>
      <c r="E824" s="133">
        <v>805</v>
      </c>
      <c r="F824" s="131" t="s">
        <v>11903</v>
      </c>
      <c r="G824" s="129" t="s">
        <v>11901</v>
      </c>
      <c r="H824" s="112" t="s">
        <v>10380</v>
      </c>
      <c r="I824" s="3" t="s">
        <v>11901</v>
      </c>
      <c r="J824" s="129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29" t="s">
        <v>9014</v>
      </c>
      <c r="E825" s="133">
        <v>1251</v>
      </c>
      <c r="F825" s="131" t="s">
        <v>11926</v>
      </c>
      <c r="G825" s="129" t="s">
        <v>11925</v>
      </c>
      <c r="H825" s="112" t="s">
        <v>10380</v>
      </c>
      <c r="I825" s="3" t="s">
        <v>11925</v>
      </c>
      <c r="J825" s="129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29" t="s">
        <v>11905</v>
      </c>
      <c r="E826" s="133">
        <v>302</v>
      </c>
      <c r="F826" s="131" t="s">
        <v>11906</v>
      </c>
      <c r="G826" s="129" t="s">
        <v>9780</v>
      </c>
      <c r="H826" s="112" t="s">
        <v>10380</v>
      </c>
      <c r="I826" s="3" t="s">
        <v>8928</v>
      </c>
      <c r="J826" s="129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29" t="s">
        <v>12080</v>
      </c>
      <c r="E827" s="133">
        <v>0</v>
      </c>
      <c r="F827" s="131" t="s">
        <v>12081</v>
      </c>
      <c r="G827" s="129" t="s">
        <v>11002</v>
      </c>
      <c r="H827" s="112" t="s">
        <v>10215</v>
      </c>
      <c r="I827" s="3" t="s">
        <v>9351</v>
      </c>
      <c r="J827" s="129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29" t="s">
        <v>11002</v>
      </c>
      <c r="E828" s="133">
        <v>0</v>
      </c>
      <c r="F828" s="131" t="s">
        <v>12042</v>
      </c>
      <c r="G828" s="129" t="s">
        <v>12041</v>
      </c>
      <c r="H828" s="112" t="s">
        <v>10215</v>
      </c>
      <c r="I828" s="3" t="s">
        <v>11969</v>
      </c>
      <c r="J828" s="129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29" t="s">
        <v>9343</v>
      </c>
      <c r="E829" s="133">
        <v>265</v>
      </c>
      <c r="F829" s="131" t="s">
        <v>11951</v>
      </c>
      <c r="G829" s="129" t="s">
        <v>11950</v>
      </c>
      <c r="H829" s="112" t="s">
        <v>10215</v>
      </c>
      <c r="I829" s="3" t="s">
        <v>9351</v>
      </c>
      <c r="J829" s="129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29" t="s">
        <v>10060</v>
      </c>
      <c r="E830" s="133">
        <v>161</v>
      </c>
      <c r="F830" s="131" t="s">
        <v>11954</v>
      </c>
      <c r="G830" s="129" t="s">
        <v>11953</v>
      </c>
      <c r="H830" s="112" t="s">
        <v>10215</v>
      </c>
      <c r="I830" s="3" t="s">
        <v>11247</v>
      </c>
      <c r="J830" s="129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29" t="s">
        <v>11956</v>
      </c>
      <c r="E831" s="133">
        <v>684</v>
      </c>
      <c r="F831" s="131" t="s">
        <v>11957</v>
      </c>
      <c r="G831" s="129" t="s">
        <v>9246</v>
      </c>
      <c r="H831" s="112" t="s">
        <v>10215</v>
      </c>
      <c r="I831" s="3" t="s">
        <v>9351</v>
      </c>
      <c r="J831" s="129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29" t="s">
        <v>11959</v>
      </c>
      <c r="E832" s="133">
        <v>274</v>
      </c>
      <c r="F832" s="131" t="s">
        <v>11960</v>
      </c>
      <c r="G832" s="129" t="s">
        <v>10623</v>
      </c>
      <c r="H832" s="112" t="s">
        <v>10215</v>
      </c>
      <c r="I832" s="3" t="s">
        <v>10637</v>
      </c>
      <c r="J832" s="129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29" t="s">
        <v>12061</v>
      </c>
      <c r="E833" s="133">
        <v>1320</v>
      </c>
      <c r="F833" s="131" t="s">
        <v>12062</v>
      </c>
      <c r="G833" s="129" t="s">
        <v>12060</v>
      </c>
      <c r="H833" s="112" t="s">
        <v>10215</v>
      </c>
      <c r="I833" s="3" t="s">
        <v>12067</v>
      </c>
      <c r="J833" s="129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29" t="s">
        <v>12064</v>
      </c>
      <c r="E834" s="133">
        <v>431</v>
      </c>
      <c r="F834" s="131" t="s">
        <v>12065</v>
      </c>
      <c r="G834" s="129" t="s">
        <v>9139</v>
      </c>
      <c r="H834" s="112" t="s">
        <v>10215</v>
      </c>
      <c r="I834" s="3" t="s">
        <v>9139</v>
      </c>
      <c r="J834" s="129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29" t="s">
        <v>11963</v>
      </c>
      <c r="E835" s="133">
        <v>712</v>
      </c>
      <c r="F835" s="131" t="s">
        <v>11964</v>
      </c>
      <c r="G835" s="129" t="s">
        <v>11962</v>
      </c>
      <c r="H835" s="112" t="s">
        <v>10215</v>
      </c>
      <c r="I835" s="3" t="s">
        <v>9351</v>
      </c>
      <c r="J835" s="129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29" t="s">
        <v>9343</v>
      </c>
      <c r="E836" s="133">
        <v>575</v>
      </c>
      <c r="F836" s="131" t="s">
        <v>12054</v>
      </c>
      <c r="G836" s="129" t="s">
        <v>12053</v>
      </c>
      <c r="H836" s="112" t="s">
        <v>10215</v>
      </c>
      <c r="I836" s="3" t="s">
        <v>12053</v>
      </c>
      <c r="J836" s="129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29" t="s">
        <v>12057</v>
      </c>
      <c r="E837" s="133">
        <v>396</v>
      </c>
      <c r="F837" s="131" t="s">
        <v>12058</v>
      </c>
      <c r="G837" s="129" t="s">
        <v>12053</v>
      </c>
      <c r="H837" s="112" t="s">
        <v>10215</v>
      </c>
      <c r="I837" s="3" t="s">
        <v>12053</v>
      </c>
      <c r="J837" s="129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29" t="s">
        <v>9050</v>
      </c>
      <c r="E838" s="133">
        <v>907</v>
      </c>
      <c r="F838" s="131" t="s">
        <v>11967</v>
      </c>
      <c r="G838" s="129" t="s">
        <v>11966</v>
      </c>
      <c r="H838" s="112" t="s">
        <v>10215</v>
      </c>
      <c r="I838" s="3" t="s">
        <v>10637</v>
      </c>
      <c r="J838" s="129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29" t="s">
        <v>11419</v>
      </c>
      <c r="E839" s="133">
        <v>400</v>
      </c>
      <c r="F839" s="131" t="s">
        <v>11970</v>
      </c>
      <c r="G839" s="129" t="s">
        <v>11969</v>
      </c>
      <c r="H839" s="112" t="s">
        <v>10215</v>
      </c>
      <c r="I839" s="3" t="s">
        <v>11969</v>
      </c>
      <c r="J839" s="129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29" t="s">
        <v>12068</v>
      </c>
      <c r="E840" s="133">
        <v>1272</v>
      </c>
      <c r="F840" s="131" t="s">
        <v>12069</v>
      </c>
      <c r="G840" s="129" t="s">
        <v>12067</v>
      </c>
      <c r="H840" s="112" t="s">
        <v>10215</v>
      </c>
      <c r="I840" s="3" t="s">
        <v>12067</v>
      </c>
      <c r="J840" s="129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29" t="s">
        <v>12072</v>
      </c>
      <c r="E841" s="133">
        <v>430</v>
      </c>
      <c r="F841" s="131" t="s">
        <v>12073</v>
      </c>
      <c r="G841" s="129" t="s">
        <v>12071</v>
      </c>
      <c r="H841" s="112" t="s">
        <v>10215</v>
      </c>
      <c r="I841" s="3" t="s">
        <v>12071</v>
      </c>
      <c r="J841" s="129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29" t="s">
        <v>11986</v>
      </c>
      <c r="E842" s="133">
        <v>502</v>
      </c>
      <c r="F842" s="131" t="s">
        <v>12077</v>
      </c>
      <c r="G842" s="129" t="s">
        <v>12076</v>
      </c>
      <c r="H842" s="112" t="s">
        <v>10215</v>
      </c>
      <c r="I842" s="3" t="s">
        <v>12097</v>
      </c>
      <c r="J842" s="129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29" t="s">
        <v>11973</v>
      </c>
      <c r="E843" s="133">
        <v>641</v>
      </c>
      <c r="F843" s="131" t="s">
        <v>11975</v>
      </c>
      <c r="G843" s="129" t="s">
        <v>11974</v>
      </c>
      <c r="H843" s="112" t="s">
        <v>10215</v>
      </c>
      <c r="I843" s="3" t="s">
        <v>11985</v>
      </c>
      <c r="J843" s="129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29" t="s">
        <v>10791</v>
      </c>
      <c r="E844" s="133">
        <v>30</v>
      </c>
      <c r="F844" s="131" t="s">
        <v>11979</v>
      </c>
      <c r="G844" s="129" t="s">
        <v>11978</v>
      </c>
      <c r="H844" s="112" t="s">
        <v>10215</v>
      </c>
      <c r="I844" s="3" t="s">
        <v>11969</v>
      </c>
      <c r="J844" s="129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29" t="s">
        <v>12122</v>
      </c>
      <c r="E845" s="133">
        <v>0</v>
      </c>
      <c r="F845" s="131" t="s">
        <v>12123</v>
      </c>
      <c r="G845" s="129" t="s">
        <v>12121</v>
      </c>
      <c r="H845" s="112" t="s">
        <v>10215</v>
      </c>
      <c r="I845" s="3" t="s">
        <v>13163</v>
      </c>
      <c r="J845" s="129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29" t="s">
        <v>9025</v>
      </c>
      <c r="E846" s="133">
        <v>289</v>
      </c>
      <c r="F846" s="131" t="s">
        <v>12020</v>
      </c>
      <c r="G846" s="129" t="s">
        <v>12019</v>
      </c>
      <c r="H846" s="112" t="s">
        <v>10215</v>
      </c>
      <c r="I846" s="3" t="s">
        <v>13163</v>
      </c>
      <c r="J846" s="129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29" t="s">
        <v>9660</v>
      </c>
      <c r="E847" s="133">
        <v>485</v>
      </c>
      <c r="F847" s="131" t="s">
        <v>11983</v>
      </c>
      <c r="G847" s="129" t="s">
        <v>11982</v>
      </c>
      <c r="H847" s="112" t="s">
        <v>10215</v>
      </c>
      <c r="I847" s="3" t="s">
        <v>13163</v>
      </c>
      <c r="J847" s="129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29" t="s">
        <v>11986</v>
      </c>
      <c r="E848" s="133">
        <v>128</v>
      </c>
      <c r="F848" s="131" t="s">
        <v>11987</v>
      </c>
      <c r="G848" s="129" t="s">
        <v>11985</v>
      </c>
      <c r="H848" s="112" t="s">
        <v>10215</v>
      </c>
      <c r="I848" s="3" t="s">
        <v>11985</v>
      </c>
      <c r="J848" s="129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29" t="s">
        <v>10904</v>
      </c>
      <c r="E849" s="133">
        <v>1036</v>
      </c>
      <c r="F849" s="131" t="s">
        <v>11990</v>
      </c>
      <c r="G849" s="129" t="s">
        <v>11989</v>
      </c>
      <c r="H849" s="112" t="s">
        <v>10215</v>
      </c>
      <c r="I849" s="3" t="s">
        <v>11989</v>
      </c>
      <c r="J849" s="129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29" t="s">
        <v>9266</v>
      </c>
      <c r="E850" s="133">
        <v>255</v>
      </c>
      <c r="F850" s="131" t="s">
        <v>11993</v>
      </c>
      <c r="G850" s="129" t="s">
        <v>11992</v>
      </c>
      <c r="H850" s="112" t="s">
        <v>10215</v>
      </c>
      <c r="I850" s="3" t="s">
        <v>10637</v>
      </c>
      <c r="J850" s="129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29" t="s">
        <v>9339</v>
      </c>
      <c r="E851" s="133">
        <v>378</v>
      </c>
      <c r="F851" s="131" t="s">
        <v>11996</v>
      </c>
      <c r="G851" s="129" t="s">
        <v>11995</v>
      </c>
      <c r="H851" s="112" t="s">
        <v>10215</v>
      </c>
      <c r="I851" s="3" t="s">
        <v>10637</v>
      </c>
      <c r="J851" s="129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29" t="s">
        <v>11999</v>
      </c>
      <c r="E852" s="133">
        <v>201</v>
      </c>
      <c r="F852" s="131" t="s">
        <v>12000</v>
      </c>
      <c r="G852" s="129" t="s">
        <v>11998</v>
      </c>
      <c r="H852" s="112" t="s">
        <v>10215</v>
      </c>
      <c r="I852" s="3" t="s">
        <v>12025</v>
      </c>
      <c r="J852" s="129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29" t="s">
        <v>8979</v>
      </c>
      <c r="E853" s="133">
        <v>0</v>
      </c>
      <c r="F853" s="131" t="s">
        <v>12003</v>
      </c>
      <c r="G853" s="129" t="s">
        <v>12002</v>
      </c>
      <c r="H853" s="112" t="s">
        <v>10215</v>
      </c>
      <c r="I853" s="3" t="s">
        <v>14538</v>
      </c>
      <c r="J853" s="129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29" t="s">
        <v>8974</v>
      </c>
      <c r="E854" s="133">
        <v>1117</v>
      </c>
      <c r="F854" s="131" t="s">
        <v>12009</v>
      </c>
      <c r="G854" s="129" t="s">
        <v>11247</v>
      </c>
      <c r="H854" s="112" t="s">
        <v>10215</v>
      </c>
      <c r="I854" s="3" t="s">
        <v>11247</v>
      </c>
      <c r="J854" s="129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29" t="s">
        <v>9417</v>
      </c>
      <c r="E855" s="133">
        <v>99</v>
      </c>
      <c r="F855" s="131" t="s">
        <v>12012</v>
      </c>
      <c r="G855" s="129" t="s">
        <v>12011</v>
      </c>
      <c r="H855" s="112" t="s">
        <v>10215</v>
      </c>
      <c r="I855" s="3" t="s">
        <v>11989</v>
      </c>
      <c r="J855" s="129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29" t="s">
        <v>12015</v>
      </c>
      <c r="E856" s="133">
        <v>142</v>
      </c>
      <c r="F856" s="131" t="s">
        <v>12016</v>
      </c>
      <c r="G856" s="129" t="s">
        <v>12014</v>
      </c>
      <c r="H856" s="112" t="s">
        <v>10215</v>
      </c>
      <c r="I856" s="3" t="s">
        <v>12025</v>
      </c>
      <c r="J856" s="129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29" t="s">
        <v>9050</v>
      </c>
      <c r="E857" s="133">
        <v>133</v>
      </c>
      <c r="F857" s="131" t="s">
        <v>12023</v>
      </c>
      <c r="G857" s="129" t="s">
        <v>12022</v>
      </c>
      <c r="H857" s="112" t="s">
        <v>10215</v>
      </c>
      <c r="I857" s="3" t="s">
        <v>10637</v>
      </c>
      <c r="J857" s="129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29" t="s">
        <v>8974</v>
      </c>
      <c r="E858" s="133">
        <v>701</v>
      </c>
      <c r="F858" s="131" t="s">
        <v>12026</v>
      </c>
      <c r="G858" s="129" t="s">
        <v>12025</v>
      </c>
      <c r="H858" s="112" t="s">
        <v>10215</v>
      </c>
      <c r="I858" s="3" t="s">
        <v>12025</v>
      </c>
      <c r="J858" s="129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29" t="s">
        <v>9050</v>
      </c>
      <c r="E859" s="133">
        <v>102</v>
      </c>
      <c r="F859" s="131" t="s">
        <v>11931</v>
      </c>
      <c r="G859" s="129" t="s">
        <v>10637</v>
      </c>
      <c r="H859" s="112" t="s">
        <v>10215</v>
      </c>
      <c r="I859" s="3" t="s">
        <v>10637</v>
      </c>
      <c r="J859" s="129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29" t="s">
        <v>9458</v>
      </c>
      <c r="E860" s="133">
        <v>360</v>
      </c>
      <c r="F860" s="131" t="s">
        <v>11933</v>
      </c>
      <c r="G860" s="129" t="s">
        <v>10637</v>
      </c>
      <c r="H860" s="112" t="s">
        <v>10215</v>
      </c>
      <c r="I860" s="3" t="s">
        <v>10637</v>
      </c>
      <c r="J860" s="129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29" t="s">
        <v>11936</v>
      </c>
      <c r="E861" s="133">
        <v>1620</v>
      </c>
      <c r="F861" s="131" t="s">
        <v>11937</v>
      </c>
      <c r="G861" s="129" t="s">
        <v>10637</v>
      </c>
      <c r="H861" s="112" t="s">
        <v>10215</v>
      </c>
      <c r="I861" s="3" t="s">
        <v>10637</v>
      </c>
      <c r="J861" s="129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29" t="s">
        <v>11939</v>
      </c>
      <c r="E862" s="133">
        <v>2664</v>
      </c>
      <c r="F862" s="131" t="s">
        <v>11940</v>
      </c>
      <c r="G862" s="129" t="s">
        <v>10637</v>
      </c>
      <c r="H862" s="112" t="s">
        <v>10215</v>
      </c>
      <c r="I862" s="3" t="s">
        <v>10637</v>
      </c>
      <c r="J862" s="129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29" t="s">
        <v>11943</v>
      </c>
      <c r="E863" s="133">
        <v>1737</v>
      </c>
      <c r="F863" s="131" t="s">
        <v>11944</v>
      </c>
      <c r="G863" s="129" t="s">
        <v>10637</v>
      </c>
      <c r="H863" s="112" t="s">
        <v>10215</v>
      </c>
      <c r="I863" s="3" t="s">
        <v>10637</v>
      </c>
      <c r="J863" s="129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29" t="s">
        <v>8950</v>
      </c>
      <c r="E864" s="133">
        <v>255</v>
      </c>
      <c r="F864" s="131" t="s">
        <v>12128</v>
      </c>
      <c r="G864" s="129" t="s">
        <v>10637</v>
      </c>
      <c r="H864" s="112" t="s">
        <v>10215</v>
      </c>
      <c r="I864" s="3" t="s">
        <v>10637</v>
      </c>
      <c r="J864" s="129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29" t="s">
        <v>12131</v>
      </c>
      <c r="E865" s="133">
        <v>1</v>
      </c>
      <c r="F865" s="131" t="s">
        <v>12132</v>
      </c>
      <c r="G865" s="129" t="s">
        <v>10637</v>
      </c>
      <c r="H865" s="112" t="s">
        <v>10215</v>
      </c>
      <c r="I865" s="3" t="s">
        <v>10637</v>
      </c>
      <c r="J865" s="129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29" t="s">
        <v>9139</v>
      </c>
      <c r="E866" s="133">
        <v>0</v>
      </c>
      <c r="F866" s="131" t="s">
        <v>11948</v>
      </c>
      <c r="G866" s="129" t="s">
        <v>11947</v>
      </c>
      <c r="H866" s="112" t="s">
        <v>10215</v>
      </c>
      <c r="I866" s="3" t="s">
        <v>11247</v>
      </c>
      <c r="J866" s="129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29" t="s">
        <v>12084</v>
      </c>
      <c r="E867" s="133">
        <v>0</v>
      </c>
      <c r="F867" s="131" t="s">
        <v>12085</v>
      </c>
      <c r="G867" s="129" t="s">
        <v>12083</v>
      </c>
      <c r="H867" s="112" t="s">
        <v>10215</v>
      </c>
      <c r="I867" s="3" t="s">
        <v>12115</v>
      </c>
      <c r="J867" s="129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29" t="s">
        <v>10686</v>
      </c>
      <c r="E868" s="133">
        <v>0</v>
      </c>
      <c r="F868" s="131" t="s">
        <v>12126</v>
      </c>
      <c r="G868" s="129" t="s">
        <v>12125</v>
      </c>
      <c r="H868" s="112" t="s">
        <v>10215</v>
      </c>
      <c r="I868" s="3" t="s">
        <v>11969</v>
      </c>
      <c r="J868" s="129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29" t="s">
        <v>9343</v>
      </c>
      <c r="E869" s="133">
        <v>88</v>
      </c>
      <c r="F869" s="131" t="s">
        <v>12029</v>
      </c>
      <c r="G869" s="129" t="s">
        <v>12028</v>
      </c>
      <c r="H869" s="112" t="s">
        <v>10215</v>
      </c>
      <c r="I869" s="3" t="s">
        <v>13163</v>
      </c>
      <c r="J869" s="129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29" t="s">
        <v>10487</v>
      </c>
      <c r="E870" s="133">
        <v>1140</v>
      </c>
      <c r="F870" s="131" t="s">
        <v>12088</v>
      </c>
      <c r="G870" s="129" t="s">
        <v>12087</v>
      </c>
      <c r="H870" s="112" t="s">
        <v>10215</v>
      </c>
      <c r="I870" s="3" t="s">
        <v>12067</v>
      </c>
      <c r="J870" s="129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29" t="s">
        <v>12090</v>
      </c>
      <c r="E871" s="133">
        <v>1622</v>
      </c>
      <c r="F871" s="131" t="s">
        <v>12091</v>
      </c>
      <c r="G871" s="129" t="s">
        <v>10782</v>
      </c>
      <c r="H871" s="112" t="s">
        <v>10215</v>
      </c>
      <c r="I871" s="3" t="s">
        <v>9139</v>
      </c>
      <c r="J871" s="129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29" t="s">
        <v>9276</v>
      </c>
      <c r="E872" s="133">
        <v>173</v>
      </c>
      <c r="F872" s="131" t="s">
        <v>12095</v>
      </c>
      <c r="G872" s="129" t="s">
        <v>12094</v>
      </c>
      <c r="H872" s="112" t="s">
        <v>10215</v>
      </c>
      <c r="I872" s="3" t="s">
        <v>14539</v>
      </c>
      <c r="J872" s="129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29" t="s">
        <v>11422</v>
      </c>
      <c r="E873" s="133">
        <v>165</v>
      </c>
      <c r="F873" s="131" t="s">
        <v>12098</v>
      </c>
      <c r="G873" s="129" t="s">
        <v>12097</v>
      </c>
      <c r="H873" s="112" t="s">
        <v>10215</v>
      </c>
      <c r="I873" s="3" t="s">
        <v>12097</v>
      </c>
      <c r="J873" s="129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29" t="s">
        <v>8979</v>
      </c>
      <c r="E874" s="133">
        <v>736</v>
      </c>
      <c r="F874" s="131" t="s">
        <v>12032</v>
      </c>
      <c r="G874" s="129" t="s">
        <v>12031</v>
      </c>
      <c r="H874" s="112" t="s">
        <v>10215</v>
      </c>
      <c r="I874" s="3" t="s">
        <v>11247</v>
      </c>
      <c r="J874" s="129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29" t="s">
        <v>9266</v>
      </c>
      <c r="E875" s="133">
        <v>345</v>
      </c>
      <c r="F875" s="131" t="s">
        <v>12035</v>
      </c>
      <c r="G875" s="129" t="s">
        <v>12034</v>
      </c>
      <c r="H875" s="112" t="s">
        <v>10215</v>
      </c>
      <c r="I875" s="3" t="s">
        <v>10637</v>
      </c>
      <c r="J875" s="129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29" t="s">
        <v>10637</v>
      </c>
      <c r="E876" s="133">
        <v>0</v>
      </c>
      <c r="F876" s="131" t="s">
        <v>12119</v>
      </c>
      <c r="G876" s="129" t="s">
        <v>12118</v>
      </c>
      <c r="H876" s="112" t="s">
        <v>10215</v>
      </c>
      <c r="I876" s="3" t="s">
        <v>11969</v>
      </c>
      <c r="J876" s="129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29" t="s">
        <v>12101</v>
      </c>
      <c r="E877" s="133">
        <v>185</v>
      </c>
      <c r="F877" s="131" t="s">
        <v>12102</v>
      </c>
      <c r="G877" s="129" t="s">
        <v>12100</v>
      </c>
      <c r="H877" s="112" t="s">
        <v>10215</v>
      </c>
      <c r="I877" s="3" t="s">
        <v>9139</v>
      </c>
      <c r="J877" s="129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29" t="s">
        <v>11973</v>
      </c>
      <c r="E878" s="133">
        <v>98</v>
      </c>
      <c r="F878" s="131" t="s">
        <v>12038</v>
      </c>
      <c r="G878" s="129" t="s">
        <v>12037</v>
      </c>
      <c r="H878" s="112" t="s">
        <v>10215</v>
      </c>
      <c r="I878" s="3" t="s">
        <v>11989</v>
      </c>
      <c r="J878" s="129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29" t="s">
        <v>9050</v>
      </c>
      <c r="E879" s="133">
        <v>337</v>
      </c>
      <c r="F879" s="131" t="s">
        <v>12045</v>
      </c>
      <c r="G879" s="129" t="s">
        <v>12044</v>
      </c>
      <c r="H879" s="112" t="s">
        <v>10215</v>
      </c>
      <c r="I879" s="3" t="s">
        <v>10637</v>
      </c>
      <c r="J879" s="129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29" t="s">
        <v>9652</v>
      </c>
      <c r="E880" s="133">
        <v>473</v>
      </c>
      <c r="F880" s="131" t="s">
        <v>12047</v>
      </c>
      <c r="G880" s="129" t="s">
        <v>8978</v>
      </c>
      <c r="H880" s="112" t="s">
        <v>10215</v>
      </c>
      <c r="I880" s="3" t="s">
        <v>8978</v>
      </c>
      <c r="J880" s="129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29" t="s">
        <v>12105</v>
      </c>
      <c r="E881" s="133">
        <v>200</v>
      </c>
      <c r="F881" s="131" t="s">
        <v>12106</v>
      </c>
      <c r="G881" s="129" t="s">
        <v>12104</v>
      </c>
      <c r="H881" s="112" t="s">
        <v>10215</v>
      </c>
      <c r="I881" s="3" t="s">
        <v>12115</v>
      </c>
      <c r="J881" s="129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29" t="s">
        <v>12108</v>
      </c>
      <c r="E882" s="133">
        <v>1306</v>
      </c>
      <c r="F882" s="131" t="s">
        <v>12109</v>
      </c>
      <c r="G882" s="129" t="s">
        <v>10338</v>
      </c>
      <c r="H882" s="112" t="s">
        <v>10215</v>
      </c>
      <c r="I882" s="3" t="s">
        <v>9139</v>
      </c>
      <c r="J882" s="129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29" t="s">
        <v>8931</v>
      </c>
      <c r="E883" s="133">
        <v>171</v>
      </c>
      <c r="F883" s="131" t="s">
        <v>12051</v>
      </c>
      <c r="G883" s="129" t="s">
        <v>12050</v>
      </c>
      <c r="H883" s="112" t="s">
        <v>10215</v>
      </c>
      <c r="I883" s="3" t="s">
        <v>11969</v>
      </c>
      <c r="J883" s="129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29" t="s">
        <v>12006</v>
      </c>
      <c r="E884" s="133">
        <v>0</v>
      </c>
      <c r="F884" s="131" t="s">
        <v>12007</v>
      </c>
      <c r="G884" s="129" t="s">
        <v>12005</v>
      </c>
      <c r="H884" s="112" t="s">
        <v>10215</v>
      </c>
      <c r="I884" s="3" t="s">
        <v>14538</v>
      </c>
      <c r="J884" s="129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29" t="s">
        <v>12112</v>
      </c>
      <c r="E885" s="133">
        <v>0</v>
      </c>
      <c r="F885" s="131" t="s">
        <v>12113</v>
      </c>
      <c r="G885" s="129" t="s">
        <v>12111</v>
      </c>
      <c r="H885" s="112" t="s">
        <v>10215</v>
      </c>
      <c r="I885" s="3" t="s">
        <v>9351</v>
      </c>
      <c r="J885" s="129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29" t="s">
        <v>9968</v>
      </c>
      <c r="E886" s="133">
        <v>921</v>
      </c>
      <c r="F886" s="131" t="s">
        <v>12116</v>
      </c>
      <c r="G886" s="129" t="s">
        <v>12115</v>
      </c>
      <c r="H886" s="112" t="s">
        <v>10215</v>
      </c>
      <c r="I886" s="3" t="s">
        <v>12115</v>
      </c>
      <c r="J886" s="129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29" t="s">
        <v>12148</v>
      </c>
      <c r="E887" s="133">
        <v>0</v>
      </c>
      <c r="F887" s="131" t="s">
        <v>12200</v>
      </c>
      <c r="G887" s="129" t="s">
        <v>12199</v>
      </c>
      <c r="H887" s="112" t="s">
        <v>9813</v>
      </c>
      <c r="I887" s="3" t="s">
        <v>14583</v>
      </c>
      <c r="J887" s="129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29" t="s">
        <v>12207</v>
      </c>
      <c r="E888" s="133">
        <v>0</v>
      </c>
      <c r="F888" s="131" t="s">
        <v>12209</v>
      </c>
      <c r="G888" s="129" t="s">
        <v>12208</v>
      </c>
      <c r="H888" s="112" t="s">
        <v>9813</v>
      </c>
      <c r="I888" s="3" t="s">
        <v>14584</v>
      </c>
      <c r="J888" s="129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29" t="s">
        <v>12135</v>
      </c>
      <c r="E889" s="133">
        <v>1401</v>
      </c>
      <c r="F889" s="131" t="s">
        <v>12136</v>
      </c>
      <c r="G889" s="129" t="s">
        <v>12134</v>
      </c>
      <c r="H889" s="112" t="s">
        <v>9813</v>
      </c>
      <c r="I889" s="3" t="s">
        <v>14582</v>
      </c>
      <c r="J889" s="129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29" t="s">
        <v>10818</v>
      </c>
      <c r="E890" s="133">
        <v>0</v>
      </c>
      <c r="F890" s="131" t="s">
        <v>12219</v>
      </c>
      <c r="G890" s="129" t="s">
        <v>12134</v>
      </c>
      <c r="H890" s="112" t="s">
        <v>9813</v>
      </c>
      <c r="I890" s="3" t="s">
        <v>14582</v>
      </c>
      <c r="J890" s="129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29" t="s">
        <v>12171</v>
      </c>
      <c r="E891" s="133">
        <v>0</v>
      </c>
      <c r="F891" s="131" t="s">
        <v>12172</v>
      </c>
      <c r="G891" s="129" t="s">
        <v>14448</v>
      </c>
      <c r="H891" s="112" t="s">
        <v>9813</v>
      </c>
      <c r="I891" s="3" t="s">
        <v>12180</v>
      </c>
      <c r="J891" s="129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29" t="s">
        <v>12203</v>
      </c>
      <c r="E892" s="133">
        <v>0</v>
      </c>
      <c r="F892" s="131" t="s">
        <v>12204</v>
      </c>
      <c r="G892" s="129" t="s">
        <v>12202</v>
      </c>
      <c r="H892" s="112" t="s">
        <v>9813</v>
      </c>
      <c r="I892" s="3" t="s">
        <v>9813</v>
      </c>
      <c r="J892" s="129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29" t="s">
        <v>9660</v>
      </c>
      <c r="E893" s="133">
        <v>0</v>
      </c>
      <c r="F893" s="131" t="s">
        <v>12227</v>
      </c>
      <c r="G893" s="129" t="s">
        <v>12226</v>
      </c>
      <c r="H893" s="112" t="s">
        <v>9813</v>
      </c>
      <c r="I893" s="3" t="s">
        <v>15346</v>
      </c>
      <c r="J893" s="129" t="s">
        <v>12227</v>
      </c>
      <c r="K893" s="1" t="s">
        <v>15346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29" t="s">
        <v>10380</v>
      </c>
      <c r="E894" s="133">
        <v>100</v>
      </c>
      <c r="F894" s="131" t="s">
        <v>12139</v>
      </c>
      <c r="G894" s="129" t="s">
        <v>12138</v>
      </c>
      <c r="H894" s="112" t="s">
        <v>9813</v>
      </c>
      <c r="I894" s="3" t="s">
        <v>12180</v>
      </c>
      <c r="J894" s="129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29" t="s">
        <v>9050</v>
      </c>
      <c r="E895" s="133">
        <v>0</v>
      </c>
      <c r="F895" s="131" t="s">
        <v>12142</v>
      </c>
      <c r="G895" s="129" t="s">
        <v>12141</v>
      </c>
      <c r="H895" s="112" t="s">
        <v>9813</v>
      </c>
      <c r="I895" s="3" t="s">
        <v>14583</v>
      </c>
      <c r="J895" s="129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29" t="s">
        <v>12145</v>
      </c>
      <c r="E896" s="133">
        <v>0</v>
      </c>
      <c r="F896" s="131" t="s">
        <v>12146</v>
      </c>
      <c r="G896" s="129" t="s">
        <v>12144</v>
      </c>
      <c r="H896" s="112" t="s">
        <v>9813</v>
      </c>
      <c r="I896" s="3" t="s">
        <v>15346</v>
      </c>
      <c r="J896" s="129" t="s">
        <v>12146</v>
      </c>
      <c r="K896" s="1" t="s">
        <v>15346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29" t="s">
        <v>12148</v>
      </c>
      <c r="E897" s="133">
        <v>920</v>
      </c>
      <c r="F897" s="131" t="s">
        <v>12149</v>
      </c>
      <c r="G897" s="129" t="s">
        <v>9813</v>
      </c>
      <c r="H897" s="112" t="s">
        <v>9813</v>
      </c>
      <c r="I897" s="3" t="s">
        <v>9813</v>
      </c>
      <c r="J897" s="129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29" t="s">
        <v>9405</v>
      </c>
      <c r="E898" s="133">
        <v>195</v>
      </c>
      <c r="F898" s="131" t="s">
        <v>12193</v>
      </c>
      <c r="G898" s="129" t="s">
        <v>12192</v>
      </c>
      <c r="H898" s="112" t="s">
        <v>9813</v>
      </c>
      <c r="I898" s="3" t="s">
        <v>14584</v>
      </c>
      <c r="J898" s="129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29" t="s">
        <v>10103</v>
      </c>
      <c r="E899" s="133">
        <v>0</v>
      </c>
      <c r="F899" s="131" t="s">
        <v>12157</v>
      </c>
      <c r="G899" s="129" t="s">
        <v>12156</v>
      </c>
      <c r="H899" s="112" t="s">
        <v>9813</v>
      </c>
      <c r="I899" s="3" t="s">
        <v>14584</v>
      </c>
      <c r="J899" s="129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29" t="s">
        <v>9405</v>
      </c>
      <c r="E900" s="133">
        <v>795</v>
      </c>
      <c r="F900" s="131" t="s">
        <v>12160</v>
      </c>
      <c r="G900" s="129" t="s">
        <v>12159</v>
      </c>
      <c r="H900" s="112" t="s">
        <v>9813</v>
      </c>
      <c r="I900" s="3" t="s">
        <v>15346</v>
      </c>
      <c r="J900" s="129" t="s">
        <v>12160</v>
      </c>
      <c r="K900" s="1" t="s">
        <v>15346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29" t="s">
        <v>8928</v>
      </c>
      <c r="E901" s="133">
        <v>0</v>
      </c>
      <c r="F901" s="131" t="s">
        <v>12164</v>
      </c>
      <c r="G901" s="129" t="s">
        <v>12163</v>
      </c>
      <c r="H901" s="112" t="s">
        <v>9813</v>
      </c>
      <c r="I901" s="3" t="s">
        <v>14585</v>
      </c>
      <c r="J901" s="129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29" t="s">
        <v>9627</v>
      </c>
      <c r="E902" s="133">
        <v>0</v>
      </c>
      <c r="F902" s="131" t="s">
        <v>12166</v>
      </c>
      <c r="G902" s="129" t="s">
        <v>10829</v>
      </c>
      <c r="H902" s="112" t="s">
        <v>9813</v>
      </c>
      <c r="I902" s="3" t="s">
        <v>14582</v>
      </c>
      <c r="J902" s="129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29" t="s">
        <v>9660</v>
      </c>
      <c r="E903" s="133">
        <v>118</v>
      </c>
      <c r="F903" s="131" t="s">
        <v>12169</v>
      </c>
      <c r="G903" s="129" t="s">
        <v>12168</v>
      </c>
      <c r="H903" s="112" t="s">
        <v>9813</v>
      </c>
      <c r="I903" s="3" t="s">
        <v>15346</v>
      </c>
      <c r="J903" s="129" t="s">
        <v>12169</v>
      </c>
      <c r="K903" s="1" t="s">
        <v>15346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29" t="s">
        <v>12203</v>
      </c>
      <c r="E904" s="133">
        <v>0</v>
      </c>
      <c r="F904" s="131" t="s">
        <v>12212</v>
      </c>
      <c r="G904" s="129" t="s">
        <v>12211</v>
      </c>
      <c r="H904" s="112" t="s">
        <v>9813</v>
      </c>
      <c r="I904" s="3" t="s">
        <v>9813</v>
      </c>
      <c r="J904" s="129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29" t="s">
        <v>12215</v>
      </c>
      <c r="E905" s="133">
        <v>0</v>
      </c>
      <c r="F905" s="131" t="s">
        <v>12216</v>
      </c>
      <c r="G905" s="129" t="s">
        <v>12214</v>
      </c>
      <c r="H905" s="112" t="s">
        <v>9813</v>
      </c>
      <c r="I905" s="3" t="s">
        <v>14583</v>
      </c>
      <c r="J905" s="129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29" t="s">
        <v>12145</v>
      </c>
      <c r="E906" s="133">
        <v>0</v>
      </c>
      <c r="F906" s="131" t="s">
        <v>12178</v>
      </c>
      <c r="G906" s="129" t="s">
        <v>12177</v>
      </c>
      <c r="H906" s="112" t="s">
        <v>9813</v>
      </c>
      <c r="I906" s="3" t="s">
        <v>12180</v>
      </c>
      <c r="J906" s="129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29" t="s">
        <v>12148</v>
      </c>
      <c r="E907" s="133">
        <v>245</v>
      </c>
      <c r="F907" s="131" t="s">
        <v>12181</v>
      </c>
      <c r="G907" s="129" t="s">
        <v>12180</v>
      </c>
      <c r="H907" s="112" t="s">
        <v>9813</v>
      </c>
      <c r="I907" s="3" t="s">
        <v>12180</v>
      </c>
      <c r="J907" s="129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29" t="s">
        <v>9968</v>
      </c>
      <c r="E908" s="133">
        <v>143</v>
      </c>
      <c r="F908" s="131" t="s">
        <v>12184</v>
      </c>
      <c r="G908" s="129" t="s">
        <v>12183</v>
      </c>
      <c r="H908" s="112" t="s">
        <v>9813</v>
      </c>
      <c r="I908" s="3" t="s">
        <v>15346</v>
      </c>
      <c r="J908" s="129" t="s">
        <v>12184</v>
      </c>
      <c r="K908" s="1" t="s">
        <v>15346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29" t="s">
        <v>12187</v>
      </c>
      <c r="E909" s="133">
        <v>0</v>
      </c>
      <c r="F909" s="131" t="s">
        <v>12189</v>
      </c>
      <c r="G909" s="129" t="s">
        <v>12188</v>
      </c>
      <c r="H909" s="112" t="s">
        <v>9813</v>
      </c>
      <c r="I909" s="3" t="s">
        <v>14582</v>
      </c>
      <c r="J909" s="129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29" t="s">
        <v>8983</v>
      </c>
      <c r="E910" s="133">
        <v>100</v>
      </c>
      <c r="F910" s="131" t="s">
        <v>12175</v>
      </c>
      <c r="G910" s="129" t="s">
        <v>12174</v>
      </c>
      <c r="H910" s="112" t="s">
        <v>9813</v>
      </c>
      <c r="I910" s="3" t="s">
        <v>14584</v>
      </c>
      <c r="J910" s="129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29" t="s">
        <v>12222</v>
      </c>
      <c r="E911" s="133">
        <v>0</v>
      </c>
      <c r="F911" s="131" t="s">
        <v>12223</v>
      </c>
      <c r="G911" s="129" t="s">
        <v>12221</v>
      </c>
      <c r="H911" s="112" t="s">
        <v>9813</v>
      </c>
      <c r="I911" s="3" t="s">
        <v>12180</v>
      </c>
      <c r="J911" s="129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29" t="s">
        <v>11477</v>
      </c>
      <c r="E912" s="133">
        <v>0</v>
      </c>
      <c r="F912" s="131" t="s">
        <v>12197</v>
      </c>
      <c r="G912" s="129" t="s">
        <v>12196</v>
      </c>
      <c r="H912" s="112" t="s">
        <v>9813</v>
      </c>
      <c r="I912" s="3" t="s">
        <v>15346</v>
      </c>
      <c r="J912" s="129" t="s">
        <v>12197</v>
      </c>
      <c r="K912" s="1" t="s">
        <v>15346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29" t="s">
        <v>12152</v>
      </c>
      <c r="E913" s="133">
        <v>0</v>
      </c>
      <c r="F913" s="131" t="s">
        <v>12154</v>
      </c>
      <c r="G913" s="129" t="s">
        <v>12153</v>
      </c>
      <c r="H913" s="112" t="s">
        <v>9813</v>
      </c>
      <c r="I913" s="3" t="s">
        <v>15346</v>
      </c>
      <c r="J913" s="129" t="s">
        <v>12154</v>
      </c>
      <c r="K913" s="1" t="s">
        <v>15346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29" t="s">
        <v>9205</v>
      </c>
      <c r="E914" s="133">
        <v>490</v>
      </c>
      <c r="F914" s="131" t="s">
        <v>12233</v>
      </c>
      <c r="G914" s="129" t="s">
        <v>12232</v>
      </c>
      <c r="H914" s="112" t="s">
        <v>12229</v>
      </c>
      <c r="I914" s="3" t="s">
        <v>14626</v>
      </c>
      <c r="J914" s="129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29" t="s">
        <v>12292</v>
      </c>
      <c r="E915" s="133">
        <v>0</v>
      </c>
      <c r="F915" s="131" t="s">
        <v>12293</v>
      </c>
      <c r="G915" s="129" t="s">
        <v>12291</v>
      </c>
      <c r="H915" s="112" t="s">
        <v>12229</v>
      </c>
      <c r="I915" s="3" t="s">
        <v>14630</v>
      </c>
      <c r="J915" s="129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29" t="s">
        <v>11035</v>
      </c>
      <c r="E916" s="133">
        <v>0</v>
      </c>
      <c r="F916" s="131" t="s">
        <v>12236</v>
      </c>
      <c r="G916" s="129" t="s">
        <v>12235</v>
      </c>
      <c r="H916" s="112" t="s">
        <v>12229</v>
      </c>
      <c r="I916" s="3" t="s">
        <v>12242</v>
      </c>
      <c r="J916" s="129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29" t="s">
        <v>9014</v>
      </c>
      <c r="E917" s="133">
        <v>909</v>
      </c>
      <c r="F917" s="131" t="s">
        <v>12273</v>
      </c>
      <c r="G917" s="129" t="s">
        <v>12272</v>
      </c>
      <c r="H917" s="112" t="s">
        <v>12229</v>
      </c>
      <c r="I917" s="3" t="s">
        <v>12272</v>
      </c>
      <c r="J917" s="129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29" t="s">
        <v>12239</v>
      </c>
      <c r="E918" s="133">
        <v>175</v>
      </c>
      <c r="F918" s="131" t="s">
        <v>12240</v>
      </c>
      <c r="G918" s="129" t="s">
        <v>12238</v>
      </c>
      <c r="H918" s="112" t="s">
        <v>12229</v>
      </c>
      <c r="I918" s="3" t="s">
        <v>14627</v>
      </c>
      <c r="J918" s="129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29" t="s">
        <v>8931</v>
      </c>
      <c r="E919" s="133">
        <v>199</v>
      </c>
      <c r="F919" s="131" t="s">
        <v>12243</v>
      </c>
      <c r="G919" s="129" t="s">
        <v>12242</v>
      </c>
      <c r="H919" s="112" t="s">
        <v>12229</v>
      </c>
      <c r="I919" s="3" t="s">
        <v>12242</v>
      </c>
      <c r="J919" s="129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29" t="s">
        <v>12246</v>
      </c>
      <c r="E920" s="133">
        <v>40</v>
      </c>
      <c r="F920" s="131" t="s">
        <v>12247</v>
      </c>
      <c r="G920" s="129" t="s">
        <v>12245</v>
      </c>
      <c r="H920" s="112" t="s">
        <v>12229</v>
      </c>
      <c r="I920" s="3" t="s">
        <v>9889</v>
      </c>
      <c r="J920" s="129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29" t="s">
        <v>10865</v>
      </c>
      <c r="E921" s="133">
        <v>207</v>
      </c>
      <c r="F921" s="131" t="s">
        <v>12250</v>
      </c>
      <c r="G921" s="129" t="s">
        <v>12249</v>
      </c>
      <c r="H921" s="112" t="s">
        <v>12229</v>
      </c>
      <c r="I921" s="3" t="s">
        <v>14628</v>
      </c>
      <c r="J921" s="129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29" t="s">
        <v>9014</v>
      </c>
      <c r="E922" s="133">
        <v>495</v>
      </c>
      <c r="F922" s="131" t="s">
        <v>12254</v>
      </c>
      <c r="G922" s="129" t="s">
        <v>12253</v>
      </c>
      <c r="H922" s="112" t="s">
        <v>12229</v>
      </c>
      <c r="I922" s="3" t="s">
        <v>14627</v>
      </c>
      <c r="J922" s="129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29" t="s">
        <v>12257</v>
      </c>
      <c r="E923" s="133">
        <v>301</v>
      </c>
      <c r="F923" s="131" t="s">
        <v>12258</v>
      </c>
      <c r="G923" s="129" t="s">
        <v>12256</v>
      </c>
      <c r="H923" s="112" t="s">
        <v>12229</v>
      </c>
      <c r="I923" s="3" t="s">
        <v>12277</v>
      </c>
      <c r="J923" s="129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29" t="s">
        <v>12229</v>
      </c>
      <c r="E924" s="133">
        <v>250</v>
      </c>
      <c r="F924" s="131" t="s">
        <v>12261</v>
      </c>
      <c r="G924" s="129" t="s">
        <v>12260</v>
      </c>
      <c r="H924" s="112" t="s">
        <v>12229</v>
      </c>
      <c r="I924" s="3" t="s">
        <v>12272</v>
      </c>
      <c r="J924" s="129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29" t="s">
        <v>12288</v>
      </c>
      <c r="E925" s="133">
        <v>0</v>
      </c>
      <c r="F925" s="131" t="s">
        <v>12289</v>
      </c>
      <c r="G925" s="129" t="s">
        <v>12287</v>
      </c>
      <c r="H925" s="112" t="s">
        <v>12229</v>
      </c>
      <c r="I925" s="3" t="s">
        <v>9221</v>
      </c>
      <c r="J925" s="129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29" t="s">
        <v>12284</v>
      </c>
      <c r="E926" s="133">
        <v>1</v>
      </c>
      <c r="F926" s="131" t="s">
        <v>12285</v>
      </c>
      <c r="G926" s="129" t="s">
        <v>12283</v>
      </c>
      <c r="H926" s="112" t="s">
        <v>12229</v>
      </c>
      <c r="I926" s="3" t="s">
        <v>14629</v>
      </c>
      <c r="J926" s="129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29" t="s">
        <v>12264</v>
      </c>
      <c r="E927" s="133">
        <v>0</v>
      </c>
      <c r="F927" s="131" t="s">
        <v>12266</v>
      </c>
      <c r="G927" s="129" t="s">
        <v>12265</v>
      </c>
      <c r="H927" s="112" t="s">
        <v>12229</v>
      </c>
      <c r="I927" s="3" t="s">
        <v>9221</v>
      </c>
      <c r="J927" s="129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29" t="s">
        <v>9660</v>
      </c>
      <c r="E928" s="133">
        <v>299</v>
      </c>
      <c r="F928" s="131" t="s">
        <v>12269</v>
      </c>
      <c r="G928" s="129" t="s">
        <v>12268</v>
      </c>
      <c r="H928" s="112" t="s">
        <v>12229</v>
      </c>
      <c r="I928" s="3" t="s">
        <v>12272</v>
      </c>
      <c r="J928" s="129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29" t="s">
        <v>9205</v>
      </c>
      <c r="E929" s="133">
        <v>280</v>
      </c>
      <c r="F929" s="131" t="s">
        <v>12275</v>
      </c>
      <c r="G929" s="129" t="s">
        <v>9889</v>
      </c>
      <c r="H929" s="112" t="s">
        <v>12229</v>
      </c>
      <c r="I929" s="3" t="s">
        <v>9889</v>
      </c>
      <c r="J929" s="129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29" t="s">
        <v>9603</v>
      </c>
      <c r="E930" s="133">
        <v>1136</v>
      </c>
      <c r="F930" s="131" t="s">
        <v>12230</v>
      </c>
      <c r="G930" s="129" t="s">
        <v>11620</v>
      </c>
      <c r="H930" s="112" t="s">
        <v>12229</v>
      </c>
      <c r="I930" s="3" t="s">
        <v>9221</v>
      </c>
      <c r="J930" s="129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29" t="s">
        <v>12296</v>
      </c>
      <c r="E931" s="133">
        <v>0</v>
      </c>
      <c r="F931" s="131" t="s">
        <v>12297</v>
      </c>
      <c r="G931" s="129" t="s">
        <v>11620</v>
      </c>
      <c r="H931" s="112" t="s">
        <v>12229</v>
      </c>
      <c r="I931" s="3" t="s">
        <v>9221</v>
      </c>
      <c r="J931" s="129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29" t="s">
        <v>9627</v>
      </c>
      <c r="E932" s="133">
        <v>497</v>
      </c>
      <c r="F932" s="131" t="s">
        <v>12278</v>
      </c>
      <c r="G932" s="129" t="s">
        <v>12277</v>
      </c>
      <c r="H932" s="112" t="s">
        <v>12229</v>
      </c>
      <c r="I932" s="3" t="s">
        <v>12277</v>
      </c>
      <c r="J932" s="129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29" t="s">
        <v>10865</v>
      </c>
      <c r="E933" s="133">
        <v>0</v>
      </c>
      <c r="F933" s="131" t="s">
        <v>12281</v>
      </c>
      <c r="G933" s="129" t="s">
        <v>12280</v>
      </c>
      <c r="H933" s="112" t="s">
        <v>12229</v>
      </c>
      <c r="I933" s="3" t="s">
        <v>14627</v>
      </c>
      <c r="J933" s="129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29" t="s">
        <v>12416</v>
      </c>
      <c r="E934" s="133">
        <v>394</v>
      </c>
      <c r="F934" s="131" t="s">
        <v>12417</v>
      </c>
      <c r="G934" s="129" t="s">
        <v>9050</v>
      </c>
      <c r="H934" s="112" t="s">
        <v>12299</v>
      </c>
      <c r="I934" s="3" t="s">
        <v>14577</v>
      </c>
      <c r="J934" s="129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29" t="s">
        <v>9050</v>
      </c>
      <c r="E935" s="133">
        <v>200</v>
      </c>
      <c r="F935" s="131" t="s">
        <v>12303</v>
      </c>
      <c r="G935" s="129" t="s">
        <v>12302</v>
      </c>
      <c r="H935" s="112" t="s">
        <v>12299</v>
      </c>
      <c r="I935" s="3" t="s">
        <v>12359</v>
      </c>
      <c r="J935" s="129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29" t="s">
        <v>9755</v>
      </c>
      <c r="E936" s="133">
        <v>437</v>
      </c>
      <c r="F936" s="131" t="s">
        <v>12306</v>
      </c>
      <c r="G936" s="129" t="s">
        <v>12305</v>
      </c>
      <c r="H936" s="112" t="s">
        <v>12299</v>
      </c>
      <c r="I936" s="3" t="s">
        <v>12394</v>
      </c>
      <c r="J936" s="129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29" t="s">
        <v>14503</v>
      </c>
      <c r="E937" s="133">
        <v>404</v>
      </c>
      <c r="F937" s="131" t="s">
        <v>12309</v>
      </c>
      <c r="G937" s="129" t="s">
        <v>12308</v>
      </c>
      <c r="H937" s="112" t="s">
        <v>12299</v>
      </c>
      <c r="I937" s="3" t="s">
        <v>14511</v>
      </c>
      <c r="J937" s="129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29" t="s">
        <v>9014</v>
      </c>
      <c r="E938" s="133">
        <v>393</v>
      </c>
      <c r="F938" s="131" t="s">
        <v>12312</v>
      </c>
      <c r="G938" s="129" t="s">
        <v>12311</v>
      </c>
      <c r="H938" s="112" t="s">
        <v>12299</v>
      </c>
      <c r="I938" s="3" t="s">
        <v>12407</v>
      </c>
      <c r="J938" s="129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29" t="s">
        <v>12315</v>
      </c>
      <c r="E939" s="133">
        <v>337</v>
      </c>
      <c r="F939" s="131" t="s">
        <v>12316</v>
      </c>
      <c r="G939" s="129" t="s">
        <v>12314</v>
      </c>
      <c r="H939" s="112" t="s">
        <v>12299</v>
      </c>
      <c r="I939" s="3" t="s">
        <v>14570</v>
      </c>
      <c r="J939" s="129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29" t="s">
        <v>12319</v>
      </c>
      <c r="E940" s="133">
        <v>55</v>
      </c>
      <c r="F940" s="131" t="s">
        <v>12320</v>
      </c>
      <c r="G940" s="129" t="s">
        <v>12318</v>
      </c>
      <c r="H940" s="112" t="s">
        <v>12299</v>
      </c>
      <c r="I940" s="3" t="s">
        <v>14571</v>
      </c>
      <c r="J940" s="129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29" t="s">
        <v>8928</v>
      </c>
      <c r="E941" s="133">
        <v>100</v>
      </c>
      <c r="F941" s="131" t="s">
        <v>12323</v>
      </c>
      <c r="G941" s="129" t="s">
        <v>12322</v>
      </c>
      <c r="H941" s="112" t="s">
        <v>12299</v>
      </c>
      <c r="I941" s="3" t="s">
        <v>12391</v>
      </c>
      <c r="J941" s="129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29" t="s">
        <v>15338</v>
      </c>
      <c r="E942" s="133">
        <v>305</v>
      </c>
      <c r="F942" s="131" t="s">
        <v>12326</v>
      </c>
      <c r="G942" s="129" t="s">
        <v>12325</v>
      </c>
      <c r="H942" s="112" t="s">
        <v>12299</v>
      </c>
      <c r="I942" s="3" t="s">
        <v>12325</v>
      </c>
      <c r="J942" s="129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29" t="s">
        <v>9343</v>
      </c>
      <c r="E943" s="133">
        <v>1165</v>
      </c>
      <c r="F943" s="131" t="s">
        <v>12329</v>
      </c>
      <c r="G943" s="129" t="s">
        <v>12328</v>
      </c>
      <c r="H943" s="112" t="s">
        <v>12299</v>
      </c>
      <c r="I943" s="3" t="s">
        <v>12388</v>
      </c>
      <c r="J943" s="129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29" t="s">
        <v>9221</v>
      </c>
      <c r="E944" s="133">
        <v>100</v>
      </c>
      <c r="F944" s="131" t="s">
        <v>12333</v>
      </c>
      <c r="G944" s="129" t="s">
        <v>12332</v>
      </c>
      <c r="H944" s="112" t="s">
        <v>12299</v>
      </c>
      <c r="I944" s="3" t="s">
        <v>14570</v>
      </c>
      <c r="J944" s="129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29" t="s">
        <v>12336</v>
      </c>
      <c r="E945" s="133">
        <v>498</v>
      </c>
      <c r="F945" s="131" t="s">
        <v>12337</v>
      </c>
      <c r="G945" s="129" t="s">
        <v>12335</v>
      </c>
      <c r="H945" s="112" t="s">
        <v>12299</v>
      </c>
      <c r="I945" s="3" t="s">
        <v>14572</v>
      </c>
      <c r="J945" s="129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29" t="s">
        <v>10060</v>
      </c>
      <c r="E946" s="133">
        <v>1141</v>
      </c>
      <c r="F946" s="131" t="s">
        <v>12340</v>
      </c>
      <c r="G946" s="129" t="s">
        <v>12339</v>
      </c>
      <c r="H946" s="112" t="s">
        <v>12299</v>
      </c>
      <c r="I946" s="3" t="s">
        <v>14573</v>
      </c>
      <c r="J946" s="129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29" t="s">
        <v>12343</v>
      </c>
      <c r="E947" s="133">
        <v>280</v>
      </c>
      <c r="F947" s="131" t="s">
        <v>12344</v>
      </c>
      <c r="G947" s="129" t="s">
        <v>12342</v>
      </c>
      <c r="H947" s="112" t="s">
        <v>12299</v>
      </c>
      <c r="I947" s="3" t="s">
        <v>12394</v>
      </c>
      <c r="J947" s="129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29" t="s">
        <v>12347</v>
      </c>
      <c r="E948" s="133">
        <v>790</v>
      </c>
      <c r="F948" s="131" t="s">
        <v>12349</v>
      </c>
      <c r="G948" s="129" t="s">
        <v>12348</v>
      </c>
      <c r="H948" s="112" t="s">
        <v>12299</v>
      </c>
      <c r="I948" s="3" t="s">
        <v>14574</v>
      </c>
      <c r="J948" s="129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29" t="s">
        <v>12352</v>
      </c>
      <c r="E949" s="133">
        <v>653</v>
      </c>
      <c r="F949" s="131" t="s">
        <v>12354</v>
      </c>
      <c r="G949" s="129" t="s">
        <v>12353</v>
      </c>
      <c r="H949" s="112" t="s">
        <v>12299</v>
      </c>
      <c r="I949" s="3" t="s">
        <v>14575</v>
      </c>
      <c r="J949" s="129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29" t="s">
        <v>12356</v>
      </c>
      <c r="E950" s="133">
        <v>250</v>
      </c>
      <c r="F950" s="131" t="s">
        <v>12357</v>
      </c>
      <c r="G950" s="129" t="s">
        <v>8930</v>
      </c>
      <c r="H950" s="112" t="s">
        <v>12299</v>
      </c>
      <c r="I950" s="3" t="s">
        <v>14571</v>
      </c>
      <c r="J950" s="129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29" t="s">
        <v>11140</v>
      </c>
      <c r="E951" s="133">
        <v>457</v>
      </c>
      <c r="F951" s="131" t="s">
        <v>12360</v>
      </c>
      <c r="G951" s="129" t="s">
        <v>12359</v>
      </c>
      <c r="H951" s="112" t="s">
        <v>12299</v>
      </c>
      <c r="I951" s="3" t="s">
        <v>12359</v>
      </c>
      <c r="J951" s="129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29" t="s">
        <v>11217</v>
      </c>
      <c r="E952" s="133">
        <v>597</v>
      </c>
      <c r="F952" s="131" t="s">
        <v>12364</v>
      </c>
      <c r="G952" s="129" t="s">
        <v>12363</v>
      </c>
      <c r="H952" s="112" t="s">
        <v>12299</v>
      </c>
      <c r="I952" s="3" t="s">
        <v>12394</v>
      </c>
      <c r="J952" s="129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29" t="s">
        <v>11522</v>
      </c>
      <c r="E953" s="133">
        <v>494</v>
      </c>
      <c r="F953" s="131" t="s">
        <v>12367</v>
      </c>
      <c r="G953" s="129" t="s">
        <v>12366</v>
      </c>
      <c r="H953" s="112" t="s">
        <v>12299</v>
      </c>
      <c r="I953" s="3" t="s">
        <v>14570</v>
      </c>
      <c r="J953" s="129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29" t="s">
        <v>14503</v>
      </c>
      <c r="E954" s="133">
        <v>928</v>
      </c>
      <c r="F954" s="131" t="s">
        <v>12370</v>
      </c>
      <c r="G954" s="129" t="s">
        <v>12369</v>
      </c>
      <c r="H954" s="112" t="s">
        <v>12299</v>
      </c>
      <c r="I954" s="3" t="s">
        <v>14571</v>
      </c>
      <c r="J954" s="129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29" t="s">
        <v>10791</v>
      </c>
      <c r="E955" s="133">
        <v>100</v>
      </c>
      <c r="F955" s="131" t="s">
        <v>12428</v>
      </c>
      <c r="G955" s="129" t="s">
        <v>12427</v>
      </c>
      <c r="H955" s="112" t="s">
        <v>12299</v>
      </c>
      <c r="I955" s="3" t="s">
        <v>12391</v>
      </c>
      <c r="J955" s="129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29" t="s">
        <v>12373</v>
      </c>
      <c r="E956" s="133">
        <v>1</v>
      </c>
      <c r="F956" s="131" t="s">
        <v>12374</v>
      </c>
      <c r="G956" s="129" t="s">
        <v>12372</v>
      </c>
      <c r="H956" s="112" t="s">
        <v>12299</v>
      </c>
      <c r="I956" s="3" t="s">
        <v>12325</v>
      </c>
      <c r="J956" s="129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29" t="s">
        <v>9701</v>
      </c>
      <c r="E957" s="133">
        <v>350</v>
      </c>
      <c r="F957" s="131" t="s">
        <v>12377</v>
      </c>
      <c r="G957" s="129" t="s">
        <v>12376</v>
      </c>
      <c r="H957" s="112" t="s">
        <v>12299</v>
      </c>
      <c r="I957" s="3" t="s">
        <v>14572</v>
      </c>
      <c r="J957" s="129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29" t="s">
        <v>8928</v>
      </c>
      <c r="E958" s="133">
        <v>431</v>
      </c>
      <c r="F958" s="131" t="s">
        <v>12380</v>
      </c>
      <c r="G958" s="129" t="s">
        <v>12379</v>
      </c>
      <c r="H958" s="112" t="s">
        <v>12299</v>
      </c>
      <c r="I958" s="3" t="s">
        <v>12388</v>
      </c>
      <c r="J958" s="129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29" t="s">
        <v>8983</v>
      </c>
      <c r="E959" s="133">
        <v>450</v>
      </c>
      <c r="F959" s="131" t="s">
        <v>12383</v>
      </c>
      <c r="G959" s="129" t="s">
        <v>12382</v>
      </c>
      <c r="H959" s="112" t="s">
        <v>12299</v>
      </c>
      <c r="I959" s="3" t="s">
        <v>14572</v>
      </c>
      <c r="J959" s="129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29" t="s">
        <v>9266</v>
      </c>
      <c r="E960" s="133">
        <v>444</v>
      </c>
      <c r="F960" s="131" t="s">
        <v>12386</v>
      </c>
      <c r="G960" s="129" t="s">
        <v>12385</v>
      </c>
      <c r="H960" s="112" t="s">
        <v>12299</v>
      </c>
      <c r="I960" s="3" t="s">
        <v>12391</v>
      </c>
      <c r="J960" s="129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29" t="s">
        <v>9205</v>
      </c>
      <c r="E961" s="133">
        <v>290</v>
      </c>
      <c r="F961" s="131" t="s">
        <v>12389</v>
      </c>
      <c r="G961" s="129" t="s">
        <v>12388</v>
      </c>
      <c r="H961" s="112" t="s">
        <v>12299</v>
      </c>
      <c r="I961" s="3" t="s">
        <v>12388</v>
      </c>
      <c r="J961" s="129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29" t="s">
        <v>9099</v>
      </c>
      <c r="E962" s="133">
        <v>231</v>
      </c>
      <c r="F962" s="131" t="s">
        <v>12392</v>
      </c>
      <c r="G962" s="129" t="s">
        <v>12391</v>
      </c>
      <c r="H962" s="112" t="s">
        <v>12299</v>
      </c>
      <c r="I962" s="3" t="s">
        <v>12391</v>
      </c>
      <c r="J962" s="129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29" t="s">
        <v>12395</v>
      </c>
      <c r="E963" s="133">
        <v>1443</v>
      </c>
      <c r="F963" s="131" t="s">
        <v>12396</v>
      </c>
      <c r="G963" s="129" t="s">
        <v>12394</v>
      </c>
      <c r="H963" s="112" t="s">
        <v>12299</v>
      </c>
      <c r="I963" s="3" t="s">
        <v>12394</v>
      </c>
      <c r="J963" s="129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29" t="s">
        <v>9266</v>
      </c>
      <c r="E964" s="133">
        <v>121</v>
      </c>
      <c r="F964" s="131" t="s">
        <v>12399</v>
      </c>
      <c r="G964" s="129" t="s">
        <v>12398</v>
      </c>
      <c r="H964" s="112" t="s">
        <v>12299</v>
      </c>
      <c r="I964" s="3" t="s">
        <v>14572</v>
      </c>
      <c r="J964" s="129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29" t="s">
        <v>9627</v>
      </c>
      <c r="E965" s="133">
        <v>202</v>
      </c>
      <c r="F965" s="131" t="s">
        <v>12300</v>
      </c>
      <c r="G965" s="129" t="s">
        <v>10790</v>
      </c>
      <c r="H965" s="112" t="s">
        <v>12299</v>
      </c>
      <c r="I965" s="3" t="s">
        <v>14511</v>
      </c>
      <c r="J965" s="129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15333</v>
      </c>
      <c r="C966" s="112" t="s">
        <v>3</v>
      </c>
      <c r="D966" s="129" t="s">
        <v>10818</v>
      </c>
      <c r="E966" s="133">
        <v>0</v>
      </c>
      <c r="F966" s="131" t="s">
        <v>12425</v>
      </c>
      <c r="G966" s="129" t="s">
        <v>10790</v>
      </c>
      <c r="H966" s="112" t="s">
        <v>12299</v>
      </c>
      <c r="I966" s="3" t="s">
        <v>14511</v>
      </c>
      <c r="J966" s="129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29" t="s">
        <v>8983</v>
      </c>
      <c r="E967" s="133">
        <v>532</v>
      </c>
      <c r="F967" s="131" t="s">
        <v>12402</v>
      </c>
      <c r="G967" s="129" t="s">
        <v>12401</v>
      </c>
      <c r="H967" s="112" t="s">
        <v>12299</v>
      </c>
      <c r="I967" s="3" t="s">
        <v>14576</v>
      </c>
      <c r="J967" s="129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29" t="s">
        <v>8974</v>
      </c>
      <c r="E968" s="133">
        <v>465</v>
      </c>
      <c r="F968" s="131" t="s">
        <v>12405</v>
      </c>
      <c r="G968" s="129" t="s">
        <v>12404</v>
      </c>
      <c r="H968" s="112" t="s">
        <v>12299</v>
      </c>
      <c r="I968" s="3" t="s">
        <v>12404</v>
      </c>
      <c r="J968" s="129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29" t="s">
        <v>12408</v>
      </c>
      <c r="E969" s="133">
        <v>45</v>
      </c>
      <c r="F969" s="131" t="s">
        <v>12409</v>
      </c>
      <c r="G969" s="129" t="s">
        <v>12407</v>
      </c>
      <c r="H969" s="112" t="s">
        <v>12299</v>
      </c>
      <c r="I969" s="3" t="s">
        <v>12407</v>
      </c>
      <c r="J969" s="129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29" t="s">
        <v>12412</v>
      </c>
      <c r="E970" s="133">
        <v>0</v>
      </c>
      <c r="F970" s="131" t="s">
        <v>12413</v>
      </c>
      <c r="G970" s="129" t="s">
        <v>12411</v>
      </c>
      <c r="H970" s="112" t="s">
        <v>12299</v>
      </c>
      <c r="I970" s="3" t="s">
        <v>12325</v>
      </c>
      <c r="J970" s="129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29" t="s">
        <v>10256</v>
      </c>
      <c r="E971" s="133">
        <v>996</v>
      </c>
      <c r="F971" s="131" t="s">
        <v>12420</v>
      </c>
      <c r="G971" s="129" t="s">
        <v>12419</v>
      </c>
      <c r="H971" s="112" t="s">
        <v>12299</v>
      </c>
      <c r="I971" s="3" t="s">
        <v>14576</v>
      </c>
      <c r="J971" s="129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29" t="s">
        <v>9014</v>
      </c>
      <c r="E972" s="133">
        <v>315</v>
      </c>
      <c r="F972" s="131" t="s">
        <v>12423</v>
      </c>
      <c r="G972" s="129" t="s">
        <v>12422</v>
      </c>
      <c r="H972" s="112" t="s">
        <v>12299</v>
      </c>
      <c r="I972" s="3" t="s">
        <v>14573</v>
      </c>
      <c r="J972" s="129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29" t="s">
        <v>8974</v>
      </c>
      <c r="E973" s="133">
        <v>229</v>
      </c>
      <c r="F973" s="131" t="s">
        <v>12433</v>
      </c>
      <c r="G973" s="129" t="s">
        <v>12432</v>
      </c>
      <c r="H973" s="112" t="s">
        <v>10556</v>
      </c>
      <c r="I973" s="3" t="s">
        <v>14540</v>
      </c>
      <c r="J973" s="129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29" t="s">
        <v>11584</v>
      </c>
      <c r="E974" s="133">
        <v>0</v>
      </c>
      <c r="F974" s="131" t="s">
        <v>12436</v>
      </c>
      <c r="G974" s="129" t="s">
        <v>12435</v>
      </c>
      <c r="H974" s="112" t="s">
        <v>10556</v>
      </c>
      <c r="I974" s="3" t="s">
        <v>11584</v>
      </c>
      <c r="J974" s="129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29" t="s">
        <v>12439</v>
      </c>
      <c r="E975" s="133">
        <v>0</v>
      </c>
      <c r="F975" s="131" t="s">
        <v>12440</v>
      </c>
      <c r="G975" s="129" t="s">
        <v>12438</v>
      </c>
      <c r="H975" s="112" t="s">
        <v>10556</v>
      </c>
      <c r="I975" s="3" t="s">
        <v>11584</v>
      </c>
      <c r="J975" s="129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29" t="s">
        <v>11584</v>
      </c>
      <c r="E976" s="133">
        <v>33</v>
      </c>
      <c r="F976" s="131" t="s">
        <v>12443</v>
      </c>
      <c r="G976" s="129" t="s">
        <v>12442</v>
      </c>
      <c r="H976" s="112" t="s">
        <v>10556</v>
      </c>
      <c r="I976" s="3" t="s">
        <v>11584</v>
      </c>
      <c r="J976" s="129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29" t="s">
        <v>10818</v>
      </c>
      <c r="E977" s="133">
        <v>0</v>
      </c>
      <c r="F977" s="131" t="s">
        <v>12446</v>
      </c>
      <c r="G977" s="129" t="s">
        <v>12445</v>
      </c>
      <c r="H977" s="112" t="s">
        <v>10556</v>
      </c>
      <c r="I977" s="3" t="s">
        <v>12463</v>
      </c>
      <c r="J977" s="129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29" t="s">
        <v>8974</v>
      </c>
      <c r="E978" s="133">
        <v>100</v>
      </c>
      <c r="F978" s="131" t="s">
        <v>12449</v>
      </c>
      <c r="G978" s="129" t="s">
        <v>12448</v>
      </c>
      <c r="H978" s="112" t="s">
        <v>10556</v>
      </c>
      <c r="I978" s="3" t="s">
        <v>12448</v>
      </c>
      <c r="J978" s="129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29" t="s">
        <v>12452</v>
      </c>
      <c r="E979" s="133">
        <v>125</v>
      </c>
      <c r="F979" s="131" t="s">
        <v>12453</v>
      </c>
      <c r="G979" s="129" t="s">
        <v>12451</v>
      </c>
      <c r="H979" s="112" t="s">
        <v>10556</v>
      </c>
      <c r="I979" s="3" t="s">
        <v>15347</v>
      </c>
      <c r="J979" s="129" t="s">
        <v>12453</v>
      </c>
      <c r="K979" s="1" t="s">
        <v>15347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29" t="s">
        <v>12456</v>
      </c>
      <c r="E980" s="133">
        <v>201</v>
      </c>
      <c r="F980" s="131" t="s">
        <v>12457</v>
      </c>
      <c r="G980" s="129" t="s">
        <v>12455</v>
      </c>
      <c r="H980" s="112" t="s">
        <v>10556</v>
      </c>
      <c r="I980" s="3" t="s">
        <v>12455</v>
      </c>
      <c r="J980" s="129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29" t="s">
        <v>11796</v>
      </c>
      <c r="E981" s="133">
        <v>120</v>
      </c>
      <c r="F981" s="131" t="s">
        <v>12461</v>
      </c>
      <c r="G981" s="129" t="s">
        <v>12460</v>
      </c>
      <c r="H981" s="112" t="s">
        <v>10556</v>
      </c>
      <c r="I981" s="3" t="s">
        <v>15347</v>
      </c>
      <c r="J981" s="129" t="s">
        <v>12461</v>
      </c>
      <c r="K981" s="1" t="s">
        <v>15347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29">
        <v>0</v>
      </c>
      <c r="E982" s="133">
        <v>0</v>
      </c>
      <c r="F982" s="131" t="s">
        <v>12497</v>
      </c>
      <c r="G982" s="129" t="s">
        <v>12496</v>
      </c>
      <c r="H982" s="112" t="s">
        <v>10556</v>
      </c>
      <c r="I982" s="3" t="s">
        <v>15348</v>
      </c>
      <c r="J982" s="129" t="s">
        <v>12497</v>
      </c>
      <c r="K982" s="1" t="s">
        <v>15348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29" t="s">
        <v>12464</v>
      </c>
      <c r="E983" s="133">
        <v>50</v>
      </c>
      <c r="F983" s="131" t="s">
        <v>12465</v>
      </c>
      <c r="G983" s="129" t="s">
        <v>12463</v>
      </c>
      <c r="H983" s="112" t="s">
        <v>10556</v>
      </c>
      <c r="I983" s="3" t="s">
        <v>12463</v>
      </c>
      <c r="J983" s="129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29" t="s">
        <v>9405</v>
      </c>
      <c r="E984" s="133">
        <v>1200</v>
      </c>
      <c r="F984" s="131" t="s">
        <v>12468</v>
      </c>
      <c r="G984" s="129" t="s">
        <v>12467</v>
      </c>
      <c r="H984" s="112" t="s">
        <v>10556</v>
      </c>
      <c r="I984" s="3" t="s">
        <v>14541</v>
      </c>
      <c r="J984" s="129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29" t="s">
        <v>8979</v>
      </c>
      <c r="E985" s="133">
        <v>258</v>
      </c>
      <c r="F985" s="131" t="s">
        <v>12430</v>
      </c>
      <c r="G985" s="129" t="s">
        <v>10556</v>
      </c>
      <c r="H985" s="112" t="s">
        <v>10556</v>
      </c>
      <c r="I985" s="3" t="s">
        <v>14511</v>
      </c>
      <c r="J985" s="129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29" t="s">
        <v>8974</v>
      </c>
      <c r="E986" s="133">
        <v>13</v>
      </c>
      <c r="F986" s="131" t="s">
        <v>12527</v>
      </c>
      <c r="G986" s="129" t="s">
        <v>10556</v>
      </c>
      <c r="H986" s="112" t="s">
        <v>10556</v>
      </c>
      <c r="I986" s="3" t="s">
        <v>14511</v>
      </c>
      <c r="J986" s="129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29" t="s">
        <v>12530</v>
      </c>
      <c r="E987" s="133">
        <v>2247</v>
      </c>
      <c r="F987" s="131" t="s">
        <v>12531</v>
      </c>
      <c r="G987" s="129" t="s">
        <v>10556</v>
      </c>
      <c r="H987" s="112" t="s">
        <v>10556</v>
      </c>
      <c r="I987" s="3" t="s">
        <v>14511</v>
      </c>
      <c r="J987" s="129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29" t="s">
        <v>10758</v>
      </c>
      <c r="E988" s="133">
        <v>0</v>
      </c>
      <c r="F988" s="131" t="s">
        <v>12524</v>
      </c>
      <c r="G988" s="129" t="s">
        <v>12523</v>
      </c>
      <c r="H988" s="112" t="s">
        <v>10556</v>
      </c>
      <c r="I988" s="3" t="s">
        <v>14541</v>
      </c>
      <c r="J988" s="129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29" t="s">
        <v>12471</v>
      </c>
      <c r="E989" s="133">
        <v>0</v>
      </c>
      <c r="F989" s="131" t="s">
        <v>12472</v>
      </c>
      <c r="G989" s="129" t="s">
        <v>12470</v>
      </c>
      <c r="H989" s="112" t="s">
        <v>10556</v>
      </c>
      <c r="I989" s="3" t="s">
        <v>14542</v>
      </c>
      <c r="J989" s="129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29" t="s">
        <v>9645</v>
      </c>
      <c r="E990" s="133">
        <v>259</v>
      </c>
      <c r="F990" s="131" t="s">
        <v>12475</v>
      </c>
      <c r="G990" s="129" t="s">
        <v>12474</v>
      </c>
      <c r="H990" s="112" t="s">
        <v>10556</v>
      </c>
      <c r="I990" s="3" t="s">
        <v>14543</v>
      </c>
      <c r="J990" s="129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29" t="s">
        <v>12478</v>
      </c>
      <c r="E991" s="133">
        <v>905</v>
      </c>
      <c r="F991" s="131" t="s">
        <v>12479</v>
      </c>
      <c r="G991" s="129" t="s">
        <v>12477</v>
      </c>
      <c r="H991" s="112" t="s">
        <v>10556</v>
      </c>
      <c r="I991" s="3" t="s">
        <v>12455</v>
      </c>
      <c r="J991" s="129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29" t="s">
        <v>12482</v>
      </c>
      <c r="E992" s="133">
        <v>100</v>
      </c>
      <c r="F992" s="131" t="s">
        <v>12483</v>
      </c>
      <c r="G992" s="129" t="s">
        <v>12481</v>
      </c>
      <c r="H992" s="112" t="s">
        <v>10556</v>
      </c>
      <c r="I992" s="3" t="s">
        <v>9392</v>
      </c>
      <c r="J992" s="129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29" t="s">
        <v>8983</v>
      </c>
      <c r="E993" s="133">
        <v>241</v>
      </c>
      <c r="F993" s="131" t="s">
        <v>12486</v>
      </c>
      <c r="G993" s="129" t="s">
        <v>12485</v>
      </c>
      <c r="H993" s="112" t="s">
        <v>10556</v>
      </c>
      <c r="I993" s="3" t="s">
        <v>11529</v>
      </c>
      <c r="J993" s="129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29" t="s">
        <v>12489</v>
      </c>
      <c r="E994" s="133">
        <v>0</v>
      </c>
      <c r="F994" s="131" t="s">
        <v>12490</v>
      </c>
      <c r="G994" s="129" t="s">
        <v>12488</v>
      </c>
      <c r="H994" s="112" t="s">
        <v>10556</v>
      </c>
      <c r="I994" s="3" t="s">
        <v>12463</v>
      </c>
      <c r="J994" s="129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29">
        <v>0</v>
      </c>
      <c r="E995" s="133">
        <v>0</v>
      </c>
      <c r="F995" s="131" t="s">
        <v>12493</v>
      </c>
      <c r="G995" s="129" t="s">
        <v>12492</v>
      </c>
      <c r="H995" s="112" t="s">
        <v>10556</v>
      </c>
      <c r="I995" s="3" t="s">
        <v>14544</v>
      </c>
      <c r="J995" s="129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29" t="s">
        <v>9645</v>
      </c>
      <c r="E996" s="133">
        <v>10</v>
      </c>
      <c r="F996" s="131" t="s">
        <v>12500</v>
      </c>
      <c r="G996" s="129" t="s">
        <v>12499</v>
      </c>
      <c r="H996" s="112" t="s">
        <v>10556</v>
      </c>
      <c r="I996" s="3" t="s">
        <v>8930</v>
      </c>
      <c r="J996" s="129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29" t="s">
        <v>8928</v>
      </c>
      <c r="E997" s="133">
        <v>150</v>
      </c>
      <c r="F997" s="131" t="s">
        <v>12503</v>
      </c>
      <c r="G997" s="129" t="s">
        <v>12502</v>
      </c>
      <c r="H997" s="112" t="s">
        <v>10556</v>
      </c>
      <c r="I997" s="3" t="s">
        <v>10043</v>
      </c>
      <c r="J997" s="129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29" t="s">
        <v>10818</v>
      </c>
      <c r="E998" s="133">
        <v>0</v>
      </c>
      <c r="F998" s="131" t="s">
        <v>12506</v>
      </c>
      <c r="G998" s="129" t="s">
        <v>12505</v>
      </c>
      <c r="H998" s="112" t="s">
        <v>10556</v>
      </c>
      <c r="I998" s="3" t="s">
        <v>14540</v>
      </c>
      <c r="J998" s="129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29" t="s">
        <v>12509</v>
      </c>
      <c r="E999" s="133">
        <v>0</v>
      </c>
      <c r="F999" s="131" t="s">
        <v>12510</v>
      </c>
      <c r="G999" s="129" t="s">
        <v>12508</v>
      </c>
      <c r="H999" s="112" t="s">
        <v>10556</v>
      </c>
      <c r="I999" s="3" t="s">
        <v>14545</v>
      </c>
      <c r="J999" s="129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29" t="s">
        <v>9477</v>
      </c>
      <c r="E1000" s="133">
        <v>0</v>
      </c>
      <c r="F1000" s="131" t="s">
        <v>12514</v>
      </c>
      <c r="G1000" s="129" t="s">
        <v>12513</v>
      </c>
      <c r="H1000" s="112" t="s">
        <v>10556</v>
      </c>
      <c r="I1000" s="3" t="s">
        <v>14543</v>
      </c>
      <c r="J1000" s="129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29" t="s">
        <v>12517</v>
      </c>
      <c r="E1001" s="133">
        <v>119</v>
      </c>
      <c r="F1001" s="131" t="s">
        <v>12518</v>
      </c>
      <c r="G1001" s="129" t="s">
        <v>12516</v>
      </c>
      <c r="H1001" s="112" t="s">
        <v>10556</v>
      </c>
      <c r="I1001" s="3" t="s">
        <v>14541</v>
      </c>
      <c r="J1001" s="129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29" t="s">
        <v>8928</v>
      </c>
      <c r="E1002" s="133">
        <v>0</v>
      </c>
      <c r="F1002" s="131" t="s">
        <v>12521</v>
      </c>
      <c r="G1002" s="129" t="s">
        <v>12520</v>
      </c>
      <c r="H1002" s="112" t="s">
        <v>10556</v>
      </c>
      <c r="I1002" s="3" t="s">
        <v>12520</v>
      </c>
      <c r="J1002" s="129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29" t="s">
        <v>12699</v>
      </c>
      <c r="E1003" s="133">
        <v>0</v>
      </c>
      <c r="F1003" s="131" t="s">
        <v>12701</v>
      </c>
      <c r="G1003" s="129" t="s">
        <v>12700</v>
      </c>
      <c r="H1003" s="112" t="s">
        <v>5784</v>
      </c>
      <c r="I1003" s="3" t="s">
        <v>9417</v>
      </c>
      <c r="J1003" s="129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29" t="s">
        <v>12544</v>
      </c>
      <c r="E1004" s="133">
        <v>3600</v>
      </c>
      <c r="F1004" s="131" t="s">
        <v>12545</v>
      </c>
      <c r="G1004" s="129" t="s">
        <v>12543</v>
      </c>
      <c r="H1004" s="112" t="s">
        <v>5784</v>
      </c>
      <c r="I1004" s="3" t="s">
        <v>14578</v>
      </c>
      <c r="J1004" s="129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29" t="s">
        <v>9530</v>
      </c>
      <c r="E1005" s="133">
        <v>378</v>
      </c>
      <c r="F1005" s="131" t="s">
        <v>12548</v>
      </c>
      <c r="G1005" s="129" t="s">
        <v>12547</v>
      </c>
      <c r="H1005" s="112" t="s">
        <v>5784</v>
      </c>
      <c r="I1005" s="3" t="s">
        <v>9387</v>
      </c>
      <c r="J1005" s="129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29" t="s">
        <v>12555</v>
      </c>
      <c r="E1006" s="133">
        <v>0</v>
      </c>
      <c r="F1006" s="131" t="s">
        <v>12557</v>
      </c>
      <c r="G1006" s="129" t="s">
        <v>12556</v>
      </c>
      <c r="H1006" s="112" t="s">
        <v>5784</v>
      </c>
      <c r="I1006" s="3" t="s">
        <v>12662</v>
      </c>
      <c r="J1006" s="129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29" t="s">
        <v>8931</v>
      </c>
      <c r="E1007" s="133">
        <v>10</v>
      </c>
      <c r="F1007" s="131" t="s">
        <v>12560</v>
      </c>
      <c r="G1007" s="129" t="s">
        <v>12559</v>
      </c>
      <c r="H1007" s="112" t="s">
        <v>5784</v>
      </c>
      <c r="I1007" s="3" t="s">
        <v>9387</v>
      </c>
      <c r="J1007" s="129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29" t="s">
        <v>10038</v>
      </c>
      <c r="E1008" s="133">
        <v>527</v>
      </c>
      <c r="F1008" s="131" t="s">
        <v>12552</v>
      </c>
      <c r="G1008" s="129" t="s">
        <v>12551</v>
      </c>
      <c r="H1008" s="112" t="s">
        <v>5784</v>
      </c>
      <c r="I1008" s="3" t="s">
        <v>12614</v>
      </c>
      <c r="J1008" s="129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29" t="s">
        <v>12563</v>
      </c>
      <c r="E1009" s="133">
        <v>1337</v>
      </c>
      <c r="F1009" s="131" t="s">
        <v>12565</v>
      </c>
      <c r="G1009" s="129" t="s">
        <v>12564</v>
      </c>
      <c r="H1009" s="112" t="s">
        <v>5784</v>
      </c>
      <c r="I1009" s="3" t="s">
        <v>12614</v>
      </c>
      <c r="J1009" s="129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29" t="s">
        <v>8950</v>
      </c>
      <c r="E1010" s="133">
        <v>198</v>
      </c>
      <c r="F1010" s="131" t="s">
        <v>12569</v>
      </c>
      <c r="G1010" s="129" t="s">
        <v>12568</v>
      </c>
      <c r="H1010" s="112" t="s">
        <v>5784</v>
      </c>
      <c r="I1010" s="3" t="s">
        <v>9387</v>
      </c>
      <c r="J1010" s="129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29" t="s">
        <v>12540</v>
      </c>
      <c r="E1011" s="133">
        <v>861</v>
      </c>
      <c r="F1011" s="131" t="s">
        <v>12541</v>
      </c>
      <c r="G1011" s="129" t="s">
        <v>9364</v>
      </c>
      <c r="H1011" s="112" t="s">
        <v>5784</v>
      </c>
      <c r="I1011" s="3" t="s">
        <v>14578</v>
      </c>
      <c r="J1011" s="129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29" t="s">
        <v>12692</v>
      </c>
      <c r="E1012" s="133">
        <v>0</v>
      </c>
      <c r="F1012" s="131" t="s">
        <v>12693</v>
      </c>
      <c r="G1012" s="129" t="s">
        <v>12691</v>
      </c>
      <c r="H1012" s="112" t="s">
        <v>5784</v>
      </c>
      <c r="I1012" s="3" t="s">
        <v>12621</v>
      </c>
      <c r="J1012" s="129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29" t="s">
        <v>12687</v>
      </c>
      <c r="E1013" s="133">
        <v>0</v>
      </c>
      <c r="F1013" s="131" t="s">
        <v>12689</v>
      </c>
      <c r="G1013" s="129" t="s">
        <v>12688</v>
      </c>
      <c r="H1013" s="112" t="s">
        <v>5784</v>
      </c>
      <c r="I1013" s="3" t="s">
        <v>10739</v>
      </c>
      <c r="J1013" s="129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29" t="s">
        <v>12572</v>
      </c>
      <c r="E1014" s="133">
        <v>332</v>
      </c>
      <c r="F1014" s="131" t="s">
        <v>12574</v>
      </c>
      <c r="G1014" s="129" t="s">
        <v>12573</v>
      </c>
      <c r="H1014" s="112" t="s">
        <v>5784</v>
      </c>
      <c r="I1014" s="3" t="s">
        <v>11351</v>
      </c>
      <c r="J1014" s="129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29" t="s">
        <v>9513</v>
      </c>
      <c r="E1015" s="133">
        <v>590</v>
      </c>
      <c r="F1015" s="131" t="s">
        <v>12578</v>
      </c>
      <c r="G1015" s="129" t="s">
        <v>12577</v>
      </c>
      <c r="H1015" s="112" t="s">
        <v>5784</v>
      </c>
      <c r="I1015" s="3" t="s">
        <v>9908</v>
      </c>
      <c r="J1015" s="129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29" t="s">
        <v>12581</v>
      </c>
      <c r="E1016" s="133">
        <v>20</v>
      </c>
      <c r="F1016" s="131" t="s">
        <v>12582</v>
      </c>
      <c r="G1016" s="129" t="s">
        <v>9387</v>
      </c>
      <c r="H1016" s="112" t="s">
        <v>5784</v>
      </c>
      <c r="I1016" s="3" t="s">
        <v>9387</v>
      </c>
      <c r="J1016" s="129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29" t="s">
        <v>12587</v>
      </c>
      <c r="E1017" s="133">
        <v>50</v>
      </c>
      <c r="F1017" s="131" t="s">
        <v>12588</v>
      </c>
      <c r="G1017" s="129" t="s">
        <v>12586</v>
      </c>
      <c r="H1017" s="112" t="s">
        <v>5784</v>
      </c>
      <c r="I1017" s="3" t="s">
        <v>12586</v>
      </c>
      <c r="J1017" s="129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29" t="s">
        <v>12591</v>
      </c>
      <c r="E1018" s="133">
        <v>0</v>
      </c>
      <c r="F1018" s="131" t="s">
        <v>12593</v>
      </c>
      <c r="G1018" s="129" t="s">
        <v>12592</v>
      </c>
      <c r="H1018" s="112" t="s">
        <v>5784</v>
      </c>
      <c r="I1018" s="3" t="s">
        <v>9636</v>
      </c>
      <c r="J1018" s="129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29" t="s">
        <v>9477</v>
      </c>
      <c r="E1019" s="133">
        <v>93</v>
      </c>
      <c r="F1019" s="131" t="s">
        <v>12678</v>
      </c>
      <c r="G1019" s="129" t="s">
        <v>9636</v>
      </c>
      <c r="H1019" s="112" t="s">
        <v>5784</v>
      </c>
      <c r="I1019" s="3" t="s">
        <v>9636</v>
      </c>
      <c r="J1019" s="129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29" t="s">
        <v>12644</v>
      </c>
      <c r="E1020" s="133">
        <v>10523</v>
      </c>
      <c r="F1020" s="131" t="s">
        <v>12646</v>
      </c>
      <c r="G1020" s="129" t="s">
        <v>12645</v>
      </c>
      <c r="H1020" s="112" t="s">
        <v>5784</v>
      </c>
      <c r="I1020" s="3" t="s">
        <v>14578</v>
      </c>
      <c r="J1020" s="129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29" t="s">
        <v>8983</v>
      </c>
      <c r="E1021" s="133">
        <v>410</v>
      </c>
      <c r="F1021" s="131" t="s">
        <v>12596</v>
      </c>
      <c r="G1021" s="129" t="s">
        <v>12595</v>
      </c>
      <c r="H1021" s="112" t="s">
        <v>5784</v>
      </c>
      <c r="I1021" s="3" t="s">
        <v>11351</v>
      </c>
      <c r="J1021" s="129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29" t="s">
        <v>12599</v>
      </c>
      <c r="E1022" s="133">
        <v>76</v>
      </c>
      <c r="F1022" s="131" t="s">
        <v>12600</v>
      </c>
      <c r="G1022" s="129" t="s">
        <v>12598</v>
      </c>
      <c r="H1022" s="112" t="s">
        <v>5784</v>
      </c>
      <c r="I1022" s="3" t="s">
        <v>10790</v>
      </c>
      <c r="J1022" s="129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29" t="s">
        <v>12696</v>
      </c>
      <c r="E1023" s="133">
        <v>0</v>
      </c>
      <c r="F1023" s="131" t="s">
        <v>12697</v>
      </c>
      <c r="G1023" s="129" t="s">
        <v>12695</v>
      </c>
      <c r="H1023" s="112" t="s">
        <v>5784</v>
      </c>
      <c r="I1023" s="3" t="s">
        <v>9360</v>
      </c>
      <c r="J1023" s="129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29" t="s">
        <v>9603</v>
      </c>
      <c r="E1024" s="133">
        <v>200</v>
      </c>
      <c r="F1024" s="131" t="s">
        <v>12602</v>
      </c>
      <c r="G1024" s="129" t="s">
        <v>11247</v>
      </c>
      <c r="H1024" s="112" t="s">
        <v>5784</v>
      </c>
      <c r="I1024" s="3" t="s">
        <v>11247</v>
      </c>
      <c r="J1024" s="129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29" t="s">
        <v>12605</v>
      </c>
      <c r="E1025" s="133">
        <v>256</v>
      </c>
      <c r="F1025" s="131" t="s">
        <v>12606</v>
      </c>
      <c r="G1025" s="129" t="s">
        <v>12604</v>
      </c>
      <c r="H1025" s="112" t="s">
        <v>5784</v>
      </c>
      <c r="I1025" s="3" t="s">
        <v>10790</v>
      </c>
      <c r="J1025" s="129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29" t="s">
        <v>9477</v>
      </c>
      <c r="E1026" s="133">
        <v>1494</v>
      </c>
      <c r="F1026" s="131" t="s">
        <v>12608</v>
      </c>
      <c r="G1026" s="129" t="s">
        <v>9417</v>
      </c>
      <c r="H1026" s="112" t="s">
        <v>5784</v>
      </c>
      <c r="I1026" s="3" t="s">
        <v>9417</v>
      </c>
      <c r="J1026" s="129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29" t="s">
        <v>9508</v>
      </c>
      <c r="E1027" s="133">
        <v>18</v>
      </c>
      <c r="F1027" s="131" t="s">
        <v>12615</v>
      </c>
      <c r="G1027" s="129" t="s">
        <v>12614</v>
      </c>
      <c r="H1027" s="112" t="s">
        <v>5784</v>
      </c>
      <c r="I1027" s="3" t="s">
        <v>12614</v>
      </c>
      <c r="J1027" s="129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29" t="s">
        <v>9405</v>
      </c>
      <c r="E1028" s="133">
        <v>335</v>
      </c>
      <c r="F1028" s="131" t="s">
        <v>12617</v>
      </c>
      <c r="G1028" s="129" t="s">
        <v>9908</v>
      </c>
      <c r="H1028" s="112" t="s">
        <v>5784</v>
      </c>
      <c r="I1028" s="3" t="s">
        <v>9908</v>
      </c>
      <c r="J1028" s="129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29" t="s">
        <v>12620</v>
      </c>
      <c r="E1029" s="133">
        <v>203</v>
      </c>
      <c r="F1029" s="131" t="s">
        <v>12622</v>
      </c>
      <c r="G1029" s="129" t="s">
        <v>12621</v>
      </c>
      <c r="H1029" s="112" t="s">
        <v>5784</v>
      </c>
      <c r="I1029" s="3" t="s">
        <v>12621</v>
      </c>
      <c r="J1029" s="129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29" t="s">
        <v>9139</v>
      </c>
      <c r="E1030" s="133">
        <v>0</v>
      </c>
      <c r="F1030" s="131" t="s">
        <v>12625</v>
      </c>
      <c r="G1030" s="129" t="s">
        <v>12624</v>
      </c>
      <c r="H1030" s="112" t="s">
        <v>5784</v>
      </c>
      <c r="I1030" s="3" t="s">
        <v>9360</v>
      </c>
      <c r="J1030" s="129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29" t="s">
        <v>8983</v>
      </c>
      <c r="E1031" s="133">
        <v>678</v>
      </c>
      <c r="F1031" s="131" t="s">
        <v>12533</v>
      </c>
      <c r="G1031" s="129" t="s">
        <v>5784</v>
      </c>
      <c r="H1031" s="112" t="s">
        <v>5784</v>
      </c>
      <c r="I1031" s="3" t="s">
        <v>14511</v>
      </c>
      <c r="J1031" s="129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29" t="s">
        <v>12536</v>
      </c>
      <c r="E1032" s="133">
        <v>501</v>
      </c>
      <c r="F1032" s="131" t="s">
        <v>12537</v>
      </c>
      <c r="G1032" s="129" t="s">
        <v>5784</v>
      </c>
      <c r="H1032" s="112" t="s">
        <v>5784</v>
      </c>
      <c r="I1032" s="3" t="s">
        <v>14511</v>
      </c>
      <c r="J1032" s="129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29" t="s">
        <v>8931</v>
      </c>
      <c r="E1033" s="133">
        <v>201</v>
      </c>
      <c r="F1033" s="131" t="s">
        <v>12628</v>
      </c>
      <c r="G1033" s="129" t="s">
        <v>12627</v>
      </c>
      <c r="H1033" s="112" t="s">
        <v>5784</v>
      </c>
      <c r="I1033" s="3" t="s">
        <v>12657</v>
      </c>
      <c r="J1033" s="129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29" t="s">
        <v>12631</v>
      </c>
      <c r="E1034" s="133">
        <v>200</v>
      </c>
      <c r="F1034" s="131" t="s">
        <v>12632</v>
      </c>
      <c r="G1034" s="129" t="s">
        <v>12630</v>
      </c>
      <c r="H1034" s="112" t="s">
        <v>5784</v>
      </c>
      <c r="I1034" s="3" t="s">
        <v>8928</v>
      </c>
      <c r="J1034" s="129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29" t="s">
        <v>12635</v>
      </c>
      <c r="E1035" s="133">
        <v>0</v>
      </c>
      <c r="F1035" s="131" t="s">
        <v>12636</v>
      </c>
      <c r="G1035" s="129" t="s">
        <v>12634</v>
      </c>
      <c r="H1035" s="112" t="s">
        <v>5784</v>
      </c>
      <c r="I1035" s="3" t="s">
        <v>9417</v>
      </c>
      <c r="J1035" s="129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29" t="s">
        <v>8928</v>
      </c>
      <c r="E1036" s="133">
        <v>280</v>
      </c>
      <c r="F1036" s="131" t="s">
        <v>12639</v>
      </c>
      <c r="G1036" s="129" t="s">
        <v>12638</v>
      </c>
      <c r="H1036" s="112" t="s">
        <v>5784</v>
      </c>
      <c r="I1036" s="3" t="s">
        <v>12657</v>
      </c>
      <c r="J1036" s="129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29" t="s">
        <v>9755</v>
      </c>
      <c r="E1037" s="133">
        <v>189</v>
      </c>
      <c r="F1037" s="131" t="s">
        <v>12641</v>
      </c>
      <c r="G1037" s="129" t="s">
        <v>9360</v>
      </c>
      <c r="H1037" s="112" t="s">
        <v>5784</v>
      </c>
      <c r="I1037" s="3" t="s">
        <v>9360</v>
      </c>
      <c r="J1037" s="129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29" t="s">
        <v>12649</v>
      </c>
      <c r="E1038" s="133">
        <v>4387</v>
      </c>
      <c r="F1038" s="131" t="s">
        <v>12650</v>
      </c>
      <c r="G1038" s="129" t="s">
        <v>12648</v>
      </c>
      <c r="H1038" s="112" t="s">
        <v>5784</v>
      </c>
      <c r="I1038" s="3" t="s">
        <v>9908</v>
      </c>
      <c r="J1038" s="129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29" t="s">
        <v>8928</v>
      </c>
      <c r="E1039" s="133">
        <v>169</v>
      </c>
      <c r="F1039" s="131" t="s">
        <v>12652</v>
      </c>
      <c r="G1039" s="129" t="s">
        <v>11351</v>
      </c>
      <c r="H1039" s="112" t="s">
        <v>5784</v>
      </c>
      <c r="I1039" s="3" t="s">
        <v>11351</v>
      </c>
      <c r="J1039" s="129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29" t="s">
        <v>12654</v>
      </c>
      <c r="E1040" s="133">
        <v>1116</v>
      </c>
      <c r="F1040" s="131" t="s">
        <v>12655</v>
      </c>
      <c r="G1040" s="129" t="s">
        <v>10782</v>
      </c>
      <c r="H1040" s="112" t="s">
        <v>5784</v>
      </c>
      <c r="I1040" s="3" t="s">
        <v>14578</v>
      </c>
      <c r="J1040" s="129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29" t="s">
        <v>9050</v>
      </c>
      <c r="E1041" s="133">
        <v>389</v>
      </c>
      <c r="F1041" s="131" t="s">
        <v>12584</v>
      </c>
      <c r="G1041" s="129" t="s">
        <v>8928</v>
      </c>
      <c r="H1041" s="112" t="s">
        <v>5784</v>
      </c>
      <c r="I1041" s="3" t="s">
        <v>8928</v>
      </c>
      <c r="J1041" s="129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29" t="s">
        <v>11862</v>
      </c>
      <c r="E1042" s="133">
        <v>69</v>
      </c>
      <c r="F1042" s="131" t="s">
        <v>12658</v>
      </c>
      <c r="G1042" s="129" t="s">
        <v>12657</v>
      </c>
      <c r="H1042" s="112" t="s">
        <v>5784</v>
      </c>
      <c r="I1042" s="3" t="s">
        <v>12657</v>
      </c>
      <c r="J1042" s="129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29" t="s">
        <v>9025</v>
      </c>
      <c r="E1043" s="133">
        <v>269</v>
      </c>
      <c r="F1043" s="131" t="s">
        <v>12660</v>
      </c>
      <c r="G1043" s="129" t="s">
        <v>10790</v>
      </c>
      <c r="H1043" s="112" t="s">
        <v>5784</v>
      </c>
      <c r="I1043" s="3" t="s">
        <v>10790</v>
      </c>
      <c r="J1043" s="129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29" t="s">
        <v>9343</v>
      </c>
      <c r="E1044" s="133">
        <v>721</v>
      </c>
      <c r="F1044" s="131" t="s">
        <v>12663</v>
      </c>
      <c r="G1044" s="129" t="s">
        <v>12662</v>
      </c>
      <c r="H1044" s="112" t="s">
        <v>5784</v>
      </c>
      <c r="I1044" s="3" t="s">
        <v>12662</v>
      </c>
      <c r="J1044" s="129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29" t="s">
        <v>10060</v>
      </c>
      <c r="E1045" s="133">
        <v>100</v>
      </c>
      <c r="F1045" s="131" t="s">
        <v>12666</v>
      </c>
      <c r="G1045" s="129" t="s">
        <v>12665</v>
      </c>
      <c r="H1045" s="112" t="s">
        <v>5784</v>
      </c>
      <c r="I1045" s="3" t="s">
        <v>12665</v>
      </c>
      <c r="J1045" s="129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29" t="s">
        <v>12669</v>
      </c>
      <c r="E1046" s="133">
        <v>0</v>
      </c>
      <c r="F1046" s="131" t="s">
        <v>12670</v>
      </c>
      <c r="G1046" s="129" t="s">
        <v>12668</v>
      </c>
      <c r="H1046" s="112" t="s">
        <v>5784</v>
      </c>
      <c r="I1046" s="3" t="s">
        <v>9417</v>
      </c>
      <c r="J1046" s="129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29" t="s">
        <v>15341</v>
      </c>
      <c r="E1047" s="133">
        <v>0</v>
      </c>
      <c r="F1047" s="131" t="s">
        <v>12672</v>
      </c>
      <c r="G1047" s="129" t="s">
        <v>14450</v>
      </c>
      <c r="H1047" s="112" t="s">
        <v>5784</v>
      </c>
      <c r="I1047" s="3" t="s">
        <v>12621</v>
      </c>
      <c r="J1047" s="129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29" t="s">
        <v>9477</v>
      </c>
      <c r="E1048" s="133">
        <v>32</v>
      </c>
      <c r="F1048" s="131" t="s">
        <v>12675</v>
      </c>
      <c r="G1048" s="129" t="s">
        <v>12674</v>
      </c>
      <c r="H1048" s="112" t="s">
        <v>5784</v>
      </c>
      <c r="I1048" s="3" t="s">
        <v>12657</v>
      </c>
      <c r="J1048" s="129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29" t="s">
        <v>12680</v>
      </c>
      <c r="E1049" s="133">
        <v>4190</v>
      </c>
      <c r="F1049" s="131" t="s">
        <v>12681</v>
      </c>
      <c r="G1049" s="129" t="s">
        <v>11692</v>
      </c>
      <c r="H1049" s="112" t="s">
        <v>5784</v>
      </c>
      <c r="I1049" s="3" t="s">
        <v>14578</v>
      </c>
      <c r="J1049" s="129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29" t="s">
        <v>12610</v>
      </c>
      <c r="E1050" s="133">
        <v>11</v>
      </c>
      <c r="F1050" s="131" t="s">
        <v>12612</v>
      </c>
      <c r="G1050" s="129" t="s">
        <v>12611</v>
      </c>
      <c r="H1050" s="112" t="s">
        <v>5784</v>
      </c>
      <c r="I1050" s="3" t="s">
        <v>10739</v>
      </c>
      <c r="J1050" s="129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29" t="s">
        <v>9968</v>
      </c>
      <c r="E1051" s="133">
        <v>131</v>
      </c>
      <c r="F1051" s="131" t="s">
        <v>12684</v>
      </c>
      <c r="G1051" s="129" t="s">
        <v>12683</v>
      </c>
      <c r="H1051" s="112" t="s">
        <v>5784</v>
      </c>
      <c r="I1051" s="3" t="s">
        <v>12662</v>
      </c>
      <c r="J1051" s="129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29" t="s">
        <v>8974</v>
      </c>
      <c r="E1052" s="133">
        <v>1000</v>
      </c>
      <c r="F1052" s="131" t="s">
        <v>12763</v>
      </c>
      <c r="G1052" s="129" t="s">
        <v>12762</v>
      </c>
      <c r="H1052" s="112" t="s">
        <v>12705</v>
      </c>
      <c r="I1052" s="3" t="s">
        <v>14579</v>
      </c>
      <c r="J1052" s="129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29" t="s">
        <v>8983</v>
      </c>
      <c r="E1053" s="133">
        <v>0</v>
      </c>
      <c r="F1053" s="131" t="s">
        <v>12746</v>
      </c>
      <c r="G1053" s="129" t="s">
        <v>9050</v>
      </c>
      <c r="H1053" s="112" t="s">
        <v>12705</v>
      </c>
      <c r="I1053" s="3" t="s">
        <v>9050</v>
      </c>
      <c r="J1053" s="129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29" t="s">
        <v>9405</v>
      </c>
      <c r="E1054" s="133">
        <v>0</v>
      </c>
      <c r="F1054" s="131" t="s">
        <v>12709</v>
      </c>
      <c r="G1054" s="129" t="s">
        <v>12708</v>
      </c>
      <c r="H1054" s="112" t="s">
        <v>12705</v>
      </c>
      <c r="I1054" s="3" t="s">
        <v>9050</v>
      </c>
      <c r="J1054" s="129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29" t="s">
        <v>12837</v>
      </c>
      <c r="E1055" s="133">
        <v>0</v>
      </c>
      <c r="F1055" s="131" t="s">
        <v>12838</v>
      </c>
      <c r="G1055" s="129" t="s">
        <v>12836</v>
      </c>
      <c r="H1055" s="112" t="s">
        <v>12705</v>
      </c>
      <c r="I1055" s="3" t="s">
        <v>14580</v>
      </c>
      <c r="J1055" s="129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29" t="s">
        <v>10865</v>
      </c>
      <c r="E1056" s="133">
        <v>334</v>
      </c>
      <c r="F1056" s="131" t="s">
        <v>12712</v>
      </c>
      <c r="G1056" s="129" t="s">
        <v>12711</v>
      </c>
      <c r="H1056" s="112" t="s">
        <v>12705</v>
      </c>
      <c r="I1056" s="3" t="s">
        <v>12711</v>
      </c>
      <c r="J1056" s="129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29" t="s">
        <v>12715</v>
      </c>
      <c r="E1057" s="133">
        <v>877</v>
      </c>
      <c r="F1057" s="131" t="s">
        <v>12716</v>
      </c>
      <c r="G1057" s="129" t="s">
        <v>9755</v>
      </c>
      <c r="H1057" s="112" t="s">
        <v>12705</v>
      </c>
      <c r="I1057" s="3" t="s">
        <v>14579</v>
      </c>
      <c r="J1057" s="129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29" t="s">
        <v>10865</v>
      </c>
      <c r="E1058" s="133">
        <v>0</v>
      </c>
      <c r="F1058" s="131" t="s">
        <v>12719</v>
      </c>
      <c r="G1058" s="129" t="s">
        <v>12718</v>
      </c>
      <c r="H1058" s="112" t="s">
        <v>12705</v>
      </c>
      <c r="I1058" s="3" t="s">
        <v>12711</v>
      </c>
      <c r="J1058" s="129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29" t="s">
        <v>9266</v>
      </c>
      <c r="E1059" s="133">
        <v>0</v>
      </c>
      <c r="F1059" s="131" t="s">
        <v>12723</v>
      </c>
      <c r="G1059" s="129" t="s">
        <v>12722</v>
      </c>
      <c r="H1059" s="112" t="s">
        <v>12705</v>
      </c>
      <c r="I1059" s="3" t="s">
        <v>14580</v>
      </c>
      <c r="J1059" s="129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29" t="s">
        <v>11627</v>
      </c>
      <c r="E1060" s="133">
        <v>0</v>
      </c>
      <c r="F1060" s="131" t="s">
        <v>12725</v>
      </c>
      <c r="G1060" s="129" t="s">
        <v>11908</v>
      </c>
      <c r="H1060" s="112" t="s">
        <v>12705</v>
      </c>
      <c r="I1060" s="3" t="s">
        <v>12734</v>
      </c>
      <c r="J1060" s="129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29" t="s">
        <v>9513</v>
      </c>
      <c r="E1061" s="133">
        <v>200</v>
      </c>
      <c r="F1061" s="131" t="s">
        <v>12728</v>
      </c>
      <c r="G1061" s="129" t="s">
        <v>12727</v>
      </c>
      <c r="H1061" s="112" t="s">
        <v>12705</v>
      </c>
      <c r="I1061" s="3" t="s">
        <v>14579</v>
      </c>
      <c r="J1061" s="129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29" t="s">
        <v>12731</v>
      </c>
      <c r="E1062" s="133">
        <v>376</v>
      </c>
      <c r="F1062" s="131" t="s">
        <v>12732</v>
      </c>
      <c r="G1062" s="129" t="s">
        <v>12730</v>
      </c>
      <c r="H1062" s="112" t="s">
        <v>12705</v>
      </c>
      <c r="I1062" s="3" t="s">
        <v>12797</v>
      </c>
      <c r="J1062" s="129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29" t="s">
        <v>12735</v>
      </c>
      <c r="E1063" s="133">
        <v>710</v>
      </c>
      <c r="F1063" s="131" t="s">
        <v>12736</v>
      </c>
      <c r="G1063" s="129" t="s">
        <v>12734</v>
      </c>
      <c r="H1063" s="112" t="s">
        <v>12705</v>
      </c>
      <c r="I1063" s="3" t="s">
        <v>12734</v>
      </c>
      <c r="J1063" s="129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29" t="s">
        <v>12742</v>
      </c>
      <c r="E1064" s="133">
        <v>254</v>
      </c>
      <c r="F1064" s="131" t="s">
        <v>12743</v>
      </c>
      <c r="G1064" s="129" t="s">
        <v>12741</v>
      </c>
      <c r="H1064" s="112" t="s">
        <v>12705</v>
      </c>
      <c r="I1064" s="3" t="s">
        <v>14559</v>
      </c>
      <c r="J1064" s="129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29" t="s">
        <v>9780</v>
      </c>
      <c r="E1065" s="133">
        <v>584</v>
      </c>
      <c r="F1065" s="131" t="s">
        <v>12739</v>
      </c>
      <c r="G1065" s="129" t="s">
        <v>12738</v>
      </c>
      <c r="H1065" s="112" t="s">
        <v>12705</v>
      </c>
      <c r="I1065" s="3" t="s">
        <v>9641</v>
      </c>
      <c r="J1065" s="129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29" t="s">
        <v>12754</v>
      </c>
      <c r="E1066" s="133">
        <v>0</v>
      </c>
      <c r="F1066" s="131" t="s">
        <v>12755</v>
      </c>
      <c r="G1066" s="129" t="s">
        <v>12753</v>
      </c>
      <c r="H1066" s="112" t="s">
        <v>12705</v>
      </c>
      <c r="I1066" s="3" t="s">
        <v>11811</v>
      </c>
      <c r="J1066" s="129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29" t="s">
        <v>12758</v>
      </c>
      <c r="E1067" s="133">
        <v>0</v>
      </c>
      <c r="F1067" s="131" t="s">
        <v>12759</v>
      </c>
      <c r="G1067" s="129" t="s">
        <v>12757</v>
      </c>
      <c r="H1067" s="112" t="s">
        <v>12705</v>
      </c>
      <c r="I1067" s="3" t="s">
        <v>12819</v>
      </c>
      <c r="J1067" s="129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29" t="s">
        <v>12770</v>
      </c>
      <c r="E1068" s="133">
        <v>0</v>
      </c>
      <c r="F1068" s="131" t="s">
        <v>12771</v>
      </c>
      <c r="G1068" s="129" t="s">
        <v>12769</v>
      </c>
      <c r="H1068" s="112" t="s">
        <v>12705</v>
      </c>
      <c r="I1068" s="3" t="s">
        <v>14581</v>
      </c>
      <c r="J1068" s="129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29" t="s">
        <v>8983</v>
      </c>
      <c r="E1069" s="133">
        <v>1690</v>
      </c>
      <c r="F1069" s="131" t="s">
        <v>12767</v>
      </c>
      <c r="G1069" s="129" t="s">
        <v>12766</v>
      </c>
      <c r="H1069" s="112" t="s">
        <v>12705</v>
      </c>
      <c r="I1069" s="3" t="s">
        <v>12766</v>
      </c>
      <c r="J1069" s="129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29" t="s">
        <v>9076</v>
      </c>
      <c r="E1070" s="133">
        <v>1842</v>
      </c>
      <c r="F1070" s="131" t="s">
        <v>12775</v>
      </c>
      <c r="G1070" s="129" t="s">
        <v>12774</v>
      </c>
      <c r="H1070" s="112" t="s">
        <v>12705</v>
      </c>
      <c r="I1070" s="3" t="s">
        <v>12819</v>
      </c>
      <c r="J1070" s="129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29" t="s">
        <v>9660</v>
      </c>
      <c r="E1071" s="133">
        <v>100</v>
      </c>
      <c r="F1071" s="131" t="s">
        <v>12782</v>
      </c>
      <c r="G1071" s="129" t="s">
        <v>12781</v>
      </c>
      <c r="H1071" s="112" t="s">
        <v>12705</v>
      </c>
      <c r="I1071" s="3" t="s">
        <v>12822</v>
      </c>
      <c r="J1071" s="129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29" t="s">
        <v>11257</v>
      </c>
      <c r="E1072" s="133">
        <v>650</v>
      </c>
      <c r="F1072" s="131" t="s">
        <v>12785</v>
      </c>
      <c r="G1072" s="129" t="s">
        <v>12784</v>
      </c>
      <c r="H1072" s="112" t="s">
        <v>12705</v>
      </c>
      <c r="I1072" s="3" t="s">
        <v>12819</v>
      </c>
      <c r="J1072" s="129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29" t="s">
        <v>9084</v>
      </c>
      <c r="E1073" s="133">
        <v>1</v>
      </c>
      <c r="F1073" s="131" t="s">
        <v>12788</v>
      </c>
      <c r="G1073" s="129" t="s">
        <v>9641</v>
      </c>
      <c r="H1073" s="112" t="s">
        <v>12705</v>
      </c>
      <c r="I1073" s="3" t="s">
        <v>9641</v>
      </c>
      <c r="J1073" s="129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29" t="s">
        <v>9713</v>
      </c>
      <c r="E1074" s="133">
        <v>351</v>
      </c>
      <c r="F1074" s="131" t="s">
        <v>12790</v>
      </c>
      <c r="G1074" s="129" t="s">
        <v>9266</v>
      </c>
      <c r="H1074" s="112" t="s">
        <v>12705</v>
      </c>
      <c r="I1074" s="3" t="s">
        <v>12777</v>
      </c>
      <c r="J1074" s="129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0" t="s">
        <v>12793</v>
      </c>
      <c r="E1075" s="133">
        <v>1</v>
      </c>
      <c r="F1075" s="131" t="s">
        <v>12794</v>
      </c>
      <c r="G1075" s="129" t="s">
        <v>12792</v>
      </c>
      <c r="H1075" s="112" t="s">
        <v>12705</v>
      </c>
      <c r="I1075" s="3" t="s">
        <v>12792</v>
      </c>
      <c r="J1075" s="129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29" t="s">
        <v>9701</v>
      </c>
      <c r="E1076" s="133">
        <v>205</v>
      </c>
      <c r="F1076" s="131" t="s">
        <v>12798</v>
      </c>
      <c r="G1076" s="129" t="s">
        <v>12797</v>
      </c>
      <c r="H1076" s="112" t="s">
        <v>12705</v>
      </c>
      <c r="I1076" s="3" t="s">
        <v>12797</v>
      </c>
      <c r="J1076" s="129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29" t="s">
        <v>12704</v>
      </c>
      <c r="E1077" s="133">
        <v>2112</v>
      </c>
      <c r="F1077" s="131" t="s">
        <v>12706</v>
      </c>
      <c r="G1077" s="129" t="s">
        <v>12703</v>
      </c>
      <c r="H1077" s="112" t="s">
        <v>12705</v>
      </c>
      <c r="I1077" s="3" t="s">
        <v>14511</v>
      </c>
      <c r="J1077" s="129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29" t="s">
        <v>12801</v>
      </c>
      <c r="E1078" s="133">
        <v>0</v>
      </c>
      <c r="F1078" s="131" t="s">
        <v>12802</v>
      </c>
      <c r="G1078" s="129" t="s">
        <v>12703</v>
      </c>
      <c r="H1078" s="112" t="s">
        <v>12705</v>
      </c>
      <c r="I1078" s="3" t="s">
        <v>14511</v>
      </c>
      <c r="J1078" s="129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29" t="s">
        <v>12805</v>
      </c>
      <c r="E1079" s="133">
        <v>3842</v>
      </c>
      <c r="F1079" s="131" t="s">
        <v>12806</v>
      </c>
      <c r="G1079" s="129" t="s">
        <v>12703</v>
      </c>
      <c r="H1079" s="112" t="s">
        <v>12705</v>
      </c>
      <c r="I1079" s="3" t="s">
        <v>14511</v>
      </c>
      <c r="J1079" s="129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29" t="s">
        <v>11796</v>
      </c>
      <c r="E1080" s="133">
        <v>100</v>
      </c>
      <c r="F1080" s="131" t="s">
        <v>12810</v>
      </c>
      <c r="G1080" s="129" t="s">
        <v>12809</v>
      </c>
      <c r="H1080" s="112" t="s">
        <v>12705</v>
      </c>
      <c r="I1080" s="3" t="s">
        <v>12777</v>
      </c>
      <c r="J1080" s="129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29" t="s">
        <v>8983</v>
      </c>
      <c r="E1081" s="133">
        <v>384</v>
      </c>
      <c r="F1081" s="131" t="s">
        <v>12779</v>
      </c>
      <c r="G1081" s="129" t="s">
        <v>12778</v>
      </c>
      <c r="H1081" s="112" t="s">
        <v>12705</v>
      </c>
      <c r="I1081" s="3" t="s">
        <v>12777</v>
      </c>
      <c r="J1081" s="129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29" t="s">
        <v>11862</v>
      </c>
      <c r="E1082" s="133">
        <v>0</v>
      </c>
      <c r="F1082" s="131" t="s">
        <v>12813</v>
      </c>
      <c r="G1082" s="129" t="s">
        <v>12812</v>
      </c>
      <c r="H1082" s="112" t="s">
        <v>12705</v>
      </c>
      <c r="I1082" s="3" t="s">
        <v>12792</v>
      </c>
      <c r="J1082" s="129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29" t="s">
        <v>12816</v>
      </c>
      <c r="E1083" s="133">
        <v>115</v>
      </c>
      <c r="F1083" s="131" t="s">
        <v>12817</v>
      </c>
      <c r="G1083" s="129" t="s">
        <v>12815</v>
      </c>
      <c r="H1083" s="112" t="s">
        <v>12705</v>
      </c>
      <c r="I1083" s="3" t="s">
        <v>14559</v>
      </c>
      <c r="J1083" s="129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29" t="s">
        <v>9660</v>
      </c>
      <c r="E1084" s="133">
        <v>500</v>
      </c>
      <c r="F1084" s="131" t="s">
        <v>12820</v>
      </c>
      <c r="G1084" s="129" t="s">
        <v>12819</v>
      </c>
      <c r="H1084" s="112" t="s">
        <v>12705</v>
      </c>
      <c r="I1084" s="3" t="s">
        <v>12819</v>
      </c>
      <c r="J1084" s="129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29" t="s">
        <v>12823</v>
      </c>
      <c r="E1085" s="133">
        <v>691</v>
      </c>
      <c r="F1085" s="131" t="s">
        <v>12824</v>
      </c>
      <c r="G1085" s="129" t="s">
        <v>12822</v>
      </c>
      <c r="H1085" s="112" t="s">
        <v>12705</v>
      </c>
      <c r="I1085" s="3" t="s">
        <v>12822</v>
      </c>
      <c r="J1085" s="129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29" t="s">
        <v>9205</v>
      </c>
      <c r="E1086" s="133">
        <v>200</v>
      </c>
      <c r="F1086" s="131" t="s">
        <v>12826</v>
      </c>
      <c r="G1086" s="129" t="s">
        <v>10782</v>
      </c>
      <c r="H1086" s="112" t="s">
        <v>12705</v>
      </c>
      <c r="I1086" s="3" t="s">
        <v>12711</v>
      </c>
      <c r="J1086" s="129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29" t="s">
        <v>9645</v>
      </c>
      <c r="E1087" s="133">
        <v>561</v>
      </c>
      <c r="F1087" s="131" t="s">
        <v>12828</v>
      </c>
      <c r="G1087" s="129" t="s">
        <v>9889</v>
      </c>
      <c r="H1087" s="112" t="s">
        <v>12705</v>
      </c>
      <c r="I1087" s="3" t="s">
        <v>9889</v>
      </c>
      <c r="J1087" s="129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29" t="s">
        <v>12833</v>
      </c>
      <c r="E1088" s="133">
        <v>297</v>
      </c>
      <c r="F1088" s="131" t="s">
        <v>12834</v>
      </c>
      <c r="G1088" s="129" t="s">
        <v>10320</v>
      </c>
      <c r="H1088" s="112" t="s">
        <v>12705</v>
      </c>
      <c r="I1088" s="3" t="s">
        <v>14581</v>
      </c>
      <c r="J1088" s="129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29" t="s">
        <v>12841</v>
      </c>
      <c r="E1089" s="133">
        <v>0</v>
      </c>
      <c r="F1089" s="131" t="s">
        <v>12842</v>
      </c>
      <c r="G1089" s="129" t="s">
        <v>12840</v>
      </c>
      <c r="H1089" s="112" t="s">
        <v>12705</v>
      </c>
      <c r="I1089" s="3" t="s">
        <v>12734</v>
      </c>
      <c r="J1089" s="129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29" t="s">
        <v>9660</v>
      </c>
      <c r="E1090" s="133">
        <v>0</v>
      </c>
      <c r="F1090" s="131" t="s">
        <v>12831</v>
      </c>
      <c r="G1090" s="129" t="s">
        <v>12830</v>
      </c>
      <c r="H1090" s="112" t="s">
        <v>12705</v>
      </c>
      <c r="I1090" s="3" t="s">
        <v>12819</v>
      </c>
      <c r="J1090" s="129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29" t="s">
        <v>12749</v>
      </c>
      <c r="E1091" s="133">
        <v>133</v>
      </c>
      <c r="F1091" s="131" t="s">
        <v>12751</v>
      </c>
      <c r="G1091" s="129" t="s">
        <v>12750</v>
      </c>
      <c r="H1091" s="112" t="s">
        <v>12705</v>
      </c>
      <c r="I1091" s="3" t="s">
        <v>12777</v>
      </c>
      <c r="J1091" s="129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29" t="s">
        <v>10260</v>
      </c>
      <c r="E1092" s="133">
        <v>0</v>
      </c>
      <c r="F1092" s="131" t="s">
        <v>12888</v>
      </c>
      <c r="G1092" s="129" t="s">
        <v>14452</v>
      </c>
      <c r="H1092" s="112" t="s">
        <v>12844</v>
      </c>
      <c r="I1092" s="3" t="s">
        <v>14452</v>
      </c>
      <c r="J1092" s="129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29" t="s">
        <v>10411</v>
      </c>
      <c r="E1093" s="133">
        <v>560</v>
      </c>
      <c r="F1093" s="131" t="s">
        <v>12848</v>
      </c>
      <c r="G1093" s="129" t="s">
        <v>12847</v>
      </c>
      <c r="H1093" s="112" t="s">
        <v>12844</v>
      </c>
      <c r="I1093" s="3" t="s">
        <v>12847</v>
      </c>
      <c r="J1093" s="129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29" t="s">
        <v>12851</v>
      </c>
      <c r="E1094" s="133">
        <v>202</v>
      </c>
      <c r="F1094" s="131" t="s">
        <v>12852</v>
      </c>
      <c r="G1094" s="129" t="s">
        <v>12850</v>
      </c>
      <c r="H1094" s="112" t="s">
        <v>12844</v>
      </c>
      <c r="I1094" s="3" t="s">
        <v>14587</v>
      </c>
      <c r="J1094" s="129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29" t="s">
        <v>8928</v>
      </c>
      <c r="E1095" s="133">
        <v>370</v>
      </c>
      <c r="F1095" s="131" t="s">
        <v>12855</v>
      </c>
      <c r="G1095" s="129" t="s">
        <v>12854</v>
      </c>
      <c r="H1095" s="112" t="s">
        <v>12844</v>
      </c>
      <c r="I1095" s="3" t="s">
        <v>14586</v>
      </c>
      <c r="J1095" s="129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29" t="s">
        <v>9935</v>
      </c>
      <c r="E1096" s="133">
        <v>518</v>
      </c>
      <c r="F1096" s="131" t="s">
        <v>12858</v>
      </c>
      <c r="G1096" s="129" t="s">
        <v>12857</v>
      </c>
      <c r="H1096" s="112" t="s">
        <v>12844</v>
      </c>
      <c r="I1096" s="3" t="s">
        <v>12857</v>
      </c>
      <c r="J1096" s="129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29" t="s">
        <v>9759</v>
      </c>
      <c r="E1097" s="133">
        <v>660</v>
      </c>
      <c r="F1097" s="131" t="s">
        <v>12864</v>
      </c>
      <c r="G1097" s="129" t="s">
        <v>12863</v>
      </c>
      <c r="H1097" s="112" t="s">
        <v>12844</v>
      </c>
      <c r="I1097" s="3" t="s">
        <v>14586</v>
      </c>
      <c r="J1097" s="129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29" t="s">
        <v>9025</v>
      </c>
      <c r="E1098" s="133">
        <v>0</v>
      </c>
      <c r="F1098" s="131" t="s">
        <v>12867</v>
      </c>
      <c r="G1098" s="129" t="s">
        <v>12866</v>
      </c>
      <c r="H1098" s="112" t="s">
        <v>12844</v>
      </c>
      <c r="I1098" s="3" t="s">
        <v>15349</v>
      </c>
      <c r="J1098" s="129" t="s">
        <v>12867</v>
      </c>
      <c r="K1098" s="1" t="s">
        <v>15349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29" t="s">
        <v>9912</v>
      </c>
      <c r="E1099" s="133">
        <v>602</v>
      </c>
      <c r="F1099" s="131" t="s">
        <v>12905</v>
      </c>
      <c r="G1099" s="129" t="s">
        <v>12904</v>
      </c>
      <c r="H1099" s="112" t="s">
        <v>12844</v>
      </c>
      <c r="I1099" s="3" t="s">
        <v>14590</v>
      </c>
      <c r="J1099" s="129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29" t="s">
        <v>12870</v>
      </c>
      <c r="E1100" s="133">
        <v>305</v>
      </c>
      <c r="F1100" s="131" t="s">
        <v>12871</v>
      </c>
      <c r="G1100" s="129" t="s">
        <v>12869</v>
      </c>
      <c r="H1100" s="112" t="s">
        <v>12844</v>
      </c>
      <c r="I1100" s="3" t="s">
        <v>14588</v>
      </c>
      <c r="J1100" s="129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29" t="s">
        <v>10818</v>
      </c>
      <c r="E1101" s="133">
        <v>0</v>
      </c>
      <c r="F1101" s="131" t="s">
        <v>12922</v>
      </c>
      <c r="G1101" s="129" t="s">
        <v>12921</v>
      </c>
      <c r="H1101" s="112" t="s">
        <v>12844</v>
      </c>
      <c r="I1101" s="3" t="s">
        <v>14587</v>
      </c>
      <c r="J1101" s="129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29" t="s">
        <v>12874</v>
      </c>
      <c r="E1102" s="133">
        <v>0</v>
      </c>
      <c r="F1102" s="131" t="s">
        <v>12875</v>
      </c>
      <c r="G1102" s="129" t="s">
        <v>12873</v>
      </c>
      <c r="H1102" s="112" t="s">
        <v>12844</v>
      </c>
      <c r="I1102" s="3" t="s">
        <v>12873</v>
      </c>
      <c r="J1102" s="129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29" t="s">
        <v>9405</v>
      </c>
      <c r="E1103" s="133">
        <v>0</v>
      </c>
      <c r="F1103" s="131" t="s">
        <v>12861</v>
      </c>
      <c r="G1103" s="129" t="s">
        <v>12860</v>
      </c>
      <c r="H1103" s="112" t="s">
        <v>12844</v>
      </c>
      <c r="I1103" s="3" t="s">
        <v>12901</v>
      </c>
      <c r="J1103" s="129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29" t="s">
        <v>9701</v>
      </c>
      <c r="E1104" s="133">
        <v>101</v>
      </c>
      <c r="F1104" s="131" t="s">
        <v>12845</v>
      </c>
      <c r="G1104" s="129" t="s">
        <v>12844</v>
      </c>
      <c r="H1104" s="112" t="s">
        <v>12844</v>
      </c>
      <c r="I1104" s="3" t="s">
        <v>14586</v>
      </c>
      <c r="J1104" s="129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29" t="s">
        <v>12882</v>
      </c>
      <c r="E1105" s="133">
        <v>0</v>
      </c>
      <c r="F1105" s="131" t="s">
        <v>12883</v>
      </c>
      <c r="G1105" s="129" t="s">
        <v>12881</v>
      </c>
      <c r="H1105" s="112" t="s">
        <v>12844</v>
      </c>
      <c r="I1105" s="3" t="s">
        <v>12881</v>
      </c>
      <c r="J1105" s="129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29" t="s">
        <v>9530</v>
      </c>
      <c r="E1106" s="133">
        <v>90</v>
      </c>
      <c r="F1106" s="131" t="s">
        <v>12919</v>
      </c>
      <c r="G1106" s="129" t="s">
        <v>12918</v>
      </c>
      <c r="H1106" s="112" t="s">
        <v>12844</v>
      </c>
      <c r="I1106" s="3" t="s">
        <v>14593</v>
      </c>
      <c r="J1106" s="129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29" t="s">
        <v>9660</v>
      </c>
      <c r="E1107" s="133">
        <v>497</v>
      </c>
      <c r="F1107" s="131" t="s">
        <v>12886</v>
      </c>
      <c r="G1107" s="129" t="s">
        <v>12885</v>
      </c>
      <c r="H1107" s="112" t="s">
        <v>12844</v>
      </c>
      <c r="I1107" s="3" t="s">
        <v>14586</v>
      </c>
      <c r="J1107" s="129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29" t="s">
        <v>12891</v>
      </c>
      <c r="E1108" s="133">
        <v>160</v>
      </c>
      <c r="F1108" s="131" t="s">
        <v>12892</v>
      </c>
      <c r="G1108" s="129" t="s">
        <v>12890</v>
      </c>
      <c r="H1108" s="112" t="s">
        <v>12844</v>
      </c>
      <c r="I1108" s="3" t="s">
        <v>14586</v>
      </c>
      <c r="J1108" s="129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29" t="s">
        <v>12878</v>
      </c>
      <c r="E1109" s="133">
        <v>168</v>
      </c>
      <c r="F1109" s="131" t="s">
        <v>12879</v>
      </c>
      <c r="G1109" s="129" t="s">
        <v>12877</v>
      </c>
      <c r="H1109" s="112" t="s">
        <v>12844</v>
      </c>
      <c r="I1109" s="3" t="s">
        <v>14589</v>
      </c>
      <c r="J1109" s="129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29" t="s">
        <v>9025</v>
      </c>
      <c r="E1110" s="133">
        <v>690</v>
      </c>
      <c r="F1110" s="131" t="s">
        <v>12908</v>
      </c>
      <c r="G1110" s="129" t="s">
        <v>12907</v>
      </c>
      <c r="H1110" s="112" t="s">
        <v>12844</v>
      </c>
      <c r="I1110" s="3" t="s">
        <v>14591</v>
      </c>
      <c r="J1110" s="129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15334</v>
      </c>
      <c r="C1111" s="112" t="s">
        <v>14500</v>
      </c>
      <c r="D1111" s="129" t="s">
        <v>12924</v>
      </c>
      <c r="E1111" s="133">
        <v>0</v>
      </c>
      <c r="F1111" s="131" t="s">
        <v>12925</v>
      </c>
      <c r="G1111" s="129" t="s">
        <v>15334</v>
      </c>
      <c r="H1111" s="112" t="s">
        <v>12844</v>
      </c>
      <c r="I1111" s="3" t="s">
        <v>14452</v>
      </c>
      <c r="J1111" s="129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29" t="s">
        <v>8961</v>
      </c>
      <c r="E1112" s="133">
        <v>115</v>
      </c>
      <c r="F1112" s="131" t="s">
        <v>12895</v>
      </c>
      <c r="G1112" s="129" t="s">
        <v>12894</v>
      </c>
      <c r="H1112" s="112" t="s">
        <v>12844</v>
      </c>
      <c r="I1112" s="3" t="s">
        <v>14586</v>
      </c>
      <c r="J1112" s="129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29" t="s">
        <v>12898</v>
      </c>
      <c r="E1113" s="133">
        <v>0</v>
      </c>
      <c r="F1113" s="131" t="s">
        <v>12899</v>
      </c>
      <c r="G1113" s="129" t="s">
        <v>12897</v>
      </c>
      <c r="H1113" s="112" t="s">
        <v>12844</v>
      </c>
      <c r="I1113" s="3" t="s">
        <v>14586</v>
      </c>
      <c r="J1113" s="129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29" t="s">
        <v>12915</v>
      </c>
      <c r="E1114" s="133">
        <v>121</v>
      </c>
      <c r="F1114" s="131" t="s">
        <v>12916</v>
      </c>
      <c r="G1114" s="129" t="s">
        <v>12914</v>
      </c>
      <c r="H1114" s="112" t="s">
        <v>12844</v>
      </c>
      <c r="I1114" s="3" t="s">
        <v>14592</v>
      </c>
      <c r="J1114" s="129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29" t="s">
        <v>12911</v>
      </c>
      <c r="E1115" s="133">
        <v>0</v>
      </c>
      <c r="F1115" s="131" t="s">
        <v>12912</v>
      </c>
      <c r="G1115" s="129" t="s">
        <v>12910</v>
      </c>
      <c r="H1115" s="112" t="s">
        <v>12844</v>
      </c>
      <c r="I1115" s="3" t="s">
        <v>14592</v>
      </c>
      <c r="J1115" s="129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29" t="s">
        <v>9660</v>
      </c>
      <c r="E1116" s="133">
        <v>324</v>
      </c>
      <c r="F1116" s="131" t="s">
        <v>12902</v>
      </c>
      <c r="G1116" s="129" t="s">
        <v>12901</v>
      </c>
      <c r="H1116" s="112" t="s">
        <v>12844</v>
      </c>
      <c r="I1116" s="3" t="s">
        <v>12901</v>
      </c>
      <c r="J1116" s="129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29" t="s">
        <v>12946</v>
      </c>
      <c r="E1117" s="133">
        <v>0</v>
      </c>
      <c r="F1117" s="131" t="s">
        <v>12947</v>
      </c>
      <c r="G1117" s="129" t="s">
        <v>14453</v>
      </c>
      <c r="H1117" s="112" t="s">
        <v>12929</v>
      </c>
      <c r="I1117" s="3" t="s">
        <v>14453</v>
      </c>
      <c r="J1117" s="129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29" t="s">
        <v>12957</v>
      </c>
      <c r="E1118" s="133">
        <v>168</v>
      </c>
      <c r="F1118" s="131" t="s">
        <v>12958</v>
      </c>
      <c r="G1118" s="129" t="s">
        <v>12956</v>
      </c>
      <c r="H1118" s="112" t="s">
        <v>12929</v>
      </c>
      <c r="I1118" s="3" t="s">
        <v>11525</v>
      </c>
      <c r="J1118" s="129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29" t="s">
        <v>12953</v>
      </c>
      <c r="E1119" s="133">
        <v>500</v>
      </c>
      <c r="F1119" s="131" t="s">
        <v>13053</v>
      </c>
      <c r="G1119" s="129" t="s">
        <v>13052</v>
      </c>
      <c r="H1119" s="112" t="s">
        <v>12929</v>
      </c>
      <c r="I1119" s="3" t="s">
        <v>14595</v>
      </c>
      <c r="J1119" s="129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29" t="s">
        <v>12961</v>
      </c>
      <c r="E1120" s="133">
        <v>201</v>
      </c>
      <c r="F1120" s="131" t="s">
        <v>12962</v>
      </c>
      <c r="G1120" s="129" t="s">
        <v>12960</v>
      </c>
      <c r="H1120" s="112" t="s">
        <v>12929</v>
      </c>
      <c r="I1120" s="3" t="s">
        <v>11525</v>
      </c>
      <c r="J1120" s="129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29" t="s">
        <v>13056</v>
      </c>
      <c r="E1121" s="133">
        <v>605</v>
      </c>
      <c r="F1121" s="131" t="s">
        <v>13058</v>
      </c>
      <c r="G1121" s="129" t="s">
        <v>13057</v>
      </c>
      <c r="H1121" s="112" t="s">
        <v>12929</v>
      </c>
      <c r="I1121" s="3" t="s">
        <v>9075</v>
      </c>
      <c r="J1121" s="129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29" t="s">
        <v>12965</v>
      </c>
      <c r="E1122" s="133">
        <v>240</v>
      </c>
      <c r="F1122" s="131" t="s">
        <v>12966</v>
      </c>
      <c r="G1122" s="129" t="s">
        <v>12964</v>
      </c>
      <c r="H1122" s="112" t="s">
        <v>12929</v>
      </c>
      <c r="I1122" s="3" t="s">
        <v>11525</v>
      </c>
      <c r="J1122" s="129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29" t="s">
        <v>9660</v>
      </c>
      <c r="E1123" s="133">
        <v>225</v>
      </c>
      <c r="F1123" s="131" t="s">
        <v>12969</v>
      </c>
      <c r="G1123" s="129" t="s">
        <v>12968</v>
      </c>
      <c r="H1123" s="112" t="s">
        <v>12929</v>
      </c>
      <c r="I1123" s="3" t="s">
        <v>11525</v>
      </c>
      <c r="J1123" s="129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29" t="s">
        <v>12929</v>
      </c>
      <c r="E1124" s="133">
        <v>50</v>
      </c>
      <c r="F1124" s="131" t="s">
        <v>12982</v>
      </c>
      <c r="G1124" s="129" t="s">
        <v>12981</v>
      </c>
      <c r="H1124" s="112" t="s">
        <v>12929</v>
      </c>
      <c r="I1124" s="3" t="s">
        <v>11525</v>
      </c>
      <c r="J1124" s="129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29" t="s">
        <v>9205</v>
      </c>
      <c r="E1125" s="133">
        <v>141</v>
      </c>
      <c r="F1125" s="131" t="s">
        <v>12972</v>
      </c>
      <c r="G1125" s="129" t="s">
        <v>12971</v>
      </c>
      <c r="H1125" s="112" t="s">
        <v>12929</v>
      </c>
      <c r="I1125" s="3" t="s">
        <v>9075</v>
      </c>
      <c r="J1125" s="129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29" t="s">
        <v>8983</v>
      </c>
      <c r="E1126" s="133">
        <v>1298</v>
      </c>
      <c r="F1126" s="131" t="s">
        <v>13013</v>
      </c>
      <c r="G1126" s="129" t="s">
        <v>13012</v>
      </c>
      <c r="H1126" s="112" t="s">
        <v>12929</v>
      </c>
      <c r="I1126" s="3" t="s">
        <v>9075</v>
      </c>
      <c r="J1126" s="129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29" t="s">
        <v>12975</v>
      </c>
      <c r="E1127" s="133">
        <v>22</v>
      </c>
      <c r="F1127" s="131" t="s">
        <v>12976</v>
      </c>
      <c r="G1127" s="129" t="s">
        <v>12974</v>
      </c>
      <c r="H1127" s="112" t="s">
        <v>12929</v>
      </c>
      <c r="I1127" s="3" t="s">
        <v>11525</v>
      </c>
      <c r="J1127" s="129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29" t="s">
        <v>14507</v>
      </c>
      <c r="E1128" s="133">
        <v>5</v>
      </c>
      <c r="F1128" s="131" t="s">
        <v>12979</v>
      </c>
      <c r="G1128" s="129" t="s">
        <v>12978</v>
      </c>
      <c r="H1128" s="112" t="s">
        <v>12929</v>
      </c>
      <c r="I1128" s="3" t="s">
        <v>11525</v>
      </c>
      <c r="J1128" s="129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29" t="s">
        <v>14503</v>
      </c>
      <c r="E1129" s="133">
        <v>134</v>
      </c>
      <c r="F1129" s="131" t="s">
        <v>13065</v>
      </c>
      <c r="G1129" s="129" t="s">
        <v>12978</v>
      </c>
      <c r="H1129" s="112" t="s">
        <v>12929</v>
      </c>
      <c r="I1129" s="3" t="s">
        <v>11525</v>
      </c>
      <c r="J1129" s="129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29" t="s">
        <v>9484</v>
      </c>
      <c r="E1130" s="133">
        <v>100</v>
      </c>
      <c r="F1130" s="131" t="s">
        <v>12937</v>
      </c>
      <c r="G1130" s="129" t="s">
        <v>12936</v>
      </c>
      <c r="H1130" s="112" t="s">
        <v>12929</v>
      </c>
      <c r="I1130" s="3" t="s">
        <v>12949</v>
      </c>
      <c r="J1130" s="129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29" t="s">
        <v>9660</v>
      </c>
      <c r="E1131" s="133">
        <v>2860</v>
      </c>
      <c r="F1131" s="131" t="s">
        <v>12954</v>
      </c>
      <c r="G1131" s="129" t="s">
        <v>12953</v>
      </c>
      <c r="H1131" s="112" t="s">
        <v>12929</v>
      </c>
      <c r="I1131" s="3" t="s">
        <v>14594</v>
      </c>
      <c r="J1131" s="129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29" t="s">
        <v>9343</v>
      </c>
      <c r="E1132" s="133">
        <v>377</v>
      </c>
      <c r="F1132" s="131" t="s">
        <v>13028</v>
      </c>
      <c r="G1132" s="129" t="s">
        <v>9397</v>
      </c>
      <c r="H1132" s="112" t="s">
        <v>12929</v>
      </c>
      <c r="I1132" s="3" t="s">
        <v>9812</v>
      </c>
      <c r="J1132" s="129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29" t="s">
        <v>12148</v>
      </c>
      <c r="E1133" s="133">
        <v>400</v>
      </c>
      <c r="F1133" s="131" t="s">
        <v>12990</v>
      </c>
      <c r="G1133" s="129" t="s">
        <v>12989</v>
      </c>
      <c r="H1133" s="112" t="s">
        <v>12929</v>
      </c>
      <c r="I1133" s="3" t="s">
        <v>11525</v>
      </c>
      <c r="J1133" s="129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29" t="s">
        <v>9405</v>
      </c>
      <c r="E1134" s="133">
        <v>180</v>
      </c>
      <c r="F1134" s="131" t="s">
        <v>12986</v>
      </c>
      <c r="G1134" s="129" t="s">
        <v>12985</v>
      </c>
      <c r="H1134" s="112" t="s">
        <v>12929</v>
      </c>
      <c r="I1134" s="3" t="s">
        <v>11525</v>
      </c>
      <c r="J1134" s="129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29" t="s">
        <v>9759</v>
      </c>
      <c r="E1135" s="133">
        <v>1462</v>
      </c>
      <c r="F1135" s="131" t="s">
        <v>12993</v>
      </c>
      <c r="G1135" s="129" t="s">
        <v>11525</v>
      </c>
      <c r="H1135" s="112" t="s">
        <v>12929</v>
      </c>
      <c r="I1135" s="3" t="s">
        <v>11525</v>
      </c>
      <c r="J1135" s="129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29" t="s">
        <v>13061</v>
      </c>
      <c r="E1136" s="133">
        <v>764</v>
      </c>
      <c r="F1136" s="131" t="s">
        <v>13062</v>
      </c>
      <c r="G1136" s="129" t="s">
        <v>13060</v>
      </c>
      <c r="H1136" s="112" t="s">
        <v>12929</v>
      </c>
      <c r="I1136" s="3" t="s">
        <v>14529</v>
      </c>
      <c r="J1136" s="129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29" t="s">
        <v>10196</v>
      </c>
      <c r="E1137" s="133">
        <v>970</v>
      </c>
      <c r="F1137" s="131" t="s">
        <v>12997</v>
      </c>
      <c r="G1137" s="129" t="s">
        <v>12996</v>
      </c>
      <c r="H1137" s="112" t="s">
        <v>12929</v>
      </c>
      <c r="I1137" s="3" t="s">
        <v>11525</v>
      </c>
      <c r="J1137" s="129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29" t="s">
        <v>9266</v>
      </c>
      <c r="E1138" s="133">
        <v>100</v>
      </c>
      <c r="F1138" s="131" t="s">
        <v>12941</v>
      </c>
      <c r="G1138" s="129" t="s">
        <v>12940</v>
      </c>
      <c r="H1138" s="112" t="s">
        <v>12929</v>
      </c>
      <c r="I1138" s="3" t="s">
        <v>9050</v>
      </c>
      <c r="J1138" s="129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2" t="s">
        <v>8928</v>
      </c>
      <c r="E1139" s="133">
        <v>100</v>
      </c>
      <c r="F1139" s="131" t="s">
        <v>13016</v>
      </c>
      <c r="G1139" s="129" t="s">
        <v>13015</v>
      </c>
      <c r="H1139" s="112" t="s">
        <v>12929</v>
      </c>
      <c r="I1139" s="3" t="s">
        <v>9075</v>
      </c>
      <c r="J1139" s="129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29" t="s">
        <v>8931</v>
      </c>
      <c r="E1140" s="133">
        <v>687</v>
      </c>
      <c r="F1140" s="131" t="s">
        <v>13023</v>
      </c>
      <c r="G1140" s="129" t="s">
        <v>13022</v>
      </c>
      <c r="H1140" s="112" t="s">
        <v>12929</v>
      </c>
      <c r="I1140" s="3" t="s">
        <v>9050</v>
      </c>
      <c r="J1140" s="129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29" t="s">
        <v>13019</v>
      </c>
      <c r="E1141" s="133">
        <v>100</v>
      </c>
      <c r="F1141" s="131" t="s">
        <v>13020</v>
      </c>
      <c r="G1141" s="129" t="s">
        <v>13018</v>
      </c>
      <c r="H1141" s="112" t="s">
        <v>12929</v>
      </c>
      <c r="I1141" s="3" t="s">
        <v>9075</v>
      </c>
      <c r="J1141" s="129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29" t="s">
        <v>13000</v>
      </c>
      <c r="E1142" s="133">
        <v>580</v>
      </c>
      <c r="F1142" s="131" t="s">
        <v>13001</v>
      </c>
      <c r="G1142" s="129" t="s">
        <v>12999</v>
      </c>
      <c r="H1142" s="112" t="s">
        <v>12929</v>
      </c>
      <c r="I1142" s="3" t="s">
        <v>11525</v>
      </c>
      <c r="J1142" s="129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29" t="s">
        <v>9477</v>
      </c>
      <c r="E1143" s="133">
        <v>900</v>
      </c>
      <c r="F1143" s="131" t="s">
        <v>12944</v>
      </c>
      <c r="G1143" s="129" t="s">
        <v>12943</v>
      </c>
      <c r="H1143" s="112" t="s">
        <v>12929</v>
      </c>
      <c r="I1143" s="3" t="s">
        <v>9050</v>
      </c>
      <c r="J1143" s="129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29" t="s">
        <v>9660</v>
      </c>
      <c r="E1144" s="133">
        <v>0</v>
      </c>
      <c r="F1144" s="131" t="s">
        <v>13046</v>
      </c>
      <c r="G1144" s="129" t="s">
        <v>13045</v>
      </c>
      <c r="H1144" s="112" t="s">
        <v>12929</v>
      </c>
      <c r="I1144" s="3" t="s">
        <v>8974</v>
      </c>
      <c r="J1144" s="129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29" t="s">
        <v>12950</v>
      </c>
      <c r="E1145" s="133">
        <v>0</v>
      </c>
      <c r="F1145" s="131" t="s">
        <v>12951</v>
      </c>
      <c r="G1145" s="129" t="s">
        <v>12949</v>
      </c>
      <c r="H1145" s="112" t="s">
        <v>12929</v>
      </c>
      <c r="I1145" s="3" t="s">
        <v>12949</v>
      </c>
      <c r="J1145" s="129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29" t="s">
        <v>9276</v>
      </c>
      <c r="E1146" s="133">
        <v>495</v>
      </c>
      <c r="F1146" s="131" t="s">
        <v>13031</v>
      </c>
      <c r="G1146" s="129" t="s">
        <v>13030</v>
      </c>
      <c r="H1146" s="112" t="s">
        <v>12929</v>
      </c>
      <c r="I1146" s="3" t="s">
        <v>14596</v>
      </c>
      <c r="J1146" s="129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29" t="s">
        <v>10060</v>
      </c>
      <c r="E1147" s="133">
        <v>305</v>
      </c>
      <c r="F1147" s="131" t="s">
        <v>13026</v>
      </c>
      <c r="G1147" s="129" t="s">
        <v>13025</v>
      </c>
      <c r="H1147" s="112" t="s">
        <v>12929</v>
      </c>
      <c r="I1147" s="3" t="s">
        <v>14595</v>
      </c>
      <c r="J1147" s="129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29" t="s">
        <v>11080</v>
      </c>
      <c r="E1148" s="133">
        <v>175</v>
      </c>
      <c r="F1148" s="131" t="s">
        <v>12930</v>
      </c>
      <c r="G1148" s="129" t="s">
        <v>12928</v>
      </c>
      <c r="H1148" s="112" t="s">
        <v>12929</v>
      </c>
      <c r="I1148" s="3" t="s">
        <v>14594</v>
      </c>
      <c r="J1148" s="129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29" t="s">
        <v>12933</v>
      </c>
      <c r="E1149" s="133">
        <v>1450</v>
      </c>
      <c r="F1149" s="131" t="s">
        <v>12934</v>
      </c>
      <c r="G1149" s="129" t="s">
        <v>12928</v>
      </c>
      <c r="H1149" s="112" t="s">
        <v>12929</v>
      </c>
      <c r="I1149" s="3" t="s">
        <v>14594</v>
      </c>
      <c r="J1149" s="129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29" t="s">
        <v>9627</v>
      </c>
      <c r="E1150" s="133">
        <v>830</v>
      </c>
      <c r="F1150" s="131" t="s">
        <v>13068</v>
      </c>
      <c r="G1150" s="129" t="s">
        <v>12928</v>
      </c>
      <c r="H1150" s="112" t="s">
        <v>12929</v>
      </c>
      <c r="I1150" s="3" t="s">
        <v>14594</v>
      </c>
      <c r="J1150" s="129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29" t="s">
        <v>9660</v>
      </c>
      <c r="E1151" s="133">
        <v>0</v>
      </c>
      <c r="F1151" s="131" t="s">
        <v>13049</v>
      </c>
      <c r="G1151" s="129" t="s">
        <v>13048</v>
      </c>
      <c r="H1151" s="112" t="s">
        <v>12929</v>
      </c>
      <c r="I1151" s="3" t="s">
        <v>8974</v>
      </c>
      <c r="J1151" s="129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29" t="s">
        <v>9176</v>
      </c>
      <c r="E1152" s="133">
        <v>189</v>
      </c>
      <c r="F1152" s="131" t="s">
        <v>13034</v>
      </c>
      <c r="G1152" s="129" t="s">
        <v>13033</v>
      </c>
      <c r="H1152" s="112" t="s">
        <v>12929</v>
      </c>
      <c r="I1152" s="3" t="s">
        <v>14595</v>
      </c>
      <c r="J1152" s="129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29" t="s">
        <v>13037</v>
      </c>
      <c r="E1153" s="133">
        <v>622</v>
      </c>
      <c r="F1153" s="131" t="s">
        <v>13038</v>
      </c>
      <c r="G1153" s="129" t="s">
        <v>13036</v>
      </c>
      <c r="H1153" s="112" t="s">
        <v>12929</v>
      </c>
      <c r="I1153" s="3" t="s">
        <v>13036</v>
      </c>
      <c r="J1153" s="129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29" t="s">
        <v>13041</v>
      </c>
      <c r="E1154" s="133">
        <v>0</v>
      </c>
      <c r="F1154" s="131" t="s">
        <v>13042</v>
      </c>
      <c r="G1154" s="129" t="s">
        <v>13040</v>
      </c>
      <c r="H1154" s="112" t="s">
        <v>12929</v>
      </c>
      <c r="I1154" s="3" t="s">
        <v>14597</v>
      </c>
      <c r="J1154" s="129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29" t="s">
        <v>9627</v>
      </c>
      <c r="E1155" s="133">
        <v>151</v>
      </c>
      <c r="F1155" s="131" t="s">
        <v>13010</v>
      </c>
      <c r="G1155" s="129" t="s">
        <v>13009</v>
      </c>
      <c r="H1155" s="112" t="s">
        <v>12929</v>
      </c>
      <c r="I1155" s="3" t="s">
        <v>14529</v>
      </c>
      <c r="J1155" s="129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29" t="s">
        <v>10595</v>
      </c>
      <c r="E1156" s="133">
        <v>446</v>
      </c>
      <c r="F1156" s="131" t="s">
        <v>13007</v>
      </c>
      <c r="G1156" s="129" t="s">
        <v>13006</v>
      </c>
      <c r="H1156" s="112" t="s">
        <v>12929</v>
      </c>
      <c r="I1156" s="3" t="s">
        <v>11525</v>
      </c>
      <c r="J1156" s="129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29" t="s">
        <v>9477</v>
      </c>
      <c r="E1157" s="133">
        <v>98</v>
      </c>
      <c r="F1157" s="131" t="s">
        <v>13004</v>
      </c>
      <c r="G1157" s="129" t="s">
        <v>13003</v>
      </c>
      <c r="H1157" s="112" t="s">
        <v>12929</v>
      </c>
      <c r="I1157" s="3" t="s">
        <v>11525</v>
      </c>
      <c r="J1157" s="129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29" t="s">
        <v>10162</v>
      </c>
      <c r="E1158" s="133">
        <v>99</v>
      </c>
      <c r="F1158" s="131" t="s">
        <v>13074</v>
      </c>
      <c r="G1158" s="129" t="s">
        <v>13073</v>
      </c>
      <c r="H1158" s="112" t="s">
        <v>13070</v>
      </c>
      <c r="I1158" s="3" t="s">
        <v>10913</v>
      </c>
      <c r="J1158" s="129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29" t="s">
        <v>13077</v>
      </c>
      <c r="E1159" s="133">
        <v>100</v>
      </c>
      <c r="F1159" s="131" t="s">
        <v>13078</v>
      </c>
      <c r="G1159" s="129" t="s">
        <v>13076</v>
      </c>
      <c r="H1159" s="112" t="s">
        <v>13070</v>
      </c>
      <c r="I1159" s="3" t="s">
        <v>14512</v>
      </c>
      <c r="J1159" s="129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29" t="s">
        <v>9084</v>
      </c>
      <c r="E1160" s="133">
        <v>102</v>
      </c>
      <c r="F1160" s="131" t="s">
        <v>13081</v>
      </c>
      <c r="G1160" s="129" t="s">
        <v>13080</v>
      </c>
      <c r="H1160" s="112" t="s">
        <v>13070</v>
      </c>
      <c r="I1160" s="3" t="s">
        <v>13080</v>
      </c>
      <c r="J1160" s="129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29" t="s">
        <v>13084</v>
      </c>
      <c r="E1161" s="133">
        <v>197</v>
      </c>
      <c r="F1161" s="131" t="s">
        <v>13085</v>
      </c>
      <c r="G1161" s="129" t="s">
        <v>13083</v>
      </c>
      <c r="H1161" s="112" t="s">
        <v>13070</v>
      </c>
      <c r="I1161" s="3" t="s">
        <v>13083</v>
      </c>
      <c r="J1161" s="129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29" t="s">
        <v>12148</v>
      </c>
      <c r="E1162" s="133">
        <v>601</v>
      </c>
      <c r="F1162" s="131" t="s">
        <v>13089</v>
      </c>
      <c r="G1162" s="129" t="s">
        <v>13088</v>
      </c>
      <c r="H1162" s="112" t="s">
        <v>13070</v>
      </c>
      <c r="I1162" s="3" t="s">
        <v>13145</v>
      </c>
      <c r="J1162" s="129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29" t="s">
        <v>9466</v>
      </c>
      <c r="E1163" s="133">
        <v>215</v>
      </c>
      <c r="F1163" s="131" t="s">
        <v>13092</v>
      </c>
      <c r="G1163" s="129" t="s">
        <v>13091</v>
      </c>
      <c r="H1163" s="112" t="s">
        <v>13070</v>
      </c>
      <c r="I1163" s="3" t="s">
        <v>13091</v>
      </c>
      <c r="J1163" s="129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29" t="s">
        <v>13095</v>
      </c>
      <c r="E1164" s="133">
        <v>195</v>
      </c>
      <c r="F1164" s="131" t="s">
        <v>13096</v>
      </c>
      <c r="G1164" s="129" t="s">
        <v>13094</v>
      </c>
      <c r="H1164" s="112" t="s">
        <v>13070</v>
      </c>
      <c r="I1164" s="3" t="s">
        <v>13094</v>
      </c>
      <c r="J1164" s="129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29" t="s">
        <v>8928</v>
      </c>
      <c r="E1165" s="133">
        <v>318</v>
      </c>
      <c r="F1165" s="131" t="s">
        <v>13099</v>
      </c>
      <c r="G1165" s="129" t="s">
        <v>13098</v>
      </c>
      <c r="H1165" s="112" t="s">
        <v>13070</v>
      </c>
      <c r="I1165" s="3" t="s">
        <v>14513</v>
      </c>
      <c r="J1165" s="129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29" t="s">
        <v>13102</v>
      </c>
      <c r="E1166" s="133">
        <v>100</v>
      </c>
      <c r="F1166" s="131" t="s">
        <v>13103</v>
      </c>
      <c r="G1166" s="129" t="s">
        <v>13101</v>
      </c>
      <c r="H1166" s="112" t="s">
        <v>13070</v>
      </c>
      <c r="I1166" s="3" t="s">
        <v>13094</v>
      </c>
      <c r="J1166" s="129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29" t="s">
        <v>8983</v>
      </c>
      <c r="E1167" s="133">
        <v>569</v>
      </c>
      <c r="F1167" s="131" t="s">
        <v>13106</v>
      </c>
      <c r="G1167" s="129" t="s">
        <v>13105</v>
      </c>
      <c r="H1167" s="112" t="s">
        <v>13070</v>
      </c>
      <c r="I1167" s="3" t="s">
        <v>13126</v>
      </c>
      <c r="J1167" s="129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29" t="s">
        <v>9343</v>
      </c>
      <c r="E1168" s="133">
        <v>153</v>
      </c>
      <c r="F1168" s="131" t="s">
        <v>13165</v>
      </c>
      <c r="G1168" s="129" t="s">
        <v>13164</v>
      </c>
      <c r="H1168" s="112" t="s">
        <v>13070</v>
      </c>
      <c r="I1168" s="3" t="s">
        <v>14516</v>
      </c>
      <c r="J1168" s="129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29" t="s">
        <v>13109</v>
      </c>
      <c r="E1169" s="133">
        <v>351</v>
      </c>
      <c r="F1169" s="131" t="s">
        <v>13110</v>
      </c>
      <c r="G1169" s="129" t="s">
        <v>13108</v>
      </c>
      <c r="H1169" s="112" t="s">
        <v>13070</v>
      </c>
      <c r="I1169" s="3" t="s">
        <v>10913</v>
      </c>
      <c r="J1169" s="129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29" t="s">
        <v>13113</v>
      </c>
      <c r="E1170" s="133">
        <v>0</v>
      </c>
      <c r="F1170" s="131" t="s">
        <v>13115</v>
      </c>
      <c r="G1170" s="129" t="s">
        <v>13114</v>
      </c>
      <c r="H1170" s="112" t="s">
        <v>13070</v>
      </c>
      <c r="I1170" s="3" t="s">
        <v>10913</v>
      </c>
      <c r="J1170" s="129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29" t="s">
        <v>13118</v>
      </c>
      <c r="E1171" s="133">
        <v>201</v>
      </c>
      <c r="F1171" s="131" t="s">
        <v>13119</v>
      </c>
      <c r="G1171" s="129" t="s">
        <v>13117</v>
      </c>
      <c r="H1171" s="112" t="s">
        <v>13070</v>
      </c>
      <c r="I1171" s="3" t="s">
        <v>13117</v>
      </c>
      <c r="J1171" s="129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29" t="s">
        <v>10162</v>
      </c>
      <c r="E1172" s="133">
        <v>0</v>
      </c>
      <c r="F1172" s="131" t="s">
        <v>13121</v>
      </c>
      <c r="G1172" s="129" t="s">
        <v>10166</v>
      </c>
      <c r="H1172" s="112" t="s">
        <v>13070</v>
      </c>
      <c r="I1172" s="3" t="s">
        <v>14513</v>
      </c>
      <c r="J1172" s="129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29" t="s">
        <v>13190</v>
      </c>
      <c r="E1173" s="133">
        <v>0</v>
      </c>
      <c r="F1173" s="131" t="s">
        <v>13192</v>
      </c>
      <c r="G1173" s="129" t="s">
        <v>13191</v>
      </c>
      <c r="H1173" s="112" t="s">
        <v>13070</v>
      </c>
      <c r="I1173" s="3" t="s">
        <v>9360</v>
      </c>
      <c r="J1173" s="129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29" t="s">
        <v>9405</v>
      </c>
      <c r="E1174" s="133">
        <v>0</v>
      </c>
      <c r="F1174" s="131" t="s">
        <v>13171</v>
      </c>
      <c r="G1174" s="129" t="s">
        <v>13170</v>
      </c>
      <c r="H1174" s="112" t="s">
        <v>13070</v>
      </c>
      <c r="I1174" s="3" t="s">
        <v>13170</v>
      </c>
      <c r="J1174" s="129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29" t="s">
        <v>9603</v>
      </c>
      <c r="E1175" s="133">
        <v>315</v>
      </c>
      <c r="F1175" s="131" t="s">
        <v>13124</v>
      </c>
      <c r="G1175" s="129" t="s">
        <v>12456</v>
      </c>
      <c r="H1175" s="112" t="s">
        <v>13070</v>
      </c>
      <c r="I1175" s="3" t="s">
        <v>14512</v>
      </c>
      <c r="J1175" s="129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29" t="s">
        <v>8983</v>
      </c>
      <c r="E1176" s="133">
        <v>117</v>
      </c>
      <c r="F1176" s="131" t="s">
        <v>13183</v>
      </c>
      <c r="G1176" s="129" t="s">
        <v>13182</v>
      </c>
      <c r="H1176" s="112" t="s">
        <v>13070</v>
      </c>
      <c r="I1176" s="3" t="s">
        <v>13182</v>
      </c>
      <c r="J1176" s="129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29" t="s">
        <v>11010</v>
      </c>
      <c r="E1177" s="133">
        <v>0</v>
      </c>
      <c r="F1177" s="131" t="s">
        <v>13174</v>
      </c>
      <c r="G1177" s="129" t="s">
        <v>13173</v>
      </c>
      <c r="H1177" s="112" t="s">
        <v>13070</v>
      </c>
      <c r="I1177" s="3" t="s">
        <v>14511</v>
      </c>
      <c r="J1177" s="129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29" t="s">
        <v>12292</v>
      </c>
      <c r="E1178" s="133">
        <v>0</v>
      </c>
      <c r="F1178" s="131" t="s">
        <v>13177</v>
      </c>
      <c r="G1178" s="129" t="s">
        <v>13176</v>
      </c>
      <c r="H1178" s="112" t="s">
        <v>13070</v>
      </c>
      <c r="I1178" s="3" t="s">
        <v>13145</v>
      </c>
      <c r="J1178" s="129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29" t="s">
        <v>9701</v>
      </c>
      <c r="E1179" s="133">
        <v>0</v>
      </c>
      <c r="F1179" s="131" t="s">
        <v>13202</v>
      </c>
      <c r="G1179" s="129" t="s">
        <v>13201</v>
      </c>
      <c r="H1179" s="112" t="s">
        <v>13070</v>
      </c>
      <c r="I1179" s="3" t="s">
        <v>14512</v>
      </c>
      <c r="J1179" s="129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29" t="s">
        <v>13127</v>
      </c>
      <c r="E1180" s="133">
        <v>358</v>
      </c>
      <c r="F1180" s="131" t="s">
        <v>13128</v>
      </c>
      <c r="G1180" s="129" t="s">
        <v>13126</v>
      </c>
      <c r="H1180" s="112" t="s">
        <v>13070</v>
      </c>
      <c r="I1180" s="3" t="s">
        <v>13126</v>
      </c>
      <c r="J1180" s="129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29" t="s">
        <v>10865</v>
      </c>
      <c r="E1181" s="133">
        <v>625</v>
      </c>
      <c r="F1181" s="131" t="s">
        <v>13131</v>
      </c>
      <c r="G1181" s="129" t="s">
        <v>13130</v>
      </c>
      <c r="H1181" s="112" t="s">
        <v>13070</v>
      </c>
      <c r="I1181" s="3" t="s">
        <v>14513</v>
      </c>
      <c r="J1181" s="129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29" t="s">
        <v>13137</v>
      </c>
      <c r="E1182" s="133">
        <v>100</v>
      </c>
      <c r="F1182" s="131" t="s">
        <v>13138</v>
      </c>
      <c r="G1182" s="129" t="s">
        <v>9360</v>
      </c>
      <c r="H1182" s="112" t="s">
        <v>13070</v>
      </c>
      <c r="I1182" s="3" t="s">
        <v>9360</v>
      </c>
      <c r="J1182" s="129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29" t="s">
        <v>13141</v>
      </c>
      <c r="E1183" s="133">
        <v>296</v>
      </c>
      <c r="F1183" s="131" t="s">
        <v>13142</v>
      </c>
      <c r="G1183" s="129" t="s">
        <v>13140</v>
      </c>
      <c r="H1183" s="112" t="s">
        <v>13070</v>
      </c>
      <c r="I1183" s="3" t="s">
        <v>13140</v>
      </c>
      <c r="J1183" s="129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29" t="s">
        <v>11522</v>
      </c>
      <c r="E1184" s="133">
        <v>201</v>
      </c>
      <c r="F1184" s="131" t="s">
        <v>13146</v>
      </c>
      <c r="G1184" s="129" t="s">
        <v>13145</v>
      </c>
      <c r="H1184" s="112" t="s">
        <v>13070</v>
      </c>
      <c r="I1184" s="3" t="s">
        <v>13145</v>
      </c>
      <c r="J1184" s="129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29" t="s">
        <v>11224</v>
      </c>
      <c r="E1185" s="133">
        <v>160</v>
      </c>
      <c r="F1185" s="131" t="s">
        <v>13071</v>
      </c>
      <c r="G1185" s="129" t="s">
        <v>13070</v>
      </c>
      <c r="H1185" s="112" t="s">
        <v>13070</v>
      </c>
      <c r="I1185" s="3" t="s">
        <v>14511</v>
      </c>
      <c r="J1185" s="129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29" t="s">
        <v>11986</v>
      </c>
      <c r="E1186" s="133">
        <v>998</v>
      </c>
      <c r="F1186" s="131" t="s">
        <v>13180</v>
      </c>
      <c r="G1186" s="129" t="s">
        <v>13070</v>
      </c>
      <c r="H1186" s="112" t="s">
        <v>13070</v>
      </c>
      <c r="I1186" s="3" t="s">
        <v>14511</v>
      </c>
      <c r="J1186" s="129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29" t="s">
        <v>10576</v>
      </c>
      <c r="E1187" s="133">
        <v>0</v>
      </c>
      <c r="F1187" s="131" t="s">
        <v>13195</v>
      </c>
      <c r="G1187" s="129" t="s">
        <v>13070</v>
      </c>
      <c r="H1187" s="112" t="s">
        <v>13070</v>
      </c>
      <c r="I1187" s="3" t="s">
        <v>14511</v>
      </c>
      <c r="J1187" s="129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29" t="s">
        <v>13198</v>
      </c>
      <c r="E1188" s="133">
        <v>0</v>
      </c>
      <c r="F1188" s="131" t="s">
        <v>13199</v>
      </c>
      <c r="G1188" s="129" t="s">
        <v>13070</v>
      </c>
      <c r="H1188" s="112" t="s">
        <v>13070</v>
      </c>
      <c r="I1188" s="3" t="s">
        <v>14511</v>
      </c>
      <c r="J1188" s="129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29" t="s">
        <v>13205</v>
      </c>
      <c r="E1189" s="133">
        <v>0</v>
      </c>
      <c r="F1189" s="131" t="s">
        <v>13206</v>
      </c>
      <c r="G1189" s="129" t="s">
        <v>13070</v>
      </c>
      <c r="H1189" s="112" t="s">
        <v>13070</v>
      </c>
      <c r="I1189" s="3" t="s">
        <v>14511</v>
      </c>
      <c r="J1189" s="129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29" t="s">
        <v>9660</v>
      </c>
      <c r="E1190" s="133">
        <v>100</v>
      </c>
      <c r="F1190" s="131" t="s">
        <v>13135</v>
      </c>
      <c r="G1190" s="129" t="s">
        <v>13134</v>
      </c>
      <c r="H1190" s="112" t="s">
        <v>13070</v>
      </c>
      <c r="I1190" s="3" t="s">
        <v>10913</v>
      </c>
      <c r="J1190" s="129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29" t="s">
        <v>13149</v>
      </c>
      <c r="E1191" s="133">
        <v>20</v>
      </c>
      <c r="F1191" s="131" t="s">
        <v>13151</v>
      </c>
      <c r="G1191" s="129" t="s">
        <v>13150</v>
      </c>
      <c r="H1191" s="112" t="s">
        <v>13070</v>
      </c>
      <c r="I1191" s="3" t="s">
        <v>14514</v>
      </c>
      <c r="J1191" s="129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29" t="s">
        <v>10162</v>
      </c>
      <c r="E1192" s="133">
        <v>1</v>
      </c>
      <c r="F1192" s="131" t="s">
        <v>13153</v>
      </c>
      <c r="G1192" s="129" t="s">
        <v>11351</v>
      </c>
      <c r="H1192" s="112" t="s">
        <v>13070</v>
      </c>
      <c r="I1192" s="3" t="s">
        <v>11351</v>
      </c>
      <c r="J1192" s="129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29" t="s">
        <v>13156</v>
      </c>
      <c r="E1193" s="133">
        <v>402</v>
      </c>
      <c r="F1193" s="131" t="s">
        <v>13157</v>
      </c>
      <c r="G1193" s="129" t="s">
        <v>13155</v>
      </c>
      <c r="H1193" s="112" t="s">
        <v>13070</v>
      </c>
      <c r="I1193" s="3" t="s">
        <v>14513</v>
      </c>
      <c r="J1193" s="129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29" t="s">
        <v>13186</v>
      </c>
      <c r="E1194" s="133">
        <v>0</v>
      </c>
      <c r="F1194" s="131" t="s">
        <v>13187</v>
      </c>
      <c r="G1194" s="129" t="s">
        <v>13185</v>
      </c>
      <c r="H1194" s="112" t="s">
        <v>13070</v>
      </c>
      <c r="I1194" s="3" t="s">
        <v>9360</v>
      </c>
      <c r="J1194" s="129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29" t="s">
        <v>13160</v>
      </c>
      <c r="E1195" s="133">
        <v>150</v>
      </c>
      <c r="F1195" s="131" t="s">
        <v>13161</v>
      </c>
      <c r="G1195" s="129" t="s">
        <v>13159</v>
      </c>
      <c r="H1195" s="112" t="s">
        <v>13070</v>
      </c>
      <c r="I1195" s="3" t="s">
        <v>14515</v>
      </c>
      <c r="J1195" s="129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29" t="s">
        <v>10162</v>
      </c>
      <c r="E1196" s="133">
        <v>501</v>
      </c>
      <c r="F1196" s="131" t="s">
        <v>13168</v>
      </c>
      <c r="G1196" s="129" t="s">
        <v>13167</v>
      </c>
      <c r="H1196" s="112" t="s">
        <v>13070</v>
      </c>
      <c r="I1196" s="3" t="s">
        <v>10913</v>
      </c>
      <c r="J1196" s="129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29" t="s">
        <v>13220</v>
      </c>
      <c r="E1197" s="133">
        <v>6260</v>
      </c>
      <c r="F1197" s="131" t="s">
        <v>13221</v>
      </c>
      <c r="G1197" s="129" t="s">
        <v>13219</v>
      </c>
      <c r="H1197" s="112" t="s">
        <v>11796</v>
      </c>
      <c r="I1197" s="3" t="s">
        <v>9892</v>
      </c>
      <c r="J1197" s="129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29" t="s">
        <v>10758</v>
      </c>
      <c r="E1198" s="133">
        <v>10</v>
      </c>
      <c r="F1198" s="131" t="s">
        <v>13224</v>
      </c>
      <c r="G1198" s="129" t="s">
        <v>13223</v>
      </c>
      <c r="H1198" s="112" t="s">
        <v>11796</v>
      </c>
      <c r="I1198" s="3" t="s">
        <v>13241</v>
      </c>
      <c r="J1198" s="129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29" t="s">
        <v>13288</v>
      </c>
      <c r="E1199" s="133">
        <v>0</v>
      </c>
      <c r="F1199" s="131" t="s">
        <v>13289</v>
      </c>
      <c r="G1199" s="129" t="s">
        <v>13287</v>
      </c>
      <c r="H1199" s="112" t="s">
        <v>11796</v>
      </c>
      <c r="I1199" s="3" t="s">
        <v>13264</v>
      </c>
      <c r="J1199" s="129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29" t="s">
        <v>9759</v>
      </c>
      <c r="E1200" s="133">
        <v>0</v>
      </c>
      <c r="F1200" s="131" t="s">
        <v>13227</v>
      </c>
      <c r="G1200" s="129" t="s">
        <v>13226</v>
      </c>
      <c r="H1200" s="112" t="s">
        <v>11796</v>
      </c>
      <c r="I1200" s="3" t="s">
        <v>13229</v>
      </c>
      <c r="J1200" s="129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29" t="s">
        <v>11257</v>
      </c>
      <c r="E1201" s="133">
        <v>0</v>
      </c>
      <c r="F1201" s="131" t="s">
        <v>13230</v>
      </c>
      <c r="G1201" s="129" t="s">
        <v>13229</v>
      </c>
      <c r="H1201" s="112" t="s">
        <v>11796</v>
      </c>
      <c r="I1201" s="3" t="s">
        <v>13229</v>
      </c>
      <c r="J1201" s="129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29" t="s">
        <v>15342</v>
      </c>
      <c r="E1202" s="133">
        <v>2995</v>
      </c>
      <c r="F1202" s="131" t="s">
        <v>13233</v>
      </c>
      <c r="G1202" s="129" t="s">
        <v>13232</v>
      </c>
      <c r="H1202" s="112" t="s">
        <v>11796</v>
      </c>
      <c r="I1202" s="3" t="s">
        <v>9720</v>
      </c>
      <c r="J1202" s="129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29" t="s">
        <v>9014</v>
      </c>
      <c r="E1203" s="133">
        <v>112</v>
      </c>
      <c r="F1203" s="131" t="s">
        <v>13236</v>
      </c>
      <c r="G1203" s="129" t="s">
        <v>13235</v>
      </c>
      <c r="H1203" s="112" t="s">
        <v>11796</v>
      </c>
      <c r="I1203" s="3" t="s">
        <v>13235</v>
      </c>
      <c r="J1203" s="129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29" t="s">
        <v>5784</v>
      </c>
      <c r="E1204" s="133">
        <v>405</v>
      </c>
      <c r="F1204" s="131" t="s">
        <v>13239</v>
      </c>
      <c r="G1204" s="129" t="s">
        <v>13238</v>
      </c>
      <c r="H1204" s="112" t="s">
        <v>11796</v>
      </c>
      <c r="I1204" s="3" t="s">
        <v>13238</v>
      </c>
      <c r="J1204" s="129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29" t="s">
        <v>13215</v>
      </c>
      <c r="E1205" s="133">
        <v>0</v>
      </c>
      <c r="F1205" s="131" t="s">
        <v>13217</v>
      </c>
      <c r="G1205" s="129" t="s">
        <v>13216</v>
      </c>
      <c r="H1205" s="112" t="s">
        <v>11796</v>
      </c>
      <c r="I1205" s="3" t="s">
        <v>13214</v>
      </c>
      <c r="J1205" s="129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29" t="s">
        <v>13242</v>
      </c>
      <c r="E1206" s="133">
        <v>10</v>
      </c>
      <c r="F1206" s="131" t="s">
        <v>13243</v>
      </c>
      <c r="G1206" s="129" t="s">
        <v>13241</v>
      </c>
      <c r="H1206" s="112" t="s">
        <v>11796</v>
      </c>
      <c r="I1206" s="3" t="s">
        <v>13241</v>
      </c>
      <c r="J1206" s="129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29" t="s">
        <v>8928</v>
      </c>
      <c r="E1207" s="133">
        <v>493</v>
      </c>
      <c r="F1207" s="131" t="s">
        <v>13246</v>
      </c>
      <c r="G1207" s="129" t="s">
        <v>13245</v>
      </c>
      <c r="H1207" s="112" t="s">
        <v>11796</v>
      </c>
      <c r="I1207" s="3" t="s">
        <v>13245</v>
      </c>
      <c r="J1207" s="129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29" t="s">
        <v>13248</v>
      </c>
      <c r="E1208" s="133">
        <v>100</v>
      </c>
      <c r="F1208" s="131" t="s">
        <v>13249</v>
      </c>
      <c r="G1208" s="129" t="s">
        <v>9412</v>
      </c>
      <c r="H1208" s="112" t="s">
        <v>11796</v>
      </c>
      <c r="I1208" s="3" t="s">
        <v>13241</v>
      </c>
      <c r="J1208" s="129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29" t="s">
        <v>13220</v>
      </c>
      <c r="E1209" s="133">
        <v>7355</v>
      </c>
      <c r="F1209" s="131" t="s">
        <v>13252</v>
      </c>
      <c r="G1209" s="129" t="s">
        <v>13251</v>
      </c>
      <c r="H1209" s="112" t="s">
        <v>11796</v>
      </c>
      <c r="I1209" s="3" t="s">
        <v>9360</v>
      </c>
      <c r="J1209" s="129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29" t="s">
        <v>13255</v>
      </c>
      <c r="E1210" s="133">
        <v>69</v>
      </c>
      <c r="F1210" s="131" t="s">
        <v>13256</v>
      </c>
      <c r="G1210" s="129" t="s">
        <v>13254</v>
      </c>
      <c r="H1210" s="112" t="s">
        <v>11796</v>
      </c>
      <c r="I1210" s="3" t="s">
        <v>9205</v>
      </c>
      <c r="J1210" s="129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29" t="s">
        <v>10335</v>
      </c>
      <c r="E1211" s="133">
        <v>15</v>
      </c>
      <c r="F1211" s="131" t="s">
        <v>13212</v>
      </c>
      <c r="G1211" s="129" t="s">
        <v>9360</v>
      </c>
      <c r="H1211" s="112" t="s">
        <v>11796</v>
      </c>
      <c r="I1211" s="3" t="s">
        <v>9360</v>
      </c>
      <c r="J1211" s="129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29" t="s">
        <v>12489</v>
      </c>
      <c r="E1212" s="133">
        <v>10</v>
      </c>
      <c r="F1212" s="131" t="s">
        <v>13259</v>
      </c>
      <c r="G1212" s="129" t="s">
        <v>13258</v>
      </c>
      <c r="H1212" s="112" t="s">
        <v>11796</v>
      </c>
      <c r="I1212" s="3" t="s">
        <v>13241</v>
      </c>
      <c r="J1212" s="129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29" t="s">
        <v>8950</v>
      </c>
      <c r="E1213" s="133">
        <v>75</v>
      </c>
      <c r="F1213" s="131" t="s">
        <v>13266</v>
      </c>
      <c r="G1213" s="129" t="s">
        <v>13265</v>
      </c>
      <c r="H1213" s="112" t="s">
        <v>11796</v>
      </c>
      <c r="I1213" s="3" t="s">
        <v>13264</v>
      </c>
      <c r="J1213" s="129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29" t="s">
        <v>13208</v>
      </c>
      <c r="E1214" s="133">
        <v>223</v>
      </c>
      <c r="F1214" s="131" t="s">
        <v>13209</v>
      </c>
      <c r="G1214" s="129" t="s">
        <v>11796</v>
      </c>
      <c r="H1214" s="112" t="s">
        <v>11796</v>
      </c>
      <c r="I1214" s="3" t="s">
        <v>14511</v>
      </c>
      <c r="J1214" s="129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29" t="s">
        <v>9530</v>
      </c>
      <c r="E1215" s="133">
        <v>0</v>
      </c>
      <c r="F1215" s="131" t="s">
        <v>13281</v>
      </c>
      <c r="G1215" s="129" t="s">
        <v>8928</v>
      </c>
      <c r="H1215" s="112" t="s">
        <v>11796</v>
      </c>
      <c r="I1215" s="3" t="s">
        <v>8928</v>
      </c>
      <c r="J1215" s="129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29" t="s">
        <v>13261</v>
      </c>
      <c r="E1216" s="133">
        <v>709</v>
      </c>
      <c r="F1216" s="131" t="s">
        <v>13262</v>
      </c>
      <c r="G1216" s="129" t="s">
        <v>9892</v>
      </c>
      <c r="H1216" s="112" t="s">
        <v>11796</v>
      </c>
      <c r="I1216" s="3" t="s">
        <v>9892</v>
      </c>
      <c r="J1216" s="129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29" t="s">
        <v>9720</v>
      </c>
      <c r="E1217" s="133">
        <v>1082</v>
      </c>
      <c r="F1217" s="131" t="s">
        <v>13269</v>
      </c>
      <c r="G1217" s="129" t="s">
        <v>13268</v>
      </c>
      <c r="H1217" s="112" t="s">
        <v>11796</v>
      </c>
      <c r="I1217" s="3" t="s">
        <v>14564</v>
      </c>
      <c r="J1217" s="129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29" t="s">
        <v>9405</v>
      </c>
      <c r="E1218" s="133">
        <v>0</v>
      </c>
      <c r="F1218" s="131" t="s">
        <v>13272</v>
      </c>
      <c r="G1218" s="129" t="s">
        <v>13271</v>
      </c>
      <c r="H1218" s="112" t="s">
        <v>11796</v>
      </c>
      <c r="I1218" s="3" t="s">
        <v>14565</v>
      </c>
      <c r="J1218" s="129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29" t="s">
        <v>15342</v>
      </c>
      <c r="E1219" s="133">
        <v>446</v>
      </c>
      <c r="F1219" s="131" t="s">
        <v>13275</v>
      </c>
      <c r="G1219" s="129" t="s">
        <v>13274</v>
      </c>
      <c r="H1219" s="112" t="s">
        <v>11796</v>
      </c>
      <c r="I1219" s="3" t="s">
        <v>9720</v>
      </c>
      <c r="J1219" s="129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29" t="s">
        <v>13284</v>
      </c>
      <c r="E1220" s="133">
        <v>0</v>
      </c>
      <c r="F1220" s="131" t="s">
        <v>13285</v>
      </c>
      <c r="G1220" s="129" t="s">
        <v>13283</v>
      </c>
      <c r="H1220" s="112" t="s">
        <v>11796</v>
      </c>
      <c r="I1220" s="3" t="s">
        <v>13245</v>
      </c>
      <c r="J1220" s="129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29" t="s">
        <v>8974</v>
      </c>
      <c r="E1221" s="133">
        <v>400</v>
      </c>
      <c r="F1221" s="131" t="s">
        <v>13278</v>
      </c>
      <c r="G1221" s="129" t="s">
        <v>13277</v>
      </c>
      <c r="H1221" s="112" t="s">
        <v>11796</v>
      </c>
      <c r="I1221" s="3" t="s">
        <v>9050</v>
      </c>
      <c r="J1221" s="129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29" t="s">
        <v>13297</v>
      </c>
      <c r="E1222" s="133">
        <v>0</v>
      </c>
      <c r="F1222" s="131" t="s">
        <v>13298</v>
      </c>
      <c r="G1222" s="129" t="s">
        <v>13296</v>
      </c>
      <c r="H1222" s="112" t="s">
        <v>9713</v>
      </c>
      <c r="I1222" s="3" t="s">
        <v>14535</v>
      </c>
      <c r="J1222" s="129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29" t="s">
        <v>11006</v>
      </c>
      <c r="E1223" s="133">
        <v>0</v>
      </c>
      <c r="F1223" s="131" t="s">
        <v>13301</v>
      </c>
      <c r="G1223" s="129" t="s">
        <v>13300</v>
      </c>
      <c r="H1223" s="112" t="s">
        <v>9713</v>
      </c>
      <c r="I1223" s="3" t="s">
        <v>14535</v>
      </c>
      <c r="J1223" s="129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29" t="s">
        <v>9701</v>
      </c>
      <c r="E1224" s="133">
        <v>0</v>
      </c>
      <c r="F1224" s="131" t="s">
        <v>13303</v>
      </c>
      <c r="G1224" s="129" t="s">
        <v>12734</v>
      </c>
      <c r="H1224" s="112" t="s">
        <v>9713</v>
      </c>
      <c r="I1224" s="3" t="s">
        <v>9342</v>
      </c>
      <c r="J1224" s="129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29" t="s">
        <v>9343</v>
      </c>
      <c r="E1225" s="133">
        <v>534</v>
      </c>
      <c r="F1225" s="131" t="s">
        <v>13306</v>
      </c>
      <c r="G1225" s="129" t="s">
        <v>13305</v>
      </c>
      <c r="H1225" s="112" t="s">
        <v>9713</v>
      </c>
      <c r="I1225" s="3" t="s">
        <v>9430</v>
      </c>
      <c r="J1225" s="129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29">
        <v>0</v>
      </c>
      <c r="E1226" s="133">
        <v>0</v>
      </c>
      <c r="F1226" s="131" t="s">
        <v>13358</v>
      </c>
      <c r="G1226" s="129" t="s">
        <v>13357</v>
      </c>
      <c r="H1226" s="112" t="s">
        <v>9713</v>
      </c>
      <c r="I1226" s="3" t="s">
        <v>14534</v>
      </c>
      <c r="J1226" s="129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29" t="s">
        <v>9091</v>
      </c>
      <c r="E1227" s="133">
        <v>791</v>
      </c>
      <c r="F1227" s="131" t="s">
        <v>13309</v>
      </c>
      <c r="G1227" s="129" t="s">
        <v>13308</v>
      </c>
      <c r="H1227" s="112" t="s">
        <v>9713</v>
      </c>
      <c r="I1227" s="3" t="s">
        <v>14536</v>
      </c>
      <c r="J1227" s="129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29" t="s">
        <v>9465</v>
      </c>
      <c r="E1228" s="133">
        <v>0</v>
      </c>
      <c r="F1228" s="131" t="s">
        <v>13375</v>
      </c>
      <c r="G1228" s="129" t="s">
        <v>13374</v>
      </c>
      <c r="H1228" s="112" t="s">
        <v>9713</v>
      </c>
      <c r="I1228" s="3" t="s">
        <v>14534</v>
      </c>
      <c r="J1228" s="129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29" t="s">
        <v>13312</v>
      </c>
      <c r="E1229" s="133">
        <v>193</v>
      </c>
      <c r="F1229" s="131" t="s">
        <v>13313</v>
      </c>
      <c r="G1229" s="129" t="s">
        <v>13311</v>
      </c>
      <c r="H1229" s="112" t="s">
        <v>9713</v>
      </c>
      <c r="I1229" s="3" t="s">
        <v>10008</v>
      </c>
      <c r="J1229" s="129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29">
        <v>0</v>
      </c>
      <c r="E1230" s="133">
        <v>0</v>
      </c>
      <c r="F1230" s="131" t="s">
        <v>13361</v>
      </c>
      <c r="G1230" s="129" t="s">
        <v>13360</v>
      </c>
      <c r="H1230" s="112" t="s">
        <v>9713</v>
      </c>
      <c r="I1230" s="3" t="s">
        <v>14534</v>
      </c>
      <c r="J1230" s="129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29" t="s">
        <v>11006</v>
      </c>
      <c r="E1231" s="133">
        <v>0</v>
      </c>
      <c r="F1231" s="131" t="s">
        <v>13315</v>
      </c>
      <c r="G1231" s="129" t="s">
        <v>9651</v>
      </c>
      <c r="H1231" s="112" t="s">
        <v>9713</v>
      </c>
      <c r="I1231" s="3" t="s">
        <v>9342</v>
      </c>
      <c r="J1231" s="129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29" t="s">
        <v>13323</v>
      </c>
      <c r="E1232" s="133">
        <v>579</v>
      </c>
      <c r="F1232" s="131" t="s">
        <v>13324</v>
      </c>
      <c r="G1232" s="129" t="s">
        <v>9273</v>
      </c>
      <c r="H1232" s="112" t="s">
        <v>9713</v>
      </c>
      <c r="I1232" s="3" t="s">
        <v>9636</v>
      </c>
      <c r="J1232" s="129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29" t="s">
        <v>8928</v>
      </c>
      <c r="E1233" s="133">
        <v>493</v>
      </c>
      <c r="F1233" s="131" t="s">
        <v>13327</v>
      </c>
      <c r="G1233" s="129" t="s">
        <v>13326</v>
      </c>
      <c r="H1233" s="112" t="s">
        <v>9713</v>
      </c>
      <c r="I1233" s="3" t="s">
        <v>9430</v>
      </c>
      <c r="J1233" s="129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29" t="s">
        <v>8928</v>
      </c>
      <c r="E1234" s="133">
        <v>0</v>
      </c>
      <c r="F1234" s="131" t="s">
        <v>13330</v>
      </c>
      <c r="G1234" s="129" t="s">
        <v>13329</v>
      </c>
      <c r="H1234" s="112" t="s">
        <v>9713</v>
      </c>
      <c r="I1234" s="3" t="s">
        <v>14535</v>
      </c>
      <c r="J1234" s="129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29">
        <v>0</v>
      </c>
      <c r="E1235" s="133">
        <v>0</v>
      </c>
      <c r="F1235" s="131" t="s">
        <v>13364</v>
      </c>
      <c r="G1235" s="129" t="s">
        <v>13363</v>
      </c>
      <c r="H1235" s="112" t="s">
        <v>9713</v>
      </c>
      <c r="I1235" s="3" t="s">
        <v>14537</v>
      </c>
      <c r="J1235" s="129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29" t="s">
        <v>10129</v>
      </c>
      <c r="E1236" s="133">
        <v>210</v>
      </c>
      <c r="F1236" s="131" t="s">
        <v>13333</v>
      </c>
      <c r="G1236" s="129" t="s">
        <v>13332</v>
      </c>
      <c r="H1236" s="112" t="s">
        <v>9713</v>
      </c>
      <c r="I1236" s="3" t="s">
        <v>9342</v>
      </c>
      <c r="J1236" s="129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29" t="s">
        <v>9405</v>
      </c>
      <c r="E1237" s="133">
        <v>0</v>
      </c>
      <c r="F1237" s="131" t="s">
        <v>13337</v>
      </c>
      <c r="G1237" s="129" t="s">
        <v>13336</v>
      </c>
      <c r="H1237" s="112" t="s">
        <v>9713</v>
      </c>
      <c r="I1237" s="3" t="s">
        <v>9342</v>
      </c>
      <c r="J1237" s="129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29" t="s">
        <v>8928</v>
      </c>
      <c r="E1238" s="133">
        <v>801</v>
      </c>
      <c r="F1238" s="131" t="s">
        <v>13291</v>
      </c>
      <c r="G1238" s="129" t="s">
        <v>9713</v>
      </c>
      <c r="H1238" s="112" t="s">
        <v>9713</v>
      </c>
      <c r="I1238" s="3" t="s">
        <v>14534</v>
      </c>
      <c r="J1238" s="129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29" t="s">
        <v>9339</v>
      </c>
      <c r="E1239" s="133">
        <v>1024</v>
      </c>
      <c r="F1239" s="131" t="s">
        <v>13294</v>
      </c>
      <c r="G1239" s="129" t="s">
        <v>9713</v>
      </c>
      <c r="H1239" s="112" t="s">
        <v>9713</v>
      </c>
      <c r="I1239" s="3" t="s">
        <v>14534</v>
      </c>
      <c r="J1239" s="129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29" t="s">
        <v>9342</v>
      </c>
      <c r="E1240" s="133">
        <v>945</v>
      </c>
      <c r="F1240" s="131" t="s">
        <v>13371</v>
      </c>
      <c r="G1240" s="129" t="s">
        <v>9713</v>
      </c>
      <c r="H1240" s="112" t="s">
        <v>9713</v>
      </c>
      <c r="I1240" s="3" t="s">
        <v>14534</v>
      </c>
      <c r="J1240" s="129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29" t="s">
        <v>13339</v>
      </c>
      <c r="E1241" s="133">
        <v>0</v>
      </c>
      <c r="F1241" s="131" t="s">
        <v>13340</v>
      </c>
      <c r="G1241" s="129" t="s">
        <v>8928</v>
      </c>
      <c r="H1241" s="112" t="s">
        <v>9713</v>
      </c>
      <c r="I1241" s="3" t="s">
        <v>14537</v>
      </c>
      <c r="J1241" s="129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29" t="s">
        <v>9343</v>
      </c>
      <c r="E1242" s="133">
        <v>700</v>
      </c>
      <c r="F1242" s="131" t="s">
        <v>13343</v>
      </c>
      <c r="G1242" s="129" t="s">
        <v>13342</v>
      </c>
      <c r="H1242" s="112" t="s">
        <v>9713</v>
      </c>
      <c r="I1242" s="3" t="s">
        <v>9636</v>
      </c>
      <c r="J1242" s="129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29" t="s">
        <v>11006</v>
      </c>
      <c r="E1243" s="133">
        <v>232</v>
      </c>
      <c r="F1243" s="131" t="s">
        <v>13346</v>
      </c>
      <c r="G1243" s="129" t="s">
        <v>13345</v>
      </c>
      <c r="H1243" s="112" t="s">
        <v>9713</v>
      </c>
      <c r="I1243" s="3" t="s">
        <v>9430</v>
      </c>
      <c r="J1243" s="129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29" t="s">
        <v>13349</v>
      </c>
      <c r="E1244" s="133">
        <v>340</v>
      </c>
      <c r="F1244" s="131" t="s">
        <v>13350</v>
      </c>
      <c r="G1244" s="129" t="s">
        <v>13348</v>
      </c>
      <c r="H1244" s="112" t="s">
        <v>9713</v>
      </c>
      <c r="I1244" s="3" t="s">
        <v>14535</v>
      </c>
      <c r="J1244" s="129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29" t="s">
        <v>9927</v>
      </c>
      <c r="E1245" s="133">
        <v>0</v>
      </c>
      <c r="F1245" s="131" t="s">
        <v>13368</v>
      </c>
      <c r="G1245" s="129" t="s">
        <v>13367</v>
      </c>
      <c r="H1245" s="112" t="s">
        <v>9713</v>
      </c>
      <c r="I1245" s="3" t="s">
        <v>10530</v>
      </c>
      <c r="J1245" s="129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29" t="s">
        <v>13317</v>
      </c>
      <c r="E1246" s="133">
        <v>31</v>
      </c>
      <c r="F1246" s="131" t="s">
        <v>13318</v>
      </c>
      <c r="G1246" s="129" t="s">
        <v>13283</v>
      </c>
      <c r="H1246" s="112" t="s">
        <v>9713</v>
      </c>
      <c r="I1246" s="3" t="s">
        <v>14536</v>
      </c>
      <c r="J1246" s="129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29" t="s">
        <v>9267</v>
      </c>
      <c r="E1247" s="133">
        <v>88</v>
      </c>
      <c r="F1247" s="131" t="s">
        <v>13321</v>
      </c>
      <c r="G1247" s="129" t="s">
        <v>13283</v>
      </c>
      <c r="H1247" s="112" t="s">
        <v>9713</v>
      </c>
      <c r="I1247" s="3" t="s">
        <v>14536</v>
      </c>
      <c r="J1247" s="129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29" t="s">
        <v>13353</v>
      </c>
      <c r="E1248" s="133">
        <v>0</v>
      </c>
      <c r="F1248" s="131" t="s">
        <v>13354</v>
      </c>
      <c r="G1248" s="129" t="s">
        <v>13352</v>
      </c>
      <c r="H1248" s="112" t="s">
        <v>9713</v>
      </c>
      <c r="I1248" s="3" t="s">
        <v>14536</v>
      </c>
      <c r="J1248" s="129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29" t="s">
        <v>9054</v>
      </c>
      <c r="E1249" s="133">
        <v>478</v>
      </c>
      <c r="F1249" s="131" t="s">
        <v>13416</v>
      </c>
      <c r="G1249" s="129" t="s">
        <v>13415</v>
      </c>
      <c r="H1249" s="112" t="s">
        <v>9193</v>
      </c>
      <c r="I1249" s="3" t="s">
        <v>14631</v>
      </c>
      <c r="J1249" s="129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29" t="s">
        <v>13399</v>
      </c>
      <c r="E1250" s="133">
        <v>201</v>
      </c>
      <c r="F1250" s="131" t="s">
        <v>13400</v>
      </c>
      <c r="G1250" s="129" t="s">
        <v>14454</v>
      </c>
      <c r="H1250" s="112" t="s">
        <v>9193</v>
      </c>
      <c r="I1250" s="3" t="s">
        <v>14635</v>
      </c>
      <c r="J1250" s="129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29" t="s">
        <v>9343</v>
      </c>
      <c r="E1251" s="133">
        <v>194</v>
      </c>
      <c r="F1251" s="131" t="s">
        <v>13406</v>
      </c>
      <c r="G1251" s="129" t="s">
        <v>13405</v>
      </c>
      <c r="H1251" s="112" t="s">
        <v>9193</v>
      </c>
      <c r="I1251" s="3" t="s">
        <v>14635</v>
      </c>
      <c r="J1251" s="129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29" t="s">
        <v>14509</v>
      </c>
      <c r="E1252" s="133">
        <v>374</v>
      </c>
      <c r="F1252" s="131" t="s">
        <v>13390</v>
      </c>
      <c r="G1252" s="129" t="s">
        <v>13389</v>
      </c>
      <c r="H1252" s="112" t="s">
        <v>9193</v>
      </c>
      <c r="I1252" s="3" t="s">
        <v>14633</v>
      </c>
      <c r="J1252" s="129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29" t="s">
        <v>9591</v>
      </c>
      <c r="E1253" s="133">
        <v>1133</v>
      </c>
      <c r="F1253" s="131" t="s">
        <v>13386</v>
      </c>
      <c r="G1253" s="129" t="s">
        <v>13385</v>
      </c>
      <c r="H1253" s="112" t="s">
        <v>9193</v>
      </c>
      <c r="I1253" s="3" t="s">
        <v>14632</v>
      </c>
      <c r="J1253" s="129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29" t="s">
        <v>13438</v>
      </c>
      <c r="E1254" s="133">
        <v>22</v>
      </c>
      <c r="F1254" s="131" t="s">
        <v>13439</v>
      </c>
      <c r="G1254" s="129" t="s">
        <v>13437</v>
      </c>
      <c r="H1254" s="112" t="s">
        <v>9193</v>
      </c>
      <c r="I1254" s="3" t="s">
        <v>14632</v>
      </c>
      <c r="J1254" s="129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29" t="s">
        <v>9513</v>
      </c>
      <c r="E1255" s="133">
        <v>490</v>
      </c>
      <c r="F1255" s="131" t="s">
        <v>13393</v>
      </c>
      <c r="G1255" s="129" t="s">
        <v>13392</v>
      </c>
      <c r="H1255" s="112" t="s">
        <v>9193</v>
      </c>
      <c r="I1255" s="3" t="s">
        <v>14606</v>
      </c>
      <c r="J1255" s="129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29" t="s">
        <v>13442</v>
      </c>
      <c r="E1256" s="133">
        <v>0</v>
      </c>
      <c r="F1256" s="131" t="s">
        <v>13444</v>
      </c>
      <c r="G1256" s="129" t="s">
        <v>13443</v>
      </c>
      <c r="H1256" s="112" t="s">
        <v>9193</v>
      </c>
      <c r="I1256" s="3" t="s">
        <v>14606</v>
      </c>
      <c r="J1256" s="129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29" t="s">
        <v>8928</v>
      </c>
      <c r="E1257" s="133">
        <v>300</v>
      </c>
      <c r="F1257" s="131" t="s">
        <v>13421</v>
      </c>
      <c r="G1257" s="129" t="s">
        <v>9417</v>
      </c>
      <c r="H1257" s="112" t="s">
        <v>9193</v>
      </c>
      <c r="I1257" s="3" t="s">
        <v>14635</v>
      </c>
      <c r="J1257" s="129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29" t="s">
        <v>13424</v>
      </c>
      <c r="E1258" s="133">
        <v>19</v>
      </c>
      <c r="F1258" s="131" t="s">
        <v>13425</v>
      </c>
      <c r="G1258" s="129" t="s">
        <v>13423</v>
      </c>
      <c r="H1258" s="112" t="s">
        <v>9193</v>
      </c>
      <c r="I1258" s="3" t="s">
        <v>14636</v>
      </c>
      <c r="J1258" s="129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29" t="s">
        <v>13428</v>
      </c>
      <c r="E1259" s="133">
        <v>1327</v>
      </c>
      <c r="F1259" s="131" t="s">
        <v>13429</v>
      </c>
      <c r="G1259" s="129" t="s">
        <v>13427</v>
      </c>
      <c r="H1259" s="112" t="s">
        <v>9193</v>
      </c>
      <c r="I1259" s="3" t="s">
        <v>14636</v>
      </c>
      <c r="J1259" s="129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29" t="s">
        <v>9769</v>
      </c>
      <c r="E1260" s="133">
        <v>455</v>
      </c>
      <c r="F1260" s="131" t="s">
        <v>13432</v>
      </c>
      <c r="G1260" s="129" t="s">
        <v>13431</v>
      </c>
      <c r="H1260" s="112" t="s">
        <v>9193</v>
      </c>
      <c r="I1260" s="3" t="s">
        <v>14635</v>
      </c>
      <c r="J1260" s="129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29" t="s">
        <v>9405</v>
      </c>
      <c r="E1261" s="133">
        <v>1075</v>
      </c>
      <c r="F1261" s="131" t="s">
        <v>13435</v>
      </c>
      <c r="G1261" s="129" t="s">
        <v>13434</v>
      </c>
      <c r="H1261" s="112" t="s">
        <v>9193</v>
      </c>
      <c r="I1261" s="3" t="s">
        <v>14635</v>
      </c>
      <c r="J1261" s="129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29" t="s">
        <v>8983</v>
      </c>
      <c r="E1262" s="133">
        <v>155</v>
      </c>
      <c r="F1262" s="131" t="s">
        <v>13397</v>
      </c>
      <c r="G1262" s="129" t="s">
        <v>13396</v>
      </c>
      <c r="H1262" s="112" t="s">
        <v>9193</v>
      </c>
      <c r="I1262" s="3" t="s">
        <v>14634</v>
      </c>
      <c r="J1262" s="129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29" t="s">
        <v>9221</v>
      </c>
      <c r="E1263" s="133">
        <v>131</v>
      </c>
      <c r="F1263" s="131" t="s">
        <v>13403</v>
      </c>
      <c r="G1263" s="129" t="s">
        <v>13402</v>
      </c>
      <c r="H1263" s="112" t="s">
        <v>9193</v>
      </c>
      <c r="I1263" s="3" t="s">
        <v>14633</v>
      </c>
      <c r="J1263" s="129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29" t="s">
        <v>13378</v>
      </c>
      <c r="E1264" s="133">
        <v>893</v>
      </c>
      <c r="F1264" s="131" t="s">
        <v>13379</v>
      </c>
      <c r="G1264" s="129" t="s">
        <v>13377</v>
      </c>
      <c r="H1264" s="112" t="s">
        <v>9193</v>
      </c>
      <c r="I1264" s="3" t="s">
        <v>14631</v>
      </c>
      <c r="J1264" s="129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29" t="s">
        <v>13382</v>
      </c>
      <c r="E1265" s="133">
        <v>1501</v>
      </c>
      <c r="F1265" s="131" t="s">
        <v>13383</v>
      </c>
      <c r="G1265" s="129" t="s">
        <v>13377</v>
      </c>
      <c r="H1265" s="112" t="s">
        <v>9193</v>
      </c>
      <c r="I1265" s="3" t="s">
        <v>14631</v>
      </c>
      <c r="J1265" s="129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29" t="s">
        <v>13412</v>
      </c>
      <c r="E1266" s="133">
        <v>494</v>
      </c>
      <c r="F1266" s="131" t="s">
        <v>13413</v>
      </c>
      <c r="G1266" s="129" t="s">
        <v>13411</v>
      </c>
      <c r="H1266" s="112" t="s">
        <v>9193</v>
      </c>
      <c r="I1266" s="3" t="s">
        <v>14631</v>
      </c>
      <c r="J1266" s="129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29" t="s">
        <v>10818</v>
      </c>
      <c r="E1267" s="133">
        <v>0</v>
      </c>
      <c r="F1267" s="131" t="s">
        <v>13419</v>
      </c>
      <c r="G1267" s="129" t="s">
        <v>13418</v>
      </c>
      <c r="H1267" s="112" t="s">
        <v>9193</v>
      </c>
      <c r="I1267" s="3" t="s">
        <v>14631</v>
      </c>
      <c r="J1267" s="129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29" t="s">
        <v>12006</v>
      </c>
      <c r="E1268" s="133">
        <v>0</v>
      </c>
      <c r="F1268" s="131" t="s">
        <v>13409</v>
      </c>
      <c r="G1268" s="129" t="s">
        <v>13408</v>
      </c>
      <c r="H1268" s="112" t="s">
        <v>9193</v>
      </c>
      <c r="I1268" s="3" t="s">
        <v>14632</v>
      </c>
      <c r="J1268" s="129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29" t="s">
        <v>13837</v>
      </c>
      <c r="E1269" s="133">
        <v>447</v>
      </c>
      <c r="F1269" s="131" t="s">
        <v>13838</v>
      </c>
      <c r="G1269" s="129" t="s">
        <v>13836</v>
      </c>
      <c r="H1269" s="112" t="s">
        <v>9701</v>
      </c>
      <c r="I1269" s="3" t="s">
        <v>13494</v>
      </c>
      <c r="J1269" s="129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29" t="s">
        <v>9050</v>
      </c>
      <c r="E1270" s="133">
        <v>963</v>
      </c>
      <c r="F1270" s="131" t="s">
        <v>13841</v>
      </c>
      <c r="G1270" s="129" t="s">
        <v>13840</v>
      </c>
      <c r="H1270" s="112" t="s">
        <v>9701</v>
      </c>
      <c r="I1270" s="3" t="s">
        <v>9006</v>
      </c>
      <c r="J1270" s="129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29" t="s">
        <v>9660</v>
      </c>
      <c r="E1271" s="133">
        <v>1405</v>
      </c>
      <c r="F1271" s="131" t="s">
        <v>13472</v>
      </c>
      <c r="G1271" s="129" t="s">
        <v>13471</v>
      </c>
      <c r="H1271" s="112" t="s">
        <v>9701</v>
      </c>
      <c r="I1271" s="3" t="s">
        <v>12822</v>
      </c>
      <c r="J1271" s="129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29" t="s">
        <v>11217</v>
      </c>
      <c r="E1272" s="133">
        <v>421</v>
      </c>
      <c r="F1272" s="131" t="s">
        <v>13844</v>
      </c>
      <c r="G1272" s="129" t="s">
        <v>13843</v>
      </c>
      <c r="H1272" s="112" t="s">
        <v>9701</v>
      </c>
      <c r="I1272" s="3" t="s">
        <v>13494</v>
      </c>
      <c r="J1272" s="129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29" t="s">
        <v>13847</v>
      </c>
      <c r="E1273" s="133">
        <v>200</v>
      </c>
      <c r="F1273" s="131" t="s">
        <v>13848</v>
      </c>
      <c r="G1273" s="129" t="s">
        <v>13846</v>
      </c>
      <c r="H1273" s="112" t="s">
        <v>9701</v>
      </c>
      <c r="I1273" s="3" t="s">
        <v>14604</v>
      </c>
      <c r="J1273" s="129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29" t="s">
        <v>11564</v>
      </c>
      <c r="E1274" s="133">
        <v>829</v>
      </c>
      <c r="F1274" s="131" t="s">
        <v>14125</v>
      </c>
      <c r="G1274" s="129" t="s">
        <v>14124</v>
      </c>
      <c r="H1274" s="112" t="s">
        <v>9701</v>
      </c>
      <c r="I1274" s="3" t="s">
        <v>14605</v>
      </c>
      <c r="J1274" s="129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29" t="s">
        <v>13475</v>
      </c>
      <c r="E1275" s="133">
        <v>348</v>
      </c>
      <c r="F1275" s="131" t="s">
        <v>13476</v>
      </c>
      <c r="G1275" s="129" t="s">
        <v>13474</v>
      </c>
      <c r="H1275" s="112" t="s">
        <v>9701</v>
      </c>
      <c r="I1275" s="3" t="s">
        <v>14599</v>
      </c>
      <c r="J1275" s="129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29" t="s">
        <v>13851</v>
      </c>
      <c r="E1276" s="133">
        <v>0</v>
      </c>
      <c r="F1276" s="131" t="s">
        <v>13852</v>
      </c>
      <c r="G1276" s="129" t="s">
        <v>13850</v>
      </c>
      <c r="H1276" s="112" t="s">
        <v>9701</v>
      </c>
      <c r="I1276" s="3" t="s">
        <v>9246</v>
      </c>
      <c r="J1276" s="129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29" t="s">
        <v>13855</v>
      </c>
      <c r="E1277" s="133">
        <v>1531</v>
      </c>
      <c r="F1277" s="131" t="s">
        <v>13856</v>
      </c>
      <c r="G1277" s="129" t="s">
        <v>13854</v>
      </c>
      <c r="H1277" s="112" t="s">
        <v>9701</v>
      </c>
      <c r="I1277" s="3" t="s">
        <v>10530</v>
      </c>
      <c r="J1277" s="129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29" t="s">
        <v>13479</v>
      </c>
      <c r="E1278" s="133">
        <v>380</v>
      </c>
      <c r="F1278" s="131" t="s">
        <v>13480</v>
      </c>
      <c r="G1278" s="129" t="s">
        <v>13478</v>
      </c>
      <c r="H1278" s="112" t="s">
        <v>9701</v>
      </c>
      <c r="I1278" s="3" t="s">
        <v>14600</v>
      </c>
      <c r="J1278" s="129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29" t="s">
        <v>13859</v>
      </c>
      <c r="E1279" s="133">
        <v>530</v>
      </c>
      <c r="F1279" s="131" t="s">
        <v>13860</v>
      </c>
      <c r="G1279" s="129" t="s">
        <v>13858</v>
      </c>
      <c r="H1279" s="112" t="s">
        <v>9701</v>
      </c>
      <c r="I1279" s="3" t="s">
        <v>13494</v>
      </c>
      <c r="J1279" s="129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29" t="s">
        <v>9405</v>
      </c>
      <c r="E1280" s="133">
        <v>151</v>
      </c>
      <c r="F1280" s="131" t="s">
        <v>13483</v>
      </c>
      <c r="G1280" s="129" t="s">
        <v>13482</v>
      </c>
      <c r="H1280" s="112" t="s">
        <v>9701</v>
      </c>
      <c r="I1280" s="3" t="s">
        <v>10515</v>
      </c>
      <c r="J1280" s="129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29" t="s">
        <v>9405</v>
      </c>
      <c r="E1281" s="133">
        <v>47</v>
      </c>
      <c r="F1281" s="131" t="s">
        <v>13863</v>
      </c>
      <c r="G1281" s="129" t="s">
        <v>13862</v>
      </c>
      <c r="H1281" s="112" t="s">
        <v>9701</v>
      </c>
      <c r="I1281" s="3" t="s">
        <v>9246</v>
      </c>
      <c r="J1281" s="129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29" t="s">
        <v>9276</v>
      </c>
      <c r="E1282" s="133">
        <v>98</v>
      </c>
      <c r="F1282" s="131" t="s">
        <v>13486</v>
      </c>
      <c r="G1282" s="129" t="s">
        <v>13485</v>
      </c>
      <c r="H1282" s="112" t="s">
        <v>9701</v>
      </c>
      <c r="I1282" s="3" t="s">
        <v>14599</v>
      </c>
      <c r="J1282" s="129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29" t="s">
        <v>9327</v>
      </c>
      <c r="E1283" s="133">
        <v>692</v>
      </c>
      <c r="F1283" s="131" t="s">
        <v>13488</v>
      </c>
      <c r="G1283" s="129" t="s">
        <v>9075</v>
      </c>
      <c r="H1283" s="112" t="s">
        <v>9701</v>
      </c>
      <c r="I1283" s="3" t="s">
        <v>14601</v>
      </c>
      <c r="J1283" s="129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29" t="s">
        <v>13490</v>
      </c>
      <c r="E1284" s="133">
        <v>131</v>
      </c>
      <c r="F1284" s="131" t="s">
        <v>13491</v>
      </c>
      <c r="G1284" s="129" t="s">
        <v>13399</v>
      </c>
      <c r="H1284" s="112" t="s">
        <v>9701</v>
      </c>
      <c r="I1284" s="3" t="s">
        <v>14600</v>
      </c>
      <c r="J1284" s="129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29" t="s">
        <v>13763</v>
      </c>
      <c r="E1285" s="133">
        <v>660</v>
      </c>
      <c r="F1285" s="131" t="s">
        <v>13866</v>
      </c>
      <c r="G1285" s="129" t="s">
        <v>13865</v>
      </c>
      <c r="H1285" s="112" t="s">
        <v>9701</v>
      </c>
      <c r="I1285" s="3" t="s">
        <v>9246</v>
      </c>
      <c r="J1285" s="129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29" t="s">
        <v>13494</v>
      </c>
      <c r="E1286" s="133">
        <v>227</v>
      </c>
      <c r="F1286" s="131" t="s">
        <v>13495</v>
      </c>
      <c r="G1286" s="129" t="s">
        <v>12722</v>
      </c>
      <c r="H1286" s="112" t="s">
        <v>9701</v>
      </c>
      <c r="I1286" s="3" t="s">
        <v>14600</v>
      </c>
      <c r="J1286" s="129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29" t="s">
        <v>9266</v>
      </c>
      <c r="E1287" s="133">
        <v>201</v>
      </c>
      <c r="F1287" s="131" t="s">
        <v>13869</v>
      </c>
      <c r="G1287" s="129" t="s">
        <v>13868</v>
      </c>
      <c r="H1287" s="112" t="s">
        <v>9701</v>
      </c>
      <c r="I1287" s="3" t="s">
        <v>9246</v>
      </c>
      <c r="J1287" s="129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29" t="s">
        <v>13872</v>
      </c>
      <c r="E1288" s="133">
        <v>100</v>
      </c>
      <c r="F1288" s="131" t="s">
        <v>13873</v>
      </c>
      <c r="G1288" s="129" t="s">
        <v>13871</v>
      </c>
      <c r="H1288" s="112" t="s">
        <v>9701</v>
      </c>
      <c r="I1288" s="3" t="s">
        <v>9006</v>
      </c>
      <c r="J1288" s="129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29" t="s">
        <v>8974</v>
      </c>
      <c r="E1289" s="133">
        <v>90</v>
      </c>
      <c r="F1289" s="131" t="s">
        <v>13876</v>
      </c>
      <c r="G1289" s="129" t="s">
        <v>13875</v>
      </c>
      <c r="H1289" s="112" t="s">
        <v>9701</v>
      </c>
      <c r="I1289" s="3" t="s">
        <v>10530</v>
      </c>
      <c r="J1289" s="129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29" t="s">
        <v>9477</v>
      </c>
      <c r="E1290" s="133">
        <v>96</v>
      </c>
      <c r="F1290" s="131" t="s">
        <v>13878</v>
      </c>
      <c r="G1290" s="129" t="s">
        <v>14455</v>
      </c>
      <c r="H1290" s="112" t="s">
        <v>9701</v>
      </c>
      <c r="I1290" s="3" t="s">
        <v>14605</v>
      </c>
      <c r="J1290" s="129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29" t="s">
        <v>9405</v>
      </c>
      <c r="E1291" s="133">
        <v>558</v>
      </c>
      <c r="F1291" s="131" t="s">
        <v>13880</v>
      </c>
      <c r="G1291" s="129" t="s">
        <v>14456</v>
      </c>
      <c r="H1291" s="112" t="s">
        <v>9701</v>
      </c>
      <c r="I1291" s="3" t="s">
        <v>14604</v>
      </c>
      <c r="J1291" s="129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29" t="s">
        <v>9205</v>
      </c>
      <c r="E1292" s="133">
        <v>799</v>
      </c>
      <c r="F1292" s="131" t="s">
        <v>13521</v>
      </c>
      <c r="G1292" s="129" t="s">
        <v>14457</v>
      </c>
      <c r="H1292" s="112" t="s">
        <v>9701</v>
      </c>
      <c r="I1292" s="3" t="s">
        <v>8928</v>
      </c>
      <c r="J1292" s="129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29" t="s">
        <v>8928</v>
      </c>
      <c r="E1293" s="133">
        <v>679</v>
      </c>
      <c r="F1293" s="131" t="s">
        <v>13883</v>
      </c>
      <c r="G1293" s="129" t="s">
        <v>13882</v>
      </c>
      <c r="H1293" s="112" t="s">
        <v>9701</v>
      </c>
      <c r="I1293" s="3" t="s">
        <v>14604</v>
      </c>
      <c r="J1293" s="129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29" t="s">
        <v>9603</v>
      </c>
      <c r="E1294" s="133">
        <v>512</v>
      </c>
      <c r="F1294" s="131" t="s">
        <v>13501</v>
      </c>
      <c r="G1294" s="129" t="s">
        <v>13500</v>
      </c>
      <c r="H1294" s="112" t="s">
        <v>9701</v>
      </c>
      <c r="I1294" s="3" t="s">
        <v>13739</v>
      </c>
      <c r="J1294" s="129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29" t="s">
        <v>13886</v>
      </c>
      <c r="E1295" s="133">
        <v>855</v>
      </c>
      <c r="F1295" s="131" t="s">
        <v>13887</v>
      </c>
      <c r="G1295" s="129" t="s">
        <v>13885</v>
      </c>
      <c r="H1295" s="112" t="s">
        <v>9701</v>
      </c>
      <c r="I1295" s="3" t="s">
        <v>11862</v>
      </c>
      <c r="J1295" s="129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29" t="s">
        <v>11002</v>
      </c>
      <c r="E1296" s="133">
        <v>413</v>
      </c>
      <c r="F1296" s="131" t="s">
        <v>13889</v>
      </c>
      <c r="G1296" s="129" t="s">
        <v>14458</v>
      </c>
      <c r="H1296" s="112" t="s">
        <v>9701</v>
      </c>
      <c r="I1296" s="3" t="s">
        <v>11862</v>
      </c>
      <c r="J1296" s="129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29" t="s">
        <v>8974</v>
      </c>
      <c r="E1297" s="133">
        <v>175</v>
      </c>
      <c r="F1297" s="131" t="s">
        <v>13523</v>
      </c>
      <c r="G1297" s="129" t="s">
        <v>11522</v>
      </c>
      <c r="H1297" s="112" t="s">
        <v>9701</v>
      </c>
      <c r="I1297" s="3" t="s">
        <v>8928</v>
      </c>
      <c r="J1297" s="129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29" t="s">
        <v>9099</v>
      </c>
      <c r="E1298" s="133">
        <v>473</v>
      </c>
      <c r="F1298" s="131" t="s">
        <v>13892</v>
      </c>
      <c r="G1298" s="129" t="s">
        <v>13891</v>
      </c>
      <c r="H1298" s="112" t="s">
        <v>9701</v>
      </c>
      <c r="I1298" s="3" t="s">
        <v>14604</v>
      </c>
      <c r="J1298" s="129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29" t="s">
        <v>13895</v>
      </c>
      <c r="E1299" s="133">
        <v>791</v>
      </c>
      <c r="F1299" s="131" t="s">
        <v>13896</v>
      </c>
      <c r="G1299" s="129" t="s">
        <v>13894</v>
      </c>
      <c r="H1299" s="112" t="s">
        <v>9701</v>
      </c>
      <c r="I1299" s="3" t="s">
        <v>14604</v>
      </c>
      <c r="J1299" s="129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29" t="s">
        <v>13475</v>
      </c>
      <c r="E1300" s="133">
        <v>2371</v>
      </c>
      <c r="F1300" s="131" t="s">
        <v>13899</v>
      </c>
      <c r="G1300" s="129" t="s">
        <v>13898</v>
      </c>
      <c r="H1300" s="112" t="s">
        <v>9701</v>
      </c>
      <c r="I1300" s="3" t="s">
        <v>9246</v>
      </c>
      <c r="J1300" s="129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29" t="s">
        <v>13504</v>
      </c>
      <c r="E1301" s="133">
        <v>0</v>
      </c>
      <c r="F1301" s="131" t="s">
        <v>13505</v>
      </c>
      <c r="G1301" s="129" t="s">
        <v>13503</v>
      </c>
      <c r="H1301" s="112" t="s">
        <v>9701</v>
      </c>
      <c r="I1301" s="3" t="s">
        <v>14602</v>
      </c>
      <c r="J1301" s="129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29" t="s">
        <v>10215</v>
      </c>
      <c r="E1302" s="133">
        <v>1098</v>
      </c>
      <c r="F1302" s="131" t="s">
        <v>13498</v>
      </c>
      <c r="G1302" s="129" t="s">
        <v>13497</v>
      </c>
      <c r="H1302" s="112" t="s">
        <v>9701</v>
      </c>
      <c r="I1302" s="3" t="s">
        <v>14600</v>
      </c>
      <c r="J1302" s="129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29" t="s">
        <v>11564</v>
      </c>
      <c r="E1303" s="133">
        <v>146</v>
      </c>
      <c r="F1303" s="131" t="s">
        <v>13508</v>
      </c>
      <c r="G1303" s="129" t="s">
        <v>13507</v>
      </c>
      <c r="H1303" s="112" t="s">
        <v>9701</v>
      </c>
      <c r="I1303" s="3" t="s">
        <v>10515</v>
      </c>
      <c r="J1303" s="129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29" t="s">
        <v>9660</v>
      </c>
      <c r="E1304" s="133">
        <v>735</v>
      </c>
      <c r="F1304" s="131" t="s">
        <v>13901</v>
      </c>
      <c r="G1304" s="129" t="s">
        <v>14459</v>
      </c>
      <c r="H1304" s="112" t="s">
        <v>9701</v>
      </c>
      <c r="I1304" s="3" t="s">
        <v>9246</v>
      </c>
      <c r="J1304" s="129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29" t="s">
        <v>13494</v>
      </c>
      <c r="E1305" s="133">
        <v>1743</v>
      </c>
      <c r="F1305" s="131" t="s">
        <v>13904</v>
      </c>
      <c r="G1305" s="129" t="s">
        <v>13903</v>
      </c>
      <c r="H1305" s="112" t="s">
        <v>9701</v>
      </c>
      <c r="I1305" s="3" t="s">
        <v>9246</v>
      </c>
      <c r="J1305" s="129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29" t="s">
        <v>8928</v>
      </c>
      <c r="E1306" s="133">
        <v>570</v>
      </c>
      <c r="F1306" s="131" t="s">
        <v>13907</v>
      </c>
      <c r="G1306" s="129" t="s">
        <v>13906</v>
      </c>
      <c r="H1306" s="112" t="s">
        <v>9701</v>
      </c>
      <c r="I1306" s="3" t="s">
        <v>14604</v>
      </c>
      <c r="J1306" s="129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29" t="s">
        <v>9477</v>
      </c>
      <c r="E1307" s="133">
        <v>968</v>
      </c>
      <c r="F1307" s="131" t="s">
        <v>13516</v>
      </c>
      <c r="G1307" s="129" t="s">
        <v>13515</v>
      </c>
      <c r="H1307" s="112" t="s">
        <v>9701</v>
      </c>
      <c r="I1307" s="3" t="s">
        <v>8928</v>
      </c>
      <c r="J1307" s="129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29" t="s">
        <v>14105</v>
      </c>
      <c r="E1308" s="133">
        <v>0</v>
      </c>
      <c r="F1308" s="131" t="s">
        <v>14106</v>
      </c>
      <c r="G1308" s="129" t="s">
        <v>14104</v>
      </c>
      <c r="H1308" s="112" t="s">
        <v>9701</v>
      </c>
      <c r="I1308" s="3" t="s">
        <v>9118</v>
      </c>
      <c r="J1308" s="129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29" t="s">
        <v>14105</v>
      </c>
      <c r="E1309" s="133">
        <v>0</v>
      </c>
      <c r="F1309" s="131" t="s">
        <v>14109</v>
      </c>
      <c r="G1309" s="129" t="s">
        <v>14108</v>
      </c>
      <c r="H1309" s="112" t="s">
        <v>9701</v>
      </c>
      <c r="I1309" s="3" t="s">
        <v>9118</v>
      </c>
      <c r="J1309" s="129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29" t="s">
        <v>13504</v>
      </c>
      <c r="E1310" s="133">
        <v>1657</v>
      </c>
      <c r="F1310" s="131" t="s">
        <v>13519</v>
      </c>
      <c r="G1310" s="129" t="s">
        <v>13518</v>
      </c>
      <c r="H1310" s="112" t="s">
        <v>9701</v>
      </c>
      <c r="I1310" s="3" t="s">
        <v>14600</v>
      </c>
      <c r="J1310" s="129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29" t="s">
        <v>8974</v>
      </c>
      <c r="E1311" s="133">
        <v>253</v>
      </c>
      <c r="F1311" s="131" t="s">
        <v>13910</v>
      </c>
      <c r="G1311" s="129" t="s">
        <v>13909</v>
      </c>
      <c r="H1311" s="112" t="s">
        <v>9701</v>
      </c>
      <c r="I1311" s="3" t="s">
        <v>13494</v>
      </c>
      <c r="J1311" s="129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29" t="s">
        <v>9050</v>
      </c>
      <c r="E1312" s="133">
        <v>765</v>
      </c>
      <c r="F1312" s="131" t="s">
        <v>13913</v>
      </c>
      <c r="G1312" s="129" t="s">
        <v>13912</v>
      </c>
      <c r="H1312" s="112" t="s">
        <v>9701</v>
      </c>
      <c r="I1312" s="3" t="s">
        <v>14605</v>
      </c>
      <c r="J1312" s="129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29" t="s">
        <v>13526</v>
      </c>
      <c r="E1313" s="133">
        <v>420</v>
      </c>
      <c r="F1313" s="131" t="s">
        <v>13527</v>
      </c>
      <c r="G1313" s="129" t="s">
        <v>13525</v>
      </c>
      <c r="H1313" s="112" t="s">
        <v>9701</v>
      </c>
      <c r="I1313" s="3" t="s">
        <v>14600</v>
      </c>
      <c r="J1313" s="129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29" t="s">
        <v>13916</v>
      </c>
      <c r="E1314" s="133">
        <v>100</v>
      </c>
      <c r="F1314" s="131" t="s">
        <v>13917</v>
      </c>
      <c r="G1314" s="129" t="s">
        <v>13915</v>
      </c>
      <c r="H1314" s="112" t="s">
        <v>9701</v>
      </c>
      <c r="I1314" s="3" t="s">
        <v>14604</v>
      </c>
      <c r="J1314" s="129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29" t="s">
        <v>13536</v>
      </c>
      <c r="E1315" s="133">
        <v>1161</v>
      </c>
      <c r="F1315" s="131" t="s">
        <v>13537</v>
      </c>
      <c r="G1315" s="129" t="s">
        <v>13535</v>
      </c>
      <c r="H1315" s="112" t="s">
        <v>9701</v>
      </c>
      <c r="I1315" s="3" t="s">
        <v>8928</v>
      </c>
      <c r="J1315" s="129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29" t="s">
        <v>10380</v>
      </c>
      <c r="E1316" s="133">
        <v>399</v>
      </c>
      <c r="F1316" s="131" t="s">
        <v>13530</v>
      </c>
      <c r="G1316" s="129" t="s">
        <v>13529</v>
      </c>
      <c r="H1316" s="112" t="s">
        <v>9701</v>
      </c>
      <c r="I1316" s="3" t="s">
        <v>14603</v>
      </c>
      <c r="J1316" s="129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29" t="s">
        <v>10248</v>
      </c>
      <c r="E1317" s="133">
        <v>688</v>
      </c>
      <c r="F1317" s="131" t="s">
        <v>13920</v>
      </c>
      <c r="G1317" s="129" t="s">
        <v>13919</v>
      </c>
      <c r="H1317" s="112" t="s">
        <v>9701</v>
      </c>
      <c r="I1317" s="3" t="s">
        <v>14604</v>
      </c>
      <c r="J1317" s="129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29" t="s">
        <v>14105</v>
      </c>
      <c r="E1318" s="133">
        <v>0</v>
      </c>
      <c r="F1318" s="131" t="s">
        <v>14112</v>
      </c>
      <c r="G1318" s="129" t="s">
        <v>14111</v>
      </c>
      <c r="H1318" s="112" t="s">
        <v>9701</v>
      </c>
      <c r="I1318" s="3" t="s">
        <v>14603</v>
      </c>
      <c r="J1318" s="129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29" t="s">
        <v>9360</v>
      </c>
      <c r="E1319" s="133">
        <v>195</v>
      </c>
      <c r="F1319" s="131" t="s">
        <v>13924</v>
      </c>
      <c r="G1319" s="129" t="s">
        <v>13923</v>
      </c>
      <c r="H1319" s="112" t="s">
        <v>9701</v>
      </c>
      <c r="I1319" s="3" t="s">
        <v>9006</v>
      </c>
      <c r="J1319" s="129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29" t="s">
        <v>9405</v>
      </c>
      <c r="E1320" s="133">
        <v>1231</v>
      </c>
      <c r="F1320" s="131" t="s">
        <v>13533</v>
      </c>
      <c r="G1320" s="129" t="s">
        <v>13532</v>
      </c>
      <c r="H1320" s="112" t="s">
        <v>9701</v>
      </c>
      <c r="I1320" s="3" t="s">
        <v>14603</v>
      </c>
      <c r="J1320" s="129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29" t="s">
        <v>13540</v>
      </c>
      <c r="E1321" s="133">
        <v>204</v>
      </c>
      <c r="F1321" s="131" t="s">
        <v>13541</v>
      </c>
      <c r="G1321" s="129" t="s">
        <v>13539</v>
      </c>
      <c r="H1321" s="112" t="s">
        <v>9701</v>
      </c>
      <c r="I1321" s="3" t="s">
        <v>14603</v>
      </c>
      <c r="J1321" s="129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29" t="s">
        <v>9139</v>
      </c>
      <c r="E1322" s="133">
        <v>642</v>
      </c>
      <c r="F1322" s="131" t="s">
        <v>13927</v>
      </c>
      <c r="G1322" s="129" t="s">
        <v>13926</v>
      </c>
      <c r="H1322" s="112" t="s">
        <v>9701</v>
      </c>
      <c r="I1322" s="3" t="s">
        <v>13494</v>
      </c>
      <c r="J1322" s="129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29" t="s">
        <v>9769</v>
      </c>
      <c r="E1323" s="133">
        <v>1235</v>
      </c>
      <c r="F1323" s="131" t="s">
        <v>13930</v>
      </c>
      <c r="G1323" s="129" t="s">
        <v>13929</v>
      </c>
      <c r="H1323" s="112" t="s">
        <v>9701</v>
      </c>
      <c r="I1323" s="3" t="s">
        <v>14604</v>
      </c>
      <c r="J1323" s="129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29" t="s">
        <v>8928</v>
      </c>
      <c r="E1324" s="133">
        <v>655</v>
      </c>
      <c r="F1324" s="131" t="s">
        <v>13544</v>
      </c>
      <c r="G1324" s="129" t="s">
        <v>13543</v>
      </c>
      <c r="H1324" s="112" t="s">
        <v>9701</v>
      </c>
      <c r="I1324" s="3" t="s">
        <v>14601</v>
      </c>
      <c r="J1324" s="129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29" t="s">
        <v>9513</v>
      </c>
      <c r="E1325" s="133">
        <v>1983</v>
      </c>
      <c r="F1325" s="131" t="s">
        <v>13547</v>
      </c>
      <c r="G1325" s="129" t="s">
        <v>13546</v>
      </c>
      <c r="H1325" s="112" t="s">
        <v>9701</v>
      </c>
      <c r="I1325" s="3" t="s">
        <v>14603</v>
      </c>
      <c r="J1325" s="129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29" t="s">
        <v>9701</v>
      </c>
      <c r="E1326" s="133">
        <v>145</v>
      </c>
      <c r="F1326" s="131" t="s">
        <v>13933</v>
      </c>
      <c r="G1326" s="129" t="s">
        <v>12577</v>
      </c>
      <c r="H1326" s="112" t="s">
        <v>9701</v>
      </c>
      <c r="I1326" s="3" t="s">
        <v>11862</v>
      </c>
      <c r="J1326" s="129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29" t="s">
        <v>13550</v>
      </c>
      <c r="E1327" s="133">
        <v>100</v>
      </c>
      <c r="F1327" s="131" t="s">
        <v>13551</v>
      </c>
      <c r="G1327" s="129" t="s">
        <v>13549</v>
      </c>
      <c r="H1327" s="112" t="s">
        <v>9701</v>
      </c>
      <c r="I1327" s="3" t="s">
        <v>14599</v>
      </c>
      <c r="J1327" s="129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29" t="s">
        <v>12246</v>
      </c>
      <c r="E1328" s="133">
        <v>645</v>
      </c>
      <c r="F1328" s="131" t="s">
        <v>13936</v>
      </c>
      <c r="G1328" s="129" t="s">
        <v>13935</v>
      </c>
      <c r="H1328" s="112" t="s">
        <v>9701</v>
      </c>
      <c r="I1328" s="3" t="s">
        <v>11862</v>
      </c>
      <c r="J1328" s="129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29" t="s">
        <v>9276</v>
      </c>
      <c r="E1329" s="133">
        <v>1454</v>
      </c>
      <c r="F1329" s="131" t="s">
        <v>13939</v>
      </c>
      <c r="G1329" s="129" t="s">
        <v>13938</v>
      </c>
      <c r="H1329" s="112" t="s">
        <v>9701</v>
      </c>
      <c r="I1329" s="3" t="s">
        <v>13494</v>
      </c>
      <c r="J1329" s="129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29" t="s">
        <v>9014</v>
      </c>
      <c r="E1330" s="133">
        <v>735</v>
      </c>
      <c r="F1330" s="131" t="s">
        <v>13554</v>
      </c>
      <c r="G1330" s="129" t="s">
        <v>13553</v>
      </c>
      <c r="H1330" s="112" t="s">
        <v>9701</v>
      </c>
      <c r="I1330" s="3" t="s">
        <v>14600</v>
      </c>
      <c r="J1330" s="129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29" t="s">
        <v>9099</v>
      </c>
      <c r="E1331" s="133">
        <v>961</v>
      </c>
      <c r="F1331" s="131" t="s">
        <v>13557</v>
      </c>
      <c r="G1331" s="129" t="s">
        <v>13556</v>
      </c>
      <c r="H1331" s="112" t="s">
        <v>9701</v>
      </c>
      <c r="I1331" s="3" t="s">
        <v>14600</v>
      </c>
      <c r="J1331" s="129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29" t="s">
        <v>13560</v>
      </c>
      <c r="E1332" s="133">
        <v>134</v>
      </c>
      <c r="F1332" s="131" t="s">
        <v>13562</v>
      </c>
      <c r="G1332" s="129" t="s">
        <v>13561</v>
      </c>
      <c r="H1332" s="112" t="s">
        <v>9701</v>
      </c>
      <c r="I1332" s="3" t="s">
        <v>9118</v>
      </c>
      <c r="J1332" s="129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29" t="s">
        <v>10053</v>
      </c>
      <c r="E1333" s="133">
        <v>705</v>
      </c>
      <c r="F1333" s="131" t="s">
        <v>13942</v>
      </c>
      <c r="G1333" s="129" t="s">
        <v>13941</v>
      </c>
      <c r="H1333" s="112" t="s">
        <v>9701</v>
      </c>
      <c r="I1333" s="3" t="s">
        <v>9246</v>
      </c>
      <c r="J1333" s="129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29" t="s">
        <v>10248</v>
      </c>
      <c r="E1334" s="133">
        <v>159</v>
      </c>
      <c r="F1334" s="131" t="s">
        <v>13945</v>
      </c>
      <c r="G1334" s="129" t="s">
        <v>13944</v>
      </c>
      <c r="H1334" s="112" t="s">
        <v>9701</v>
      </c>
      <c r="I1334" s="3" t="s">
        <v>9006</v>
      </c>
      <c r="J1334" s="129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29" t="s">
        <v>10380</v>
      </c>
      <c r="E1335" s="133">
        <v>1096</v>
      </c>
      <c r="F1335" s="131" t="s">
        <v>13948</v>
      </c>
      <c r="G1335" s="129" t="s">
        <v>13947</v>
      </c>
      <c r="H1335" s="112" t="s">
        <v>9701</v>
      </c>
      <c r="I1335" s="3" t="s">
        <v>13494</v>
      </c>
      <c r="J1335" s="129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29" t="s">
        <v>8928</v>
      </c>
      <c r="E1336" s="133">
        <v>550</v>
      </c>
      <c r="F1336" s="131" t="s">
        <v>13565</v>
      </c>
      <c r="G1336" s="129" t="s">
        <v>13564</v>
      </c>
      <c r="H1336" s="112" t="s">
        <v>9701</v>
      </c>
      <c r="I1336" s="3" t="s">
        <v>14602</v>
      </c>
      <c r="J1336" s="129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29" t="s">
        <v>9652</v>
      </c>
      <c r="E1337" s="133">
        <v>327</v>
      </c>
      <c r="F1337" s="131" t="s">
        <v>13568</v>
      </c>
      <c r="G1337" s="129" t="s">
        <v>13567</v>
      </c>
      <c r="H1337" s="112" t="s">
        <v>9701</v>
      </c>
      <c r="I1337" s="3" t="s">
        <v>10515</v>
      </c>
      <c r="J1337" s="129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29" t="s">
        <v>13951</v>
      </c>
      <c r="E1338" s="133">
        <v>234</v>
      </c>
      <c r="F1338" s="131" t="s">
        <v>13952</v>
      </c>
      <c r="G1338" s="129" t="s">
        <v>13950</v>
      </c>
      <c r="H1338" s="112" t="s">
        <v>9701</v>
      </c>
      <c r="I1338" s="3" t="s">
        <v>14604</v>
      </c>
      <c r="J1338" s="129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29" t="s">
        <v>9627</v>
      </c>
      <c r="E1339" s="133">
        <v>157</v>
      </c>
      <c r="F1339" s="131" t="s">
        <v>13572</v>
      </c>
      <c r="G1339" s="129" t="s">
        <v>13571</v>
      </c>
      <c r="H1339" s="112" t="s">
        <v>9701</v>
      </c>
      <c r="I1339" s="3" t="s">
        <v>14599</v>
      </c>
      <c r="J1339" s="129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29" t="s">
        <v>8983</v>
      </c>
      <c r="E1340" s="133">
        <v>1636</v>
      </c>
      <c r="F1340" s="131" t="s">
        <v>13575</v>
      </c>
      <c r="G1340" s="129" t="s">
        <v>13574</v>
      </c>
      <c r="H1340" s="112" t="s">
        <v>9701</v>
      </c>
      <c r="I1340" s="3" t="s">
        <v>14603</v>
      </c>
      <c r="J1340" s="129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29" t="s">
        <v>9603</v>
      </c>
      <c r="E1341" s="133">
        <v>560</v>
      </c>
      <c r="F1341" s="131" t="s">
        <v>13577</v>
      </c>
      <c r="G1341" s="129" t="s">
        <v>9947</v>
      </c>
      <c r="H1341" s="112" t="s">
        <v>9701</v>
      </c>
      <c r="I1341" s="3" t="s">
        <v>14600</v>
      </c>
      <c r="J1341" s="129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29" t="s">
        <v>9099</v>
      </c>
      <c r="E1342" s="133">
        <v>302</v>
      </c>
      <c r="F1342" s="131" t="s">
        <v>13956</v>
      </c>
      <c r="G1342" s="129" t="s">
        <v>13955</v>
      </c>
      <c r="H1342" s="112" t="s">
        <v>9701</v>
      </c>
      <c r="I1342" s="3" t="s">
        <v>9006</v>
      </c>
      <c r="J1342" s="129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29" t="s">
        <v>13959</v>
      </c>
      <c r="E1343" s="133">
        <v>254</v>
      </c>
      <c r="F1343" s="131" t="s">
        <v>13960</v>
      </c>
      <c r="G1343" s="129" t="s">
        <v>13958</v>
      </c>
      <c r="H1343" s="112" t="s">
        <v>9701</v>
      </c>
      <c r="I1343" s="3" t="s">
        <v>9006</v>
      </c>
      <c r="J1343" s="129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29" t="s">
        <v>8974</v>
      </c>
      <c r="E1344" s="133">
        <v>304</v>
      </c>
      <c r="F1344" s="131" t="s">
        <v>13583</v>
      </c>
      <c r="G1344" s="129" t="s">
        <v>13582</v>
      </c>
      <c r="H1344" s="112" t="s">
        <v>9701</v>
      </c>
      <c r="I1344" s="3" t="s">
        <v>9118</v>
      </c>
      <c r="J1344" s="129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29" t="s">
        <v>9603</v>
      </c>
      <c r="E1345" s="133">
        <v>100</v>
      </c>
      <c r="F1345" s="131" t="s">
        <v>13586</v>
      </c>
      <c r="G1345" s="129" t="s">
        <v>13585</v>
      </c>
      <c r="H1345" s="112" t="s">
        <v>9701</v>
      </c>
      <c r="I1345" s="3" t="s">
        <v>13739</v>
      </c>
      <c r="J1345" s="129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29" t="s">
        <v>11529</v>
      </c>
      <c r="E1346" s="133">
        <v>485</v>
      </c>
      <c r="F1346" s="131" t="s">
        <v>13963</v>
      </c>
      <c r="G1346" s="129" t="s">
        <v>13962</v>
      </c>
      <c r="H1346" s="112" t="s">
        <v>9701</v>
      </c>
      <c r="I1346" s="3" t="s">
        <v>14604</v>
      </c>
      <c r="J1346" s="129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29" t="s">
        <v>11002</v>
      </c>
      <c r="E1347" s="133">
        <v>1198</v>
      </c>
      <c r="F1347" s="131" t="s">
        <v>13589</v>
      </c>
      <c r="G1347" s="129" t="s">
        <v>13588</v>
      </c>
      <c r="H1347" s="112" t="s">
        <v>9701</v>
      </c>
      <c r="I1347" s="3" t="s">
        <v>14598</v>
      </c>
      <c r="J1347" s="129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29" t="s">
        <v>9014</v>
      </c>
      <c r="E1348" s="133">
        <v>180</v>
      </c>
      <c r="F1348" s="131" t="s">
        <v>13580</v>
      </c>
      <c r="G1348" s="129" t="s">
        <v>13579</v>
      </c>
      <c r="H1348" s="112" t="s">
        <v>9701</v>
      </c>
      <c r="I1348" s="3" t="s">
        <v>8928</v>
      </c>
      <c r="J1348" s="129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29" t="s">
        <v>14115</v>
      </c>
      <c r="E1349" s="133">
        <v>0</v>
      </c>
      <c r="F1349" s="131" t="s">
        <v>14116</v>
      </c>
      <c r="G1349" s="129" t="s">
        <v>14114</v>
      </c>
      <c r="H1349" s="112" t="s">
        <v>9701</v>
      </c>
      <c r="I1349" s="3" t="s">
        <v>14601</v>
      </c>
      <c r="J1349" s="129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29" t="s">
        <v>13966</v>
      </c>
      <c r="E1350" s="133">
        <v>856</v>
      </c>
      <c r="F1350" s="131" t="s">
        <v>13967</v>
      </c>
      <c r="G1350" s="129" t="s">
        <v>13965</v>
      </c>
      <c r="H1350" s="112" t="s">
        <v>9701</v>
      </c>
      <c r="I1350" s="3" t="s">
        <v>10530</v>
      </c>
      <c r="J1350" s="129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29" t="s">
        <v>9465</v>
      </c>
      <c r="E1351" s="133">
        <v>360</v>
      </c>
      <c r="F1351" s="131" t="s">
        <v>13605</v>
      </c>
      <c r="G1351" s="129" t="s">
        <v>13604</v>
      </c>
      <c r="H1351" s="112" t="s">
        <v>9701</v>
      </c>
      <c r="I1351" s="3" t="s">
        <v>8928</v>
      </c>
      <c r="J1351" s="129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29" t="s">
        <v>8928</v>
      </c>
      <c r="E1352" s="133">
        <v>459</v>
      </c>
      <c r="F1352" s="131" t="s">
        <v>13970</v>
      </c>
      <c r="G1352" s="129" t="s">
        <v>13969</v>
      </c>
      <c r="H1352" s="112" t="s">
        <v>9701</v>
      </c>
      <c r="I1352" s="3" t="s">
        <v>10530</v>
      </c>
      <c r="J1352" s="129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29" t="s">
        <v>13592</v>
      </c>
      <c r="E1353" s="133">
        <v>834</v>
      </c>
      <c r="F1353" s="131" t="s">
        <v>13593</v>
      </c>
      <c r="G1353" s="129" t="s">
        <v>13591</v>
      </c>
      <c r="H1353" s="112" t="s">
        <v>9701</v>
      </c>
      <c r="I1353" s="3" t="s">
        <v>14601</v>
      </c>
      <c r="J1353" s="129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29" t="s">
        <v>8974</v>
      </c>
      <c r="E1354" s="133">
        <v>1</v>
      </c>
      <c r="F1354" s="131" t="s">
        <v>13596</v>
      </c>
      <c r="G1354" s="129" t="s">
        <v>13595</v>
      </c>
      <c r="H1354" s="112" t="s">
        <v>9701</v>
      </c>
      <c r="I1354" s="3" t="s">
        <v>14599</v>
      </c>
      <c r="J1354" s="129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29" t="s">
        <v>11986</v>
      </c>
      <c r="E1355" s="133">
        <v>307</v>
      </c>
      <c r="F1355" s="131" t="s">
        <v>13599</v>
      </c>
      <c r="G1355" s="129" t="s">
        <v>13598</v>
      </c>
      <c r="H1355" s="112" t="s">
        <v>9701</v>
      </c>
      <c r="I1355" s="3" t="s">
        <v>14598</v>
      </c>
      <c r="J1355" s="129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29" t="s">
        <v>10380</v>
      </c>
      <c r="E1356" s="133">
        <v>1454</v>
      </c>
      <c r="F1356" s="131" t="s">
        <v>13602</v>
      </c>
      <c r="G1356" s="129" t="s">
        <v>13601</v>
      </c>
      <c r="H1356" s="112" t="s">
        <v>9701</v>
      </c>
      <c r="I1356" s="3" t="s">
        <v>14600</v>
      </c>
      <c r="J1356" s="129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29" t="s">
        <v>13608</v>
      </c>
      <c r="E1357" s="133">
        <v>420</v>
      </c>
      <c r="F1357" s="131" t="s">
        <v>13609</v>
      </c>
      <c r="G1357" s="129" t="s">
        <v>13607</v>
      </c>
      <c r="H1357" s="112" t="s">
        <v>9701</v>
      </c>
      <c r="I1357" s="3" t="s">
        <v>8928</v>
      </c>
      <c r="J1357" s="129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29" t="s">
        <v>13973</v>
      </c>
      <c r="E1358" s="133">
        <v>626</v>
      </c>
      <c r="F1358" s="131" t="s">
        <v>13974</v>
      </c>
      <c r="G1358" s="129" t="s">
        <v>13972</v>
      </c>
      <c r="H1358" s="112" t="s">
        <v>9701</v>
      </c>
      <c r="I1358" s="3" t="s">
        <v>9246</v>
      </c>
      <c r="J1358" s="129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29" t="s">
        <v>9050</v>
      </c>
      <c r="E1359" s="133">
        <v>554</v>
      </c>
      <c r="F1359" s="131" t="s">
        <v>13977</v>
      </c>
      <c r="G1359" s="129" t="s">
        <v>13976</v>
      </c>
      <c r="H1359" s="112" t="s">
        <v>9701</v>
      </c>
      <c r="I1359" s="3" t="s">
        <v>9246</v>
      </c>
      <c r="J1359" s="129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29" t="s">
        <v>11796</v>
      </c>
      <c r="E1360" s="133">
        <v>762</v>
      </c>
      <c r="F1360" s="131" t="s">
        <v>13612</v>
      </c>
      <c r="G1360" s="129" t="s">
        <v>13611</v>
      </c>
      <c r="H1360" s="112" t="s">
        <v>9701</v>
      </c>
      <c r="I1360" s="3" t="s">
        <v>14600</v>
      </c>
      <c r="J1360" s="129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29" t="s">
        <v>13980</v>
      </c>
      <c r="E1361" s="133">
        <v>498</v>
      </c>
      <c r="F1361" s="131" t="s">
        <v>13981</v>
      </c>
      <c r="G1361" s="129" t="s">
        <v>13979</v>
      </c>
      <c r="H1361" s="112" t="s">
        <v>9701</v>
      </c>
      <c r="I1361" s="3" t="s">
        <v>14604</v>
      </c>
      <c r="J1361" s="129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29" t="s">
        <v>13615</v>
      </c>
      <c r="E1362" s="133">
        <v>902</v>
      </c>
      <c r="F1362" s="131" t="s">
        <v>13616</v>
      </c>
      <c r="G1362" s="129" t="s">
        <v>13614</v>
      </c>
      <c r="H1362" s="112" t="s">
        <v>9701</v>
      </c>
      <c r="I1362" s="3" t="s">
        <v>14601</v>
      </c>
      <c r="J1362" s="129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29" t="s">
        <v>10368</v>
      </c>
      <c r="E1363" s="133">
        <v>396</v>
      </c>
      <c r="F1363" s="131" t="s">
        <v>13619</v>
      </c>
      <c r="G1363" s="129" t="s">
        <v>13618</v>
      </c>
      <c r="H1363" s="112" t="s">
        <v>9701</v>
      </c>
      <c r="I1363" s="3" t="s">
        <v>9118</v>
      </c>
      <c r="J1363" s="129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29" t="s">
        <v>9014</v>
      </c>
      <c r="E1364" s="133">
        <v>0</v>
      </c>
      <c r="F1364" s="131" t="s">
        <v>13622</v>
      </c>
      <c r="G1364" s="129" t="s">
        <v>13621</v>
      </c>
      <c r="H1364" s="112" t="s">
        <v>9701</v>
      </c>
      <c r="I1364" s="3" t="s">
        <v>13739</v>
      </c>
      <c r="J1364" s="129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29" t="s">
        <v>9701</v>
      </c>
      <c r="E1365" s="133">
        <v>247</v>
      </c>
      <c r="F1365" s="131" t="s">
        <v>13625</v>
      </c>
      <c r="G1365" s="129" t="s">
        <v>13624</v>
      </c>
      <c r="H1365" s="112" t="s">
        <v>9701</v>
      </c>
      <c r="I1365" s="3" t="s">
        <v>14599</v>
      </c>
      <c r="J1365" s="129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29" t="s">
        <v>11874</v>
      </c>
      <c r="E1366" s="133">
        <v>897</v>
      </c>
      <c r="F1366" s="131" t="s">
        <v>13631</v>
      </c>
      <c r="G1366" s="129" t="s">
        <v>13630</v>
      </c>
      <c r="H1366" s="112" t="s">
        <v>9701</v>
      </c>
      <c r="I1366" s="3" t="s">
        <v>8928</v>
      </c>
      <c r="J1366" s="129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29" t="s">
        <v>9014</v>
      </c>
      <c r="E1367" s="133">
        <v>136</v>
      </c>
      <c r="F1367" s="131" t="s">
        <v>13984</v>
      </c>
      <c r="G1367" s="129" t="s">
        <v>13983</v>
      </c>
      <c r="H1367" s="112" t="s">
        <v>9701</v>
      </c>
      <c r="I1367" s="3" t="s">
        <v>14604</v>
      </c>
      <c r="J1367" s="129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29" t="s">
        <v>9050</v>
      </c>
      <c r="E1368" s="133">
        <v>963</v>
      </c>
      <c r="F1368" s="131" t="s">
        <v>14003</v>
      </c>
      <c r="G1368" s="129" t="s">
        <v>14002</v>
      </c>
      <c r="H1368" s="112" t="s">
        <v>9701</v>
      </c>
      <c r="I1368" s="3" t="s">
        <v>9006</v>
      </c>
      <c r="J1368" s="129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29" t="s">
        <v>9050</v>
      </c>
      <c r="E1369" s="133">
        <v>385</v>
      </c>
      <c r="F1369" s="131" t="s">
        <v>13987</v>
      </c>
      <c r="G1369" s="129" t="s">
        <v>13986</v>
      </c>
      <c r="H1369" s="112" t="s">
        <v>9701</v>
      </c>
      <c r="I1369" s="3" t="s">
        <v>14604</v>
      </c>
      <c r="J1369" s="129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29" t="s">
        <v>8974</v>
      </c>
      <c r="E1370" s="133">
        <v>162</v>
      </c>
      <c r="F1370" s="131" t="s">
        <v>13628</v>
      </c>
      <c r="G1370" s="129" t="s">
        <v>13627</v>
      </c>
      <c r="H1370" s="112" t="s">
        <v>9701</v>
      </c>
      <c r="I1370" s="3" t="s">
        <v>10515</v>
      </c>
      <c r="J1370" s="129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29" t="s">
        <v>9343</v>
      </c>
      <c r="E1371" s="133">
        <v>428</v>
      </c>
      <c r="F1371" s="131" t="s">
        <v>13634</v>
      </c>
      <c r="G1371" s="129" t="s">
        <v>13633</v>
      </c>
      <c r="H1371" s="112" t="s">
        <v>9701</v>
      </c>
      <c r="I1371" s="3" t="s">
        <v>14600</v>
      </c>
      <c r="J1371" s="129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29" t="s">
        <v>9405</v>
      </c>
      <c r="E1372" s="133">
        <v>698</v>
      </c>
      <c r="F1372" s="131" t="s">
        <v>13990</v>
      </c>
      <c r="G1372" s="129" t="s">
        <v>13989</v>
      </c>
      <c r="H1372" s="112" t="s">
        <v>9701</v>
      </c>
      <c r="I1372" s="3" t="s">
        <v>10530</v>
      </c>
      <c r="J1372" s="129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29" t="s">
        <v>9530</v>
      </c>
      <c r="E1373" s="133">
        <v>397</v>
      </c>
      <c r="F1373" s="131" t="s">
        <v>13993</v>
      </c>
      <c r="G1373" s="129" t="s">
        <v>13992</v>
      </c>
      <c r="H1373" s="112" t="s">
        <v>9701</v>
      </c>
      <c r="I1373" s="3" t="s">
        <v>14604</v>
      </c>
      <c r="J1373" s="129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29" t="s">
        <v>9205</v>
      </c>
      <c r="E1374" s="133">
        <v>396</v>
      </c>
      <c r="F1374" s="131" t="s">
        <v>13637</v>
      </c>
      <c r="G1374" s="129" t="s">
        <v>13636</v>
      </c>
      <c r="H1374" s="112" t="s">
        <v>9701</v>
      </c>
      <c r="I1374" s="3" t="s">
        <v>14598</v>
      </c>
      <c r="J1374" s="129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29" t="s">
        <v>13526</v>
      </c>
      <c r="E1375" s="133">
        <v>217</v>
      </c>
      <c r="F1375" s="131" t="s">
        <v>13996</v>
      </c>
      <c r="G1375" s="129" t="s">
        <v>13995</v>
      </c>
      <c r="H1375" s="112" t="s">
        <v>9701</v>
      </c>
      <c r="I1375" s="3" t="s">
        <v>14605</v>
      </c>
      <c r="J1375" s="129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29" t="s">
        <v>8931</v>
      </c>
      <c r="E1376" s="133">
        <v>1178</v>
      </c>
      <c r="F1376" s="131" t="s">
        <v>13999</v>
      </c>
      <c r="G1376" s="129" t="s">
        <v>13998</v>
      </c>
      <c r="H1376" s="112" t="s">
        <v>9701</v>
      </c>
      <c r="I1376" s="3" t="s">
        <v>9006</v>
      </c>
      <c r="J1376" s="129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29" t="s">
        <v>14006</v>
      </c>
      <c r="E1377" s="133">
        <v>1199</v>
      </c>
      <c r="F1377" s="131" t="s">
        <v>14007</v>
      </c>
      <c r="G1377" s="129" t="s">
        <v>14005</v>
      </c>
      <c r="H1377" s="112" t="s">
        <v>9701</v>
      </c>
      <c r="I1377" s="3" t="s">
        <v>13494</v>
      </c>
      <c r="J1377" s="129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29" t="s">
        <v>9788</v>
      </c>
      <c r="E1378" s="133">
        <v>821</v>
      </c>
      <c r="F1378" s="131" t="s">
        <v>14010</v>
      </c>
      <c r="G1378" s="129" t="s">
        <v>14009</v>
      </c>
      <c r="H1378" s="112" t="s">
        <v>9701</v>
      </c>
      <c r="I1378" s="3" t="s">
        <v>9006</v>
      </c>
      <c r="J1378" s="129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29" t="s">
        <v>9139</v>
      </c>
      <c r="E1379" s="133">
        <v>1007</v>
      </c>
      <c r="F1379" s="131" t="s">
        <v>13640</v>
      </c>
      <c r="G1379" s="129" t="s">
        <v>13639</v>
      </c>
      <c r="H1379" s="112" t="s">
        <v>9701</v>
      </c>
      <c r="I1379" s="3" t="s">
        <v>8928</v>
      </c>
      <c r="J1379" s="129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29" t="s">
        <v>9050</v>
      </c>
      <c r="E1380" s="133">
        <v>1552</v>
      </c>
      <c r="F1380" s="131" t="s">
        <v>13642</v>
      </c>
      <c r="G1380" s="129" t="s">
        <v>9864</v>
      </c>
      <c r="H1380" s="112" t="s">
        <v>9701</v>
      </c>
      <c r="I1380" s="3" t="s">
        <v>14603</v>
      </c>
      <c r="J1380" s="129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29" t="s">
        <v>13511</v>
      </c>
      <c r="E1381" s="133">
        <v>100</v>
      </c>
      <c r="F1381" s="131" t="s">
        <v>13513</v>
      </c>
      <c r="G1381" s="129" t="s">
        <v>13512</v>
      </c>
      <c r="H1381" s="112" t="s">
        <v>9701</v>
      </c>
      <c r="I1381" s="3" t="s">
        <v>14599</v>
      </c>
      <c r="J1381" s="129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29" t="s">
        <v>12108</v>
      </c>
      <c r="E1382" s="133">
        <v>0</v>
      </c>
      <c r="F1382" s="131" t="s">
        <v>13645</v>
      </c>
      <c r="G1382" s="129" t="s">
        <v>13644</v>
      </c>
      <c r="H1382" s="112" t="s">
        <v>9701</v>
      </c>
      <c r="I1382" s="3" t="s">
        <v>14603</v>
      </c>
      <c r="J1382" s="129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29" t="s">
        <v>9458</v>
      </c>
      <c r="E1383" s="133">
        <v>884</v>
      </c>
      <c r="F1383" s="131" t="s">
        <v>14014</v>
      </c>
      <c r="G1383" s="129" t="s">
        <v>14013</v>
      </c>
      <c r="H1383" s="112" t="s">
        <v>9701</v>
      </c>
      <c r="I1383" s="3" t="s">
        <v>11862</v>
      </c>
      <c r="J1383" s="129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29" t="s">
        <v>13475</v>
      </c>
      <c r="E1384" s="133">
        <v>345</v>
      </c>
      <c r="F1384" s="131" t="s">
        <v>14017</v>
      </c>
      <c r="G1384" s="129" t="s">
        <v>14016</v>
      </c>
      <c r="H1384" s="112" t="s">
        <v>9701</v>
      </c>
      <c r="I1384" s="3" t="s">
        <v>11862</v>
      </c>
      <c r="J1384" s="129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29" t="s">
        <v>9968</v>
      </c>
      <c r="E1385" s="133">
        <v>104</v>
      </c>
      <c r="F1385" s="131" t="s">
        <v>13655</v>
      </c>
      <c r="G1385" s="129" t="s">
        <v>13654</v>
      </c>
      <c r="H1385" s="112" t="s">
        <v>9701</v>
      </c>
      <c r="I1385" s="3" t="s">
        <v>14599</v>
      </c>
      <c r="J1385" s="129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29" t="s">
        <v>9276</v>
      </c>
      <c r="E1386" s="133">
        <v>50</v>
      </c>
      <c r="F1386" s="131" t="s">
        <v>13649</v>
      </c>
      <c r="G1386" s="129" t="s">
        <v>13648</v>
      </c>
      <c r="H1386" s="112" t="s">
        <v>9701</v>
      </c>
      <c r="I1386" s="3" t="s">
        <v>14599</v>
      </c>
      <c r="J1386" s="129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29" t="s">
        <v>8974</v>
      </c>
      <c r="E1387" s="133">
        <v>745</v>
      </c>
      <c r="F1387" s="131" t="s">
        <v>13657</v>
      </c>
      <c r="G1387" s="129" t="s">
        <v>12246</v>
      </c>
      <c r="H1387" s="112" t="s">
        <v>9701</v>
      </c>
      <c r="I1387" s="3" t="s">
        <v>14601</v>
      </c>
      <c r="J1387" s="129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29" t="s">
        <v>13651</v>
      </c>
      <c r="E1388" s="133">
        <v>1155</v>
      </c>
      <c r="F1388" s="131" t="s">
        <v>13652</v>
      </c>
      <c r="G1388" s="129" t="s">
        <v>10774</v>
      </c>
      <c r="H1388" s="112" t="s">
        <v>9701</v>
      </c>
      <c r="I1388" s="3" t="s">
        <v>14598</v>
      </c>
      <c r="J1388" s="129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29" t="s">
        <v>12610</v>
      </c>
      <c r="E1389" s="133">
        <v>161</v>
      </c>
      <c r="F1389" s="131" t="s">
        <v>14020</v>
      </c>
      <c r="G1389" s="129" t="s">
        <v>14019</v>
      </c>
      <c r="H1389" s="112" t="s">
        <v>9701</v>
      </c>
      <c r="I1389" s="3" t="s">
        <v>11862</v>
      </c>
      <c r="J1389" s="129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29" t="s">
        <v>13660</v>
      </c>
      <c r="E1390" s="133">
        <v>996</v>
      </c>
      <c r="F1390" s="131" t="s">
        <v>13661</v>
      </c>
      <c r="G1390" s="129" t="s">
        <v>13659</v>
      </c>
      <c r="H1390" s="112" t="s">
        <v>9701</v>
      </c>
      <c r="I1390" s="3" t="s">
        <v>12822</v>
      </c>
      <c r="J1390" s="129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29" t="s">
        <v>9458</v>
      </c>
      <c r="E1391" s="133">
        <v>721</v>
      </c>
      <c r="F1391" s="131" t="s">
        <v>13776</v>
      </c>
      <c r="G1391" s="129" t="s">
        <v>13494</v>
      </c>
      <c r="H1391" s="112" t="s">
        <v>9701</v>
      </c>
      <c r="I1391" s="3" t="s">
        <v>13494</v>
      </c>
      <c r="J1391" s="129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29" t="s">
        <v>11564</v>
      </c>
      <c r="E1392" s="133">
        <v>1755</v>
      </c>
      <c r="F1392" s="131" t="s">
        <v>13779</v>
      </c>
      <c r="G1392" s="129" t="s">
        <v>13494</v>
      </c>
      <c r="H1392" s="112" t="s">
        <v>9701</v>
      </c>
      <c r="I1392" s="3" t="s">
        <v>13494</v>
      </c>
      <c r="J1392" s="129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29" t="s">
        <v>9458</v>
      </c>
      <c r="E1393" s="133">
        <v>2401</v>
      </c>
      <c r="F1393" s="131" t="s">
        <v>13782</v>
      </c>
      <c r="G1393" s="129" t="s">
        <v>13494</v>
      </c>
      <c r="H1393" s="112" t="s">
        <v>9701</v>
      </c>
      <c r="I1393" s="3" t="s">
        <v>13494</v>
      </c>
      <c r="J1393" s="129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29" t="s">
        <v>10487</v>
      </c>
      <c r="E1394" s="133">
        <v>1676</v>
      </c>
      <c r="F1394" s="131" t="s">
        <v>13785</v>
      </c>
      <c r="G1394" s="129" t="s">
        <v>13494</v>
      </c>
      <c r="H1394" s="112" t="s">
        <v>9701</v>
      </c>
      <c r="I1394" s="3" t="s">
        <v>13494</v>
      </c>
      <c r="J1394" s="129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29" t="s">
        <v>13788</v>
      </c>
      <c r="E1395" s="133">
        <v>182</v>
      </c>
      <c r="F1395" s="131" t="s">
        <v>13789</v>
      </c>
      <c r="G1395" s="129" t="s">
        <v>13494</v>
      </c>
      <c r="H1395" s="112" t="s">
        <v>9701</v>
      </c>
      <c r="I1395" s="3" t="s">
        <v>13494</v>
      </c>
      <c r="J1395" s="129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29" t="s">
        <v>13788</v>
      </c>
      <c r="E1396" s="133">
        <v>1199</v>
      </c>
      <c r="F1396" s="131" t="s">
        <v>13792</v>
      </c>
      <c r="G1396" s="129" t="s">
        <v>13494</v>
      </c>
      <c r="H1396" s="112" t="s">
        <v>9701</v>
      </c>
      <c r="I1396" s="3" t="s">
        <v>13494</v>
      </c>
      <c r="J1396" s="129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29" t="s">
        <v>13795</v>
      </c>
      <c r="E1397" s="133">
        <v>967</v>
      </c>
      <c r="F1397" s="131" t="s">
        <v>13796</v>
      </c>
      <c r="G1397" s="129" t="s">
        <v>13494</v>
      </c>
      <c r="H1397" s="112" t="s">
        <v>9701</v>
      </c>
      <c r="I1397" s="3" t="s">
        <v>13494</v>
      </c>
      <c r="J1397" s="129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29" t="s">
        <v>13799</v>
      </c>
      <c r="E1398" s="133">
        <v>1144</v>
      </c>
      <c r="F1398" s="131" t="s">
        <v>13800</v>
      </c>
      <c r="G1398" s="129" t="s">
        <v>13494</v>
      </c>
      <c r="H1398" s="112" t="s">
        <v>9701</v>
      </c>
      <c r="I1398" s="3" t="s">
        <v>13494</v>
      </c>
      <c r="J1398" s="129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29" t="s">
        <v>13803</v>
      </c>
      <c r="E1399" s="133">
        <v>5516</v>
      </c>
      <c r="F1399" s="131" t="s">
        <v>13804</v>
      </c>
      <c r="G1399" s="129" t="s">
        <v>13494</v>
      </c>
      <c r="H1399" s="112" t="s">
        <v>9701</v>
      </c>
      <c r="I1399" s="3" t="s">
        <v>13494</v>
      </c>
      <c r="J1399" s="129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29" t="s">
        <v>13807</v>
      </c>
      <c r="E1400" s="133">
        <v>6365</v>
      </c>
      <c r="F1400" s="131" t="s">
        <v>13808</v>
      </c>
      <c r="G1400" s="129" t="s">
        <v>13494</v>
      </c>
      <c r="H1400" s="112" t="s">
        <v>9701</v>
      </c>
      <c r="I1400" s="3" t="s">
        <v>13494</v>
      </c>
      <c r="J1400" s="129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29" t="s">
        <v>13811</v>
      </c>
      <c r="E1401" s="133">
        <v>1702</v>
      </c>
      <c r="F1401" s="131" t="s">
        <v>13812</v>
      </c>
      <c r="G1401" s="129" t="s">
        <v>13494</v>
      </c>
      <c r="H1401" s="112" t="s">
        <v>9701</v>
      </c>
      <c r="I1401" s="3" t="s">
        <v>13494</v>
      </c>
      <c r="J1401" s="129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29" t="s">
        <v>5784</v>
      </c>
      <c r="E1402" s="133">
        <v>4588</v>
      </c>
      <c r="F1402" s="131" t="s">
        <v>13815</v>
      </c>
      <c r="G1402" s="129" t="s">
        <v>13494</v>
      </c>
      <c r="H1402" s="112" t="s">
        <v>9701</v>
      </c>
      <c r="I1402" s="3" t="s">
        <v>13494</v>
      </c>
      <c r="J1402" s="129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29" t="s">
        <v>10251</v>
      </c>
      <c r="E1403" s="133">
        <v>1651</v>
      </c>
      <c r="F1403" s="131" t="s">
        <v>13818</v>
      </c>
      <c r="G1403" s="129" t="s">
        <v>13494</v>
      </c>
      <c r="H1403" s="112" t="s">
        <v>9701</v>
      </c>
      <c r="I1403" s="3" t="s">
        <v>13494</v>
      </c>
      <c r="J1403" s="129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29" t="s">
        <v>10215</v>
      </c>
      <c r="E1404" s="133">
        <v>3502</v>
      </c>
      <c r="F1404" s="131" t="s">
        <v>13821</v>
      </c>
      <c r="G1404" s="129" t="s">
        <v>13494</v>
      </c>
      <c r="H1404" s="112" t="s">
        <v>9701</v>
      </c>
      <c r="I1404" s="3" t="s">
        <v>13494</v>
      </c>
      <c r="J1404" s="129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29" t="s">
        <v>9986</v>
      </c>
      <c r="E1405" s="133">
        <v>818</v>
      </c>
      <c r="F1405" s="131" t="s">
        <v>13824</v>
      </c>
      <c r="G1405" s="129" t="s">
        <v>13494</v>
      </c>
      <c r="H1405" s="112" t="s">
        <v>9701</v>
      </c>
      <c r="I1405" s="3" t="s">
        <v>13494</v>
      </c>
      <c r="J1405" s="129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29" t="s">
        <v>13827</v>
      </c>
      <c r="E1406" s="133">
        <v>2215</v>
      </c>
      <c r="F1406" s="131" t="s">
        <v>13828</v>
      </c>
      <c r="G1406" s="129" t="s">
        <v>13494</v>
      </c>
      <c r="H1406" s="112" t="s">
        <v>9701</v>
      </c>
      <c r="I1406" s="3" t="s">
        <v>13494</v>
      </c>
      <c r="J1406" s="129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29" t="s">
        <v>8957</v>
      </c>
      <c r="E1407" s="133">
        <v>7003</v>
      </c>
      <c r="F1407" s="131" t="s">
        <v>13831</v>
      </c>
      <c r="G1407" s="129" t="s">
        <v>13494</v>
      </c>
      <c r="H1407" s="112" t="s">
        <v>9701</v>
      </c>
      <c r="I1407" s="3" t="s">
        <v>13494</v>
      </c>
      <c r="J1407" s="129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29" t="s">
        <v>13788</v>
      </c>
      <c r="E1408" s="133">
        <v>5501</v>
      </c>
      <c r="F1408" s="131" t="s">
        <v>13834</v>
      </c>
      <c r="G1408" s="129" t="s">
        <v>13494</v>
      </c>
      <c r="H1408" s="112" t="s">
        <v>9701</v>
      </c>
      <c r="I1408" s="3" t="s">
        <v>13494</v>
      </c>
      <c r="J1408" s="129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29" t="s">
        <v>14023</v>
      </c>
      <c r="E1409" s="133">
        <v>530</v>
      </c>
      <c r="F1409" s="131" t="s">
        <v>14024</v>
      </c>
      <c r="G1409" s="129" t="s">
        <v>14022</v>
      </c>
      <c r="H1409" s="112" t="s">
        <v>9701</v>
      </c>
      <c r="I1409" s="3" t="s">
        <v>9006</v>
      </c>
      <c r="J1409" s="129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29" t="s">
        <v>12854</v>
      </c>
      <c r="E1410" s="133">
        <v>298</v>
      </c>
      <c r="F1410" s="131" t="s">
        <v>14027</v>
      </c>
      <c r="G1410" s="129" t="s">
        <v>14026</v>
      </c>
      <c r="H1410" s="112" t="s">
        <v>9701</v>
      </c>
      <c r="I1410" s="3" t="s">
        <v>14604</v>
      </c>
      <c r="J1410" s="129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29" t="s">
        <v>9050</v>
      </c>
      <c r="E1411" s="133">
        <v>163</v>
      </c>
      <c r="F1411" s="131" t="s">
        <v>13665</v>
      </c>
      <c r="G1411" s="129" t="s">
        <v>13664</v>
      </c>
      <c r="H1411" s="112" t="s">
        <v>9701</v>
      </c>
      <c r="I1411" s="3" t="s">
        <v>14603</v>
      </c>
      <c r="J1411" s="129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29" t="s">
        <v>8974</v>
      </c>
      <c r="E1412" s="133">
        <v>0</v>
      </c>
      <c r="F1412" s="131" t="s">
        <v>14119</v>
      </c>
      <c r="G1412" s="129" t="s">
        <v>14118</v>
      </c>
      <c r="H1412" s="112" t="s">
        <v>9701</v>
      </c>
      <c r="I1412" s="3" t="s">
        <v>14599</v>
      </c>
      <c r="J1412" s="129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29" t="s">
        <v>14030</v>
      </c>
      <c r="E1413" s="133">
        <v>117</v>
      </c>
      <c r="F1413" s="131" t="s">
        <v>14031</v>
      </c>
      <c r="G1413" s="129" t="s">
        <v>14029</v>
      </c>
      <c r="H1413" s="112" t="s">
        <v>9701</v>
      </c>
      <c r="I1413" s="3" t="s">
        <v>14605</v>
      </c>
      <c r="J1413" s="129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29" t="s">
        <v>13149</v>
      </c>
      <c r="E1414" s="133">
        <v>550</v>
      </c>
      <c r="F1414" s="131" t="s">
        <v>13668</v>
      </c>
      <c r="G1414" s="129" t="s">
        <v>13667</v>
      </c>
      <c r="H1414" s="112" t="s">
        <v>9701</v>
      </c>
      <c r="I1414" s="3" t="s">
        <v>14603</v>
      </c>
      <c r="J1414" s="129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29" t="s">
        <v>13504</v>
      </c>
      <c r="E1415" s="133">
        <v>624</v>
      </c>
      <c r="F1415" s="131" t="s">
        <v>13671</v>
      </c>
      <c r="G1415" s="129" t="s">
        <v>13670</v>
      </c>
      <c r="H1415" s="112" t="s">
        <v>9701</v>
      </c>
      <c r="I1415" s="3" t="s">
        <v>14603</v>
      </c>
      <c r="J1415" s="129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29" t="s">
        <v>11006</v>
      </c>
      <c r="E1416" s="133">
        <v>915</v>
      </c>
      <c r="F1416" s="131" t="s">
        <v>13673</v>
      </c>
      <c r="G1416" s="129" t="s">
        <v>10515</v>
      </c>
      <c r="H1416" s="112" t="s">
        <v>9701</v>
      </c>
      <c r="I1416" s="3" t="s">
        <v>10515</v>
      </c>
      <c r="J1416" s="129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29" t="s">
        <v>9205</v>
      </c>
      <c r="E1417" s="133">
        <v>344</v>
      </c>
      <c r="F1417" s="131" t="s">
        <v>14034</v>
      </c>
      <c r="G1417" s="129" t="s">
        <v>14033</v>
      </c>
      <c r="H1417" s="112" t="s">
        <v>9701</v>
      </c>
      <c r="I1417" s="3" t="s">
        <v>14604</v>
      </c>
      <c r="J1417" s="129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29" t="s">
        <v>13727</v>
      </c>
      <c r="E1418" s="133">
        <v>1498</v>
      </c>
      <c r="F1418" s="131" t="s">
        <v>13728</v>
      </c>
      <c r="G1418" s="129" t="s">
        <v>13726</v>
      </c>
      <c r="H1418" s="112" t="s">
        <v>9701</v>
      </c>
      <c r="I1418" s="3" t="s">
        <v>14600</v>
      </c>
      <c r="J1418" s="129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29" t="s">
        <v>8928</v>
      </c>
      <c r="E1419" s="133">
        <v>777</v>
      </c>
      <c r="F1419" s="131" t="s">
        <v>13731</v>
      </c>
      <c r="G1419" s="129" t="s">
        <v>13730</v>
      </c>
      <c r="H1419" s="112" t="s">
        <v>9701</v>
      </c>
      <c r="I1419" s="3" t="s">
        <v>14600</v>
      </c>
      <c r="J1419" s="129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29" t="s">
        <v>14040</v>
      </c>
      <c r="E1420" s="133">
        <v>99</v>
      </c>
      <c r="F1420" s="131" t="s">
        <v>14041</v>
      </c>
      <c r="G1420" s="129" t="s">
        <v>14039</v>
      </c>
      <c r="H1420" s="112" t="s">
        <v>9701</v>
      </c>
      <c r="I1420" s="3" t="s">
        <v>14604</v>
      </c>
      <c r="J1420" s="129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29" t="s">
        <v>13676</v>
      </c>
      <c r="E1421" s="133">
        <v>0</v>
      </c>
      <c r="F1421" s="131" t="s">
        <v>13677</v>
      </c>
      <c r="G1421" s="129" t="s">
        <v>13675</v>
      </c>
      <c r="H1421" s="112" t="s">
        <v>9701</v>
      </c>
      <c r="I1421" s="3" t="s">
        <v>10530</v>
      </c>
      <c r="J1421" s="129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29" t="s">
        <v>8928</v>
      </c>
      <c r="E1422" s="133">
        <v>1839</v>
      </c>
      <c r="F1422" s="131" t="s">
        <v>13679</v>
      </c>
      <c r="G1422" s="129" t="s">
        <v>12822</v>
      </c>
      <c r="H1422" s="112" t="s">
        <v>9701</v>
      </c>
      <c r="I1422" s="3" t="s">
        <v>12822</v>
      </c>
      <c r="J1422" s="129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29" t="s">
        <v>9205</v>
      </c>
      <c r="E1423" s="133">
        <v>577</v>
      </c>
      <c r="F1423" s="131" t="s">
        <v>13682</v>
      </c>
      <c r="G1423" s="129" t="s">
        <v>13681</v>
      </c>
      <c r="H1423" s="112" t="s">
        <v>9701</v>
      </c>
      <c r="I1423" s="3" t="s">
        <v>14603</v>
      </c>
      <c r="J1423" s="129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29" t="s">
        <v>8928</v>
      </c>
      <c r="E1424" s="133">
        <v>416</v>
      </c>
      <c r="F1424" s="131" t="s">
        <v>14044</v>
      </c>
      <c r="G1424" s="129" t="s">
        <v>14043</v>
      </c>
      <c r="H1424" s="112" t="s">
        <v>9701</v>
      </c>
      <c r="I1424" s="3" t="s">
        <v>11862</v>
      </c>
      <c r="J1424" s="129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29" t="s">
        <v>10572</v>
      </c>
      <c r="E1425" s="133">
        <v>1298</v>
      </c>
      <c r="F1425" s="131" t="s">
        <v>13685</v>
      </c>
      <c r="G1425" s="129" t="s">
        <v>13684</v>
      </c>
      <c r="H1425" s="112" t="s">
        <v>9701</v>
      </c>
      <c r="I1425" s="3" t="s">
        <v>8928</v>
      </c>
      <c r="J1425" s="129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29" t="s">
        <v>14047</v>
      </c>
      <c r="E1426" s="133">
        <v>1081</v>
      </c>
      <c r="F1426" s="131" t="s">
        <v>14048</v>
      </c>
      <c r="G1426" s="129" t="s">
        <v>14046</v>
      </c>
      <c r="H1426" s="112" t="s">
        <v>9701</v>
      </c>
      <c r="I1426" s="3" t="s">
        <v>9246</v>
      </c>
      <c r="J1426" s="129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29" t="s">
        <v>13688</v>
      </c>
      <c r="E1427" s="133">
        <v>1401</v>
      </c>
      <c r="F1427" s="131" t="s">
        <v>13689</v>
      </c>
      <c r="G1427" s="129" t="s">
        <v>13687</v>
      </c>
      <c r="H1427" s="112" t="s">
        <v>9701</v>
      </c>
      <c r="I1427" s="3" t="s">
        <v>14598</v>
      </c>
      <c r="J1427" s="129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29" t="s">
        <v>13691</v>
      </c>
      <c r="E1428" s="133">
        <v>2340</v>
      </c>
      <c r="F1428" s="131" t="s">
        <v>13692</v>
      </c>
      <c r="G1428" s="129" t="s">
        <v>9118</v>
      </c>
      <c r="H1428" s="112" t="s">
        <v>9701</v>
      </c>
      <c r="I1428" s="3" t="s">
        <v>9118</v>
      </c>
      <c r="J1428" s="129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29" t="s">
        <v>8983</v>
      </c>
      <c r="E1429" s="133">
        <v>1202</v>
      </c>
      <c r="F1429" s="131" t="s">
        <v>14050</v>
      </c>
      <c r="G1429" s="129" t="s">
        <v>11862</v>
      </c>
      <c r="H1429" s="112" t="s">
        <v>9701</v>
      </c>
      <c r="I1429" s="3" t="s">
        <v>11862</v>
      </c>
      <c r="J1429" s="129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29" t="s">
        <v>13695</v>
      </c>
      <c r="E1430" s="133">
        <v>785</v>
      </c>
      <c r="F1430" s="131" t="s">
        <v>13696</v>
      </c>
      <c r="G1430" s="129" t="s">
        <v>13694</v>
      </c>
      <c r="H1430" s="112" t="s">
        <v>9701</v>
      </c>
      <c r="I1430" s="3" t="s">
        <v>8928</v>
      </c>
      <c r="J1430" s="129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29" t="s">
        <v>10791</v>
      </c>
      <c r="E1431" s="133">
        <v>144</v>
      </c>
      <c r="F1431" s="131" t="s">
        <v>13698</v>
      </c>
      <c r="G1431" s="129" t="s">
        <v>10320</v>
      </c>
      <c r="H1431" s="112" t="s">
        <v>9701</v>
      </c>
      <c r="I1431" s="3" t="s">
        <v>14599</v>
      </c>
      <c r="J1431" s="129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29" t="s">
        <v>13475</v>
      </c>
      <c r="E1432" s="133">
        <v>394</v>
      </c>
      <c r="F1432" s="131" t="s">
        <v>14053</v>
      </c>
      <c r="G1432" s="129" t="s">
        <v>14052</v>
      </c>
      <c r="H1432" s="112" t="s">
        <v>9701</v>
      </c>
      <c r="I1432" s="3" t="s">
        <v>14604</v>
      </c>
      <c r="J1432" s="129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29" t="s">
        <v>12057</v>
      </c>
      <c r="E1433" s="133">
        <v>575</v>
      </c>
      <c r="F1433" s="131" t="s">
        <v>14037</v>
      </c>
      <c r="G1433" s="129" t="s">
        <v>14036</v>
      </c>
      <c r="H1433" s="112" t="s">
        <v>9701</v>
      </c>
      <c r="I1433" s="3" t="s">
        <v>9246</v>
      </c>
      <c r="J1433" s="129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29" t="s">
        <v>13701</v>
      </c>
      <c r="E1434" s="133">
        <v>645</v>
      </c>
      <c r="F1434" s="131" t="s">
        <v>13703</v>
      </c>
      <c r="G1434" s="129" t="s">
        <v>13702</v>
      </c>
      <c r="H1434" s="112" t="s">
        <v>9701</v>
      </c>
      <c r="I1434" s="3" t="s">
        <v>14603</v>
      </c>
      <c r="J1434" s="129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29" t="s">
        <v>13706</v>
      </c>
      <c r="E1435" s="133">
        <v>88</v>
      </c>
      <c r="F1435" s="131" t="s">
        <v>13707</v>
      </c>
      <c r="G1435" s="129" t="s">
        <v>13705</v>
      </c>
      <c r="H1435" s="112" t="s">
        <v>9701</v>
      </c>
      <c r="I1435" s="3" t="s">
        <v>14599</v>
      </c>
      <c r="J1435" s="129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29" t="s">
        <v>5784</v>
      </c>
      <c r="E1436" s="133">
        <v>2430</v>
      </c>
      <c r="F1436" s="131" t="s">
        <v>13446</v>
      </c>
      <c r="G1436" s="129" t="s">
        <v>9701</v>
      </c>
      <c r="H1436" s="112" t="s">
        <v>9701</v>
      </c>
      <c r="I1436" s="3" t="s">
        <v>14598</v>
      </c>
      <c r="J1436" s="129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29" t="s">
        <v>9405</v>
      </c>
      <c r="E1437" s="133">
        <v>1863</v>
      </c>
      <c r="F1437" s="131" t="s">
        <v>13448</v>
      </c>
      <c r="G1437" s="129" t="s">
        <v>9701</v>
      </c>
      <c r="H1437" s="112" t="s">
        <v>9701</v>
      </c>
      <c r="I1437" s="3" t="s">
        <v>14598</v>
      </c>
      <c r="J1437" s="129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29" t="s">
        <v>13450</v>
      </c>
      <c r="E1438" s="133">
        <v>1408</v>
      </c>
      <c r="F1438" s="131" t="s">
        <v>13451</v>
      </c>
      <c r="G1438" s="129" t="s">
        <v>9701</v>
      </c>
      <c r="H1438" s="112" t="s">
        <v>9701</v>
      </c>
      <c r="I1438" s="3" t="s">
        <v>14598</v>
      </c>
      <c r="J1438" s="129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29" t="s">
        <v>8974</v>
      </c>
      <c r="E1439" s="133">
        <v>3501</v>
      </c>
      <c r="F1439" s="131" t="s">
        <v>13453</v>
      </c>
      <c r="G1439" s="129" t="s">
        <v>9701</v>
      </c>
      <c r="H1439" s="112" t="s">
        <v>9701</v>
      </c>
      <c r="I1439" s="3" t="s">
        <v>14598</v>
      </c>
      <c r="J1439" s="129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29" t="s">
        <v>11193</v>
      </c>
      <c r="E1440" s="133">
        <v>2999</v>
      </c>
      <c r="F1440" s="131" t="s">
        <v>13455</v>
      </c>
      <c r="G1440" s="129" t="s">
        <v>9701</v>
      </c>
      <c r="H1440" s="112" t="s">
        <v>9701</v>
      </c>
      <c r="I1440" s="3" t="s">
        <v>14598</v>
      </c>
      <c r="J1440" s="129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29" t="s">
        <v>9919</v>
      </c>
      <c r="E1441" s="133">
        <v>7276</v>
      </c>
      <c r="F1441" s="131" t="s">
        <v>13458</v>
      </c>
      <c r="G1441" s="129" t="s">
        <v>9701</v>
      </c>
      <c r="H1441" s="112" t="s">
        <v>9701</v>
      </c>
      <c r="I1441" s="3" t="s">
        <v>14598</v>
      </c>
      <c r="J1441" s="129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29" t="s">
        <v>9935</v>
      </c>
      <c r="E1442" s="133">
        <v>5347</v>
      </c>
      <c r="F1442" s="131" t="s">
        <v>13461</v>
      </c>
      <c r="G1442" s="129" t="s">
        <v>9701</v>
      </c>
      <c r="H1442" s="112" t="s">
        <v>9701</v>
      </c>
      <c r="I1442" s="3" t="s">
        <v>14598</v>
      </c>
      <c r="J1442" s="129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29" t="s">
        <v>13464</v>
      </c>
      <c r="E1443" s="133">
        <v>6855</v>
      </c>
      <c r="F1443" s="131" t="s">
        <v>13465</v>
      </c>
      <c r="G1443" s="129" t="s">
        <v>9701</v>
      </c>
      <c r="H1443" s="112" t="s">
        <v>9701</v>
      </c>
      <c r="I1443" s="3" t="s">
        <v>14598</v>
      </c>
      <c r="J1443" s="129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29" t="s">
        <v>13468</v>
      </c>
      <c r="E1444" s="133">
        <v>7699</v>
      </c>
      <c r="F1444" s="131" t="s">
        <v>13469</v>
      </c>
      <c r="G1444" s="129" t="s">
        <v>9701</v>
      </c>
      <c r="H1444" s="112" t="s">
        <v>9701</v>
      </c>
      <c r="I1444" s="3" t="s">
        <v>14598</v>
      </c>
      <c r="J1444" s="129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29" t="s">
        <v>10556</v>
      </c>
      <c r="E1445" s="133">
        <v>2558</v>
      </c>
      <c r="F1445" s="131" t="s">
        <v>13773</v>
      </c>
      <c r="G1445" s="129" t="s">
        <v>9701</v>
      </c>
      <c r="H1445" s="112" t="s">
        <v>9701</v>
      </c>
      <c r="I1445" s="3" t="s">
        <v>14598</v>
      </c>
      <c r="J1445" s="129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29" t="s">
        <v>11193</v>
      </c>
      <c r="E1446" s="133">
        <v>2622</v>
      </c>
      <c r="F1446" s="131" t="s">
        <v>14127</v>
      </c>
      <c r="G1446" s="129" t="s">
        <v>9701</v>
      </c>
      <c r="H1446" s="112" t="s">
        <v>9701</v>
      </c>
      <c r="I1446" s="3" t="s">
        <v>14598</v>
      </c>
      <c r="J1446" s="129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15333</v>
      </c>
      <c r="C1447" s="112" t="s">
        <v>14500</v>
      </c>
      <c r="D1447" s="129" t="s">
        <v>5784</v>
      </c>
      <c r="E1447" s="133">
        <v>3320</v>
      </c>
      <c r="F1447" s="131" t="s">
        <v>14129</v>
      </c>
      <c r="G1447" s="129" t="s">
        <v>9701</v>
      </c>
      <c r="H1447" s="112" t="s">
        <v>9701</v>
      </c>
      <c r="I1447" s="3" t="s">
        <v>14598</v>
      </c>
      <c r="J1447" s="129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29" t="s">
        <v>14131</v>
      </c>
      <c r="E1448" s="133">
        <v>2761</v>
      </c>
      <c r="F1448" s="131" t="s">
        <v>14132</v>
      </c>
      <c r="G1448" s="129" t="s">
        <v>9701</v>
      </c>
      <c r="H1448" s="112" t="s">
        <v>9701</v>
      </c>
      <c r="I1448" s="3" t="s">
        <v>14598</v>
      </c>
      <c r="J1448" s="129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29" t="s">
        <v>9360</v>
      </c>
      <c r="E1449" s="133">
        <v>1071</v>
      </c>
      <c r="F1449" s="131" t="s">
        <v>14056</v>
      </c>
      <c r="G1449" s="129" t="s">
        <v>14055</v>
      </c>
      <c r="H1449" s="112" t="s">
        <v>9701</v>
      </c>
      <c r="I1449" s="3" t="s">
        <v>14604</v>
      </c>
      <c r="J1449" s="129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29" t="s">
        <v>13504</v>
      </c>
      <c r="E1450" s="133">
        <v>331</v>
      </c>
      <c r="F1450" s="131" t="s">
        <v>13710</v>
      </c>
      <c r="G1450" s="129" t="s">
        <v>13709</v>
      </c>
      <c r="H1450" s="112" t="s">
        <v>9701</v>
      </c>
      <c r="I1450" s="3" t="s">
        <v>14602</v>
      </c>
      <c r="J1450" s="129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29" t="s">
        <v>14059</v>
      </c>
      <c r="E1451" s="133">
        <v>468</v>
      </c>
      <c r="F1451" s="131" t="s">
        <v>14060</v>
      </c>
      <c r="G1451" s="129" t="s">
        <v>14058</v>
      </c>
      <c r="H1451" s="112" t="s">
        <v>9701</v>
      </c>
      <c r="I1451" s="3" t="s">
        <v>9006</v>
      </c>
      <c r="J1451" s="129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29" t="s">
        <v>11882</v>
      </c>
      <c r="E1452" s="133">
        <v>2517</v>
      </c>
      <c r="F1452" s="131" t="s">
        <v>13712</v>
      </c>
      <c r="G1452" s="129" t="s">
        <v>11901</v>
      </c>
      <c r="H1452" s="112" t="s">
        <v>9701</v>
      </c>
      <c r="I1452" s="3" t="s">
        <v>14598</v>
      </c>
      <c r="J1452" s="129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29" t="s">
        <v>9968</v>
      </c>
      <c r="E1453" s="133">
        <v>1287</v>
      </c>
      <c r="F1453" s="131" t="s">
        <v>13714</v>
      </c>
      <c r="G1453" s="129" t="s">
        <v>9205</v>
      </c>
      <c r="H1453" s="112" t="s">
        <v>9701</v>
      </c>
      <c r="I1453" s="3" t="s">
        <v>14603</v>
      </c>
      <c r="J1453" s="129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29" t="s">
        <v>13717</v>
      </c>
      <c r="E1454" s="133">
        <v>1635</v>
      </c>
      <c r="F1454" s="131" t="s">
        <v>13718</v>
      </c>
      <c r="G1454" s="129" t="s">
        <v>13716</v>
      </c>
      <c r="H1454" s="112" t="s">
        <v>9701</v>
      </c>
      <c r="I1454" s="3" t="s">
        <v>8928</v>
      </c>
      <c r="J1454" s="129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29" t="s">
        <v>9360</v>
      </c>
      <c r="E1455" s="133">
        <v>1158</v>
      </c>
      <c r="F1455" s="131" t="s">
        <v>14122</v>
      </c>
      <c r="G1455" s="129" t="s">
        <v>14121</v>
      </c>
      <c r="H1455" s="112" t="s">
        <v>9701</v>
      </c>
      <c r="I1455" s="3" t="s">
        <v>14598</v>
      </c>
      <c r="J1455" s="129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29" t="s">
        <v>8928</v>
      </c>
      <c r="E1456" s="133">
        <v>560</v>
      </c>
      <c r="F1456" s="131" t="s">
        <v>14063</v>
      </c>
      <c r="G1456" s="129" t="s">
        <v>14062</v>
      </c>
      <c r="H1456" s="112" t="s">
        <v>9701</v>
      </c>
      <c r="I1456" s="3" t="s">
        <v>14605</v>
      </c>
      <c r="J1456" s="129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29" t="s">
        <v>9050</v>
      </c>
      <c r="E1457" s="133">
        <v>598</v>
      </c>
      <c r="F1457" s="131" t="s">
        <v>13721</v>
      </c>
      <c r="G1457" s="129" t="s">
        <v>13720</v>
      </c>
      <c r="H1457" s="112" t="s">
        <v>9701</v>
      </c>
      <c r="I1457" s="3" t="s">
        <v>10515</v>
      </c>
      <c r="J1457" s="129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29" t="s">
        <v>12257</v>
      </c>
      <c r="E1458" s="133">
        <v>192</v>
      </c>
      <c r="F1458" s="131" t="s">
        <v>13724</v>
      </c>
      <c r="G1458" s="129" t="s">
        <v>13723</v>
      </c>
      <c r="H1458" s="112" t="s">
        <v>9701</v>
      </c>
      <c r="I1458" s="3" t="s">
        <v>14599</v>
      </c>
      <c r="J1458" s="129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29" t="s">
        <v>9221</v>
      </c>
      <c r="E1459" s="133">
        <v>512</v>
      </c>
      <c r="F1459" s="131" t="s">
        <v>13734</v>
      </c>
      <c r="G1459" s="129" t="s">
        <v>13733</v>
      </c>
      <c r="H1459" s="112" t="s">
        <v>9701</v>
      </c>
      <c r="I1459" s="3" t="s">
        <v>14599</v>
      </c>
      <c r="J1459" s="129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29" t="s">
        <v>8974</v>
      </c>
      <c r="E1460" s="133">
        <v>344</v>
      </c>
      <c r="F1460" s="131" t="s">
        <v>14066</v>
      </c>
      <c r="G1460" s="129" t="s">
        <v>14065</v>
      </c>
      <c r="H1460" s="112" t="s">
        <v>9701</v>
      </c>
      <c r="I1460" s="3" t="s">
        <v>14604</v>
      </c>
      <c r="J1460" s="129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29" t="s">
        <v>14069</v>
      </c>
      <c r="E1461" s="133">
        <v>573</v>
      </c>
      <c r="F1461" s="131" t="s">
        <v>14070</v>
      </c>
      <c r="G1461" s="129" t="s">
        <v>14068</v>
      </c>
      <c r="H1461" s="112" t="s">
        <v>9701</v>
      </c>
      <c r="I1461" s="3" t="s">
        <v>11862</v>
      </c>
      <c r="J1461" s="129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29" t="s">
        <v>8928</v>
      </c>
      <c r="E1462" s="133">
        <v>180</v>
      </c>
      <c r="F1462" s="131" t="s">
        <v>14073</v>
      </c>
      <c r="G1462" s="129" t="s">
        <v>14072</v>
      </c>
      <c r="H1462" s="112" t="s">
        <v>9701</v>
      </c>
      <c r="I1462" s="3" t="s">
        <v>10530</v>
      </c>
      <c r="J1462" s="129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29" t="s">
        <v>9769</v>
      </c>
      <c r="E1463" s="133">
        <v>1118</v>
      </c>
      <c r="F1463" s="131" t="s">
        <v>13737</v>
      </c>
      <c r="G1463" s="129" t="s">
        <v>13736</v>
      </c>
      <c r="H1463" s="112" t="s">
        <v>9701</v>
      </c>
      <c r="I1463" s="3" t="s">
        <v>8974</v>
      </c>
      <c r="J1463" s="129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29" t="s">
        <v>9099</v>
      </c>
      <c r="E1464" s="133">
        <v>1096</v>
      </c>
      <c r="F1464" s="131" t="s">
        <v>14076</v>
      </c>
      <c r="G1464" s="129" t="s">
        <v>14075</v>
      </c>
      <c r="H1464" s="112" t="s">
        <v>9701</v>
      </c>
      <c r="I1464" s="3" t="s">
        <v>14605</v>
      </c>
      <c r="J1464" s="129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29" t="s">
        <v>10129</v>
      </c>
      <c r="E1465" s="133">
        <v>497</v>
      </c>
      <c r="F1465" s="131" t="s">
        <v>14079</v>
      </c>
      <c r="G1465" s="129" t="s">
        <v>14078</v>
      </c>
      <c r="H1465" s="112" t="s">
        <v>9701</v>
      </c>
      <c r="I1465" s="3" t="s">
        <v>14604</v>
      </c>
      <c r="J1465" s="129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29" t="s">
        <v>9050</v>
      </c>
      <c r="E1466" s="133">
        <v>1905</v>
      </c>
      <c r="F1466" s="131" t="s">
        <v>13740</v>
      </c>
      <c r="G1466" s="129" t="s">
        <v>13739</v>
      </c>
      <c r="H1466" s="112" t="s">
        <v>9701</v>
      </c>
      <c r="I1466" s="3" t="s">
        <v>13739</v>
      </c>
      <c r="J1466" s="129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29" t="s">
        <v>13743</v>
      </c>
      <c r="E1467" s="133">
        <v>0</v>
      </c>
      <c r="F1467" s="131" t="s">
        <v>13744</v>
      </c>
      <c r="G1467" s="129" t="s">
        <v>13742</v>
      </c>
      <c r="H1467" s="112" t="s">
        <v>9701</v>
      </c>
      <c r="I1467" s="3" t="s">
        <v>9118</v>
      </c>
      <c r="J1467" s="129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29" t="s">
        <v>12105</v>
      </c>
      <c r="E1468" s="133">
        <v>602</v>
      </c>
      <c r="F1468" s="131" t="s">
        <v>13747</v>
      </c>
      <c r="G1468" s="129" t="s">
        <v>13746</v>
      </c>
      <c r="H1468" s="112" t="s">
        <v>9701</v>
      </c>
      <c r="I1468" s="3" t="s">
        <v>9118</v>
      </c>
      <c r="J1468" s="129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29" t="s">
        <v>11002</v>
      </c>
      <c r="E1469" s="133">
        <v>100</v>
      </c>
      <c r="F1469" s="131" t="s">
        <v>13750</v>
      </c>
      <c r="G1469" s="129" t="s">
        <v>13749</v>
      </c>
      <c r="H1469" s="112" t="s">
        <v>9701</v>
      </c>
      <c r="I1469" s="3" t="s">
        <v>14599</v>
      </c>
      <c r="J1469" s="129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29" t="s">
        <v>9645</v>
      </c>
      <c r="E1470" s="133">
        <v>200</v>
      </c>
      <c r="F1470" s="131" t="s">
        <v>13753</v>
      </c>
      <c r="G1470" s="129" t="s">
        <v>13752</v>
      </c>
      <c r="H1470" s="112" t="s">
        <v>9701</v>
      </c>
      <c r="I1470" s="3" t="s">
        <v>14601</v>
      </c>
      <c r="J1470" s="129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29" t="s">
        <v>14081</v>
      </c>
      <c r="E1471" s="133">
        <v>446</v>
      </c>
      <c r="F1471" s="131" t="s">
        <v>14082</v>
      </c>
      <c r="G1471" s="129" t="s">
        <v>14460</v>
      </c>
      <c r="H1471" s="112" t="s">
        <v>9701</v>
      </c>
      <c r="I1471" s="3" t="s">
        <v>14604</v>
      </c>
      <c r="J1471" s="129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29" t="s">
        <v>9405</v>
      </c>
      <c r="E1472" s="133">
        <v>802</v>
      </c>
      <c r="F1472" s="131" t="s">
        <v>14085</v>
      </c>
      <c r="G1472" s="129" t="s">
        <v>14084</v>
      </c>
      <c r="H1472" s="112" t="s">
        <v>9701</v>
      </c>
      <c r="I1472" s="3" t="s">
        <v>9006</v>
      </c>
      <c r="J1472" s="129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29" t="s">
        <v>11551</v>
      </c>
      <c r="E1473" s="133">
        <v>401</v>
      </c>
      <c r="F1473" s="131" t="s">
        <v>14088</v>
      </c>
      <c r="G1473" s="129" t="s">
        <v>14087</v>
      </c>
      <c r="H1473" s="112" t="s">
        <v>9701</v>
      </c>
      <c r="I1473" s="3" t="s">
        <v>14605</v>
      </c>
      <c r="J1473" s="129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29" t="s">
        <v>14091</v>
      </c>
      <c r="E1474" s="133">
        <v>1972</v>
      </c>
      <c r="F1474" s="131" t="s">
        <v>14093</v>
      </c>
      <c r="G1474" s="129" t="s">
        <v>14092</v>
      </c>
      <c r="H1474" s="112" t="s">
        <v>9701</v>
      </c>
      <c r="I1474" s="3" t="s">
        <v>13494</v>
      </c>
      <c r="J1474" s="129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29" t="s">
        <v>13756</v>
      </c>
      <c r="E1475" s="133">
        <v>0</v>
      </c>
      <c r="F1475" s="131" t="s">
        <v>13757</v>
      </c>
      <c r="G1475" s="129" t="s">
        <v>13755</v>
      </c>
      <c r="H1475" s="112" t="s">
        <v>9701</v>
      </c>
      <c r="I1475" s="3" t="s">
        <v>14601</v>
      </c>
      <c r="J1475" s="129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29" t="s">
        <v>8974</v>
      </c>
      <c r="E1476" s="133">
        <v>735</v>
      </c>
      <c r="F1476" s="131" t="s">
        <v>13767</v>
      </c>
      <c r="G1476" s="129" t="s">
        <v>13766</v>
      </c>
      <c r="H1476" s="112" t="s">
        <v>9701</v>
      </c>
      <c r="I1476" s="3" t="s">
        <v>8974</v>
      </c>
      <c r="J1476" s="129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29" t="s">
        <v>9627</v>
      </c>
      <c r="E1477" s="133">
        <v>799</v>
      </c>
      <c r="F1477" s="131" t="s">
        <v>14096</v>
      </c>
      <c r="G1477" s="129" t="s">
        <v>14095</v>
      </c>
      <c r="H1477" s="112" t="s">
        <v>9701</v>
      </c>
      <c r="I1477" s="3" t="s">
        <v>11862</v>
      </c>
      <c r="J1477" s="129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29" t="s">
        <v>9014</v>
      </c>
      <c r="E1478" s="133">
        <v>1290</v>
      </c>
      <c r="F1478" s="131" t="s">
        <v>13760</v>
      </c>
      <c r="G1478" s="129" t="s">
        <v>13759</v>
      </c>
      <c r="H1478" s="112" t="s">
        <v>9701</v>
      </c>
      <c r="I1478" s="3" t="s">
        <v>14601</v>
      </c>
      <c r="J1478" s="129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29" t="s">
        <v>13763</v>
      </c>
      <c r="E1479" s="133">
        <v>362</v>
      </c>
      <c r="F1479" s="131" t="s">
        <v>13764</v>
      </c>
      <c r="G1479" s="129" t="s">
        <v>13762</v>
      </c>
      <c r="H1479" s="112" t="s">
        <v>9701</v>
      </c>
      <c r="I1479" s="3" t="s">
        <v>10515</v>
      </c>
      <c r="J1479" s="129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29" t="s">
        <v>9968</v>
      </c>
      <c r="E1480" s="133">
        <v>680</v>
      </c>
      <c r="F1480" s="131" t="s">
        <v>14099</v>
      </c>
      <c r="G1480" s="129" t="s">
        <v>14098</v>
      </c>
      <c r="H1480" s="112" t="s">
        <v>9701</v>
      </c>
      <c r="I1480" s="3" t="s">
        <v>14604</v>
      </c>
      <c r="J1480" s="129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29" t="s">
        <v>9050</v>
      </c>
      <c r="E1481" s="133">
        <v>2124</v>
      </c>
      <c r="F1481" s="131" t="s">
        <v>14102</v>
      </c>
      <c r="G1481" s="129" t="s">
        <v>14101</v>
      </c>
      <c r="H1481" s="112" t="s">
        <v>9701</v>
      </c>
      <c r="I1481" s="3" t="s">
        <v>13494</v>
      </c>
      <c r="J1481" s="129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29" t="s">
        <v>9343</v>
      </c>
      <c r="E1482" s="133">
        <v>755</v>
      </c>
      <c r="F1482" s="131" t="s">
        <v>13770</v>
      </c>
      <c r="G1482" s="129" t="s">
        <v>13769</v>
      </c>
      <c r="H1482" s="112" t="s">
        <v>9701</v>
      </c>
      <c r="I1482" s="3" t="s">
        <v>14599</v>
      </c>
      <c r="J1482" s="129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15335</v>
      </c>
      <c r="C1483" s="112" t="s">
        <v>14500</v>
      </c>
      <c r="D1483" s="129" t="s">
        <v>13149</v>
      </c>
      <c r="E1483" s="133">
        <v>19</v>
      </c>
      <c r="F1483" s="131" t="s">
        <v>14137</v>
      </c>
      <c r="G1483" s="129" t="s">
        <v>15335</v>
      </c>
      <c r="H1483" s="112" t="s">
        <v>11681</v>
      </c>
      <c r="I1483" s="3" t="s">
        <v>14546</v>
      </c>
      <c r="J1483" s="129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29" t="s">
        <v>9014</v>
      </c>
      <c r="E1484" s="133">
        <v>20</v>
      </c>
      <c r="F1484" s="131" t="s">
        <v>14144</v>
      </c>
      <c r="G1484" s="129" t="s">
        <v>14143</v>
      </c>
      <c r="H1484" s="112" t="s">
        <v>11681</v>
      </c>
      <c r="I1484" s="3" t="s">
        <v>10530</v>
      </c>
      <c r="J1484" s="129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29" t="s">
        <v>10686</v>
      </c>
      <c r="E1485" s="133">
        <v>0</v>
      </c>
      <c r="F1485" s="131" t="s">
        <v>14260</v>
      </c>
      <c r="G1485" s="129" t="s">
        <v>14259</v>
      </c>
      <c r="H1485" s="112" t="s">
        <v>11681</v>
      </c>
      <c r="I1485" s="3" t="s">
        <v>14556</v>
      </c>
      <c r="J1485" s="129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29" t="s">
        <v>10686</v>
      </c>
      <c r="E1486" s="133">
        <v>0</v>
      </c>
      <c r="F1486" s="131" t="s">
        <v>14263</v>
      </c>
      <c r="G1486" s="129" t="s">
        <v>14262</v>
      </c>
      <c r="H1486" s="112" t="s">
        <v>11681</v>
      </c>
      <c r="I1486" s="3" t="s">
        <v>8928</v>
      </c>
      <c r="J1486" s="129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29" t="s">
        <v>14503</v>
      </c>
      <c r="E1487" s="133">
        <v>60</v>
      </c>
      <c r="F1487" s="131" t="s">
        <v>14147</v>
      </c>
      <c r="G1487" s="129" t="s">
        <v>14146</v>
      </c>
      <c r="H1487" s="112" t="s">
        <v>11681</v>
      </c>
      <c r="I1487" s="3" t="s">
        <v>14547</v>
      </c>
      <c r="J1487" s="129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29" t="s">
        <v>14150</v>
      </c>
      <c r="E1488" s="133">
        <v>100</v>
      </c>
      <c r="F1488" s="131" t="s">
        <v>14151</v>
      </c>
      <c r="G1488" s="129" t="s">
        <v>14149</v>
      </c>
      <c r="H1488" s="112" t="s">
        <v>11681</v>
      </c>
      <c r="I1488" s="3" t="s">
        <v>8928</v>
      </c>
      <c r="J1488" s="129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29" t="s">
        <v>9603</v>
      </c>
      <c r="E1489" s="133">
        <v>54</v>
      </c>
      <c r="F1489" s="131" t="s">
        <v>14154</v>
      </c>
      <c r="G1489" s="129" t="s">
        <v>14153</v>
      </c>
      <c r="H1489" s="112" t="s">
        <v>11681</v>
      </c>
      <c r="I1489" s="3" t="s">
        <v>11419</v>
      </c>
      <c r="J1489" s="129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29" t="s">
        <v>10686</v>
      </c>
      <c r="E1490" s="133">
        <v>0</v>
      </c>
      <c r="F1490" s="131" t="s">
        <v>14157</v>
      </c>
      <c r="G1490" s="129" t="s">
        <v>14156</v>
      </c>
      <c r="H1490" s="112" t="s">
        <v>11681</v>
      </c>
      <c r="I1490" s="3" t="s">
        <v>14156</v>
      </c>
      <c r="J1490" s="129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29" t="s">
        <v>14160</v>
      </c>
      <c r="E1491" s="133">
        <v>0</v>
      </c>
      <c r="F1491" s="131" t="s">
        <v>14161</v>
      </c>
      <c r="G1491" s="129" t="s">
        <v>14159</v>
      </c>
      <c r="H1491" s="112" t="s">
        <v>11681</v>
      </c>
      <c r="I1491" s="3" t="s">
        <v>14548</v>
      </c>
      <c r="J1491" s="129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29" t="s">
        <v>9908</v>
      </c>
      <c r="E1492" s="133">
        <v>0</v>
      </c>
      <c r="F1492" s="131" t="s">
        <v>14164</v>
      </c>
      <c r="G1492" s="129" t="s">
        <v>14163</v>
      </c>
      <c r="H1492" s="112" t="s">
        <v>11681</v>
      </c>
      <c r="I1492" s="3" t="s">
        <v>9075</v>
      </c>
      <c r="J1492" s="129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29" t="s">
        <v>11956</v>
      </c>
      <c r="E1493" s="133">
        <v>1</v>
      </c>
      <c r="F1493" s="131" t="s">
        <v>14167</v>
      </c>
      <c r="G1493" s="129" t="s">
        <v>14166</v>
      </c>
      <c r="H1493" s="112" t="s">
        <v>11681</v>
      </c>
      <c r="I1493" s="3" t="s">
        <v>14549</v>
      </c>
      <c r="J1493" s="129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29" t="s">
        <v>9266</v>
      </c>
      <c r="E1494" s="133">
        <v>195</v>
      </c>
      <c r="F1494" s="131" t="s">
        <v>14169</v>
      </c>
      <c r="G1494" s="129" t="s">
        <v>11577</v>
      </c>
      <c r="H1494" s="112" t="s">
        <v>11681</v>
      </c>
      <c r="I1494" s="3" t="s">
        <v>14547</v>
      </c>
      <c r="J1494" s="129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29" t="s">
        <v>14172</v>
      </c>
      <c r="E1495" s="133">
        <v>50</v>
      </c>
      <c r="F1495" s="131" t="s">
        <v>14173</v>
      </c>
      <c r="G1495" s="129" t="s">
        <v>14171</v>
      </c>
      <c r="H1495" s="112" t="s">
        <v>11681</v>
      </c>
      <c r="I1495" s="3" t="s">
        <v>14156</v>
      </c>
      <c r="J1495" s="129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29" t="s">
        <v>13149</v>
      </c>
      <c r="E1496" s="133">
        <v>4</v>
      </c>
      <c r="F1496" s="131" t="s">
        <v>14180</v>
      </c>
      <c r="G1496" s="129" t="s">
        <v>14179</v>
      </c>
      <c r="H1496" s="112" t="s">
        <v>11681</v>
      </c>
      <c r="I1496" s="3" t="s">
        <v>9205</v>
      </c>
      <c r="J1496" s="129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29" t="s">
        <v>10053</v>
      </c>
      <c r="E1497" s="133">
        <v>100</v>
      </c>
      <c r="F1497" s="131" t="s">
        <v>14183</v>
      </c>
      <c r="G1497" s="129" t="s">
        <v>14182</v>
      </c>
      <c r="H1497" s="112" t="s">
        <v>11681</v>
      </c>
      <c r="I1497" s="3" t="s">
        <v>10530</v>
      </c>
      <c r="J1497" s="129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29" t="s">
        <v>9660</v>
      </c>
      <c r="E1498" s="133">
        <v>224</v>
      </c>
      <c r="F1498" s="131" t="s">
        <v>14186</v>
      </c>
      <c r="G1498" s="129" t="s">
        <v>14185</v>
      </c>
      <c r="H1498" s="112" t="s">
        <v>11681</v>
      </c>
      <c r="I1498" s="3" t="s">
        <v>9075</v>
      </c>
      <c r="J1498" s="129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29" t="s">
        <v>10380</v>
      </c>
      <c r="E1499" s="133">
        <v>0</v>
      </c>
      <c r="F1499" s="131" t="s">
        <v>14188</v>
      </c>
      <c r="G1499" s="129" t="s">
        <v>14438</v>
      </c>
      <c r="H1499" s="112" t="s">
        <v>11681</v>
      </c>
      <c r="I1499" s="3" t="s">
        <v>9075</v>
      </c>
      <c r="J1499" s="129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29" t="s">
        <v>12257</v>
      </c>
      <c r="E1500" s="133">
        <v>0</v>
      </c>
      <c r="F1500" s="131" t="s">
        <v>14177</v>
      </c>
      <c r="G1500" s="129" t="s">
        <v>14176</v>
      </c>
      <c r="H1500" s="112" t="s">
        <v>11681</v>
      </c>
      <c r="I1500" s="3" t="s">
        <v>14547</v>
      </c>
      <c r="J1500" s="129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29" t="s">
        <v>12257</v>
      </c>
      <c r="E1501" s="133">
        <v>261</v>
      </c>
      <c r="F1501" s="131" t="s">
        <v>14191</v>
      </c>
      <c r="G1501" s="129" t="s">
        <v>14190</v>
      </c>
      <c r="H1501" s="112" t="s">
        <v>11681</v>
      </c>
      <c r="I1501" s="3" t="s">
        <v>14548</v>
      </c>
      <c r="J1501" s="129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29" t="s">
        <v>10686</v>
      </c>
      <c r="E1502" s="133">
        <v>0</v>
      </c>
      <c r="F1502" s="131" t="s">
        <v>14266</v>
      </c>
      <c r="G1502" s="129" t="s">
        <v>14265</v>
      </c>
      <c r="H1502" s="112" t="s">
        <v>11681</v>
      </c>
      <c r="I1502" s="3" t="s">
        <v>14549</v>
      </c>
      <c r="J1502" s="129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29" t="s">
        <v>11627</v>
      </c>
      <c r="E1503" s="133">
        <v>1</v>
      </c>
      <c r="F1503" s="131" t="s">
        <v>14193</v>
      </c>
      <c r="G1503" s="129" t="s">
        <v>8950</v>
      </c>
      <c r="H1503" s="112" t="s">
        <v>11681</v>
      </c>
      <c r="I1503" s="3" t="s">
        <v>14156</v>
      </c>
      <c r="J1503" s="129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29" t="s">
        <v>10686</v>
      </c>
      <c r="E1504" s="133">
        <v>0</v>
      </c>
      <c r="F1504" s="131" t="s">
        <v>14269</v>
      </c>
      <c r="G1504" s="129" t="s">
        <v>14268</v>
      </c>
      <c r="H1504" s="112" t="s">
        <v>11681</v>
      </c>
      <c r="I1504" s="3" t="s">
        <v>9697</v>
      </c>
      <c r="J1504" s="129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29" t="s">
        <v>9339</v>
      </c>
      <c r="E1505" s="133">
        <v>0</v>
      </c>
      <c r="F1505" s="131" t="s">
        <v>14195</v>
      </c>
      <c r="G1505" s="129" t="s">
        <v>11837</v>
      </c>
      <c r="H1505" s="112" t="s">
        <v>11681</v>
      </c>
      <c r="I1505" s="3" t="s">
        <v>11837</v>
      </c>
      <c r="J1505" s="129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29" t="s">
        <v>14198</v>
      </c>
      <c r="E1506" s="133">
        <v>0</v>
      </c>
      <c r="F1506" s="131" t="s">
        <v>14199</v>
      </c>
      <c r="G1506" s="129" t="s">
        <v>14197</v>
      </c>
      <c r="H1506" s="112" t="s">
        <v>11681</v>
      </c>
      <c r="I1506" s="3" t="s">
        <v>14546</v>
      </c>
      <c r="J1506" s="129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29" t="s">
        <v>14202</v>
      </c>
      <c r="E1507" s="133">
        <v>0</v>
      </c>
      <c r="F1507" s="131" t="s">
        <v>14203</v>
      </c>
      <c r="G1507" s="129" t="s">
        <v>14201</v>
      </c>
      <c r="H1507" s="112" t="s">
        <v>11681</v>
      </c>
      <c r="I1507" s="3" t="s">
        <v>14273</v>
      </c>
      <c r="J1507" s="129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29" t="s">
        <v>9978</v>
      </c>
      <c r="E1508" s="133">
        <v>1</v>
      </c>
      <c r="F1508" s="131" t="s">
        <v>14206</v>
      </c>
      <c r="G1508" s="129" t="s">
        <v>14205</v>
      </c>
      <c r="H1508" s="112" t="s">
        <v>11681</v>
      </c>
      <c r="I1508" s="3" t="s">
        <v>14550</v>
      </c>
      <c r="J1508" s="129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29" t="s">
        <v>14209</v>
      </c>
      <c r="E1509" s="133">
        <v>1</v>
      </c>
      <c r="F1509" s="131" t="s">
        <v>14210</v>
      </c>
      <c r="G1509" s="129" t="s">
        <v>14208</v>
      </c>
      <c r="H1509" s="112" t="s">
        <v>11681</v>
      </c>
      <c r="I1509" s="3" t="s">
        <v>9697</v>
      </c>
      <c r="J1509" s="129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29" t="s">
        <v>14213</v>
      </c>
      <c r="E1510" s="133">
        <v>0</v>
      </c>
      <c r="F1510" s="131" t="s">
        <v>14214</v>
      </c>
      <c r="G1510" s="129" t="s">
        <v>14212</v>
      </c>
      <c r="H1510" s="112" t="s">
        <v>11681</v>
      </c>
      <c r="I1510" s="3" t="s">
        <v>14212</v>
      </c>
      <c r="J1510" s="129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29" t="s">
        <v>11681</v>
      </c>
      <c r="E1511" s="133">
        <v>350</v>
      </c>
      <c r="F1511" s="131" t="s">
        <v>14217</v>
      </c>
      <c r="G1511" s="129" t="s">
        <v>14216</v>
      </c>
      <c r="H1511" s="112" t="s">
        <v>11681</v>
      </c>
      <c r="I1511" s="3" t="s">
        <v>14550</v>
      </c>
      <c r="J1511" s="129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29" t="s">
        <v>9221</v>
      </c>
      <c r="E1512" s="133">
        <v>99</v>
      </c>
      <c r="F1512" s="131" t="s">
        <v>14221</v>
      </c>
      <c r="G1512" s="129" t="s">
        <v>14220</v>
      </c>
      <c r="H1512" s="112" t="s">
        <v>11681</v>
      </c>
      <c r="I1512" s="3" t="s">
        <v>14551</v>
      </c>
      <c r="J1512" s="129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29" t="s">
        <v>14202</v>
      </c>
      <c r="E1513" s="133">
        <v>100</v>
      </c>
      <c r="F1513" s="131" t="s">
        <v>14224</v>
      </c>
      <c r="G1513" s="129" t="s">
        <v>14223</v>
      </c>
      <c r="H1513" s="112" t="s">
        <v>11681</v>
      </c>
      <c r="I1513" s="3" t="s">
        <v>14549</v>
      </c>
      <c r="J1513" s="129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15336</v>
      </c>
      <c r="C1514" s="112" t="s">
        <v>14500</v>
      </c>
      <c r="D1514" s="129" t="s">
        <v>9050</v>
      </c>
      <c r="E1514" s="133">
        <v>1</v>
      </c>
      <c r="F1514" s="131" t="s">
        <v>14227</v>
      </c>
      <c r="G1514" s="129" t="s">
        <v>14226</v>
      </c>
      <c r="H1514" s="112" t="s">
        <v>11681</v>
      </c>
      <c r="I1514" s="3" t="s">
        <v>9276</v>
      </c>
      <c r="J1514" s="129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29" t="s">
        <v>14229</v>
      </c>
      <c r="E1515" s="133">
        <v>0</v>
      </c>
      <c r="F1515" s="131" t="s">
        <v>14230</v>
      </c>
      <c r="G1515" s="129" t="s">
        <v>9889</v>
      </c>
      <c r="H1515" s="112" t="s">
        <v>11681</v>
      </c>
      <c r="I1515" s="3" t="s">
        <v>9075</v>
      </c>
      <c r="J1515" s="129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29" t="s">
        <v>8931</v>
      </c>
      <c r="E1516" s="133">
        <v>252</v>
      </c>
      <c r="F1516" s="131" t="s">
        <v>14135</v>
      </c>
      <c r="G1516" s="129" t="s">
        <v>11681</v>
      </c>
      <c r="H1516" s="112" t="s">
        <v>11681</v>
      </c>
      <c r="I1516" s="3" t="s">
        <v>14511</v>
      </c>
      <c r="J1516" s="129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29" t="s">
        <v>14140</v>
      </c>
      <c r="E1517" s="133">
        <v>486</v>
      </c>
      <c r="F1517" s="131" t="s">
        <v>14141</v>
      </c>
      <c r="G1517" s="129" t="s">
        <v>11681</v>
      </c>
      <c r="H1517" s="112" t="s">
        <v>11681</v>
      </c>
      <c r="I1517" s="3" t="s">
        <v>14511</v>
      </c>
      <c r="J1517" s="129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29" t="s">
        <v>14278</v>
      </c>
      <c r="E1518" s="133">
        <v>545</v>
      </c>
      <c r="F1518" s="131" t="s">
        <v>14279</v>
      </c>
      <c r="G1518" s="129" t="s">
        <v>11681</v>
      </c>
      <c r="H1518" s="112" t="s">
        <v>11681</v>
      </c>
      <c r="I1518" s="3" t="s">
        <v>14511</v>
      </c>
      <c r="J1518" s="129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29" t="s">
        <v>10686</v>
      </c>
      <c r="E1519" s="133">
        <v>0</v>
      </c>
      <c r="F1519" s="131" t="s">
        <v>14271</v>
      </c>
      <c r="G1519" s="129" t="s">
        <v>9283</v>
      </c>
      <c r="H1519" s="112" t="s">
        <v>11681</v>
      </c>
      <c r="I1519" s="3" t="s">
        <v>14548</v>
      </c>
      <c r="J1519" s="129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29" t="s">
        <v>14233</v>
      </c>
      <c r="E1520" s="133">
        <v>105</v>
      </c>
      <c r="F1520" s="131" t="s">
        <v>14234</v>
      </c>
      <c r="G1520" s="129" t="s">
        <v>14232</v>
      </c>
      <c r="H1520" s="112" t="s">
        <v>11681</v>
      </c>
      <c r="I1520" s="3" t="s">
        <v>9360</v>
      </c>
      <c r="J1520" s="129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29" t="s">
        <v>14237</v>
      </c>
      <c r="E1521" s="133">
        <v>0</v>
      </c>
      <c r="F1521" s="131" t="s">
        <v>14238</v>
      </c>
      <c r="G1521" s="129" t="s">
        <v>14236</v>
      </c>
      <c r="H1521" s="112" t="s">
        <v>11681</v>
      </c>
      <c r="I1521" s="3" t="s">
        <v>14212</v>
      </c>
      <c r="J1521" s="129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29" t="s">
        <v>8957</v>
      </c>
      <c r="E1522" s="133">
        <v>164</v>
      </c>
      <c r="F1522" s="131" t="s">
        <v>14241</v>
      </c>
      <c r="G1522" s="129" t="s">
        <v>14240</v>
      </c>
      <c r="H1522" s="112" t="s">
        <v>11681</v>
      </c>
      <c r="I1522" s="3" t="s">
        <v>14552</v>
      </c>
      <c r="J1522" s="129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29" t="s">
        <v>9652</v>
      </c>
      <c r="E1523" s="133">
        <v>0</v>
      </c>
      <c r="F1523" s="131" t="s">
        <v>14244</v>
      </c>
      <c r="G1523" s="129" t="s">
        <v>14243</v>
      </c>
      <c r="H1523" s="112" t="s">
        <v>11681</v>
      </c>
      <c r="I1523" s="3" t="s">
        <v>14553</v>
      </c>
      <c r="J1523" s="129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29" t="s">
        <v>10572</v>
      </c>
      <c r="E1524" s="133">
        <v>766</v>
      </c>
      <c r="F1524" s="131" t="s">
        <v>14247</v>
      </c>
      <c r="G1524" s="129" t="s">
        <v>14246</v>
      </c>
      <c r="H1524" s="112" t="s">
        <v>11681</v>
      </c>
      <c r="I1524" s="3" t="s">
        <v>14554</v>
      </c>
      <c r="J1524" s="129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29" t="s">
        <v>11986</v>
      </c>
      <c r="E1525" s="133">
        <v>1</v>
      </c>
      <c r="F1525" s="131" t="s">
        <v>14250</v>
      </c>
      <c r="G1525" s="129" t="s">
        <v>14249</v>
      </c>
      <c r="H1525" s="112" t="s">
        <v>11681</v>
      </c>
      <c r="I1525" s="3" t="s">
        <v>9276</v>
      </c>
      <c r="J1525" s="129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29" t="s">
        <v>9645</v>
      </c>
      <c r="E1526" s="133">
        <v>0</v>
      </c>
      <c r="F1526" s="131" t="s">
        <v>14253</v>
      </c>
      <c r="G1526" s="129" t="s">
        <v>14252</v>
      </c>
      <c r="H1526" s="112" t="s">
        <v>11681</v>
      </c>
      <c r="I1526" s="3" t="s">
        <v>14555</v>
      </c>
      <c r="J1526" s="129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29" t="s">
        <v>10686</v>
      </c>
      <c r="E1527" s="133">
        <v>0</v>
      </c>
      <c r="F1527" s="131" t="s">
        <v>14275</v>
      </c>
      <c r="G1527" s="129" t="s">
        <v>14274</v>
      </c>
      <c r="H1527" s="112" t="s">
        <v>11681</v>
      </c>
      <c r="I1527" s="3" t="s">
        <v>14273</v>
      </c>
      <c r="J1527" s="129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29" t="s">
        <v>10686</v>
      </c>
      <c r="E1528" s="133">
        <v>0</v>
      </c>
      <c r="F1528" s="131" t="s">
        <v>14257</v>
      </c>
      <c r="G1528" s="129" t="s">
        <v>14256</v>
      </c>
      <c r="H1528" s="112" t="s">
        <v>11681</v>
      </c>
      <c r="I1528" s="3" t="s">
        <v>14554</v>
      </c>
      <c r="J1528" s="129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29" t="s">
        <v>9627</v>
      </c>
      <c r="E1529" s="133">
        <v>968</v>
      </c>
      <c r="F1529" s="131" t="s">
        <v>14283</v>
      </c>
      <c r="G1529" s="129" t="s">
        <v>14281</v>
      </c>
      <c r="H1529" s="112" t="s">
        <v>14282</v>
      </c>
      <c r="I1529" s="3" t="s">
        <v>14281</v>
      </c>
      <c r="J1529" s="129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29" t="s">
        <v>14289</v>
      </c>
      <c r="E1530" s="133">
        <v>360</v>
      </c>
      <c r="F1530" s="131" t="s">
        <v>14290</v>
      </c>
      <c r="G1530" s="129" t="s">
        <v>14288</v>
      </c>
      <c r="H1530" s="112" t="s">
        <v>14282</v>
      </c>
      <c r="I1530" s="3" t="s">
        <v>14281</v>
      </c>
      <c r="J1530" s="129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29" t="s">
        <v>8983</v>
      </c>
      <c r="E1531" s="133">
        <v>309</v>
      </c>
      <c r="F1531" s="131" t="s">
        <v>14286</v>
      </c>
      <c r="G1531" s="129" t="s">
        <v>14285</v>
      </c>
      <c r="H1531" s="112" t="s">
        <v>14282</v>
      </c>
      <c r="I1531" s="3" t="s">
        <v>14285</v>
      </c>
      <c r="J1531" s="129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29" t="s">
        <v>10686</v>
      </c>
      <c r="E1532" s="133">
        <v>0</v>
      </c>
      <c r="F1532" s="131" t="s">
        <v>14426</v>
      </c>
      <c r="G1532" s="129" t="s">
        <v>14425</v>
      </c>
      <c r="H1532" s="112" t="s">
        <v>11217</v>
      </c>
      <c r="I1532" s="3" t="s">
        <v>11493</v>
      </c>
      <c r="J1532" s="129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29" t="s">
        <v>9098</v>
      </c>
      <c r="E1533" s="133">
        <v>1</v>
      </c>
      <c r="F1533" s="131" t="s">
        <v>14306</v>
      </c>
      <c r="G1533" s="129" t="s">
        <v>14305</v>
      </c>
      <c r="H1533" s="112" t="s">
        <v>11217</v>
      </c>
      <c r="I1533" s="3" t="s">
        <v>14606</v>
      </c>
      <c r="J1533" s="129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29" t="s">
        <v>9255</v>
      </c>
      <c r="E1534" s="133">
        <v>930</v>
      </c>
      <c r="F1534" s="131" t="s">
        <v>14309</v>
      </c>
      <c r="G1534" s="129" t="s">
        <v>14308</v>
      </c>
      <c r="H1534" s="112" t="s">
        <v>11217</v>
      </c>
      <c r="I1534" s="3" t="s">
        <v>11493</v>
      </c>
      <c r="J1534" s="129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29" t="s">
        <v>14312</v>
      </c>
      <c r="E1535" s="133">
        <v>100</v>
      </c>
      <c r="F1535" s="131" t="s">
        <v>14313</v>
      </c>
      <c r="G1535" s="129" t="s">
        <v>14311</v>
      </c>
      <c r="H1535" s="112" t="s">
        <v>11217</v>
      </c>
      <c r="I1535" s="3" t="s">
        <v>14399</v>
      </c>
      <c r="J1535" s="129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29" t="s">
        <v>9405</v>
      </c>
      <c r="E1536" s="133">
        <v>200</v>
      </c>
      <c r="F1536" s="131" t="s">
        <v>14317</v>
      </c>
      <c r="G1536" s="129" t="s">
        <v>14316</v>
      </c>
      <c r="H1536" s="112" t="s">
        <v>11217</v>
      </c>
      <c r="I1536" s="3" t="s">
        <v>11493</v>
      </c>
      <c r="J1536" s="129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29" t="s">
        <v>14319</v>
      </c>
      <c r="E1537" s="133">
        <v>398</v>
      </c>
      <c r="F1537" s="131" t="s">
        <v>14320</v>
      </c>
      <c r="G1537" s="129" t="s">
        <v>9017</v>
      </c>
      <c r="H1537" s="112" t="s">
        <v>11217</v>
      </c>
      <c r="I1537" s="3" t="s">
        <v>14358</v>
      </c>
      <c r="J1537" s="129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29" t="s">
        <v>14323</v>
      </c>
      <c r="E1538" s="133">
        <v>0</v>
      </c>
      <c r="F1538" s="131" t="s">
        <v>14324</v>
      </c>
      <c r="G1538" s="129" t="s">
        <v>14322</v>
      </c>
      <c r="H1538" s="112" t="s">
        <v>11217</v>
      </c>
      <c r="I1538" s="3" t="s">
        <v>14322</v>
      </c>
      <c r="J1538" s="129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29" t="s">
        <v>12148</v>
      </c>
      <c r="E1539" s="133">
        <v>1</v>
      </c>
      <c r="F1539" s="131" t="s">
        <v>14328</v>
      </c>
      <c r="G1539" s="129" t="s">
        <v>14327</v>
      </c>
      <c r="H1539" s="112" t="s">
        <v>11217</v>
      </c>
      <c r="I1539" s="3" t="s">
        <v>14399</v>
      </c>
      <c r="J1539" s="129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29" t="s">
        <v>9075</v>
      </c>
      <c r="E1540" s="133">
        <v>305</v>
      </c>
      <c r="F1540" s="131" t="s">
        <v>14330</v>
      </c>
      <c r="G1540" s="129" t="s">
        <v>11811</v>
      </c>
      <c r="H1540" s="112" t="s">
        <v>11217</v>
      </c>
      <c r="I1540" s="3" t="s">
        <v>14607</v>
      </c>
      <c r="J1540" s="129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29" t="s">
        <v>14373</v>
      </c>
      <c r="E1541" s="133">
        <v>199</v>
      </c>
      <c r="F1541" s="131" t="s">
        <v>14375</v>
      </c>
      <c r="G1541" s="129" t="s">
        <v>14374</v>
      </c>
      <c r="H1541" s="112" t="s">
        <v>11217</v>
      </c>
      <c r="I1541" s="3" t="s">
        <v>14365</v>
      </c>
      <c r="J1541" s="129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29" t="s">
        <v>14429</v>
      </c>
      <c r="E1542" s="133">
        <v>0</v>
      </c>
      <c r="F1542" s="131" t="s">
        <v>14430</v>
      </c>
      <c r="G1542" s="129" t="s">
        <v>14428</v>
      </c>
      <c r="H1542" s="112" t="s">
        <v>11217</v>
      </c>
      <c r="I1542" s="3" t="s">
        <v>14402</v>
      </c>
      <c r="J1542" s="129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29" t="s">
        <v>9014</v>
      </c>
      <c r="E1543" s="133">
        <v>380</v>
      </c>
      <c r="F1543" s="131" t="s">
        <v>14333</v>
      </c>
      <c r="G1543" s="129" t="s">
        <v>14332</v>
      </c>
      <c r="H1543" s="112" t="s">
        <v>11217</v>
      </c>
      <c r="I1543" s="3" t="s">
        <v>14332</v>
      </c>
      <c r="J1543" s="129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29" t="s">
        <v>9405</v>
      </c>
      <c r="E1544" s="133">
        <v>12</v>
      </c>
      <c r="F1544" s="131" t="s">
        <v>14336</v>
      </c>
      <c r="G1544" s="129" t="s">
        <v>14335</v>
      </c>
      <c r="H1544" s="112" t="s">
        <v>11217</v>
      </c>
      <c r="I1544" s="3" t="s">
        <v>14335</v>
      </c>
      <c r="J1544" s="129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29" t="s">
        <v>15338</v>
      </c>
      <c r="E1545" s="133">
        <v>402</v>
      </c>
      <c r="F1545" s="131" t="s">
        <v>14344</v>
      </c>
      <c r="G1545" s="129" t="s">
        <v>9628</v>
      </c>
      <c r="H1545" s="112" t="s">
        <v>11217</v>
      </c>
      <c r="I1545" s="3" t="s">
        <v>9513</v>
      </c>
      <c r="J1545" s="129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29" t="s">
        <v>9360</v>
      </c>
      <c r="E1546" s="133">
        <v>142</v>
      </c>
      <c r="F1546" s="131" t="s">
        <v>14347</v>
      </c>
      <c r="G1546" s="129" t="s">
        <v>14346</v>
      </c>
      <c r="H1546" s="112" t="s">
        <v>11217</v>
      </c>
      <c r="I1546" s="3" t="s">
        <v>14346</v>
      </c>
      <c r="J1546" s="129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29" t="s">
        <v>13070</v>
      </c>
      <c r="E1547" s="133">
        <v>101</v>
      </c>
      <c r="F1547" s="131" t="s">
        <v>14384</v>
      </c>
      <c r="G1547" s="129" t="s">
        <v>14383</v>
      </c>
      <c r="H1547" s="112" t="s">
        <v>11217</v>
      </c>
      <c r="I1547" s="3" t="s">
        <v>11493</v>
      </c>
      <c r="J1547" s="129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29" t="s">
        <v>13109</v>
      </c>
      <c r="E1548" s="133">
        <v>1</v>
      </c>
      <c r="F1548" s="131" t="s">
        <v>14353</v>
      </c>
      <c r="G1548" s="129" t="s">
        <v>14352</v>
      </c>
      <c r="H1548" s="112" t="s">
        <v>11217</v>
      </c>
      <c r="I1548" s="3" t="s">
        <v>14322</v>
      </c>
      <c r="J1548" s="129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29" t="s">
        <v>9050</v>
      </c>
      <c r="E1549" s="133">
        <v>0</v>
      </c>
      <c r="F1549" s="131" t="s">
        <v>14350</v>
      </c>
      <c r="G1549" s="129" t="s">
        <v>14349</v>
      </c>
      <c r="H1549" s="112" t="s">
        <v>11217</v>
      </c>
      <c r="I1549" s="3" t="s">
        <v>14335</v>
      </c>
      <c r="J1549" s="129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29" t="s">
        <v>8974</v>
      </c>
      <c r="E1550" s="133">
        <v>1</v>
      </c>
      <c r="F1550" s="131" t="s">
        <v>14356</v>
      </c>
      <c r="G1550" s="129" t="s">
        <v>14355</v>
      </c>
      <c r="H1550" s="112" t="s">
        <v>11217</v>
      </c>
      <c r="I1550" s="3" t="s">
        <v>11493</v>
      </c>
      <c r="J1550" s="129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29" t="s">
        <v>14369</v>
      </c>
      <c r="E1551" s="133">
        <v>15</v>
      </c>
      <c r="F1551" s="131" t="s">
        <v>14370</v>
      </c>
      <c r="G1551" s="129" t="s">
        <v>14368</v>
      </c>
      <c r="H1551" s="112" t="s">
        <v>11217</v>
      </c>
      <c r="I1551" s="3" t="s">
        <v>14402</v>
      </c>
      <c r="J1551" s="129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29">
        <v>1</v>
      </c>
      <c r="E1552" s="133">
        <v>0</v>
      </c>
      <c r="F1552" s="131" t="s">
        <v>14359</v>
      </c>
      <c r="G1552" s="129" t="s">
        <v>14358</v>
      </c>
      <c r="H1552" s="112" t="s">
        <v>11217</v>
      </c>
      <c r="I1552" s="3" t="s">
        <v>14358</v>
      </c>
      <c r="J1552" s="129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29" t="s">
        <v>14362</v>
      </c>
      <c r="E1553" s="133">
        <v>0</v>
      </c>
      <c r="F1553" s="131" t="s">
        <v>14363</v>
      </c>
      <c r="G1553" s="129" t="s">
        <v>14361</v>
      </c>
      <c r="H1553" s="112" t="s">
        <v>11217</v>
      </c>
      <c r="I1553" s="3" t="s">
        <v>11493</v>
      </c>
      <c r="J1553" s="129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29" t="s">
        <v>9405</v>
      </c>
      <c r="E1554" s="133">
        <v>125</v>
      </c>
      <c r="F1554" s="131" t="s">
        <v>14366</v>
      </c>
      <c r="G1554" s="129" t="s">
        <v>14365</v>
      </c>
      <c r="H1554" s="112" t="s">
        <v>11217</v>
      </c>
      <c r="I1554" s="3" t="s">
        <v>14365</v>
      </c>
      <c r="J1554" s="129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29" t="s">
        <v>8974</v>
      </c>
      <c r="E1555" s="133">
        <v>1</v>
      </c>
      <c r="F1555" s="131" t="s">
        <v>14378</v>
      </c>
      <c r="G1555" s="129" t="s">
        <v>14377</v>
      </c>
      <c r="H1555" s="112" t="s">
        <v>11217</v>
      </c>
      <c r="I1555" s="3" t="s">
        <v>14393</v>
      </c>
      <c r="J1555" s="129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29" t="s">
        <v>9139</v>
      </c>
      <c r="E1556" s="133">
        <v>247</v>
      </c>
      <c r="F1556" s="131" t="s">
        <v>14381</v>
      </c>
      <c r="G1556" s="129" t="s">
        <v>14380</v>
      </c>
      <c r="H1556" s="112" t="s">
        <v>11217</v>
      </c>
      <c r="I1556" s="3" t="s">
        <v>14380</v>
      </c>
      <c r="J1556" s="129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29" t="s">
        <v>10686</v>
      </c>
      <c r="E1557" s="133">
        <v>0</v>
      </c>
      <c r="F1557" s="131" t="s">
        <v>14433</v>
      </c>
      <c r="G1557" s="129" t="s">
        <v>14432</v>
      </c>
      <c r="H1557" s="112" t="s">
        <v>11217</v>
      </c>
      <c r="I1557" s="3" t="s">
        <v>14393</v>
      </c>
      <c r="J1557" s="129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29" t="s">
        <v>9660</v>
      </c>
      <c r="E1558" s="133">
        <v>64</v>
      </c>
      <c r="F1558" s="131" t="s">
        <v>14423</v>
      </c>
      <c r="G1558" s="129" t="s">
        <v>14422</v>
      </c>
      <c r="H1558" s="112" t="s">
        <v>11217</v>
      </c>
      <c r="I1558" s="3" t="s">
        <v>11493</v>
      </c>
      <c r="J1558" s="129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29" t="s">
        <v>14292</v>
      </c>
      <c r="E1559" s="133">
        <v>540</v>
      </c>
      <c r="F1559" s="131" t="s">
        <v>14294</v>
      </c>
      <c r="G1559" s="129" t="s">
        <v>14293</v>
      </c>
      <c r="H1559" s="112" t="s">
        <v>11217</v>
      </c>
      <c r="I1559" s="3" t="s">
        <v>14511</v>
      </c>
      <c r="J1559" s="129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29" t="s">
        <v>9277</v>
      </c>
      <c r="E1560" s="133">
        <v>815</v>
      </c>
      <c r="F1560" s="131" t="s">
        <v>14297</v>
      </c>
      <c r="G1560" s="129" t="s">
        <v>14293</v>
      </c>
      <c r="H1560" s="112" t="s">
        <v>11217</v>
      </c>
      <c r="I1560" s="3" t="s">
        <v>14511</v>
      </c>
      <c r="J1560" s="129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29" t="s">
        <v>10606</v>
      </c>
      <c r="E1561" s="133">
        <v>340</v>
      </c>
      <c r="F1561" s="131" t="s">
        <v>14300</v>
      </c>
      <c r="G1561" s="129" t="s">
        <v>14293</v>
      </c>
      <c r="H1561" s="112" t="s">
        <v>11217</v>
      </c>
      <c r="I1561" s="3" t="s">
        <v>14511</v>
      </c>
      <c r="J1561" s="129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29" t="s">
        <v>9759</v>
      </c>
      <c r="E1562" s="133">
        <v>477</v>
      </c>
      <c r="F1562" s="131" t="s">
        <v>14303</v>
      </c>
      <c r="G1562" s="129" t="s">
        <v>14293</v>
      </c>
      <c r="H1562" s="112" t="s">
        <v>11217</v>
      </c>
      <c r="I1562" s="3" t="s">
        <v>14511</v>
      </c>
      <c r="J1562" s="129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29" t="s">
        <v>11477</v>
      </c>
      <c r="E1563" s="133">
        <v>450</v>
      </c>
      <c r="F1563" s="131" t="s">
        <v>14436</v>
      </c>
      <c r="G1563" s="129" t="s">
        <v>14293</v>
      </c>
      <c r="H1563" s="112" t="s">
        <v>11217</v>
      </c>
      <c r="I1563" s="3" t="s">
        <v>14511</v>
      </c>
      <c r="J1563" s="129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29" t="s">
        <v>9660</v>
      </c>
      <c r="E1564" s="133">
        <v>240</v>
      </c>
      <c r="F1564" s="131" t="s">
        <v>14387</v>
      </c>
      <c r="G1564" s="129" t="s">
        <v>14386</v>
      </c>
      <c r="H1564" s="112" t="s">
        <v>11217</v>
      </c>
      <c r="I1564" s="3" t="s">
        <v>14365</v>
      </c>
      <c r="J1564" s="129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29" t="s">
        <v>10451</v>
      </c>
      <c r="E1565" s="133">
        <v>1</v>
      </c>
      <c r="F1565" s="131" t="s">
        <v>14391</v>
      </c>
      <c r="G1565" s="129" t="s">
        <v>14390</v>
      </c>
      <c r="H1565" s="112" t="s">
        <v>11217</v>
      </c>
      <c r="I1565" s="3" t="s">
        <v>14405</v>
      </c>
      <c r="J1565" s="129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29" t="s">
        <v>11522</v>
      </c>
      <c r="E1566" s="133">
        <v>0</v>
      </c>
      <c r="F1566" s="131" t="s">
        <v>14339</v>
      </c>
      <c r="G1566" s="129" t="s">
        <v>12840</v>
      </c>
      <c r="H1566" s="112" t="s">
        <v>11217</v>
      </c>
      <c r="I1566" s="3" t="s">
        <v>14606</v>
      </c>
      <c r="J1566" s="129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29" t="s">
        <v>11186</v>
      </c>
      <c r="E1567" s="133">
        <v>170</v>
      </c>
      <c r="F1567" s="131" t="s">
        <v>14342</v>
      </c>
      <c r="G1567" s="129" t="s">
        <v>9892</v>
      </c>
      <c r="H1567" s="112" t="s">
        <v>11217</v>
      </c>
      <c r="I1567" s="3" t="s">
        <v>14380</v>
      </c>
      <c r="J1567" s="129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29" t="s">
        <v>9513</v>
      </c>
      <c r="E1568" s="133">
        <v>455</v>
      </c>
      <c r="F1568" s="131" t="s">
        <v>14394</v>
      </c>
      <c r="G1568" s="129" t="s">
        <v>14393</v>
      </c>
      <c r="H1568" s="112" t="s">
        <v>11217</v>
      </c>
      <c r="I1568" s="3" t="s">
        <v>14393</v>
      </c>
      <c r="J1568" s="129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29" t="s">
        <v>8931</v>
      </c>
      <c r="E1569" s="133">
        <v>99</v>
      </c>
      <c r="F1569" s="131" t="s">
        <v>14397</v>
      </c>
      <c r="G1569" s="129" t="s">
        <v>14396</v>
      </c>
      <c r="H1569" s="112" t="s">
        <v>11217</v>
      </c>
      <c r="I1569" s="3" t="s">
        <v>14335</v>
      </c>
      <c r="J1569" s="129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29" t="s">
        <v>9660</v>
      </c>
      <c r="E1570" s="133">
        <v>1</v>
      </c>
      <c r="F1570" s="131" t="s">
        <v>14400</v>
      </c>
      <c r="G1570" s="129" t="s">
        <v>14399</v>
      </c>
      <c r="H1570" s="112" t="s">
        <v>11217</v>
      </c>
      <c r="I1570" s="3" t="s">
        <v>14399</v>
      </c>
      <c r="J1570" s="129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29" t="s">
        <v>14377</v>
      </c>
      <c r="E1571" s="133">
        <v>15</v>
      </c>
      <c r="F1571" s="131" t="s">
        <v>14403</v>
      </c>
      <c r="G1571" s="129" t="s">
        <v>14402</v>
      </c>
      <c r="H1571" s="112" t="s">
        <v>11217</v>
      </c>
      <c r="I1571" s="3" t="s">
        <v>14402</v>
      </c>
      <c r="J1571" s="129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29" t="s">
        <v>14406</v>
      </c>
      <c r="E1572" s="133">
        <v>0</v>
      </c>
      <c r="F1572" s="131" t="s">
        <v>14407</v>
      </c>
      <c r="G1572" s="129" t="s">
        <v>14405</v>
      </c>
      <c r="H1572" s="112" t="s">
        <v>11217</v>
      </c>
      <c r="I1572" s="3" t="s">
        <v>14405</v>
      </c>
      <c r="J1572" s="129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29" t="s">
        <v>14410</v>
      </c>
      <c r="E1573" s="133">
        <v>1</v>
      </c>
      <c r="F1573" s="131" t="s">
        <v>14412</v>
      </c>
      <c r="G1573" s="129" t="s">
        <v>14411</v>
      </c>
      <c r="H1573" s="112" t="s">
        <v>11217</v>
      </c>
      <c r="I1573" s="3" t="s">
        <v>14607</v>
      </c>
      <c r="J1573" s="129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29" t="s">
        <v>8982</v>
      </c>
      <c r="E1574" s="133">
        <v>101</v>
      </c>
      <c r="F1574" s="131" t="s">
        <v>14416</v>
      </c>
      <c r="G1574" s="129" t="s">
        <v>14415</v>
      </c>
      <c r="H1574" s="112" t="s">
        <v>11217</v>
      </c>
      <c r="I1574" s="3" t="s">
        <v>14380</v>
      </c>
      <c r="J1574" s="129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29" t="s">
        <v>14419</v>
      </c>
      <c r="E1575" s="133">
        <v>2021</v>
      </c>
      <c r="F1575" s="131" t="s">
        <v>14420</v>
      </c>
      <c r="G1575" s="129" t="s">
        <v>14418</v>
      </c>
      <c r="H1575" s="112" t="s">
        <v>11217</v>
      </c>
      <c r="I1575" s="3" t="s">
        <v>14418</v>
      </c>
      <c r="J1575" s="129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15079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15613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15076</v>
      </c>
    </row>
    <row r="3" spans="1:3" x14ac:dyDescent="0.25">
      <c r="A3" s="103" t="s">
        <v>8893</v>
      </c>
      <c r="B3" s="103" t="s">
        <v>14494</v>
      </c>
      <c r="C3" s="103" t="s">
        <v>15077</v>
      </c>
    </row>
    <row r="4" spans="1:3" x14ac:dyDescent="0.25">
      <c r="A4" s="102" t="s">
        <v>8891</v>
      </c>
      <c r="B4" s="102" t="s">
        <v>8896</v>
      </c>
      <c r="C4" s="102" t="s">
        <v>15078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  <row r="13" spans="1:2" x14ac:dyDescent="0.25">
      <c r="A13" s="35" t="s">
        <v>15644</v>
      </c>
      <c r="B13" s="38" t="s">
        <v>15645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workbookViewId="0">
      <selection activeCell="A2" sqref="A2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15350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15351</v>
      </c>
    </row>
    <row r="5" spans="1:3" x14ac:dyDescent="0.25">
      <c r="A5" t="str">
        <f t="shared" si="0"/>
        <v/>
      </c>
      <c r="B5" t="s">
        <v>15352</v>
      </c>
    </row>
    <row r="6" spans="1:3" x14ac:dyDescent="0.25">
      <c r="A6" t="str">
        <f t="shared" si="0"/>
        <v/>
      </c>
      <c r="B6" t="s">
        <v>15353</v>
      </c>
    </row>
    <row r="7" spans="1:3" x14ac:dyDescent="0.25">
      <c r="A7" t="str">
        <f t="shared" si="0"/>
        <v/>
      </c>
      <c r="B7" t="s">
        <v>15354</v>
      </c>
    </row>
    <row r="8" spans="1:3" x14ac:dyDescent="0.25">
      <c r="A8" t="str">
        <f t="shared" si="0"/>
        <v/>
      </c>
      <c r="B8" t="s">
        <v>15355</v>
      </c>
    </row>
    <row r="9" spans="1:3" x14ac:dyDescent="0.25">
      <c r="A9" t="str">
        <f t="shared" si="0"/>
        <v/>
      </c>
      <c r="B9" t="s">
        <v>15356</v>
      </c>
    </row>
    <row r="10" spans="1:3" x14ac:dyDescent="0.25">
      <c r="A10" t="str">
        <f t="shared" si="0"/>
        <v/>
      </c>
      <c r="B10" t="s">
        <v>15357</v>
      </c>
    </row>
    <row r="11" spans="1:3" x14ac:dyDescent="0.25">
      <c r="A11" t="str">
        <f t="shared" si="0"/>
        <v/>
      </c>
      <c r="B11" t="s">
        <v>15358</v>
      </c>
    </row>
    <row r="12" spans="1:3" x14ac:dyDescent="0.25">
      <c r="A12" t="str">
        <f t="shared" si="0"/>
        <v/>
      </c>
      <c r="B12" t="s">
        <v>15359</v>
      </c>
    </row>
    <row r="13" spans="1:3" x14ac:dyDescent="0.25">
      <c r="A13" t="str">
        <f t="shared" si="0"/>
        <v/>
      </c>
      <c r="B13" t="s">
        <v>15360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15361</v>
      </c>
    </row>
    <row r="16" spans="1:3" x14ac:dyDescent="0.25">
      <c r="A16" t="str">
        <f t="shared" si="0"/>
        <v/>
      </c>
      <c r="B16" t="s">
        <v>15362</v>
      </c>
    </row>
    <row r="17" spans="1:3" x14ac:dyDescent="0.25">
      <c r="A17" t="str">
        <f t="shared" si="0"/>
        <v/>
      </c>
      <c r="B17" t="s">
        <v>15363</v>
      </c>
    </row>
    <row r="18" spans="1:3" x14ac:dyDescent="0.25">
      <c r="A18" t="str">
        <f t="shared" si="0"/>
        <v/>
      </c>
      <c r="B18" t="s">
        <v>15364</v>
      </c>
    </row>
    <row r="19" spans="1:3" x14ac:dyDescent="0.25">
      <c r="A19" t="str">
        <f t="shared" si="0"/>
        <v/>
      </c>
      <c r="B19" t="s">
        <v>15365</v>
      </c>
    </row>
    <row r="20" spans="1:3" x14ac:dyDescent="0.25">
      <c r="A20" t="str">
        <f t="shared" si="0"/>
        <v/>
      </c>
      <c r="B20" t="s">
        <v>15366</v>
      </c>
    </row>
    <row r="21" spans="1:3" x14ac:dyDescent="0.25">
      <c r="A21" t="str">
        <f t="shared" si="0"/>
        <v/>
      </c>
      <c r="B21" t="s">
        <v>15367</v>
      </c>
      <c r="C21" t="s">
        <v>15368</v>
      </c>
    </row>
    <row r="22" spans="1:3" x14ac:dyDescent="0.25">
      <c r="A22" t="str">
        <f t="shared" si="0"/>
        <v/>
      </c>
      <c r="B22" t="s">
        <v>15369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14638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15370</v>
      </c>
    </row>
    <row r="55" spans="1:3" x14ac:dyDescent="0.25">
      <c r="A55" t="str">
        <f t="shared" si="0"/>
        <v/>
      </c>
      <c r="B55" t="s">
        <v>15371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15372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15373</v>
      </c>
    </row>
    <row r="62" spans="1:3" x14ac:dyDescent="0.25">
      <c r="A62" t="str">
        <f t="shared" si="0"/>
        <v/>
      </c>
      <c r="B62" t="s">
        <v>15374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15375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15376</v>
      </c>
      <c r="C84" t="s">
        <v>15377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15378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15379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15380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15381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15382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15383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15384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15080</v>
      </c>
      <c r="C235" t="s">
        <v>15081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14639</v>
      </c>
      <c r="C246" t="s">
        <v>14640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15385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15386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15387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15388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15389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15390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15391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15392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15393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15394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15395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15396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15397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15398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15399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15400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15401</v>
      </c>
      <c r="C349" t="s">
        <v>15402</v>
      </c>
    </row>
    <row r="350" spans="1:3" x14ac:dyDescent="0.25">
      <c r="A350">
        <f t="shared" si="5"/>
        <v>1120491</v>
      </c>
      <c r="B350" t="s">
        <v>15403</v>
      </c>
      <c r="C350" t="s">
        <v>15404</v>
      </c>
    </row>
    <row r="351" spans="1:3" x14ac:dyDescent="0.25">
      <c r="A351">
        <f t="shared" si="5"/>
        <v>1120492</v>
      </c>
      <c r="B351" t="s">
        <v>15405</v>
      </c>
      <c r="C351" t="s">
        <v>15406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15407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15408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15409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15410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15082</v>
      </c>
      <c r="C368" t="s">
        <v>15083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15411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15084</v>
      </c>
      <c r="C399" t="s">
        <v>15085</v>
      </c>
    </row>
    <row r="400" spans="1:3" x14ac:dyDescent="0.25">
      <c r="A400">
        <f t="shared" si="6"/>
        <v>1120631</v>
      </c>
      <c r="B400" t="s">
        <v>15086</v>
      </c>
      <c r="C400" t="s">
        <v>15087</v>
      </c>
    </row>
    <row r="401" spans="1:3" x14ac:dyDescent="0.25">
      <c r="A401">
        <f t="shared" si="6"/>
        <v>1120632</v>
      </c>
      <c r="B401" t="s">
        <v>15088</v>
      </c>
      <c r="C401" t="s">
        <v>15089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15412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15413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15414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15415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14641</v>
      </c>
      <c r="C467" t="s">
        <v>14642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15416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15417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15418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15419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15420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15421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15422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15090</v>
      </c>
      <c r="C542" t="s">
        <v>15091</v>
      </c>
    </row>
    <row r="543" spans="1:3" x14ac:dyDescent="0.25">
      <c r="A543">
        <f t="shared" si="8"/>
        <v>1120921</v>
      </c>
      <c r="B543" t="s">
        <v>15092</v>
      </c>
      <c r="C543" t="s">
        <v>15093</v>
      </c>
    </row>
    <row r="544" spans="1:3" x14ac:dyDescent="0.25">
      <c r="A544">
        <f t="shared" si="8"/>
        <v>1120922</v>
      </c>
      <c r="B544" t="s">
        <v>15094</v>
      </c>
      <c r="C544" t="s">
        <v>15095</v>
      </c>
    </row>
    <row r="545" spans="1:3" x14ac:dyDescent="0.25">
      <c r="A545">
        <f t="shared" si="8"/>
        <v>1120923</v>
      </c>
      <c r="B545" t="s">
        <v>15423</v>
      </c>
      <c r="C545" t="s">
        <v>15424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15425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15426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15427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15428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15429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15430</v>
      </c>
    </row>
    <row r="611" spans="1:3" x14ac:dyDescent="0.25">
      <c r="A611" t="str">
        <f t="shared" si="9"/>
        <v/>
      </c>
      <c r="B611" t="s">
        <v>15431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15432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15433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15434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15435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15436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15437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15438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15439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15440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15441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15442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15443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15444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15445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15096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15446</v>
      </c>
      <c r="C667" t="s">
        <v>15447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15097</v>
      </c>
      <c r="C708" t="s">
        <v>15098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15448</v>
      </c>
      <c r="C712" t="s">
        <v>15449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14643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15450</v>
      </c>
      <c r="C731" t="s">
        <v>15451</v>
      </c>
    </row>
    <row r="732" spans="1:3" x14ac:dyDescent="0.25">
      <c r="A732">
        <f t="shared" si="11"/>
        <v>2101570</v>
      </c>
      <c r="B732" t="s">
        <v>15452</v>
      </c>
      <c r="C732" t="s">
        <v>15453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14644</v>
      </c>
      <c r="C754" t="s">
        <v>14645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15099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15454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15455</v>
      </c>
      <c r="C777" t="s">
        <v>15456</v>
      </c>
    </row>
    <row r="778" spans="1:3" x14ac:dyDescent="0.25">
      <c r="A778">
        <f t="shared" si="12"/>
        <v>2103060</v>
      </c>
      <c r="B778" t="s">
        <v>15457</v>
      </c>
      <c r="C778" t="s">
        <v>15458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14646</v>
      </c>
      <c r="C787" t="s">
        <v>14647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15100</v>
      </c>
      <c r="C797" t="s">
        <v>15101</v>
      </c>
    </row>
    <row r="798" spans="1:3" x14ac:dyDescent="0.25">
      <c r="A798">
        <f t="shared" si="12"/>
        <v>2103223</v>
      </c>
      <c r="B798" t="s">
        <v>15102</v>
      </c>
      <c r="C798" t="s">
        <v>15103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14648</v>
      </c>
      <c r="C801" t="s">
        <v>14649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15104</v>
      </c>
      <c r="C835" t="s">
        <v>15105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15106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15107</v>
      </c>
      <c r="C840" t="s">
        <v>15108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15109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15110</v>
      </c>
      <c r="C892" t="s">
        <v>15111</v>
      </c>
    </row>
    <row r="893" spans="1:3" x14ac:dyDescent="0.25">
      <c r="A893">
        <f t="shared" si="13"/>
        <v>2401026</v>
      </c>
      <c r="B893" t="s">
        <v>15459</v>
      </c>
      <c r="C893" t="s">
        <v>15447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15460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15112</v>
      </c>
      <c r="C918" t="s">
        <v>15113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14650</v>
      </c>
      <c r="C948" t="s">
        <v>14651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15461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14652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14653</v>
      </c>
      <c r="C979" t="s">
        <v>14654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15462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15463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15464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15465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15466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15467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14655</v>
      </c>
      <c r="C1188" t="s">
        <v>14656</v>
      </c>
    </row>
    <row r="1189" spans="1:3" x14ac:dyDescent="0.25">
      <c r="A1189">
        <f t="shared" si="18"/>
        <v>4120501</v>
      </c>
      <c r="B1189" t="s">
        <v>14657</v>
      </c>
      <c r="C1189" t="s">
        <v>14658</v>
      </c>
    </row>
    <row r="1190" spans="1:3" x14ac:dyDescent="0.25">
      <c r="A1190">
        <f t="shared" si="18"/>
        <v>4120502</v>
      </c>
      <c r="B1190" t="s">
        <v>15114</v>
      </c>
      <c r="C1190" t="s">
        <v>15115</v>
      </c>
    </row>
    <row r="1191" spans="1:3" x14ac:dyDescent="0.25">
      <c r="A1191">
        <f t="shared" si="18"/>
        <v>4120505</v>
      </c>
      <c r="B1191" t="s">
        <v>14659</v>
      </c>
      <c r="C1191" t="s">
        <v>14660</v>
      </c>
    </row>
    <row r="1192" spans="1:3" x14ac:dyDescent="0.25">
      <c r="A1192">
        <f t="shared" si="18"/>
        <v>4120506</v>
      </c>
      <c r="B1192" t="s">
        <v>14661</v>
      </c>
      <c r="C1192" t="s">
        <v>14662</v>
      </c>
    </row>
    <row r="1193" spans="1:3" x14ac:dyDescent="0.25">
      <c r="A1193">
        <f t="shared" si="18"/>
        <v>4120507</v>
      </c>
      <c r="B1193" t="s">
        <v>15468</v>
      </c>
      <c r="C1193" t="s">
        <v>15469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15470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14663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14664</v>
      </c>
      <c r="C1299" t="s">
        <v>14665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15471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15116</v>
      </c>
      <c r="C1307" t="s">
        <v>15117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15472</v>
      </c>
      <c r="C1334" t="s">
        <v>15473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15474</v>
      </c>
      <c r="C1340" t="s">
        <v>15475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14666</v>
      </c>
    </row>
    <row r="1372" spans="1:3" x14ac:dyDescent="0.25">
      <c r="A1372">
        <f t="shared" si="21"/>
        <v>5101150</v>
      </c>
      <c r="B1372" t="s">
        <v>2336</v>
      </c>
      <c r="C1372" t="s">
        <v>15118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15119</v>
      </c>
      <c r="C1385" t="s">
        <v>15120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15121</v>
      </c>
    </row>
    <row r="1400" spans="1:3" x14ac:dyDescent="0.25">
      <c r="A1400">
        <f t="shared" si="21"/>
        <v>5101211</v>
      </c>
      <c r="B1400" t="s">
        <v>2388</v>
      </c>
      <c r="C1400" t="s">
        <v>15122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15123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15124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15125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15126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15127</v>
      </c>
    </row>
    <row r="1431" spans="1:3" x14ac:dyDescent="0.25">
      <c r="A1431">
        <f t="shared" si="22"/>
        <v>5101391</v>
      </c>
      <c r="B1431" t="s">
        <v>2444</v>
      </c>
      <c r="C1431" t="s">
        <v>15128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15129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14667</v>
      </c>
      <c r="C1477" t="s">
        <v>14668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15130</v>
      </c>
      <c r="C1482" t="s">
        <v>15131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15132</v>
      </c>
      <c r="C1493" t="s">
        <v>15133</v>
      </c>
    </row>
    <row r="1494" spans="1:3" x14ac:dyDescent="0.25">
      <c r="A1494">
        <f t="shared" si="23"/>
        <v>5101776</v>
      </c>
      <c r="B1494" t="s">
        <v>15134</v>
      </c>
      <c r="C1494" t="s">
        <v>15135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15136</v>
      </c>
      <c r="C1505" t="s">
        <v>15137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15476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15138</v>
      </c>
      <c r="C1641" t="s">
        <v>15139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15477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15478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14669</v>
      </c>
      <c r="C1726" t="s">
        <v>14670</v>
      </c>
    </row>
    <row r="1727" spans="1:3" x14ac:dyDescent="0.25">
      <c r="A1727">
        <f t="shared" si="26"/>
        <v>7700703</v>
      </c>
      <c r="B1727" t="s">
        <v>14671</v>
      </c>
      <c r="C1727" t="s">
        <v>14672</v>
      </c>
    </row>
    <row r="1728" spans="1:3" x14ac:dyDescent="0.25">
      <c r="A1728">
        <f t="shared" si="26"/>
        <v>7700704</v>
      </c>
      <c r="B1728" t="s">
        <v>14673</v>
      </c>
      <c r="C1728" t="s">
        <v>14674</v>
      </c>
    </row>
    <row r="1729" spans="1:3" x14ac:dyDescent="0.25">
      <c r="A1729">
        <f t="shared" si="26"/>
        <v>7700705</v>
      </c>
      <c r="B1729" t="s">
        <v>14675</v>
      </c>
      <c r="C1729" t="s">
        <v>14676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15479</v>
      </c>
    </row>
    <row r="1741" spans="1:3" x14ac:dyDescent="0.25">
      <c r="A1741">
        <f t="shared" si="27"/>
        <v>7701094</v>
      </c>
      <c r="B1741" t="s">
        <v>2968</v>
      </c>
      <c r="C1741" t="s">
        <v>15480</v>
      </c>
    </row>
    <row r="1742" spans="1:3" x14ac:dyDescent="0.25">
      <c r="A1742">
        <f t="shared" si="27"/>
        <v>7701095</v>
      </c>
      <c r="B1742" t="s">
        <v>15481</v>
      </c>
      <c r="C1742" t="s">
        <v>15482</v>
      </c>
    </row>
    <row r="1743" spans="1:3" x14ac:dyDescent="0.25">
      <c r="A1743">
        <f t="shared" si="27"/>
        <v>7701096</v>
      </c>
      <c r="B1743" t="s">
        <v>15483</v>
      </c>
      <c r="C1743" t="s">
        <v>15484</v>
      </c>
    </row>
    <row r="1744" spans="1:3" x14ac:dyDescent="0.25">
      <c r="A1744">
        <f t="shared" si="27"/>
        <v>7701097</v>
      </c>
      <c r="B1744" t="s">
        <v>15485</v>
      </c>
      <c r="C1744" t="s">
        <v>15486</v>
      </c>
    </row>
    <row r="1745" spans="1:3" x14ac:dyDescent="0.25">
      <c r="A1745">
        <f t="shared" si="27"/>
        <v>7701098</v>
      </c>
      <c r="B1745" t="s">
        <v>15487</v>
      </c>
      <c r="C1745" t="s">
        <v>15488</v>
      </c>
    </row>
    <row r="1746" spans="1:3" x14ac:dyDescent="0.25">
      <c r="A1746">
        <f t="shared" si="27"/>
        <v>7701099</v>
      </c>
      <c r="B1746" t="s">
        <v>15489</v>
      </c>
      <c r="C1746" t="s">
        <v>15490</v>
      </c>
    </row>
    <row r="1747" spans="1:3" x14ac:dyDescent="0.25">
      <c r="A1747">
        <f t="shared" si="27"/>
        <v>7701100</v>
      </c>
      <c r="B1747" t="s">
        <v>2969</v>
      </c>
      <c r="C1747" t="s">
        <v>15491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15492</v>
      </c>
    </row>
    <row r="1750" spans="1:3" x14ac:dyDescent="0.25">
      <c r="A1750">
        <f t="shared" si="27"/>
        <v>7701103</v>
      </c>
      <c r="B1750" t="s">
        <v>2973</v>
      </c>
      <c r="C1750" t="s">
        <v>15493</v>
      </c>
    </row>
    <row r="1751" spans="1:3" x14ac:dyDescent="0.25">
      <c r="A1751">
        <f t="shared" si="27"/>
        <v>7701104</v>
      </c>
      <c r="B1751" t="s">
        <v>2974</v>
      </c>
      <c r="C1751" t="s">
        <v>15494</v>
      </c>
    </row>
    <row r="1752" spans="1:3" x14ac:dyDescent="0.25">
      <c r="A1752">
        <f t="shared" si="27"/>
        <v>7701105</v>
      </c>
      <c r="B1752" t="s">
        <v>2975</v>
      </c>
      <c r="C1752" t="s">
        <v>15495</v>
      </c>
    </row>
    <row r="1753" spans="1:3" x14ac:dyDescent="0.25">
      <c r="A1753">
        <f t="shared" si="27"/>
        <v>7701106</v>
      </c>
      <c r="B1753" t="s">
        <v>15496</v>
      </c>
      <c r="C1753" t="s">
        <v>15497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15140</v>
      </c>
      <c r="C1763" t="s">
        <v>15141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15142</v>
      </c>
      <c r="C1804" t="s">
        <v>15143</v>
      </c>
    </row>
    <row r="1805" spans="1:3" x14ac:dyDescent="0.25">
      <c r="A1805">
        <f t="shared" si="28"/>
        <v>7703074</v>
      </c>
      <c r="B1805" t="s">
        <v>15498</v>
      </c>
      <c r="C1805" t="s">
        <v>15499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15500</v>
      </c>
      <c r="C1827" t="s">
        <v>15501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14677</v>
      </c>
      <c r="C1834" t="s">
        <v>14678</v>
      </c>
    </row>
    <row r="1835" spans="1:3" x14ac:dyDescent="0.25">
      <c r="A1835">
        <f t="shared" si="28"/>
        <v>7703251</v>
      </c>
      <c r="B1835" t="s">
        <v>14679</v>
      </c>
      <c r="C1835" t="s">
        <v>14680</v>
      </c>
    </row>
    <row r="1836" spans="1:3" x14ac:dyDescent="0.25">
      <c r="A1836">
        <f t="shared" si="28"/>
        <v>7703252</v>
      </c>
      <c r="B1836" t="s">
        <v>14681</v>
      </c>
      <c r="C1836" t="s">
        <v>14682</v>
      </c>
    </row>
    <row r="1837" spans="1:3" x14ac:dyDescent="0.25">
      <c r="A1837">
        <f t="shared" si="28"/>
        <v>7703253</v>
      </c>
      <c r="B1837" t="s">
        <v>14683</v>
      </c>
      <c r="C1837" t="s">
        <v>14684</v>
      </c>
    </row>
    <row r="1838" spans="1:3" x14ac:dyDescent="0.25">
      <c r="A1838">
        <f t="shared" si="28"/>
        <v>7703254</v>
      </c>
      <c r="B1838" t="s">
        <v>14685</v>
      </c>
      <c r="C1838" t="s">
        <v>14686</v>
      </c>
    </row>
    <row r="1839" spans="1:3" x14ac:dyDescent="0.25">
      <c r="A1839">
        <f t="shared" si="28"/>
        <v>7703255</v>
      </c>
      <c r="B1839" t="s">
        <v>14687</v>
      </c>
      <c r="C1839" t="s">
        <v>14688</v>
      </c>
    </row>
    <row r="1840" spans="1:3" x14ac:dyDescent="0.25">
      <c r="A1840">
        <f t="shared" si="28"/>
        <v>7703256</v>
      </c>
      <c r="B1840" t="s">
        <v>14689</v>
      </c>
      <c r="C1840" t="s">
        <v>14690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15502</v>
      </c>
      <c r="C1894" t="s">
        <v>15503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15144</v>
      </c>
      <c r="C1925" t="s">
        <v>15145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15146</v>
      </c>
      <c r="C1927" t="s">
        <v>15147</v>
      </c>
    </row>
    <row r="1928" spans="1:3" x14ac:dyDescent="0.25">
      <c r="A1928">
        <f t="shared" si="30"/>
        <v>7707027</v>
      </c>
      <c r="B1928" t="s">
        <v>15148</v>
      </c>
      <c r="C1928" t="s">
        <v>15149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14691</v>
      </c>
      <c r="C2055" t="s">
        <v>14692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15504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15505</v>
      </c>
      <c r="C2063" t="s">
        <v>15506</v>
      </c>
    </row>
    <row r="2064" spans="1:3" x14ac:dyDescent="0.25">
      <c r="A2064">
        <f t="shared" si="32"/>
        <v>7707829</v>
      </c>
      <c r="B2064" t="s">
        <v>15150</v>
      </c>
      <c r="C2064" t="s">
        <v>15151</v>
      </c>
    </row>
    <row r="2065" spans="1:3" x14ac:dyDescent="0.25">
      <c r="A2065">
        <f t="shared" si="32"/>
        <v>7707830</v>
      </c>
      <c r="B2065" t="s">
        <v>15152</v>
      </c>
      <c r="C2065" t="s">
        <v>15153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15154</v>
      </c>
      <c r="C2071" t="s">
        <v>15155</v>
      </c>
    </row>
    <row r="2072" spans="1:3" x14ac:dyDescent="0.25">
      <c r="A2072">
        <f t="shared" si="32"/>
        <v>7707837</v>
      </c>
      <c r="B2072" t="s">
        <v>15156</v>
      </c>
      <c r="C2072" t="s">
        <v>15157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15158</v>
      </c>
      <c r="C2074" t="s">
        <v>15159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15507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15508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15160</v>
      </c>
      <c r="C2101" t="s">
        <v>15161</v>
      </c>
    </row>
    <row r="2102" spans="1:3" x14ac:dyDescent="0.25">
      <c r="A2102">
        <f t="shared" si="32"/>
        <v>7709012</v>
      </c>
      <c r="B2102" t="s">
        <v>15162</v>
      </c>
      <c r="C2102" t="s">
        <v>15163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15509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14693</v>
      </c>
      <c r="C2123" t="s">
        <v>14694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15510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15511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15512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15164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15513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15165</v>
      </c>
      <c r="C2162" t="s">
        <v>15166</v>
      </c>
    </row>
    <row r="2163" spans="1:3" x14ac:dyDescent="0.25">
      <c r="A2163">
        <f t="shared" si="33"/>
        <v>7709164</v>
      </c>
      <c r="B2163" t="s">
        <v>15167</v>
      </c>
      <c r="C2163" t="s">
        <v>15168</v>
      </c>
    </row>
    <row r="2164" spans="1:3" x14ac:dyDescent="0.25">
      <c r="A2164" t="str">
        <f t="shared" si="33"/>
        <v/>
      </c>
      <c r="B2164" t="s">
        <v>15514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15515</v>
      </c>
      <c r="C2178" t="s">
        <v>15516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15169</v>
      </c>
    </row>
    <row r="2184" spans="1:3" x14ac:dyDescent="0.25">
      <c r="A2184" t="str">
        <f t="shared" si="34"/>
        <v/>
      </c>
      <c r="B2184" t="s">
        <v>15517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15518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15519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15170</v>
      </c>
      <c r="C2208" t="s">
        <v>15171</v>
      </c>
    </row>
    <row r="2209" spans="1:3" x14ac:dyDescent="0.25">
      <c r="A2209">
        <f t="shared" si="34"/>
        <v>7709354</v>
      </c>
      <c r="B2209" t="s">
        <v>15172</v>
      </c>
      <c r="C2209" t="s">
        <v>15173</v>
      </c>
    </row>
    <row r="2210" spans="1:3" x14ac:dyDescent="0.25">
      <c r="A2210">
        <f t="shared" si="34"/>
        <v>7709355</v>
      </c>
      <c r="B2210" t="s">
        <v>3900</v>
      </c>
      <c r="C2210" t="s">
        <v>15174</v>
      </c>
    </row>
    <row r="2211" spans="1:3" x14ac:dyDescent="0.25">
      <c r="A2211">
        <f t="shared" si="34"/>
        <v>7709356</v>
      </c>
      <c r="B2211" t="s">
        <v>15175</v>
      </c>
      <c r="C2211" t="s">
        <v>15176</v>
      </c>
    </row>
    <row r="2212" spans="1:3" x14ac:dyDescent="0.25">
      <c r="A2212">
        <f t="shared" si="34"/>
        <v>7709357</v>
      </c>
      <c r="B2212" t="s">
        <v>15177</v>
      </c>
      <c r="C2212" t="s">
        <v>15178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15179</v>
      </c>
      <c r="C2214" t="s">
        <v>15180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15181</v>
      </c>
      <c r="C2242" t="s">
        <v>15182</v>
      </c>
    </row>
    <row r="2243" spans="1:3" x14ac:dyDescent="0.25">
      <c r="A2243">
        <f t="shared" si="35"/>
        <v>7709428</v>
      </c>
      <c r="B2243" t="s">
        <v>15183</v>
      </c>
      <c r="C2243" t="s">
        <v>15184</v>
      </c>
    </row>
    <row r="2244" spans="1:3" x14ac:dyDescent="0.25">
      <c r="A2244">
        <f t="shared" si="35"/>
        <v>7709438</v>
      </c>
      <c r="B2244" t="s">
        <v>14695</v>
      </c>
      <c r="C2244" t="s">
        <v>14696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15520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15521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15522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15185</v>
      </c>
      <c r="C2369" t="s">
        <v>15186</v>
      </c>
    </row>
    <row r="2370" spans="1:3" x14ac:dyDescent="0.25">
      <c r="A2370">
        <f t="shared" ref="A2370:A2433" si="37">IFERROR(B2370*1,"")</f>
        <v>7709892</v>
      </c>
      <c r="B2370" t="s">
        <v>15187</v>
      </c>
      <c r="C2370" t="s">
        <v>15188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15189</v>
      </c>
      <c r="C2374" t="s">
        <v>15190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15523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15191</v>
      </c>
    </row>
    <row r="2383" spans="1:3" x14ac:dyDescent="0.25">
      <c r="A2383">
        <f t="shared" si="37"/>
        <v>7710002</v>
      </c>
      <c r="B2383" t="s">
        <v>15192</v>
      </c>
      <c r="C2383" t="s">
        <v>15524</v>
      </c>
    </row>
    <row r="2384" spans="1:3" x14ac:dyDescent="0.25">
      <c r="A2384">
        <f t="shared" si="37"/>
        <v>7710003</v>
      </c>
      <c r="B2384" t="s">
        <v>15193</v>
      </c>
      <c r="C2384" t="s">
        <v>15194</v>
      </c>
    </row>
    <row r="2385" spans="1:3" x14ac:dyDescent="0.25">
      <c r="A2385">
        <f t="shared" si="37"/>
        <v>7710004</v>
      </c>
      <c r="B2385" t="s">
        <v>15195</v>
      </c>
      <c r="C2385" t="s">
        <v>15196</v>
      </c>
    </row>
    <row r="2386" spans="1:3" x14ac:dyDescent="0.25">
      <c r="A2386">
        <f t="shared" si="37"/>
        <v>7710005</v>
      </c>
      <c r="B2386" t="s">
        <v>15525</v>
      </c>
      <c r="C2386" t="s">
        <v>15526</v>
      </c>
    </row>
    <row r="2387" spans="1:3" x14ac:dyDescent="0.25">
      <c r="A2387">
        <f t="shared" si="37"/>
        <v>7710006</v>
      </c>
      <c r="B2387" t="s">
        <v>15527</v>
      </c>
      <c r="C2387" t="s">
        <v>15528</v>
      </c>
    </row>
    <row r="2388" spans="1:3" x14ac:dyDescent="0.25">
      <c r="A2388">
        <f t="shared" si="37"/>
        <v>7710007</v>
      </c>
      <c r="B2388" t="s">
        <v>15529</v>
      </c>
      <c r="C2388" t="s">
        <v>15530</v>
      </c>
    </row>
    <row r="2389" spans="1:3" x14ac:dyDescent="0.25">
      <c r="A2389">
        <f t="shared" si="37"/>
        <v>7710008</v>
      </c>
      <c r="B2389" t="s">
        <v>15531</v>
      </c>
      <c r="C2389" t="s">
        <v>15532</v>
      </c>
    </row>
    <row r="2390" spans="1:3" x14ac:dyDescent="0.25">
      <c r="A2390">
        <f t="shared" si="37"/>
        <v>7710009</v>
      </c>
      <c r="B2390" t="s">
        <v>15533</v>
      </c>
      <c r="C2390" t="s">
        <v>15534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15535</v>
      </c>
    </row>
    <row r="2396" spans="1:3" x14ac:dyDescent="0.25">
      <c r="A2396">
        <f t="shared" si="37"/>
        <v>7710031</v>
      </c>
      <c r="B2396" t="s">
        <v>4288</v>
      </c>
      <c r="C2396" t="s">
        <v>15536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15537</v>
      </c>
      <c r="C2398" t="s">
        <v>15538</v>
      </c>
    </row>
    <row r="2399" spans="1:3" x14ac:dyDescent="0.25">
      <c r="A2399">
        <f t="shared" si="37"/>
        <v>7710040</v>
      </c>
      <c r="B2399" t="s">
        <v>15197</v>
      </c>
      <c r="C2399" t="s">
        <v>15198</v>
      </c>
    </row>
    <row r="2400" spans="1:3" x14ac:dyDescent="0.25">
      <c r="A2400">
        <f t="shared" si="37"/>
        <v>7710041</v>
      </c>
      <c r="B2400" t="s">
        <v>15199</v>
      </c>
      <c r="C2400" t="s">
        <v>15200</v>
      </c>
    </row>
    <row r="2401" spans="1:3" x14ac:dyDescent="0.25">
      <c r="A2401">
        <f t="shared" si="37"/>
        <v>7710042</v>
      </c>
      <c r="B2401" t="s">
        <v>15201</v>
      </c>
      <c r="C2401" t="s">
        <v>15202</v>
      </c>
    </row>
    <row r="2402" spans="1:3" x14ac:dyDescent="0.25">
      <c r="A2402">
        <f t="shared" si="37"/>
        <v>7710043</v>
      </c>
      <c r="B2402" t="s">
        <v>15203</v>
      </c>
      <c r="C2402" t="s">
        <v>15204</v>
      </c>
    </row>
    <row r="2403" spans="1:3" x14ac:dyDescent="0.25">
      <c r="A2403">
        <f t="shared" si="37"/>
        <v>7710044</v>
      </c>
      <c r="B2403" t="s">
        <v>15205</v>
      </c>
      <c r="C2403" t="s">
        <v>15206</v>
      </c>
    </row>
    <row r="2404" spans="1:3" x14ac:dyDescent="0.25">
      <c r="A2404">
        <f t="shared" si="37"/>
        <v>7710045</v>
      </c>
      <c r="B2404" t="s">
        <v>15207</v>
      </c>
      <c r="C2404" t="s">
        <v>15208</v>
      </c>
    </row>
    <row r="2405" spans="1:3" x14ac:dyDescent="0.25">
      <c r="A2405">
        <f t="shared" si="37"/>
        <v>7710046</v>
      </c>
      <c r="B2405" t="s">
        <v>15209</v>
      </c>
      <c r="C2405" t="s">
        <v>15210</v>
      </c>
    </row>
    <row r="2406" spans="1:3" x14ac:dyDescent="0.25">
      <c r="A2406">
        <f t="shared" si="37"/>
        <v>7710047</v>
      </c>
      <c r="B2406" t="s">
        <v>15211</v>
      </c>
      <c r="C2406" t="s">
        <v>15212</v>
      </c>
    </row>
    <row r="2407" spans="1:3" x14ac:dyDescent="0.25">
      <c r="A2407">
        <f t="shared" si="37"/>
        <v>7710048</v>
      </c>
      <c r="B2407" t="s">
        <v>15213</v>
      </c>
      <c r="C2407" t="s">
        <v>15214</v>
      </c>
    </row>
    <row r="2408" spans="1:3" x14ac:dyDescent="0.25">
      <c r="A2408">
        <f t="shared" si="37"/>
        <v>7710049</v>
      </c>
      <c r="B2408" t="s">
        <v>15215</v>
      </c>
      <c r="C2408" t="s">
        <v>15216</v>
      </c>
    </row>
    <row r="2409" spans="1:3" x14ac:dyDescent="0.25">
      <c r="A2409">
        <f t="shared" si="37"/>
        <v>7710221</v>
      </c>
      <c r="B2409" t="s">
        <v>15217</v>
      </c>
      <c r="C2409" t="s">
        <v>15218</v>
      </c>
    </row>
    <row r="2410" spans="1:3" x14ac:dyDescent="0.25">
      <c r="A2410">
        <f t="shared" si="37"/>
        <v>7710230</v>
      </c>
      <c r="B2410" t="s">
        <v>15219</v>
      </c>
      <c r="C2410" t="s">
        <v>15220</v>
      </c>
    </row>
    <row r="2411" spans="1:3" x14ac:dyDescent="0.25">
      <c r="A2411">
        <f t="shared" si="37"/>
        <v>7710231</v>
      </c>
      <c r="B2411" t="s">
        <v>15221</v>
      </c>
      <c r="C2411" t="s">
        <v>15222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15539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14697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14698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15223</v>
      </c>
      <c r="C2492" t="s">
        <v>15224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15225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15226</v>
      </c>
      <c r="C2511" t="s">
        <v>15227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15228</v>
      </c>
      <c r="C2533" t="s">
        <v>15229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15540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14699</v>
      </c>
      <c r="C2583" t="s">
        <v>14700</v>
      </c>
    </row>
    <row r="2584" spans="1:3" x14ac:dyDescent="0.25">
      <c r="A2584">
        <f t="shared" si="40"/>
        <v>8400008</v>
      </c>
      <c r="B2584" t="s">
        <v>4697</v>
      </c>
      <c r="C2584" t="s">
        <v>14701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14702</v>
      </c>
      <c r="C2599" t="s">
        <v>14703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15230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15231</v>
      </c>
      <c r="C2668" t="s">
        <v>15232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15233</v>
      </c>
      <c r="C2711" t="s">
        <v>15234</v>
      </c>
    </row>
    <row r="2712" spans="1:3" x14ac:dyDescent="0.25">
      <c r="A2712">
        <f t="shared" si="42"/>
        <v>8401134</v>
      </c>
      <c r="B2712" t="s">
        <v>15235</v>
      </c>
      <c r="C2712" t="s">
        <v>15236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15541</v>
      </c>
    </row>
    <row r="2750" spans="1:3" x14ac:dyDescent="0.25">
      <c r="A2750">
        <f t="shared" si="42"/>
        <v>8503092</v>
      </c>
      <c r="B2750" t="s">
        <v>14704</v>
      </c>
      <c r="C2750" t="s">
        <v>14705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15237</v>
      </c>
      <c r="C2755" t="s">
        <v>15238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15239</v>
      </c>
      <c r="C2763" t="s">
        <v>15240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14706</v>
      </c>
      <c r="C2777" t="s">
        <v>14707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15241</v>
      </c>
      <c r="C2940" t="s">
        <v>15242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15542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15243</v>
      </c>
      <c r="C2989" t="s">
        <v>15244</v>
      </c>
    </row>
    <row r="2990" spans="1:3" x14ac:dyDescent="0.25">
      <c r="A2990">
        <f t="shared" si="46"/>
        <v>8505402</v>
      </c>
      <c r="B2990" t="s">
        <v>15245</v>
      </c>
      <c r="C2990" t="s">
        <v>15246</v>
      </c>
    </row>
    <row r="2991" spans="1:3" x14ac:dyDescent="0.25">
      <c r="A2991">
        <f t="shared" si="46"/>
        <v>8505403</v>
      </c>
      <c r="B2991" t="s">
        <v>15247</v>
      </c>
      <c r="C2991" t="s">
        <v>15248</v>
      </c>
    </row>
    <row r="2992" spans="1:3" x14ac:dyDescent="0.25">
      <c r="A2992">
        <f t="shared" si="46"/>
        <v>8505404</v>
      </c>
      <c r="B2992" t="s">
        <v>15249</v>
      </c>
      <c r="C2992" t="s">
        <v>15250</v>
      </c>
    </row>
    <row r="2993" spans="1:3" x14ac:dyDescent="0.25">
      <c r="A2993">
        <f t="shared" si="46"/>
        <v>8505405</v>
      </c>
      <c r="B2993" t="s">
        <v>15251</v>
      </c>
      <c r="C2993" t="s">
        <v>15252</v>
      </c>
    </row>
    <row r="2994" spans="1:3" x14ac:dyDescent="0.25">
      <c r="A2994">
        <f t="shared" si="46"/>
        <v>8505406</v>
      </c>
      <c r="B2994" t="s">
        <v>15253</v>
      </c>
      <c r="C2994" t="s">
        <v>15254</v>
      </c>
    </row>
    <row r="2995" spans="1:3" x14ac:dyDescent="0.25">
      <c r="A2995">
        <f t="shared" si="46"/>
        <v>8505590</v>
      </c>
      <c r="B2995" t="s">
        <v>15543</v>
      </c>
      <c r="C2995" t="s">
        <v>15544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15255</v>
      </c>
      <c r="C3027" t="s">
        <v>15256</v>
      </c>
    </row>
    <row r="3028" spans="1:3" x14ac:dyDescent="0.25">
      <c r="A3028">
        <f t="shared" si="47"/>
        <v>8505801</v>
      </c>
      <c r="B3028" t="s">
        <v>15257</v>
      </c>
      <c r="C3028" t="s">
        <v>15258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15259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15260</v>
      </c>
      <c r="C3071" t="s">
        <v>15261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15262</v>
      </c>
      <c r="C3103" t="s">
        <v>15263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14708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15545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14709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14710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14711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14712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14713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14714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14715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15264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14717</v>
      </c>
      <c r="C3288" t="s">
        <v>14718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15265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14720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14721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14722</v>
      </c>
      <c r="C3330" t="s">
        <v>14723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15546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15266</v>
      </c>
      <c r="C3361" t="s">
        <v>15267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14724</v>
      </c>
    </row>
    <row r="3372" spans="1:3" x14ac:dyDescent="0.25">
      <c r="A3372">
        <f t="shared" si="52"/>
        <v>8612057</v>
      </c>
      <c r="B3372" t="s">
        <v>6447</v>
      </c>
      <c r="C3372" t="s">
        <v>14725</v>
      </c>
    </row>
    <row r="3373" spans="1:3" x14ac:dyDescent="0.25">
      <c r="A3373">
        <f t="shared" si="52"/>
        <v>8612058</v>
      </c>
      <c r="B3373" t="s">
        <v>6450</v>
      </c>
      <c r="C3373" t="s">
        <v>14726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14727</v>
      </c>
      <c r="C3380" t="s">
        <v>14728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14729</v>
      </c>
    </row>
    <row r="3400" spans="1:3" x14ac:dyDescent="0.25">
      <c r="A3400">
        <f t="shared" si="53"/>
        <v>8614016</v>
      </c>
      <c r="B3400" t="s">
        <v>14730</v>
      </c>
      <c r="C3400" t="s">
        <v>14731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14732</v>
      </c>
    </row>
    <row r="3411" spans="1:3" x14ac:dyDescent="0.25">
      <c r="A3411">
        <f t="shared" si="53"/>
        <v>8692011</v>
      </c>
      <c r="B3411" t="s">
        <v>6528</v>
      </c>
      <c r="C3411" t="s">
        <v>14733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14734</v>
      </c>
    </row>
    <row r="3415" spans="1:3" x14ac:dyDescent="0.25">
      <c r="A3415">
        <f t="shared" si="53"/>
        <v>8692231</v>
      </c>
      <c r="B3415" t="s">
        <v>14735</v>
      </c>
      <c r="C3415" t="s">
        <v>14736</v>
      </c>
    </row>
    <row r="3416" spans="1:3" x14ac:dyDescent="0.25">
      <c r="A3416">
        <f t="shared" si="53"/>
        <v>8692232</v>
      </c>
      <c r="B3416" t="s">
        <v>14737</v>
      </c>
      <c r="C3416" t="s">
        <v>14738</v>
      </c>
    </row>
    <row r="3417" spans="1:3" x14ac:dyDescent="0.25">
      <c r="A3417">
        <f t="shared" si="53"/>
        <v>8692233</v>
      </c>
      <c r="B3417" t="s">
        <v>14739</v>
      </c>
      <c r="C3417" t="s">
        <v>14740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15268</v>
      </c>
      <c r="C3454" t="s">
        <v>15269</v>
      </c>
    </row>
    <row r="3455" spans="1:3" x14ac:dyDescent="0.25">
      <c r="A3455">
        <f t="shared" si="53"/>
        <v>8701255</v>
      </c>
      <c r="B3455" t="s">
        <v>15270</v>
      </c>
      <c r="C3455" t="s">
        <v>15271</v>
      </c>
    </row>
    <row r="3456" spans="1:3" x14ac:dyDescent="0.25">
      <c r="A3456">
        <f t="shared" si="53"/>
        <v>8701325</v>
      </c>
      <c r="B3456" t="s">
        <v>15272</v>
      </c>
      <c r="C3456" t="s">
        <v>15273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14741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15274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14742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15275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15276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15277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15278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15279</v>
      </c>
      <c r="C3590" t="s">
        <v>15280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15281</v>
      </c>
      <c r="C3593" t="s">
        <v>15282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15547</v>
      </c>
    </row>
    <row r="3597" spans="1:3" x14ac:dyDescent="0.25">
      <c r="A3597">
        <f t="shared" si="56"/>
        <v>8703350</v>
      </c>
      <c r="B3597" t="s">
        <v>6962</v>
      </c>
      <c r="C3597" t="s">
        <v>15283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15284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15285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15286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15287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15288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15289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14743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14744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15290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14745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15291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15292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15293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15294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14746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14747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14748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15295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15296</v>
      </c>
      <c r="C3897" t="s">
        <v>15297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14749</v>
      </c>
      <c r="C3900" t="s">
        <v>14750</v>
      </c>
    </row>
    <row r="3901" spans="1:3" x14ac:dyDescent="0.25">
      <c r="A3901">
        <f t="shared" si="60"/>
        <v>8708310</v>
      </c>
      <c r="B3901" t="s">
        <v>14751</v>
      </c>
      <c r="C3901" t="s">
        <v>14752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14753</v>
      </c>
      <c r="C3907" t="s">
        <v>14754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15298</v>
      </c>
      <c r="C3909" t="s">
        <v>15299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15548</v>
      </c>
      <c r="C3913" t="s">
        <v>15549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15300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14755</v>
      </c>
      <c r="C3940" t="s">
        <v>14756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15301</v>
      </c>
      <c r="C3947" t="s">
        <v>15302</v>
      </c>
    </row>
    <row r="3948" spans="1:3" x14ac:dyDescent="0.25">
      <c r="A3948">
        <f t="shared" si="61"/>
        <v>8708997</v>
      </c>
      <c r="B3948" t="s">
        <v>15303</v>
      </c>
      <c r="C3948" t="s">
        <v>15304</v>
      </c>
    </row>
    <row r="3949" spans="1:3" x14ac:dyDescent="0.25">
      <c r="A3949">
        <f t="shared" si="61"/>
        <v>8708998</v>
      </c>
      <c r="B3949" t="s">
        <v>15305</v>
      </c>
      <c r="C3949" t="s">
        <v>15306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15307</v>
      </c>
      <c r="C3951" t="s">
        <v>15308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15550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14757</v>
      </c>
      <c r="C3973" t="s">
        <v>14758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15551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15552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15553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15554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15555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15556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15557</v>
      </c>
    </row>
    <row r="4065" spans="1:3" x14ac:dyDescent="0.25">
      <c r="A4065" t="str">
        <f t="shared" si="63"/>
        <v/>
      </c>
      <c r="B4065" t="s">
        <v>15558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15559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15560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15561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15562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15563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15564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15565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15566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15567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15568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15569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15570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15571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15309</v>
      </c>
      <c r="C4098" t="s">
        <v>15310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15572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15573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15574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15575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15311</v>
      </c>
      <c r="C4180" t="s">
        <v>15312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15576</v>
      </c>
      <c r="C4187" t="s">
        <v>15577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15578</v>
      </c>
      <c r="C4208" t="s">
        <v>15579</v>
      </c>
    </row>
    <row r="4209" spans="1:3" x14ac:dyDescent="0.25">
      <c r="A4209" t="str">
        <f t="shared" si="65"/>
        <v/>
      </c>
      <c r="B4209" t="s">
        <v>15580</v>
      </c>
      <c r="C4209" t="s">
        <v>15581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15582</v>
      </c>
      <c r="C4213" t="s">
        <v>15583</v>
      </c>
    </row>
    <row r="4214" spans="1:3" x14ac:dyDescent="0.25">
      <c r="A4214" t="str">
        <f t="shared" si="65"/>
        <v/>
      </c>
      <c r="B4214" t="s">
        <v>15584</v>
      </c>
      <c r="C4214" t="s">
        <v>15585</v>
      </c>
    </row>
    <row r="4215" spans="1:3" x14ac:dyDescent="0.25">
      <c r="A4215" t="str">
        <f t="shared" si="65"/>
        <v/>
      </c>
      <c r="B4215" t="s">
        <v>15586</v>
      </c>
      <c r="C4215" t="s">
        <v>15587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15313</v>
      </c>
    </row>
    <row r="4224" spans="1:3" x14ac:dyDescent="0.25">
      <c r="A4224" t="str">
        <f t="shared" si="65"/>
        <v/>
      </c>
      <c r="B4224" t="s">
        <v>15314</v>
      </c>
      <c r="C4224" t="s">
        <v>15315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15316</v>
      </c>
      <c r="C4232" t="s">
        <v>15317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15588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15589</v>
      </c>
      <c r="C4248" t="s">
        <v>15590</v>
      </c>
    </row>
    <row r="4249" spans="1:3" x14ac:dyDescent="0.25">
      <c r="A4249" t="str">
        <f t="shared" si="66"/>
        <v/>
      </c>
      <c r="B4249" t="s">
        <v>15591</v>
      </c>
      <c r="C4249" t="s">
        <v>15592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15593</v>
      </c>
      <c r="C4256" t="s">
        <v>15594</v>
      </c>
    </row>
    <row r="4257" spans="1:3" x14ac:dyDescent="0.25">
      <c r="A4257" t="str">
        <f t="shared" si="66"/>
        <v/>
      </c>
      <c r="B4257" t="s">
        <v>15595</v>
      </c>
      <c r="C4257" t="s">
        <v>15596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15318</v>
      </c>
      <c r="C4261" t="s">
        <v>15318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15597</v>
      </c>
      <c r="C4265" t="s">
        <v>15598</v>
      </c>
    </row>
    <row r="4266" spans="1:3" x14ac:dyDescent="0.25">
      <c r="A4266" t="str">
        <f t="shared" si="66"/>
        <v/>
      </c>
      <c r="B4266" t="s">
        <v>15599</v>
      </c>
      <c r="C4266" t="s">
        <v>15600</v>
      </c>
    </row>
    <row r="4267" spans="1:3" x14ac:dyDescent="0.25">
      <c r="A4267" t="str">
        <f t="shared" si="66"/>
        <v/>
      </c>
      <c r="B4267" t="s">
        <v>15601</v>
      </c>
      <c r="C4267" t="s">
        <v>15602</v>
      </c>
    </row>
    <row r="4268" spans="1:3" x14ac:dyDescent="0.25">
      <c r="A4268" t="str">
        <f t="shared" si="66"/>
        <v/>
      </c>
      <c r="B4268" t="s">
        <v>15603</v>
      </c>
      <c r="C4268" t="s">
        <v>15604</v>
      </c>
    </row>
    <row r="4269" spans="1:3" x14ac:dyDescent="0.25">
      <c r="A4269" t="str">
        <f t="shared" si="66"/>
        <v/>
      </c>
      <c r="B4269" t="s">
        <v>15605</v>
      </c>
      <c r="C4269" t="s">
        <v>15606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15607</v>
      </c>
      <c r="C4271" t="s">
        <v>15608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15609</v>
      </c>
      <c r="C4275" t="s">
        <v>15610</v>
      </c>
    </row>
    <row r="4276" spans="1:3" x14ac:dyDescent="0.25">
      <c r="A4276" t="str">
        <f t="shared" si="66"/>
        <v/>
      </c>
      <c r="B4276" t="s">
        <v>15611</v>
      </c>
    </row>
    <row r="4277" spans="1:3" x14ac:dyDescent="0.25">
      <c r="A4277" t="str">
        <f t="shared" si="66"/>
        <v/>
      </c>
      <c r="B4277" t="s">
        <v>15319</v>
      </c>
      <c r="C4277" t="s">
        <v>15320</v>
      </c>
    </row>
    <row r="4278" spans="1:3" x14ac:dyDescent="0.25">
      <c r="A4278" t="str">
        <f t="shared" si="66"/>
        <v/>
      </c>
      <c r="B4278" t="s">
        <v>15612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14715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14716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14717</v>
      </c>
      <c r="C4310" t="s">
        <v>14718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14719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14720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14721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14722</v>
      </c>
      <c r="C4374" t="s">
        <v>14723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14724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14725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14726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14727</v>
      </c>
      <c r="C4438" t="s">
        <v>14728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14729</v>
      </c>
    </row>
    <row r="4461" spans="1:3" x14ac:dyDescent="0.25">
      <c r="A4461">
        <f t="shared" si="69"/>
        <v>8614016</v>
      </c>
      <c r="B4461" t="s">
        <v>14730</v>
      </c>
      <c r="C4461" t="s">
        <v>14731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14732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14733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14734</v>
      </c>
    </row>
    <row r="4483" spans="1:3" x14ac:dyDescent="0.25">
      <c r="A4483">
        <f t="shared" si="70"/>
        <v>8692231</v>
      </c>
      <c r="B4483" t="s">
        <v>14735</v>
      </c>
      <c r="C4483" t="s">
        <v>14736</v>
      </c>
    </row>
    <row r="4484" spans="1:3" x14ac:dyDescent="0.25">
      <c r="A4484">
        <f t="shared" si="70"/>
        <v>8692232</v>
      </c>
      <c r="B4484" t="s">
        <v>14737</v>
      </c>
      <c r="C4484" t="s">
        <v>14738</v>
      </c>
    </row>
    <row r="4485" spans="1:3" x14ac:dyDescent="0.25">
      <c r="A4485">
        <f t="shared" si="70"/>
        <v>8692233</v>
      </c>
      <c r="B4485" t="s">
        <v>14739</v>
      </c>
      <c r="C4485" t="s">
        <v>14740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14741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14742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14743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14744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14745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14746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14747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14748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14749</v>
      </c>
      <c r="C5093" t="s">
        <v>14750</v>
      </c>
    </row>
    <row r="5094" spans="1:3" x14ac:dyDescent="0.25">
      <c r="A5094">
        <f t="shared" si="79"/>
        <v>8708310</v>
      </c>
      <c r="B5094" t="s">
        <v>14751</v>
      </c>
      <c r="C5094" t="s">
        <v>14752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14753</v>
      </c>
      <c r="C5100" t="s">
        <v>14754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14755</v>
      </c>
      <c r="C5135" t="s">
        <v>14756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14757</v>
      </c>
      <c r="C5173" t="s">
        <v>14758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14759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14760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14761</v>
      </c>
    </row>
    <row r="5535" spans="1:3" x14ac:dyDescent="0.25">
      <c r="A5535">
        <f t="shared" si="86"/>
        <v>7703605</v>
      </c>
      <c r="B5535" t="s">
        <v>3148</v>
      </c>
      <c r="C5535" t="s">
        <v>14762</v>
      </c>
    </row>
    <row r="5536" spans="1:3" x14ac:dyDescent="0.25">
      <c r="A5536">
        <f t="shared" si="86"/>
        <v>7703605</v>
      </c>
      <c r="B5536" t="s">
        <v>3148</v>
      </c>
      <c r="C5536" t="s">
        <v>14760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14761</v>
      </c>
    </row>
    <row r="5539" spans="1:3" x14ac:dyDescent="0.25">
      <c r="A5539">
        <f t="shared" si="86"/>
        <v>7703606</v>
      </c>
      <c r="B5539" t="s">
        <v>3150</v>
      </c>
      <c r="C5539" t="s">
        <v>14762</v>
      </c>
    </row>
    <row r="5540" spans="1:3" x14ac:dyDescent="0.25">
      <c r="A5540">
        <f t="shared" si="86"/>
        <v>7703606</v>
      </c>
      <c r="B5540" t="s">
        <v>3150</v>
      </c>
      <c r="C5540" t="s">
        <v>14760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14761</v>
      </c>
    </row>
    <row r="5543" spans="1:3" x14ac:dyDescent="0.25">
      <c r="A5543">
        <f t="shared" si="86"/>
        <v>7703607</v>
      </c>
      <c r="B5543" t="s">
        <v>3152</v>
      </c>
      <c r="C5543" t="s">
        <v>14762</v>
      </c>
    </row>
    <row r="5544" spans="1:3" x14ac:dyDescent="0.25">
      <c r="A5544">
        <f t="shared" si="86"/>
        <v>7703607</v>
      </c>
      <c r="B5544" t="s">
        <v>3152</v>
      </c>
      <c r="C5544" t="s">
        <v>14760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14761</v>
      </c>
    </row>
    <row r="5547" spans="1:3" x14ac:dyDescent="0.25">
      <c r="A5547">
        <f t="shared" si="86"/>
        <v>7703640</v>
      </c>
      <c r="B5547" t="s">
        <v>3154</v>
      </c>
      <c r="C5547" t="s">
        <v>14763</v>
      </c>
    </row>
    <row r="5548" spans="1:3" x14ac:dyDescent="0.25">
      <c r="A5548">
        <f t="shared" si="86"/>
        <v>7703640</v>
      </c>
      <c r="B5548" t="s">
        <v>3154</v>
      </c>
      <c r="C5548" t="s">
        <v>14762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14761</v>
      </c>
    </row>
    <row r="5554" spans="1:3" x14ac:dyDescent="0.25">
      <c r="A5554">
        <f t="shared" si="86"/>
        <v>7703660</v>
      </c>
      <c r="B5554" t="s">
        <v>3162</v>
      </c>
      <c r="C5554" t="s">
        <v>14762</v>
      </c>
    </row>
    <row r="5555" spans="1:3" x14ac:dyDescent="0.25">
      <c r="A5555">
        <f t="shared" si="86"/>
        <v>7703660</v>
      </c>
      <c r="B5555" t="s">
        <v>3162</v>
      </c>
      <c r="C5555" t="s">
        <v>14760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14761</v>
      </c>
    </row>
    <row r="5558" spans="1:3" x14ac:dyDescent="0.25">
      <c r="A5558">
        <f t="shared" si="86"/>
        <v>7703664</v>
      </c>
      <c r="B5558" t="s">
        <v>3164</v>
      </c>
      <c r="C5558" t="s">
        <v>14764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14761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14762</v>
      </c>
    </row>
    <row r="5563" spans="1:3" x14ac:dyDescent="0.25">
      <c r="A5563">
        <f t="shared" si="86"/>
        <v>7703666</v>
      </c>
      <c r="B5563" t="s">
        <v>3168</v>
      </c>
      <c r="C5563" t="s">
        <v>14760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14761</v>
      </c>
    </row>
    <row r="5569" spans="1:3" x14ac:dyDescent="0.25">
      <c r="A5569">
        <f t="shared" si="86"/>
        <v>7703670</v>
      </c>
      <c r="B5569" t="s">
        <v>3176</v>
      </c>
      <c r="C5569" t="s">
        <v>14762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14760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14762</v>
      </c>
    </row>
    <row r="5574" spans="1:3" x14ac:dyDescent="0.25">
      <c r="A5574">
        <f t="shared" si="87"/>
        <v>7703671</v>
      </c>
      <c r="B5574" t="s">
        <v>3179</v>
      </c>
      <c r="C5574" t="s">
        <v>14760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14761</v>
      </c>
    </row>
    <row r="5577" spans="1:3" x14ac:dyDescent="0.25">
      <c r="A5577">
        <f t="shared" si="87"/>
        <v>7703672</v>
      </c>
      <c r="B5577" t="s">
        <v>3181</v>
      </c>
      <c r="C5577" t="s">
        <v>14762</v>
      </c>
    </row>
    <row r="5578" spans="1:3" x14ac:dyDescent="0.25">
      <c r="A5578">
        <f t="shared" si="87"/>
        <v>7703672</v>
      </c>
      <c r="B5578" t="s">
        <v>3181</v>
      </c>
      <c r="C5578" t="s">
        <v>14760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14761</v>
      </c>
    </row>
    <row r="5581" spans="1:3" x14ac:dyDescent="0.25">
      <c r="A5581">
        <f t="shared" si="87"/>
        <v>7703673</v>
      </c>
      <c r="B5581" t="s">
        <v>3183</v>
      </c>
      <c r="C5581" t="s">
        <v>14762</v>
      </c>
    </row>
    <row r="5582" spans="1:3" x14ac:dyDescent="0.25">
      <c r="A5582">
        <f t="shared" si="87"/>
        <v>7703673</v>
      </c>
      <c r="B5582" t="s">
        <v>3183</v>
      </c>
      <c r="C5582" t="s">
        <v>14760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14761</v>
      </c>
    </row>
    <row r="5585" spans="1:3" x14ac:dyDescent="0.25">
      <c r="A5585">
        <f t="shared" si="87"/>
        <v>7703674</v>
      </c>
      <c r="B5585" t="s">
        <v>3185</v>
      </c>
      <c r="C5585" t="s">
        <v>14762</v>
      </c>
    </row>
    <row r="5586" spans="1:3" x14ac:dyDescent="0.25">
      <c r="A5586">
        <f t="shared" si="87"/>
        <v>7703674</v>
      </c>
      <c r="B5586" t="s">
        <v>3185</v>
      </c>
      <c r="C5586" t="s">
        <v>14760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14761</v>
      </c>
    </row>
    <row r="5589" spans="1:3" x14ac:dyDescent="0.25">
      <c r="A5589">
        <f t="shared" si="87"/>
        <v>7703675</v>
      </c>
      <c r="B5589" t="s">
        <v>3187</v>
      </c>
      <c r="C5589" t="s">
        <v>14762</v>
      </c>
    </row>
    <row r="5590" spans="1:3" x14ac:dyDescent="0.25">
      <c r="A5590">
        <f t="shared" si="87"/>
        <v>7703675</v>
      </c>
      <c r="B5590" t="s">
        <v>3187</v>
      </c>
      <c r="C5590" t="s">
        <v>14760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14761</v>
      </c>
    </row>
    <row r="5593" spans="1:3" x14ac:dyDescent="0.25">
      <c r="A5593">
        <f t="shared" si="87"/>
        <v>7703676</v>
      </c>
      <c r="B5593" t="s">
        <v>3189</v>
      </c>
      <c r="C5593" t="s">
        <v>14762</v>
      </c>
    </row>
    <row r="5594" spans="1:3" x14ac:dyDescent="0.25">
      <c r="A5594">
        <f t="shared" si="87"/>
        <v>7703676</v>
      </c>
      <c r="B5594" t="s">
        <v>3189</v>
      </c>
      <c r="C5594" t="s">
        <v>14760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14761</v>
      </c>
    </row>
    <row r="5597" spans="1:3" x14ac:dyDescent="0.25">
      <c r="A5597">
        <f t="shared" si="87"/>
        <v>7703678</v>
      </c>
      <c r="B5597" t="s">
        <v>3191</v>
      </c>
      <c r="C5597" t="s">
        <v>14762</v>
      </c>
    </row>
    <row r="5598" spans="1:3" x14ac:dyDescent="0.25">
      <c r="A5598">
        <f t="shared" si="87"/>
        <v>7703678</v>
      </c>
      <c r="B5598" t="s">
        <v>3191</v>
      </c>
      <c r="C5598" t="s">
        <v>14760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14761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14761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14761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14761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14761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14762</v>
      </c>
    </row>
    <row r="5619" spans="1:3" x14ac:dyDescent="0.25">
      <c r="A5619">
        <f t="shared" si="87"/>
        <v>7703713</v>
      </c>
      <c r="B5619" t="s">
        <v>3213</v>
      </c>
      <c r="C5619" t="s">
        <v>14760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14761</v>
      </c>
    </row>
    <row r="5625" spans="1:3" x14ac:dyDescent="0.25">
      <c r="A5625">
        <f t="shared" si="87"/>
        <v>7703780</v>
      </c>
      <c r="B5625" t="s">
        <v>3220</v>
      </c>
      <c r="C5625" t="s">
        <v>14762</v>
      </c>
    </row>
    <row r="5626" spans="1:3" x14ac:dyDescent="0.25">
      <c r="A5626">
        <f t="shared" si="87"/>
        <v>7703780</v>
      </c>
      <c r="B5626" t="s">
        <v>3220</v>
      </c>
      <c r="C5626" t="s">
        <v>14760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14765</v>
      </c>
    </row>
    <row r="5629" spans="1:3" x14ac:dyDescent="0.25">
      <c r="A5629">
        <f t="shared" si="87"/>
        <v>7703815</v>
      </c>
      <c r="B5629" t="s">
        <v>3222</v>
      </c>
      <c r="C5629" t="s">
        <v>14762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14765</v>
      </c>
    </row>
    <row r="5632" spans="1:3" x14ac:dyDescent="0.25">
      <c r="A5632">
        <f t="shared" si="87"/>
        <v>7703881</v>
      </c>
      <c r="B5632" t="s">
        <v>3224</v>
      </c>
      <c r="C5632" t="s">
        <v>14762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14762</v>
      </c>
    </row>
    <row r="5638" spans="1:3" x14ac:dyDescent="0.25">
      <c r="A5638">
        <f t="shared" si="88"/>
        <v>7703901</v>
      </c>
      <c r="B5638" t="s">
        <v>3230</v>
      </c>
      <c r="C5638" t="s">
        <v>14760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14762</v>
      </c>
    </row>
    <row r="5642" spans="1:3" x14ac:dyDescent="0.25">
      <c r="A5642">
        <f t="shared" si="88"/>
        <v>7703902</v>
      </c>
      <c r="B5642" t="s">
        <v>3233</v>
      </c>
      <c r="C5642" t="s">
        <v>14760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14762</v>
      </c>
    </row>
    <row r="5646" spans="1:3" x14ac:dyDescent="0.25">
      <c r="A5646">
        <f t="shared" si="88"/>
        <v>7703903</v>
      </c>
      <c r="B5646" t="s">
        <v>3236</v>
      </c>
      <c r="C5646" t="s">
        <v>14760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14762</v>
      </c>
    </row>
    <row r="5650" spans="1:3" x14ac:dyDescent="0.25">
      <c r="A5650">
        <f t="shared" si="88"/>
        <v>7703910</v>
      </c>
      <c r="B5650" t="s">
        <v>3239</v>
      </c>
      <c r="C5650" t="s">
        <v>14760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14762</v>
      </c>
    </row>
    <row r="5655" spans="1:3" x14ac:dyDescent="0.25">
      <c r="A5655">
        <f t="shared" si="88"/>
        <v>7703918</v>
      </c>
      <c r="B5655" t="s">
        <v>3244</v>
      </c>
      <c r="C5655" t="s">
        <v>14760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14761</v>
      </c>
    </row>
    <row r="5658" spans="1:3" x14ac:dyDescent="0.25">
      <c r="A5658">
        <f t="shared" si="88"/>
        <v>7703920</v>
      </c>
      <c r="B5658" t="s">
        <v>3246</v>
      </c>
      <c r="C5658" t="s">
        <v>14763</v>
      </c>
    </row>
    <row r="5659" spans="1:3" x14ac:dyDescent="0.25">
      <c r="A5659">
        <f t="shared" si="88"/>
        <v>7703920</v>
      </c>
      <c r="B5659" t="s">
        <v>3246</v>
      </c>
      <c r="C5659" t="s">
        <v>14762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14766</v>
      </c>
    </row>
    <row r="5662" spans="1:3" x14ac:dyDescent="0.25">
      <c r="A5662">
        <f t="shared" si="88"/>
        <v>7703951</v>
      </c>
      <c r="B5662" t="s">
        <v>3248</v>
      </c>
      <c r="C5662" t="s">
        <v>14762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14761</v>
      </c>
    </row>
    <row r="5667" spans="1:3" x14ac:dyDescent="0.25">
      <c r="A5667">
        <f t="shared" si="88"/>
        <v>7703994</v>
      </c>
      <c r="B5667" t="s">
        <v>3253</v>
      </c>
      <c r="C5667" t="s">
        <v>14766</v>
      </c>
    </row>
    <row r="5668" spans="1:3" x14ac:dyDescent="0.25">
      <c r="A5668">
        <f t="shared" si="88"/>
        <v>7703994</v>
      </c>
      <c r="B5668" t="s">
        <v>3253</v>
      </c>
      <c r="C5668" t="s">
        <v>14762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14766</v>
      </c>
    </row>
    <row r="5672" spans="1:3" x14ac:dyDescent="0.25">
      <c r="A5672">
        <f t="shared" si="88"/>
        <v>7703999</v>
      </c>
      <c r="B5672" t="s">
        <v>3256</v>
      </c>
      <c r="C5672" t="s">
        <v>14762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14767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14767</v>
      </c>
    </row>
    <row r="5678" spans="1:3" x14ac:dyDescent="0.25">
      <c r="A5678">
        <f t="shared" si="88"/>
        <v>7707000</v>
      </c>
      <c r="B5678" t="s">
        <v>3261</v>
      </c>
      <c r="C5678" t="s">
        <v>14768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14767</v>
      </c>
    </row>
    <row r="5681" spans="1:3" x14ac:dyDescent="0.25">
      <c r="A5681">
        <f t="shared" si="88"/>
        <v>7707001</v>
      </c>
      <c r="B5681" t="s">
        <v>3263</v>
      </c>
      <c r="C5681" t="s">
        <v>14768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14761</v>
      </c>
    </row>
    <row r="5684" spans="1:3" x14ac:dyDescent="0.25">
      <c r="A5684">
        <f t="shared" si="88"/>
        <v>7707002</v>
      </c>
      <c r="B5684" t="s">
        <v>3265</v>
      </c>
      <c r="C5684" t="s">
        <v>14767</v>
      </c>
    </row>
    <row r="5685" spans="1:3" x14ac:dyDescent="0.25">
      <c r="A5685">
        <f t="shared" si="88"/>
        <v>7707002</v>
      </c>
      <c r="B5685" t="s">
        <v>3265</v>
      </c>
      <c r="C5685" t="s">
        <v>14768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14767</v>
      </c>
    </row>
    <row r="5689" spans="1:3" x14ac:dyDescent="0.25">
      <c r="A5689">
        <f t="shared" si="88"/>
        <v>7707003</v>
      </c>
      <c r="B5689" t="s">
        <v>3268</v>
      </c>
      <c r="C5689" t="s">
        <v>14768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14767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14761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14767</v>
      </c>
    </row>
    <row r="5703" spans="1:3" x14ac:dyDescent="0.25">
      <c r="A5703">
        <f t="shared" si="89"/>
        <v>7707009</v>
      </c>
      <c r="B5703" t="s">
        <v>3284</v>
      </c>
      <c r="C5703" t="s">
        <v>14768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14769</v>
      </c>
    </row>
    <row r="5707" spans="1:3" x14ac:dyDescent="0.25">
      <c r="A5707">
        <f t="shared" si="89"/>
        <v>7707010</v>
      </c>
      <c r="B5707" t="s">
        <v>3287</v>
      </c>
      <c r="C5707" t="s">
        <v>14767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14761</v>
      </c>
    </row>
    <row r="5710" spans="1:3" x14ac:dyDescent="0.25">
      <c r="A5710">
        <f t="shared" si="89"/>
        <v>7707011</v>
      </c>
      <c r="B5710" t="s">
        <v>3289</v>
      </c>
      <c r="C5710" t="s">
        <v>14767</v>
      </c>
    </row>
    <row r="5711" spans="1:3" x14ac:dyDescent="0.25">
      <c r="A5711">
        <f t="shared" si="89"/>
        <v>7707011</v>
      </c>
      <c r="B5711" t="s">
        <v>3289</v>
      </c>
      <c r="C5711" t="s">
        <v>14768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14770</v>
      </c>
    </row>
    <row r="5714" spans="1:3" x14ac:dyDescent="0.25">
      <c r="A5714">
        <f t="shared" si="89"/>
        <v>7707012</v>
      </c>
      <c r="B5714" t="s">
        <v>3291</v>
      </c>
      <c r="C5714" t="s">
        <v>14771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14761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14772</v>
      </c>
    </row>
    <row r="5720" spans="1:3" x14ac:dyDescent="0.25">
      <c r="A5720">
        <f t="shared" si="89"/>
        <v>7707014</v>
      </c>
      <c r="B5720" t="s">
        <v>3296</v>
      </c>
      <c r="C5720" t="s">
        <v>14773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14761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14761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14774</v>
      </c>
    </row>
    <row r="5739" spans="1:3" x14ac:dyDescent="0.25">
      <c r="A5739">
        <f t="shared" si="89"/>
        <v>7707051</v>
      </c>
      <c r="B5739" t="s">
        <v>3319</v>
      </c>
      <c r="C5739" t="s">
        <v>14775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14767</v>
      </c>
    </row>
    <row r="5743" spans="1:3" x14ac:dyDescent="0.25">
      <c r="A5743">
        <f t="shared" si="89"/>
        <v>7707060</v>
      </c>
      <c r="B5743" t="s">
        <v>3322</v>
      </c>
      <c r="C5743" t="s">
        <v>14768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14767</v>
      </c>
    </row>
    <row r="5746" spans="1:3" x14ac:dyDescent="0.25">
      <c r="A5746">
        <f t="shared" si="89"/>
        <v>7707061</v>
      </c>
      <c r="B5746" t="s">
        <v>3324</v>
      </c>
      <c r="C5746" t="s">
        <v>14768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14767</v>
      </c>
    </row>
    <row r="5749" spans="1:3" x14ac:dyDescent="0.25">
      <c r="A5749">
        <f t="shared" si="89"/>
        <v>7707070</v>
      </c>
      <c r="B5749" t="s">
        <v>3326</v>
      </c>
      <c r="C5749" t="s">
        <v>14768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14767</v>
      </c>
    </row>
    <row r="5753" spans="1:3" x14ac:dyDescent="0.25">
      <c r="A5753">
        <f t="shared" si="89"/>
        <v>7707071</v>
      </c>
      <c r="B5753" t="s">
        <v>3329</v>
      </c>
      <c r="C5753" t="s">
        <v>14768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14767</v>
      </c>
    </row>
    <row r="5760" spans="1:3" x14ac:dyDescent="0.25">
      <c r="A5760">
        <f t="shared" si="89"/>
        <v>7707081</v>
      </c>
      <c r="B5760" t="s">
        <v>3337</v>
      </c>
      <c r="C5760" t="s">
        <v>14768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14761</v>
      </c>
    </row>
    <row r="5763" spans="1:3" x14ac:dyDescent="0.25">
      <c r="A5763">
        <f t="shared" si="90"/>
        <v>7707100</v>
      </c>
      <c r="B5763" t="s">
        <v>3339</v>
      </c>
      <c r="C5763" t="s">
        <v>14776</v>
      </c>
    </row>
    <row r="5764" spans="1:3" x14ac:dyDescent="0.25">
      <c r="A5764">
        <f t="shared" si="90"/>
        <v>7707100</v>
      </c>
      <c r="B5764" t="s">
        <v>3339</v>
      </c>
      <c r="C5764" t="s">
        <v>14767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14777</v>
      </c>
    </row>
    <row r="5767" spans="1:3" x14ac:dyDescent="0.25">
      <c r="A5767">
        <f t="shared" si="90"/>
        <v>7707105</v>
      </c>
      <c r="B5767" t="s">
        <v>3341</v>
      </c>
      <c r="C5767" t="s">
        <v>14778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14767</v>
      </c>
    </row>
    <row r="5771" spans="1:3" x14ac:dyDescent="0.25">
      <c r="A5771">
        <f t="shared" si="90"/>
        <v>7707110</v>
      </c>
      <c r="B5771" t="s">
        <v>3344</v>
      </c>
      <c r="C5771" t="s">
        <v>14768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14761</v>
      </c>
    </row>
    <row r="5775" spans="1:3" x14ac:dyDescent="0.25">
      <c r="A5775">
        <f t="shared" si="90"/>
        <v>7707115</v>
      </c>
      <c r="B5775" t="s">
        <v>3348</v>
      </c>
      <c r="C5775" t="s">
        <v>14776</v>
      </c>
    </row>
    <row r="5776" spans="1:3" x14ac:dyDescent="0.25">
      <c r="A5776">
        <f t="shared" si="90"/>
        <v>7707115</v>
      </c>
      <c r="B5776" t="s">
        <v>3348</v>
      </c>
      <c r="C5776" t="s">
        <v>14767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14767</v>
      </c>
    </row>
    <row r="5780" spans="1:3" x14ac:dyDescent="0.25">
      <c r="A5780">
        <f t="shared" si="90"/>
        <v>7707116</v>
      </c>
      <c r="B5780" t="s">
        <v>3351</v>
      </c>
      <c r="C5780" t="s">
        <v>14768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14767</v>
      </c>
    </row>
    <row r="5783" spans="1:3" x14ac:dyDescent="0.25">
      <c r="A5783">
        <f t="shared" si="90"/>
        <v>7707120</v>
      </c>
      <c r="B5783" t="s">
        <v>3353</v>
      </c>
      <c r="C5783" t="s">
        <v>14768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14761</v>
      </c>
    </row>
    <row r="5786" spans="1:3" x14ac:dyDescent="0.25">
      <c r="A5786">
        <f t="shared" si="90"/>
        <v>7707122</v>
      </c>
      <c r="B5786" t="s">
        <v>3355</v>
      </c>
      <c r="C5786" t="s">
        <v>14767</v>
      </c>
    </row>
    <row r="5787" spans="1:3" x14ac:dyDescent="0.25">
      <c r="A5787">
        <f t="shared" si="90"/>
        <v>7707122</v>
      </c>
      <c r="B5787" t="s">
        <v>3355</v>
      </c>
      <c r="C5787" t="s">
        <v>14768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14779</v>
      </c>
    </row>
    <row r="5790" spans="1:3" x14ac:dyDescent="0.25">
      <c r="A5790">
        <f t="shared" si="90"/>
        <v>7707136</v>
      </c>
      <c r="B5790" t="s">
        <v>3357</v>
      </c>
      <c r="C5790" t="s">
        <v>14770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14761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14761</v>
      </c>
    </row>
    <row r="5795" spans="1:3" x14ac:dyDescent="0.25">
      <c r="A5795">
        <f t="shared" si="90"/>
        <v>7707154</v>
      </c>
      <c r="B5795" t="s">
        <v>3361</v>
      </c>
      <c r="C5795" t="s">
        <v>14767</v>
      </c>
    </row>
    <row r="5796" spans="1:3" x14ac:dyDescent="0.25">
      <c r="A5796">
        <f t="shared" si="90"/>
        <v>7707154</v>
      </c>
      <c r="B5796" t="s">
        <v>3361</v>
      </c>
      <c r="C5796" t="s">
        <v>14768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14780</v>
      </c>
    </row>
    <row r="5799" spans="1:3" x14ac:dyDescent="0.25">
      <c r="A5799">
        <f t="shared" si="90"/>
        <v>7707159</v>
      </c>
      <c r="B5799" t="s">
        <v>3363</v>
      </c>
      <c r="C5799" t="s">
        <v>14770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14776</v>
      </c>
    </row>
    <row r="5802" spans="1:3" x14ac:dyDescent="0.25">
      <c r="A5802">
        <f t="shared" si="90"/>
        <v>7707160</v>
      </c>
      <c r="B5802" t="s">
        <v>3365</v>
      </c>
      <c r="C5802" t="s">
        <v>14767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14761</v>
      </c>
    </row>
    <row r="5805" spans="1:3" x14ac:dyDescent="0.25">
      <c r="A5805">
        <f t="shared" si="90"/>
        <v>7707161</v>
      </c>
      <c r="B5805" t="s">
        <v>3367</v>
      </c>
      <c r="C5805" t="s">
        <v>14776</v>
      </c>
    </row>
    <row r="5806" spans="1:3" x14ac:dyDescent="0.25">
      <c r="A5806">
        <f t="shared" si="90"/>
        <v>7707161</v>
      </c>
      <c r="B5806" t="s">
        <v>3367</v>
      </c>
      <c r="C5806" t="s">
        <v>14767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14761</v>
      </c>
    </row>
    <row r="5809" spans="1:3" x14ac:dyDescent="0.25">
      <c r="A5809">
        <f t="shared" si="90"/>
        <v>7707170</v>
      </c>
      <c r="B5809" t="s">
        <v>3369</v>
      </c>
      <c r="C5809" t="s">
        <v>14767</v>
      </c>
    </row>
    <row r="5810" spans="1:3" x14ac:dyDescent="0.25">
      <c r="A5810">
        <f t="shared" si="90"/>
        <v>7707170</v>
      </c>
      <c r="B5810" t="s">
        <v>3369</v>
      </c>
      <c r="C5810" t="s">
        <v>14768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14761</v>
      </c>
    </row>
    <row r="5817" spans="1:3" x14ac:dyDescent="0.25">
      <c r="A5817">
        <f t="shared" si="90"/>
        <v>7707223</v>
      </c>
      <c r="B5817" t="s">
        <v>3378</v>
      </c>
      <c r="C5817" t="s">
        <v>14767</v>
      </c>
    </row>
    <row r="5818" spans="1:3" x14ac:dyDescent="0.25">
      <c r="A5818">
        <f t="shared" si="90"/>
        <v>7707223</v>
      </c>
      <c r="B5818" t="s">
        <v>3378</v>
      </c>
      <c r="C5818" t="s">
        <v>14768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14767</v>
      </c>
    </row>
    <row r="5822" spans="1:3" x14ac:dyDescent="0.25">
      <c r="A5822">
        <f t="shared" si="90"/>
        <v>7707226</v>
      </c>
      <c r="B5822" t="s">
        <v>3381</v>
      </c>
      <c r="C5822" t="s">
        <v>14768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14767</v>
      </c>
    </row>
    <row r="5825" spans="1:3" x14ac:dyDescent="0.25">
      <c r="A5825">
        <f t="shared" si="90"/>
        <v>7707235</v>
      </c>
      <c r="B5825" t="s">
        <v>3383</v>
      </c>
      <c r="C5825" t="s">
        <v>14768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14767</v>
      </c>
    </row>
    <row r="5829" spans="1:3" x14ac:dyDescent="0.25">
      <c r="A5829">
        <f t="shared" si="91"/>
        <v>7707236</v>
      </c>
      <c r="B5829" t="s">
        <v>3386</v>
      </c>
      <c r="C5829" t="s">
        <v>14768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14767</v>
      </c>
    </row>
    <row r="5832" spans="1:3" x14ac:dyDescent="0.25">
      <c r="A5832">
        <f t="shared" si="91"/>
        <v>7707237</v>
      </c>
      <c r="B5832" t="s">
        <v>3388</v>
      </c>
      <c r="C5832" t="s">
        <v>14768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14761</v>
      </c>
    </row>
    <row r="5835" spans="1:3" x14ac:dyDescent="0.25">
      <c r="A5835">
        <f t="shared" si="91"/>
        <v>7707246</v>
      </c>
      <c r="B5835" t="s">
        <v>3390</v>
      </c>
      <c r="C5835" t="s">
        <v>14767</v>
      </c>
    </row>
    <row r="5836" spans="1:3" x14ac:dyDescent="0.25">
      <c r="A5836">
        <f t="shared" si="91"/>
        <v>7707246</v>
      </c>
      <c r="B5836" t="s">
        <v>3390</v>
      </c>
      <c r="C5836" t="s">
        <v>14768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14761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14761</v>
      </c>
    </row>
    <row r="5841" spans="1:3" x14ac:dyDescent="0.25">
      <c r="A5841">
        <f t="shared" si="91"/>
        <v>7707266</v>
      </c>
      <c r="B5841" t="s">
        <v>3394</v>
      </c>
      <c r="C5841" t="s">
        <v>14781</v>
      </c>
    </row>
    <row r="5842" spans="1:3" x14ac:dyDescent="0.25">
      <c r="A5842">
        <f t="shared" si="91"/>
        <v>7707266</v>
      </c>
      <c r="B5842" t="s">
        <v>3394</v>
      </c>
      <c r="C5842" t="s">
        <v>14782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14767</v>
      </c>
    </row>
    <row r="5846" spans="1:3" x14ac:dyDescent="0.25">
      <c r="A5846">
        <f t="shared" si="91"/>
        <v>7707273</v>
      </c>
      <c r="B5846" t="s">
        <v>3398</v>
      </c>
      <c r="C5846" t="s">
        <v>14768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14767</v>
      </c>
    </row>
    <row r="5849" spans="1:3" x14ac:dyDescent="0.25">
      <c r="A5849">
        <f t="shared" si="91"/>
        <v>7707274</v>
      </c>
      <c r="B5849" t="s">
        <v>3400</v>
      </c>
      <c r="C5849" t="s">
        <v>14768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14767</v>
      </c>
    </row>
    <row r="5852" spans="1:3" x14ac:dyDescent="0.25">
      <c r="A5852">
        <f t="shared" si="91"/>
        <v>7707275</v>
      </c>
      <c r="B5852" t="s">
        <v>3402</v>
      </c>
      <c r="C5852" t="s">
        <v>14768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14767</v>
      </c>
    </row>
    <row r="5855" spans="1:3" x14ac:dyDescent="0.25">
      <c r="A5855">
        <f t="shared" si="91"/>
        <v>7707276</v>
      </c>
      <c r="B5855" t="s">
        <v>3404</v>
      </c>
      <c r="C5855" t="s">
        <v>14768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14761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14767</v>
      </c>
    </row>
    <row r="5860" spans="1:3" x14ac:dyDescent="0.25">
      <c r="A5860">
        <f t="shared" si="91"/>
        <v>7707278</v>
      </c>
      <c r="B5860" t="s">
        <v>3408</v>
      </c>
      <c r="C5860" t="s">
        <v>14768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14761</v>
      </c>
    </row>
    <row r="5863" spans="1:3" x14ac:dyDescent="0.25">
      <c r="A5863">
        <f t="shared" si="91"/>
        <v>7707279</v>
      </c>
      <c r="B5863" t="s">
        <v>3410</v>
      </c>
      <c r="C5863" t="s">
        <v>14767</v>
      </c>
    </row>
    <row r="5864" spans="1:3" x14ac:dyDescent="0.25">
      <c r="A5864">
        <f t="shared" si="91"/>
        <v>7707279</v>
      </c>
      <c r="B5864" t="s">
        <v>3410</v>
      </c>
      <c r="C5864" t="s">
        <v>14768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14767</v>
      </c>
    </row>
    <row r="5869" spans="1:3" x14ac:dyDescent="0.25">
      <c r="A5869">
        <f t="shared" si="91"/>
        <v>7707281</v>
      </c>
      <c r="B5869" t="s">
        <v>3415</v>
      </c>
      <c r="C5869" t="s">
        <v>14768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14767</v>
      </c>
    </row>
    <row r="5874" spans="1:3" x14ac:dyDescent="0.25">
      <c r="A5874">
        <f t="shared" si="91"/>
        <v>7707283</v>
      </c>
      <c r="B5874" t="s">
        <v>3418</v>
      </c>
      <c r="C5874" t="s">
        <v>14768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14761</v>
      </c>
    </row>
    <row r="5877" spans="1:3" x14ac:dyDescent="0.25">
      <c r="A5877">
        <f t="shared" si="91"/>
        <v>7707284</v>
      </c>
      <c r="B5877" t="s">
        <v>3419</v>
      </c>
      <c r="C5877" t="s">
        <v>14767</v>
      </c>
    </row>
    <row r="5878" spans="1:3" x14ac:dyDescent="0.25">
      <c r="A5878">
        <f t="shared" si="91"/>
        <v>7707284</v>
      </c>
      <c r="B5878" t="s">
        <v>3419</v>
      </c>
      <c r="C5878" t="s">
        <v>14768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14767</v>
      </c>
    </row>
    <row r="5881" spans="1:3" x14ac:dyDescent="0.25">
      <c r="A5881">
        <f t="shared" si="91"/>
        <v>7707285</v>
      </c>
      <c r="B5881" t="s">
        <v>3420</v>
      </c>
      <c r="C5881" t="s">
        <v>14768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14761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14776</v>
      </c>
    </row>
    <row r="5886" spans="1:3" x14ac:dyDescent="0.25">
      <c r="A5886">
        <f t="shared" si="91"/>
        <v>7707289</v>
      </c>
      <c r="B5886" t="s">
        <v>3424</v>
      </c>
      <c r="C5886" t="s">
        <v>14767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14761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14761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14761</v>
      </c>
    </row>
    <row r="5897" spans="1:3" x14ac:dyDescent="0.25">
      <c r="A5897">
        <f t="shared" si="92"/>
        <v>7707298</v>
      </c>
      <c r="B5897" t="s">
        <v>3437</v>
      </c>
      <c r="C5897" t="s">
        <v>14767</v>
      </c>
    </row>
    <row r="5898" spans="1:3" x14ac:dyDescent="0.25">
      <c r="A5898">
        <f t="shared" si="92"/>
        <v>7707298</v>
      </c>
      <c r="B5898" t="s">
        <v>3437</v>
      </c>
      <c r="C5898" t="s">
        <v>14768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14776</v>
      </c>
    </row>
    <row r="5901" spans="1:3" x14ac:dyDescent="0.25">
      <c r="A5901">
        <f t="shared" si="92"/>
        <v>7707299</v>
      </c>
      <c r="B5901" t="s">
        <v>3439</v>
      </c>
      <c r="C5901" t="s">
        <v>14767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14767</v>
      </c>
    </row>
    <row r="5906" spans="1:3" x14ac:dyDescent="0.25">
      <c r="A5906">
        <f t="shared" si="92"/>
        <v>7707320</v>
      </c>
      <c r="B5906" t="s">
        <v>3444</v>
      </c>
      <c r="C5906" t="s">
        <v>14768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14767</v>
      </c>
    </row>
    <row r="5909" spans="1:3" x14ac:dyDescent="0.25">
      <c r="A5909">
        <f t="shared" si="92"/>
        <v>7707321</v>
      </c>
      <c r="B5909" t="s">
        <v>3446</v>
      </c>
      <c r="C5909" t="s">
        <v>14768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14767</v>
      </c>
    </row>
    <row r="5912" spans="1:3" x14ac:dyDescent="0.25">
      <c r="A5912">
        <f t="shared" si="92"/>
        <v>7707322</v>
      </c>
      <c r="B5912" t="s">
        <v>3448</v>
      </c>
      <c r="C5912" t="s">
        <v>14768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14767</v>
      </c>
    </row>
    <row r="5915" spans="1:3" x14ac:dyDescent="0.25">
      <c r="A5915">
        <f t="shared" si="92"/>
        <v>7707324</v>
      </c>
      <c r="B5915" t="s">
        <v>3450</v>
      </c>
      <c r="C5915" t="s">
        <v>14768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14767</v>
      </c>
    </row>
    <row r="5918" spans="1:3" x14ac:dyDescent="0.25">
      <c r="A5918">
        <f t="shared" si="92"/>
        <v>7707325</v>
      </c>
      <c r="B5918" t="s">
        <v>3452</v>
      </c>
      <c r="C5918" t="s">
        <v>14768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14767</v>
      </c>
    </row>
    <row r="5921" spans="1:3" x14ac:dyDescent="0.25">
      <c r="A5921">
        <f t="shared" si="92"/>
        <v>7707333</v>
      </c>
      <c r="B5921" t="s">
        <v>3454</v>
      </c>
      <c r="C5921" t="s">
        <v>14768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14767</v>
      </c>
    </row>
    <row r="5927" spans="1:3" x14ac:dyDescent="0.25">
      <c r="A5927">
        <f t="shared" si="92"/>
        <v>7707350</v>
      </c>
      <c r="B5927" t="s">
        <v>3460</v>
      </c>
      <c r="C5927" t="s">
        <v>14768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14761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14761</v>
      </c>
    </row>
    <row r="5932" spans="1:3" x14ac:dyDescent="0.25">
      <c r="A5932">
        <f t="shared" si="92"/>
        <v>7707368</v>
      </c>
      <c r="B5932" t="s">
        <v>3464</v>
      </c>
      <c r="C5932" t="s">
        <v>14767</v>
      </c>
    </row>
    <row r="5933" spans="1:3" x14ac:dyDescent="0.25">
      <c r="A5933">
        <f t="shared" si="92"/>
        <v>7707368</v>
      </c>
      <c r="B5933" t="s">
        <v>3464</v>
      </c>
      <c r="C5933" t="s">
        <v>14768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14761</v>
      </c>
    </row>
    <row r="5936" spans="1:3" x14ac:dyDescent="0.25">
      <c r="A5936">
        <f t="shared" si="92"/>
        <v>7707426</v>
      </c>
      <c r="B5936" t="s">
        <v>3466</v>
      </c>
      <c r="C5936" t="s">
        <v>14767</v>
      </c>
    </row>
    <row r="5937" spans="1:3" x14ac:dyDescent="0.25">
      <c r="A5937">
        <f t="shared" si="92"/>
        <v>7707426</v>
      </c>
      <c r="B5937" t="s">
        <v>3466</v>
      </c>
      <c r="C5937" t="s">
        <v>14768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14767</v>
      </c>
    </row>
    <row r="5942" spans="1:3" x14ac:dyDescent="0.25">
      <c r="A5942">
        <f t="shared" si="92"/>
        <v>7707450</v>
      </c>
      <c r="B5942" t="s">
        <v>3471</v>
      </c>
      <c r="C5942" t="s">
        <v>14768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14761</v>
      </c>
    </row>
    <row r="5946" spans="1:3" x14ac:dyDescent="0.25">
      <c r="A5946">
        <f t="shared" si="92"/>
        <v>7707452</v>
      </c>
      <c r="B5946" t="s">
        <v>3475</v>
      </c>
      <c r="C5946" t="s">
        <v>14767</v>
      </c>
    </row>
    <row r="5947" spans="1:3" x14ac:dyDescent="0.25">
      <c r="A5947">
        <f t="shared" si="92"/>
        <v>7707452</v>
      </c>
      <c r="B5947" t="s">
        <v>3475</v>
      </c>
      <c r="C5947" t="s">
        <v>14768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14761</v>
      </c>
    </row>
    <row r="5950" spans="1:3" x14ac:dyDescent="0.25">
      <c r="A5950">
        <f t="shared" si="92"/>
        <v>7707453</v>
      </c>
      <c r="B5950" t="s">
        <v>3477</v>
      </c>
      <c r="C5950" t="s">
        <v>14767</v>
      </c>
    </row>
    <row r="5951" spans="1:3" x14ac:dyDescent="0.25">
      <c r="A5951">
        <f t="shared" si="92"/>
        <v>7707453</v>
      </c>
      <c r="B5951" t="s">
        <v>3477</v>
      </c>
      <c r="C5951" t="s">
        <v>14768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14761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14767</v>
      </c>
    </row>
    <row r="5957" spans="1:3" x14ac:dyDescent="0.25">
      <c r="A5957">
        <f t="shared" si="93"/>
        <v>7707503</v>
      </c>
      <c r="B5957" t="s">
        <v>3482</v>
      </c>
      <c r="C5957" t="s">
        <v>14768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14761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14761</v>
      </c>
    </row>
    <row r="5962" spans="1:3" x14ac:dyDescent="0.25">
      <c r="A5962">
        <f t="shared" si="93"/>
        <v>7707505</v>
      </c>
      <c r="B5962" t="s">
        <v>3486</v>
      </c>
      <c r="C5962" t="s">
        <v>14776</v>
      </c>
    </row>
    <row r="5963" spans="1:3" x14ac:dyDescent="0.25">
      <c r="A5963">
        <f t="shared" si="93"/>
        <v>7707505</v>
      </c>
      <c r="B5963" t="s">
        <v>3486</v>
      </c>
      <c r="C5963" t="s">
        <v>14767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14761</v>
      </c>
    </row>
    <row r="5966" spans="1:3" x14ac:dyDescent="0.25">
      <c r="A5966">
        <f t="shared" si="93"/>
        <v>7707508</v>
      </c>
      <c r="B5966" t="s">
        <v>3488</v>
      </c>
      <c r="C5966" t="s">
        <v>14776</v>
      </c>
    </row>
    <row r="5967" spans="1:3" x14ac:dyDescent="0.25">
      <c r="A5967">
        <f t="shared" si="93"/>
        <v>7707508</v>
      </c>
      <c r="B5967" t="s">
        <v>3488</v>
      </c>
      <c r="C5967" t="s">
        <v>14767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14776</v>
      </c>
    </row>
    <row r="5970" spans="1:3" x14ac:dyDescent="0.25">
      <c r="A5970">
        <f t="shared" si="93"/>
        <v>7707511</v>
      </c>
      <c r="B5970" t="s">
        <v>3489</v>
      </c>
      <c r="C5970" t="s">
        <v>14767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14767</v>
      </c>
    </row>
    <row r="5973" spans="1:3" x14ac:dyDescent="0.25">
      <c r="A5973">
        <f t="shared" si="93"/>
        <v>7707518</v>
      </c>
      <c r="B5973" t="s">
        <v>3491</v>
      </c>
      <c r="C5973" t="s">
        <v>14768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14767</v>
      </c>
    </row>
    <row r="5976" spans="1:3" x14ac:dyDescent="0.25">
      <c r="A5976">
        <f t="shared" si="93"/>
        <v>7707519</v>
      </c>
      <c r="B5976" t="s">
        <v>3493</v>
      </c>
      <c r="C5976" t="s">
        <v>14768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14761</v>
      </c>
    </row>
    <row r="5979" spans="1:3" x14ac:dyDescent="0.25">
      <c r="A5979">
        <f t="shared" si="93"/>
        <v>7707521</v>
      </c>
      <c r="B5979" t="s">
        <v>3495</v>
      </c>
      <c r="C5979" t="s">
        <v>14776</v>
      </c>
    </row>
    <row r="5980" spans="1:3" x14ac:dyDescent="0.25">
      <c r="A5980">
        <f t="shared" si="93"/>
        <v>7707521</v>
      </c>
      <c r="B5980" t="s">
        <v>3495</v>
      </c>
      <c r="C5980" t="s">
        <v>14767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14761</v>
      </c>
    </row>
    <row r="5983" spans="1:3" x14ac:dyDescent="0.25">
      <c r="A5983">
        <f t="shared" si="93"/>
        <v>7707522</v>
      </c>
      <c r="B5983" t="s">
        <v>3497</v>
      </c>
      <c r="C5983" t="s">
        <v>14783</v>
      </c>
    </row>
    <row r="5984" spans="1:3" x14ac:dyDescent="0.25">
      <c r="A5984">
        <f t="shared" si="93"/>
        <v>7707522</v>
      </c>
      <c r="B5984" t="s">
        <v>3497</v>
      </c>
      <c r="C5984" t="s">
        <v>14776</v>
      </c>
    </row>
    <row r="5985" spans="1:3" x14ac:dyDescent="0.25">
      <c r="A5985">
        <f t="shared" si="93"/>
        <v>7707522</v>
      </c>
      <c r="B5985" t="s">
        <v>3497</v>
      </c>
      <c r="C5985" t="s">
        <v>14767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14767</v>
      </c>
    </row>
    <row r="5989" spans="1:3" x14ac:dyDescent="0.25">
      <c r="A5989">
        <f t="shared" si="93"/>
        <v>7707523</v>
      </c>
      <c r="B5989" t="s">
        <v>3500</v>
      </c>
      <c r="C5989" t="s">
        <v>14768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14761</v>
      </c>
    </row>
    <row r="5992" spans="1:3" x14ac:dyDescent="0.25">
      <c r="A5992">
        <f t="shared" si="93"/>
        <v>7707524</v>
      </c>
      <c r="B5992" t="s">
        <v>3502</v>
      </c>
      <c r="C5992" t="s">
        <v>14767</v>
      </c>
    </row>
    <row r="5993" spans="1:3" x14ac:dyDescent="0.25">
      <c r="A5993">
        <f t="shared" si="93"/>
        <v>7707524</v>
      </c>
      <c r="B5993" t="s">
        <v>3502</v>
      </c>
      <c r="C5993" t="s">
        <v>14768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14761</v>
      </c>
    </row>
    <row r="6000" spans="1:3" x14ac:dyDescent="0.25">
      <c r="A6000">
        <f t="shared" si="93"/>
        <v>7707528</v>
      </c>
      <c r="B6000" t="s">
        <v>3510</v>
      </c>
      <c r="C6000" t="s">
        <v>14776</v>
      </c>
    </row>
    <row r="6001" spans="1:3" x14ac:dyDescent="0.25">
      <c r="A6001">
        <f t="shared" si="93"/>
        <v>7707528</v>
      </c>
      <c r="B6001" t="s">
        <v>3510</v>
      </c>
      <c r="C6001" t="s">
        <v>14767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14767</v>
      </c>
    </row>
    <row r="6004" spans="1:3" x14ac:dyDescent="0.25">
      <c r="A6004">
        <f t="shared" si="93"/>
        <v>7707529</v>
      </c>
      <c r="B6004" t="s">
        <v>3512</v>
      </c>
      <c r="C6004" t="s">
        <v>14768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14761</v>
      </c>
    </row>
    <row r="6007" spans="1:3" x14ac:dyDescent="0.25">
      <c r="A6007">
        <f t="shared" si="93"/>
        <v>7707532</v>
      </c>
      <c r="B6007" t="s">
        <v>3514</v>
      </c>
      <c r="C6007" t="s">
        <v>14767</v>
      </c>
    </row>
    <row r="6008" spans="1:3" x14ac:dyDescent="0.25">
      <c r="A6008">
        <f t="shared" si="93"/>
        <v>7707532</v>
      </c>
      <c r="B6008" t="s">
        <v>3514</v>
      </c>
      <c r="C6008" t="s">
        <v>14768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14767</v>
      </c>
    </row>
    <row r="6011" spans="1:3" x14ac:dyDescent="0.25">
      <c r="A6011">
        <f t="shared" si="93"/>
        <v>7707533</v>
      </c>
      <c r="B6011" t="s">
        <v>3516</v>
      </c>
      <c r="C6011" t="s">
        <v>14768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14776</v>
      </c>
    </row>
    <row r="6016" spans="1:3" x14ac:dyDescent="0.25">
      <c r="A6016">
        <f t="shared" si="93"/>
        <v>7707545</v>
      </c>
      <c r="B6016" t="s">
        <v>3521</v>
      </c>
      <c r="C6016" t="s">
        <v>14767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14761</v>
      </c>
    </row>
    <row r="6019" spans="1:3" x14ac:dyDescent="0.25">
      <c r="A6019">
        <f t="shared" si="94"/>
        <v>7707547</v>
      </c>
      <c r="B6019" t="s">
        <v>3523</v>
      </c>
      <c r="C6019" t="s">
        <v>14767</v>
      </c>
    </row>
    <row r="6020" spans="1:3" x14ac:dyDescent="0.25">
      <c r="A6020">
        <f t="shared" si="94"/>
        <v>7707547</v>
      </c>
      <c r="B6020" t="s">
        <v>3523</v>
      </c>
      <c r="C6020" t="s">
        <v>14768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14761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14767</v>
      </c>
    </row>
    <row r="6025" spans="1:3" x14ac:dyDescent="0.25">
      <c r="A6025">
        <f t="shared" si="94"/>
        <v>7707552</v>
      </c>
      <c r="B6025" t="s">
        <v>3527</v>
      </c>
      <c r="C6025" t="s">
        <v>14768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14767</v>
      </c>
    </row>
    <row r="6028" spans="1:3" x14ac:dyDescent="0.25">
      <c r="A6028">
        <f t="shared" si="94"/>
        <v>7707553</v>
      </c>
      <c r="B6028" t="s">
        <v>3529</v>
      </c>
      <c r="C6028" t="s">
        <v>14768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14767</v>
      </c>
    </row>
    <row r="6032" spans="1:3" x14ac:dyDescent="0.25">
      <c r="A6032">
        <f t="shared" si="94"/>
        <v>7707555</v>
      </c>
      <c r="B6032" t="s">
        <v>3532</v>
      </c>
      <c r="C6032" t="s">
        <v>14768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14761</v>
      </c>
    </row>
    <row r="6035" spans="1:3" x14ac:dyDescent="0.25">
      <c r="A6035">
        <f t="shared" si="94"/>
        <v>7707556</v>
      </c>
      <c r="B6035" t="s">
        <v>3534</v>
      </c>
      <c r="C6035" t="s">
        <v>14767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14761</v>
      </c>
    </row>
    <row r="6038" spans="1:3" x14ac:dyDescent="0.25">
      <c r="A6038">
        <f t="shared" si="94"/>
        <v>7707557</v>
      </c>
      <c r="B6038" t="s">
        <v>3536</v>
      </c>
      <c r="C6038" t="s">
        <v>14776</v>
      </c>
    </row>
    <row r="6039" spans="1:3" x14ac:dyDescent="0.25">
      <c r="A6039">
        <f t="shared" si="94"/>
        <v>7707557</v>
      </c>
      <c r="B6039" t="s">
        <v>3536</v>
      </c>
      <c r="C6039" t="s">
        <v>14767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14761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14761</v>
      </c>
    </row>
    <row r="6044" spans="1:3" x14ac:dyDescent="0.25">
      <c r="A6044">
        <f t="shared" si="94"/>
        <v>7707563</v>
      </c>
      <c r="B6044" t="s">
        <v>3540</v>
      </c>
      <c r="C6044" t="s">
        <v>14767</v>
      </c>
    </row>
    <row r="6045" spans="1:3" x14ac:dyDescent="0.25">
      <c r="A6045">
        <f t="shared" si="94"/>
        <v>7707563</v>
      </c>
      <c r="B6045" t="s">
        <v>3540</v>
      </c>
      <c r="C6045" t="s">
        <v>14768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14767</v>
      </c>
    </row>
    <row r="6048" spans="1:3" x14ac:dyDescent="0.25">
      <c r="A6048">
        <f t="shared" si="94"/>
        <v>7707565</v>
      </c>
      <c r="B6048" t="s">
        <v>3542</v>
      </c>
      <c r="C6048" t="s">
        <v>14768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14761</v>
      </c>
    </row>
    <row r="6051" spans="1:3" x14ac:dyDescent="0.25">
      <c r="A6051">
        <f t="shared" si="94"/>
        <v>7707566</v>
      </c>
      <c r="B6051" t="s">
        <v>3544</v>
      </c>
      <c r="C6051" t="s">
        <v>14776</v>
      </c>
    </row>
    <row r="6052" spans="1:3" x14ac:dyDescent="0.25">
      <c r="A6052">
        <f t="shared" si="94"/>
        <v>7707566</v>
      </c>
      <c r="B6052" t="s">
        <v>3544</v>
      </c>
      <c r="C6052" t="s">
        <v>14767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14767</v>
      </c>
    </row>
    <row r="6055" spans="1:3" x14ac:dyDescent="0.25">
      <c r="A6055">
        <f t="shared" si="94"/>
        <v>7707567</v>
      </c>
      <c r="B6055" t="s">
        <v>3546</v>
      </c>
      <c r="C6055" t="s">
        <v>14768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14767</v>
      </c>
    </row>
    <row r="6058" spans="1:3" x14ac:dyDescent="0.25">
      <c r="A6058">
        <f t="shared" si="94"/>
        <v>7707568</v>
      </c>
      <c r="B6058" t="s">
        <v>3548</v>
      </c>
      <c r="C6058" t="s">
        <v>14768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14767</v>
      </c>
    </row>
    <row r="6061" spans="1:3" x14ac:dyDescent="0.25">
      <c r="A6061">
        <f t="shared" si="94"/>
        <v>7707569</v>
      </c>
      <c r="B6061" t="s">
        <v>3550</v>
      </c>
      <c r="C6061" t="s">
        <v>14768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14761</v>
      </c>
    </row>
    <row r="6064" spans="1:3" x14ac:dyDescent="0.25">
      <c r="A6064">
        <f t="shared" si="94"/>
        <v>7707570</v>
      </c>
      <c r="B6064" t="s">
        <v>3552</v>
      </c>
      <c r="C6064" t="s">
        <v>14776</v>
      </c>
    </row>
    <row r="6065" spans="1:3" x14ac:dyDescent="0.25">
      <c r="A6065">
        <f t="shared" si="94"/>
        <v>7707570</v>
      </c>
      <c r="B6065" t="s">
        <v>3552</v>
      </c>
      <c r="C6065" t="s">
        <v>14767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14761</v>
      </c>
    </row>
    <row r="6068" spans="1:3" x14ac:dyDescent="0.25">
      <c r="A6068">
        <f t="shared" si="94"/>
        <v>7707571</v>
      </c>
      <c r="B6068" t="s">
        <v>3554</v>
      </c>
      <c r="C6068" t="s">
        <v>14767</v>
      </c>
    </row>
    <row r="6069" spans="1:3" x14ac:dyDescent="0.25">
      <c r="A6069">
        <f t="shared" si="94"/>
        <v>7707571</v>
      </c>
      <c r="B6069" t="s">
        <v>3554</v>
      </c>
      <c r="C6069" t="s">
        <v>14768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14761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14767</v>
      </c>
    </row>
    <row r="6078" spans="1:3" x14ac:dyDescent="0.25">
      <c r="A6078">
        <f t="shared" si="94"/>
        <v>7707584</v>
      </c>
      <c r="B6078" t="s">
        <v>3564</v>
      </c>
      <c r="C6078" t="s">
        <v>14768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14761</v>
      </c>
    </row>
    <row r="6081" spans="1:3" x14ac:dyDescent="0.25">
      <c r="A6081">
        <f t="shared" si="94"/>
        <v>7707586</v>
      </c>
      <c r="B6081" t="s">
        <v>3566</v>
      </c>
      <c r="C6081" t="s">
        <v>14776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14767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14767</v>
      </c>
    </row>
    <row r="6087" spans="1:3" x14ac:dyDescent="0.25">
      <c r="A6087">
        <f t="shared" si="95"/>
        <v>7707670</v>
      </c>
      <c r="B6087" t="s">
        <v>3571</v>
      </c>
      <c r="C6087" t="s">
        <v>14768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14767</v>
      </c>
    </row>
    <row r="6091" spans="1:3" x14ac:dyDescent="0.25">
      <c r="A6091">
        <f t="shared" si="95"/>
        <v>7707671</v>
      </c>
      <c r="B6091" t="s">
        <v>3574</v>
      </c>
      <c r="C6091" t="s">
        <v>14768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14784</v>
      </c>
    </row>
    <row r="6095" spans="1:3" x14ac:dyDescent="0.25">
      <c r="A6095">
        <f t="shared" si="95"/>
        <v>7707672</v>
      </c>
      <c r="B6095" t="s">
        <v>3577</v>
      </c>
      <c r="C6095" t="s">
        <v>14767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14767</v>
      </c>
    </row>
    <row r="6099" spans="1:3" x14ac:dyDescent="0.25">
      <c r="A6099">
        <f t="shared" si="95"/>
        <v>7707701</v>
      </c>
      <c r="B6099" t="s">
        <v>3580</v>
      </c>
      <c r="C6099" t="s">
        <v>14768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14767</v>
      </c>
    </row>
    <row r="6102" spans="1:3" x14ac:dyDescent="0.25">
      <c r="A6102">
        <f t="shared" si="95"/>
        <v>7707702</v>
      </c>
      <c r="B6102" t="s">
        <v>3582</v>
      </c>
      <c r="C6102" t="s">
        <v>14768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14761</v>
      </c>
    </row>
    <row r="6105" spans="1:3" x14ac:dyDescent="0.25">
      <c r="A6105">
        <f t="shared" si="95"/>
        <v>7707710</v>
      </c>
      <c r="B6105" t="s">
        <v>3584</v>
      </c>
      <c r="C6105" t="s">
        <v>14776</v>
      </c>
    </row>
    <row r="6106" spans="1:3" x14ac:dyDescent="0.25">
      <c r="A6106">
        <f t="shared" si="95"/>
        <v>7707710</v>
      </c>
      <c r="B6106" t="s">
        <v>3584</v>
      </c>
      <c r="C6106" t="s">
        <v>14767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14767</v>
      </c>
    </row>
    <row r="6110" spans="1:3" x14ac:dyDescent="0.25">
      <c r="A6110">
        <f t="shared" si="95"/>
        <v>7707711</v>
      </c>
      <c r="B6110" t="s">
        <v>3587</v>
      </c>
      <c r="C6110" t="s">
        <v>14768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14761</v>
      </c>
    </row>
    <row r="6113" spans="1:3" x14ac:dyDescent="0.25">
      <c r="A6113">
        <f t="shared" si="95"/>
        <v>7707712</v>
      </c>
      <c r="B6113" t="s">
        <v>3589</v>
      </c>
      <c r="C6113" t="s">
        <v>14776</v>
      </c>
    </row>
    <row r="6114" spans="1:3" x14ac:dyDescent="0.25">
      <c r="A6114">
        <f t="shared" si="95"/>
        <v>7707712</v>
      </c>
      <c r="B6114" t="s">
        <v>3589</v>
      </c>
      <c r="C6114" t="s">
        <v>14767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14767</v>
      </c>
    </row>
    <row r="6118" spans="1:3" x14ac:dyDescent="0.25">
      <c r="A6118">
        <f t="shared" si="95"/>
        <v>7707713</v>
      </c>
      <c r="B6118" t="s">
        <v>3592</v>
      </c>
      <c r="C6118" t="s">
        <v>14768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14761</v>
      </c>
    </row>
    <row r="6121" spans="1:3" x14ac:dyDescent="0.25">
      <c r="A6121">
        <f t="shared" si="95"/>
        <v>7707715</v>
      </c>
      <c r="B6121" t="s">
        <v>14691</v>
      </c>
      <c r="C6121" t="s">
        <v>14692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14767</v>
      </c>
    </row>
    <row r="6125" spans="1:3" x14ac:dyDescent="0.25">
      <c r="A6125">
        <f t="shared" si="95"/>
        <v>7707716</v>
      </c>
      <c r="B6125" t="s">
        <v>3597</v>
      </c>
      <c r="C6125" t="s">
        <v>14768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14767</v>
      </c>
    </row>
    <row r="6129" spans="1:3" x14ac:dyDescent="0.25">
      <c r="A6129">
        <f t="shared" si="95"/>
        <v>7707722</v>
      </c>
      <c r="B6129" t="s">
        <v>3600</v>
      </c>
      <c r="C6129" t="s">
        <v>14768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14776</v>
      </c>
    </row>
    <row r="6137" spans="1:3" x14ac:dyDescent="0.25">
      <c r="A6137">
        <f t="shared" si="95"/>
        <v>7707784</v>
      </c>
      <c r="B6137" t="s">
        <v>3610</v>
      </c>
      <c r="C6137" t="s">
        <v>14767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14778</v>
      </c>
    </row>
    <row r="6141" spans="1:3" x14ac:dyDescent="0.25">
      <c r="A6141">
        <f t="shared" si="95"/>
        <v>7707831</v>
      </c>
      <c r="B6141" t="s">
        <v>3613</v>
      </c>
      <c r="C6141" t="s">
        <v>14785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14761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14767</v>
      </c>
    </row>
    <row r="6151" spans="1:3" x14ac:dyDescent="0.25">
      <c r="A6151">
        <f t="shared" si="96"/>
        <v>7707900</v>
      </c>
      <c r="B6151" t="s">
        <v>3621</v>
      </c>
      <c r="C6151" t="s">
        <v>14768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14761</v>
      </c>
    </row>
    <row r="6154" spans="1:3" x14ac:dyDescent="0.25">
      <c r="A6154">
        <f t="shared" si="96"/>
        <v>7707922</v>
      </c>
      <c r="B6154" t="s">
        <v>3623</v>
      </c>
      <c r="C6154" t="s">
        <v>14776</v>
      </c>
    </row>
    <row r="6155" spans="1:3" x14ac:dyDescent="0.25">
      <c r="A6155">
        <f t="shared" si="96"/>
        <v>7707922</v>
      </c>
      <c r="B6155" t="s">
        <v>3623</v>
      </c>
      <c r="C6155" t="s">
        <v>14767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14761</v>
      </c>
    </row>
    <row r="6158" spans="1:3" x14ac:dyDescent="0.25">
      <c r="A6158">
        <f t="shared" si="96"/>
        <v>7707923</v>
      </c>
      <c r="B6158" t="s">
        <v>3625</v>
      </c>
      <c r="C6158" t="s">
        <v>14776</v>
      </c>
    </row>
    <row r="6159" spans="1:3" x14ac:dyDescent="0.25">
      <c r="A6159">
        <f t="shared" si="96"/>
        <v>7707923</v>
      </c>
      <c r="B6159" t="s">
        <v>3625</v>
      </c>
      <c r="C6159" t="s">
        <v>14767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14761</v>
      </c>
    </row>
    <row r="6162" spans="1:3" x14ac:dyDescent="0.25">
      <c r="A6162">
        <f t="shared" si="96"/>
        <v>7707924</v>
      </c>
      <c r="B6162" t="s">
        <v>3627</v>
      </c>
      <c r="C6162" t="s">
        <v>14768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14767</v>
      </c>
    </row>
    <row r="6166" spans="1:3" x14ac:dyDescent="0.25">
      <c r="A6166">
        <f t="shared" si="96"/>
        <v>7707936</v>
      </c>
      <c r="B6166" t="s">
        <v>3630</v>
      </c>
      <c r="C6166" t="s">
        <v>14768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14767</v>
      </c>
    </row>
    <row r="6169" spans="1:3" x14ac:dyDescent="0.25">
      <c r="A6169">
        <f t="shared" si="96"/>
        <v>7707940</v>
      </c>
      <c r="B6169" t="s">
        <v>3632</v>
      </c>
      <c r="C6169" t="s">
        <v>14768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14767</v>
      </c>
    </row>
    <row r="6172" spans="1:3" x14ac:dyDescent="0.25">
      <c r="A6172">
        <f t="shared" si="96"/>
        <v>7707949</v>
      </c>
      <c r="B6172" t="s">
        <v>3634</v>
      </c>
      <c r="C6172" t="s">
        <v>14768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14761</v>
      </c>
    </row>
    <row r="6176" spans="1:3" x14ac:dyDescent="0.25">
      <c r="A6176">
        <f t="shared" si="96"/>
        <v>7707952</v>
      </c>
      <c r="B6176" t="s">
        <v>3638</v>
      </c>
      <c r="C6176" t="s">
        <v>14767</v>
      </c>
    </row>
    <row r="6177" spans="1:3" x14ac:dyDescent="0.25">
      <c r="A6177">
        <f t="shared" si="96"/>
        <v>7707952</v>
      </c>
      <c r="B6177" t="s">
        <v>3638</v>
      </c>
      <c r="C6177" t="s">
        <v>14768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14761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14767</v>
      </c>
    </row>
    <row r="6182" spans="1:3" x14ac:dyDescent="0.25">
      <c r="A6182">
        <f t="shared" si="96"/>
        <v>7707980</v>
      </c>
      <c r="B6182" t="s">
        <v>3642</v>
      </c>
      <c r="C6182" t="s">
        <v>14768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14761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14767</v>
      </c>
    </row>
    <row r="6188" spans="1:3" x14ac:dyDescent="0.25">
      <c r="A6188">
        <f t="shared" si="96"/>
        <v>7707988</v>
      </c>
      <c r="B6188" t="s">
        <v>3647</v>
      </c>
      <c r="C6188" t="s">
        <v>14768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14767</v>
      </c>
    </row>
    <row r="6191" spans="1:3" x14ac:dyDescent="0.25">
      <c r="A6191">
        <f t="shared" si="96"/>
        <v>7707989</v>
      </c>
      <c r="B6191" t="s">
        <v>3649</v>
      </c>
      <c r="C6191" t="s">
        <v>14768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14786</v>
      </c>
    </row>
    <row r="6195" spans="1:3" x14ac:dyDescent="0.25">
      <c r="A6195">
        <f t="shared" si="96"/>
        <v>7709000</v>
      </c>
      <c r="B6195" t="s">
        <v>3652</v>
      </c>
      <c r="C6195" t="s">
        <v>14778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14778</v>
      </c>
    </row>
    <row r="6201" spans="1:3" x14ac:dyDescent="0.25">
      <c r="A6201">
        <f t="shared" si="96"/>
        <v>7709002</v>
      </c>
      <c r="B6201" t="s">
        <v>3658</v>
      </c>
      <c r="C6201" t="s">
        <v>14785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14778</v>
      </c>
    </row>
    <row r="6214" spans="1:3" x14ac:dyDescent="0.25">
      <c r="A6214">
        <f t="shared" si="97"/>
        <v>7709008</v>
      </c>
      <c r="B6214" t="s">
        <v>3675</v>
      </c>
      <c r="C6214" t="s">
        <v>14785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14778</v>
      </c>
    </row>
    <row r="6219" spans="1:3" x14ac:dyDescent="0.25">
      <c r="A6219">
        <f t="shared" si="97"/>
        <v>7709010</v>
      </c>
      <c r="B6219" t="s">
        <v>3678</v>
      </c>
      <c r="C6219" t="s">
        <v>14785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14761</v>
      </c>
    </row>
    <row r="6223" spans="1:3" x14ac:dyDescent="0.25">
      <c r="A6223">
        <f t="shared" si="97"/>
        <v>7709014</v>
      </c>
      <c r="B6223" t="s">
        <v>3682</v>
      </c>
      <c r="C6223" t="s">
        <v>14778</v>
      </c>
    </row>
    <row r="6224" spans="1:3" x14ac:dyDescent="0.25">
      <c r="A6224">
        <f t="shared" si="97"/>
        <v>7709014</v>
      </c>
      <c r="B6224" t="s">
        <v>3682</v>
      </c>
      <c r="C6224" t="s">
        <v>14785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14761</v>
      </c>
    </row>
    <row r="6227" spans="1:3" x14ac:dyDescent="0.25">
      <c r="A6227">
        <f t="shared" si="97"/>
        <v>7709015</v>
      </c>
      <c r="B6227" t="s">
        <v>3684</v>
      </c>
      <c r="C6227" t="s">
        <v>14778</v>
      </c>
    </row>
    <row r="6228" spans="1:3" x14ac:dyDescent="0.25">
      <c r="A6228">
        <f t="shared" si="97"/>
        <v>7709015</v>
      </c>
      <c r="B6228" t="s">
        <v>3684</v>
      </c>
      <c r="C6228" t="s">
        <v>14785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14761</v>
      </c>
    </row>
    <row r="6231" spans="1:3" x14ac:dyDescent="0.25">
      <c r="A6231">
        <f t="shared" si="97"/>
        <v>7709016</v>
      </c>
      <c r="B6231" t="s">
        <v>3686</v>
      </c>
      <c r="C6231" t="s">
        <v>14787</v>
      </c>
    </row>
    <row r="6232" spans="1:3" x14ac:dyDescent="0.25">
      <c r="A6232">
        <f t="shared" si="97"/>
        <v>7709016</v>
      </c>
      <c r="B6232" t="s">
        <v>3686</v>
      </c>
      <c r="C6232" t="s">
        <v>14778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14761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14778</v>
      </c>
    </row>
    <row r="6238" spans="1:3" x14ac:dyDescent="0.25">
      <c r="A6238">
        <f t="shared" si="97"/>
        <v>7709018</v>
      </c>
      <c r="B6238" t="s">
        <v>3691</v>
      </c>
      <c r="C6238" t="s">
        <v>14785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14761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14761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14778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14761</v>
      </c>
    </row>
    <row r="6261" spans="1:3" x14ac:dyDescent="0.25">
      <c r="A6261">
        <f t="shared" si="97"/>
        <v>7709041</v>
      </c>
      <c r="B6261" t="s">
        <v>3718</v>
      </c>
      <c r="C6261" t="s">
        <v>14787</v>
      </c>
    </row>
    <row r="6262" spans="1:3" x14ac:dyDescent="0.25">
      <c r="A6262">
        <f t="shared" si="97"/>
        <v>7709041</v>
      </c>
      <c r="B6262" t="s">
        <v>3718</v>
      </c>
      <c r="C6262" t="s">
        <v>14778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14761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14778</v>
      </c>
    </row>
    <row r="6269" spans="1:3" x14ac:dyDescent="0.25">
      <c r="A6269">
        <f t="shared" si="97"/>
        <v>7709049</v>
      </c>
      <c r="B6269" t="s">
        <v>3725</v>
      </c>
      <c r="C6269" t="s">
        <v>14785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14761</v>
      </c>
    </row>
    <row r="6272" spans="1:3" x14ac:dyDescent="0.25">
      <c r="A6272">
        <f t="shared" si="97"/>
        <v>7709061</v>
      </c>
      <c r="B6272" t="s">
        <v>3727</v>
      </c>
      <c r="C6272" t="s">
        <v>14787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14761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14761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14761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14761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14761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14761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14761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14778</v>
      </c>
    </row>
    <row r="6294" spans="1:3" x14ac:dyDescent="0.25">
      <c r="A6294">
        <f t="shared" si="98"/>
        <v>7709092</v>
      </c>
      <c r="B6294" t="s">
        <v>3748</v>
      </c>
      <c r="C6294" t="s">
        <v>14785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14778</v>
      </c>
    </row>
    <row r="6297" spans="1:3" x14ac:dyDescent="0.25">
      <c r="A6297">
        <f t="shared" si="98"/>
        <v>7709094</v>
      </c>
      <c r="B6297" t="s">
        <v>3750</v>
      </c>
      <c r="C6297" t="s">
        <v>14785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14778</v>
      </c>
    </row>
    <row r="6302" spans="1:3" x14ac:dyDescent="0.25">
      <c r="A6302">
        <f t="shared" si="98"/>
        <v>7709101</v>
      </c>
      <c r="B6302" t="s">
        <v>3754</v>
      </c>
      <c r="C6302" t="s">
        <v>14785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14778</v>
      </c>
    </row>
    <row r="6305" spans="1:3" x14ac:dyDescent="0.25">
      <c r="A6305">
        <f t="shared" si="98"/>
        <v>7709102</v>
      </c>
      <c r="B6305" t="s">
        <v>3756</v>
      </c>
      <c r="C6305" t="s">
        <v>14785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14761</v>
      </c>
    </row>
    <row r="6308" spans="1:3" x14ac:dyDescent="0.25">
      <c r="A6308">
        <f t="shared" si="98"/>
        <v>7709103</v>
      </c>
      <c r="B6308" t="s">
        <v>3758</v>
      </c>
      <c r="C6308" t="s">
        <v>14787</v>
      </c>
    </row>
    <row r="6309" spans="1:3" x14ac:dyDescent="0.25">
      <c r="A6309">
        <f t="shared" si="98"/>
        <v>7709103</v>
      </c>
      <c r="B6309" t="s">
        <v>3758</v>
      </c>
      <c r="C6309" t="s">
        <v>14778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14778</v>
      </c>
    </row>
    <row r="6315" spans="1:3" x14ac:dyDescent="0.25">
      <c r="A6315">
        <f t="shared" si="98"/>
        <v>7709105</v>
      </c>
      <c r="B6315" t="s">
        <v>3764</v>
      </c>
      <c r="C6315" t="s">
        <v>14785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14778</v>
      </c>
    </row>
    <row r="6320" spans="1:3" x14ac:dyDescent="0.25">
      <c r="A6320">
        <f t="shared" si="98"/>
        <v>7709115</v>
      </c>
      <c r="B6320" t="s">
        <v>3769</v>
      </c>
      <c r="C6320" t="s">
        <v>14785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14761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14761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14761</v>
      </c>
    </row>
    <row r="6332" spans="1:3" x14ac:dyDescent="0.25">
      <c r="A6332">
        <f t="shared" si="98"/>
        <v>7709138</v>
      </c>
      <c r="B6332" t="s">
        <v>3781</v>
      </c>
      <c r="C6332" t="s">
        <v>14778</v>
      </c>
    </row>
    <row r="6333" spans="1:3" x14ac:dyDescent="0.25">
      <c r="A6333">
        <f t="shared" si="98"/>
        <v>7709138</v>
      </c>
      <c r="B6333" t="s">
        <v>3781</v>
      </c>
      <c r="C6333" t="s">
        <v>14785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14787</v>
      </c>
    </row>
    <row r="6337" spans="1:3" x14ac:dyDescent="0.25">
      <c r="A6337">
        <f t="shared" si="98"/>
        <v>7709142</v>
      </c>
      <c r="B6337" t="s">
        <v>3785</v>
      </c>
      <c r="C6337" t="s">
        <v>14778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14761</v>
      </c>
    </row>
    <row r="6340" spans="1:3" x14ac:dyDescent="0.25">
      <c r="A6340">
        <f t="shared" si="99"/>
        <v>7709156</v>
      </c>
      <c r="B6340" t="s">
        <v>3787</v>
      </c>
      <c r="C6340" t="s">
        <v>14778</v>
      </c>
    </row>
    <row r="6341" spans="1:3" x14ac:dyDescent="0.25">
      <c r="A6341">
        <f t="shared" si="99"/>
        <v>7709156</v>
      </c>
      <c r="B6341" t="s">
        <v>3787</v>
      </c>
      <c r="C6341" t="s">
        <v>14785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14761</v>
      </c>
    </row>
    <row r="6346" spans="1:3" x14ac:dyDescent="0.25">
      <c r="A6346">
        <f t="shared" si="99"/>
        <v>7709158</v>
      </c>
      <c r="B6346" t="s">
        <v>3792</v>
      </c>
      <c r="C6346" t="s">
        <v>14778</v>
      </c>
    </row>
    <row r="6347" spans="1:3" x14ac:dyDescent="0.25">
      <c r="A6347">
        <f t="shared" si="99"/>
        <v>7709158</v>
      </c>
      <c r="B6347" t="s">
        <v>3792</v>
      </c>
      <c r="C6347" t="s">
        <v>14785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14761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14778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14778</v>
      </c>
    </row>
    <row r="6358" spans="1:3" x14ac:dyDescent="0.25">
      <c r="A6358">
        <f t="shared" si="99"/>
        <v>7709174</v>
      </c>
      <c r="B6358" t="s">
        <v>3802</v>
      </c>
      <c r="C6358" t="s">
        <v>14785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14788</v>
      </c>
    </row>
    <row r="6362" spans="1:3" x14ac:dyDescent="0.25">
      <c r="A6362">
        <f t="shared" si="99"/>
        <v>7709198</v>
      </c>
      <c r="B6362" t="s">
        <v>3805</v>
      </c>
      <c r="C6362" t="s">
        <v>14789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14761</v>
      </c>
    </row>
    <row r="6368" spans="1:3" x14ac:dyDescent="0.25">
      <c r="A6368">
        <f t="shared" si="99"/>
        <v>7709203</v>
      </c>
      <c r="B6368" t="s">
        <v>3811</v>
      </c>
      <c r="C6368" t="s">
        <v>14787</v>
      </c>
    </row>
    <row r="6369" spans="1:3" x14ac:dyDescent="0.25">
      <c r="A6369">
        <f t="shared" si="99"/>
        <v>7709203</v>
      </c>
      <c r="B6369" t="s">
        <v>3811</v>
      </c>
      <c r="C6369" t="s">
        <v>14778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14787</v>
      </c>
    </row>
    <row r="6372" spans="1:3" x14ac:dyDescent="0.25">
      <c r="A6372">
        <f t="shared" si="99"/>
        <v>7709204</v>
      </c>
      <c r="B6372" t="s">
        <v>3813</v>
      </c>
      <c r="C6372" t="s">
        <v>14778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14778</v>
      </c>
    </row>
    <row r="6376" spans="1:3" x14ac:dyDescent="0.25">
      <c r="A6376">
        <f t="shared" si="99"/>
        <v>7709208</v>
      </c>
      <c r="B6376" t="s">
        <v>3816</v>
      </c>
      <c r="C6376" t="s">
        <v>14785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14761</v>
      </c>
    </row>
    <row r="6379" spans="1:3" x14ac:dyDescent="0.25">
      <c r="A6379">
        <f t="shared" si="99"/>
        <v>7709212</v>
      </c>
      <c r="B6379" t="s">
        <v>3818</v>
      </c>
      <c r="C6379" t="s">
        <v>14787</v>
      </c>
    </row>
    <row r="6380" spans="1:3" x14ac:dyDescent="0.25">
      <c r="A6380">
        <f t="shared" si="99"/>
        <v>7709212</v>
      </c>
      <c r="B6380" t="s">
        <v>3818</v>
      </c>
      <c r="C6380" t="s">
        <v>14778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14787</v>
      </c>
    </row>
    <row r="6383" spans="1:3" x14ac:dyDescent="0.25">
      <c r="A6383">
        <f t="shared" si="99"/>
        <v>7709228</v>
      </c>
      <c r="B6383" t="s">
        <v>3820</v>
      </c>
      <c r="C6383" t="s">
        <v>14778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14761</v>
      </c>
    </row>
    <row r="6386" spans="1:3" x14ac:dyDescent="0.25">
      <c r="A6386">
        <f t="shared" si="99"/>
        <v>7709229</v>
      </c>
      <c r="B6386" t="s">
        <v>3822</v>
      </c>
      <c r="C6386" t="s">
        <v>14787</v>
      </c>
    </row>
    <row r="6387" spans="1:3" x14ac:dyDescent="0.25">
      <c r="A6387">
        <f t="shared" si="99"/>
        <v>7709229</v>
      </c>
      <c r="B6387" t="s">
        <v>3822</v>
      </c>
      <c r="C6387" t="s">
        <v>14778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14778</v>
      </c>
    </row>
    <row r="6390" spans="1:3" x14ac:dyDescent="0.25">
      <c r="A6390">
        <f t="shared" si="99"/>
        <v>7709230</v>
      </c>
      <c r="B6390" t="s">
        <v>3824</v>
      </c>
      <c r="C6390" t="s">
        <v>14790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14761</v>
      </c>
    </row>
    <row r="6393" spans="1:3" x14ac:dyDescent="0.25">
      <c r="A6393">
        <f t="shared" si="99"/>
        <v>7709233</v>
      </c>
      <c r="B6393" t="s">
        <v>3826</v>
      </c>
      <c r="C6393" t="s">
        <v>14778</v>
      </c>
    </row>
    <row r="6394" spans="1:3" x14ac:dyDescent="0.25">
      <c r="A6394">
        <f t="shared" si="99"/>
        <v>7709233</v>
      </c>
      <c r="B6394" t="s">
        <v>3826</v>
      </c>
      <c r="C6394" t="s">
        <v>14785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14787</v>
      </c>
    </row>
    <row r="6401" spans="1:3" x14ac:dyDescent="0.25">
      <c r="A6401">
        <f t="shared" si="99"/>
        <v>7709238</v>
      </c>
      <c r="B6401" t="s">
        <v>3834</v>
      </c>
      <c r="C6401" t="s">
        <v>14778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14761</v>
      </c>
    </row>
    <row r="6404" spans="1:3" x14ac:dyDescent="0.25">
      <c r="A6404">
        <f t="shared" si="100"/>
        <v>7709245</v>
      </c>
      <c r="B6404" t="s">
        <v>3836</v>
      </c>
      <c r="C6404" t="s">
        <v>14778</v>
      </c>
    </row>
    <row r="6405" spans="1:3" x14ac:dyDescent="0.25">
      <c r="A6405">
        <f t="shared" si="100"/>
        <v>7709245</v>
      </c>
      <c r="B6405" t="s">
        <v>3836</v>
      </c>
      <c r="C6405" t="s">
        <v>14785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14778</v>
      </c>
    </row>
    <row r="6409" spans="1:3" x14ac:dyDescent="0.25">
      <c r="A6409">
        <f t="shared" si="100"/>
        <v>7709251</v>
      </c>
      <c r="B6409" t="s">
        <v>3840</v>
      </c>
      <c r="C6409" t="s">
        <v>14785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14787</v>
      </c>
    </row>
    <row r="6415" spans="1:3" x14ac:dyDescent="0.25">
      <c r="A6415">
        <f t="shared" si="100"/>
        <v>7709273</v>
      </c>
      <c r="B6415" t="s">
        <v>3846</v>
      </c>
      <c r="C6415" t="s">
        <v>14778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14778</v>
      </c>
    </row>
    <row r="6421" spans="1:3" x14ac:dyDescent="0.25">
      <c r="A6421">
        <f t="shared" si="100"/>
        <v>7709285</v>
      </c>
      <c r="B6421" t="s">
        <v>3852</v>
      </c>
      <c r="C6421" t="s">
        <v>14785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14761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14778</v>
      </c>
    </row>
    <row r="6426" spans="1:3" x14ac:dyDescent="0.25">
      <c r="A6426">
        <f t="shared" si="100"/>
        <v>7709301</v>
      </c>
      <c r="B6426" t="s">
        <v>3856</v>
      </c>
      <c r="C6426" t="s">
        <v>14785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14787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14761</v>
      </c>
    </row>
    <row r="6434" spans="1:3" x14ac:dyDescent="0.25">
      <c r="A6434">
        <f t="shared" si="100"/>
        <v>7709304</v>
      </c>
      <c r="B6434" t="s">
        <v>3864</v>
      </c>
      <c r="C6434" t="s">
        <v>14778</v>
      </c>
    </row>
    <row r="6435" spans="1:3" x14ac:dyDescent="0.25">
      <c r="A6435">
        <f t="shared" si="100"/>
        <v>7709304</v>
      </c>
      <c r="B6435" t="s">
        <v>3864</v>
      </c>
      <c r="C6435" t="s">
        <v>14785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14761</v>
      </c>
    </row>
    <row r="6438" spans="1:3" x14ac:dyDescent="0.25">
      <c r="A6438">
        <f t="shared" si="100"/>
        <v>7709306</v>
      </c>
      <c r="B6438" t="s">
        <v>3866</v>
      </c>
      <c r="C6438" t="s">
        <v>14778</v>
      </c>
    </row>
    <row r="6439" spans="1:3" x14ac:dyDescent="0.25">
      <c r="A6439">
        <f t="shared" si="100"/>
        <v>7709306</v>
      </c>
      <c r="B6439" t="s">
        <v>3866</v>
      </c>
      <c r="C6439" t="s">
        <v>14785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14778</v>
      </c>
    </row>
    <row r="6444" spans="1:3" x14ac:dyDescent="0.25">
      <c r="A6444">
        <f t="shared" si="100"/>
        <v>7709310</v>
      </c>
      <c r="B6444" t="s">
        <v>3872</v>
      </c>
      <c r="C6444" t="s">
        <v>14785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14778</v>
      </c>
    </row>
    <row r="6448" spans="1:3" x14ac:dyDescent="0.25">
      <c r="A6448">
        <f t="shared" si="100"/>
        <v>7709312</v>
      </c>
      <c r="B6448" t="s">
        <v>3875</v>
      </c>
      <c r="C6448" t="s">
        <v>14785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14761</v>
      </c>
    </row>
    <row r="6453" spans="1:3" x14ac:dyDescent="0.25">
      <c r="A6453">
        <f t="shared" si="100"/>
        <v>7709333</v>
      </c>
      <c r="B6453" t="s">
        <v>3880</v>
      </c>
      <c r="C6453" t="s">
        <v>14787</v>
      </c>
    </row>
    <row r="6454" spans="1:3" x14ac:dyDescent="0.25">
      <c r="A6454">
        <f t="shared" si="100"/>
        <v>7709333</v>
      </c>
      <c r="B6454" t="s">
        <v>3880</v>
      </c>
      <c r="C6454" t="s">
        <v>14778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14778</v>
      </c>
    </row>
    <row r="6458" spans="1:3" x14ac:dyDescent="0.25">
      <c r="A6458">
        <f t="shared" si="100"/>
        <v>7709338</v>
      </c>
      <c r="B6458" t="s">
        <v>3882</v>
      </c>
      <c r="C6458" t="s">
        <v>14785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14778</v>
      </c>
    </row>
    <row r="6464" spans="1:3" x14ac:dyDescent="0.25">
      <c r="A6464">
        <f t="shared" si="100"/>
        <v>7709340</v>
      </c>
      <c r="B6464" t="s">
        <v>3888</v>
      </c>
      <c r="C6464" t="s">
        <v>14785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14761</v>
      </c>
    </row>
    <row r="6467" spans="1:3" x14ac:dyDescent="0.25">
      <c r="A6467">
        <f t="shared" si="101"/>
        <v>7709341</v>
      </c>
      <c r="B6467" t="s">
        <v>3890</v>
      </c>
      <c r="C6467" t="s">
        <v>14778</v>
      </c>
    </row>
    <row r="6468" spans="1:3" x14ac:dyDescent="0.25">
      <c r="A6468">
        <f t="shared" si="101"/>
        <v>7709341</v>
      </c>
      <c r="B6468" t="s">
        <v>3890</v>
      </c>
      <c r="C6468" t="s">
        <v>14785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14778</v>
      </c>
    </row>
    <row r="6471" spans="1:3" x14ac:dyDescent="0.25">
      <c r="A6471">
        <f t="shared" si="101"/>
        <v>7709350</v>
      </c>
      <c r="B6471" t="s">
        <v>3892</v>
      </c>
      <c r="C6471" t="s">
        <v>14785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14778</v>
      </c>
    </row>
    <row r="6477" spans="1:3" x14ac:dyDescent="0.25">
      <c r="A6477">
        <f t="shared" si="101"/>
        <v>7709352</v>
      </c>
      <c r="B6477" t="s">
        <v>3898</v>
      </c>
      <c r="C6477" t="s">
        <v>14785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14778</v>
      </c>
    </row>
    <row r="6480" spans="1:3" x14ac:dyDescent="0.25">
      <c r="A6480">
        <f t="shared" si="101"/>
        <v>7709355</v>
      </c>
      <c r="B6480" t="s">
        <v>3900</v>
      </c>
      <c r="C6480" t="s">
        <v>14785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14778</v>
      </c>
    </row>
    <row r="6483" spans="1:3" x14ac:dyDescent="0.25">
      <c r="A6483">
        <f t="shared" si="101"/>
        <v>7709358</v>
      </c>
      <c r="B6483" t="s">
        <v>3902</v>
      </c>
      <c r="C6483" t="s">
        <v>14785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14778</v>
      </c>
    </row>
    <row r="6486" spans="1:3" x14ac:dyDescent="0.25">
      <c r="A6486">
        <f t="shared" si="101"/>
        <v>7709360</v>
      </c>
      <c r="B6486" t="s">
        <v>3904</v>
      </c>
      <c r="C6486" t="s">
        <v>14785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14778</v>
      </c>
    </row>
    <row r="6491" spans="1:3" x14ac:dyDescent="0.25">
      <c r="A6491">
        <f t="shared" si="101"/>
        <v>7709364</v>
      </c>
      <c r="B6491" t="s">
        <v>3909</v>
      </c>
      <c r="C6491" t="s">
        <v>14785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14761</v>
      </c>
    </row>
    <row r="6494" spans="1:3" x14ac:dyDescent="0.25">
      <c r="A6494">
        <f t="shared" si="101"/>
        <v>7709365</v>
      </c>
      <c r="B6494" t="s">
        <v>3911</v>
      </c>
      <c r="C6494" t="s">
        <v>14787</v>
      </c>
    </row>
    <row r="6495" spans="1:3" x14ac:dyDescent="0.25">
      <c r="A6495">
        <f t="shared" si="101"/>
        <v>7709365</v>
      </c>
      <c r="B6495" t="s">
        <v>3911</v>
      </c>
      <c r="C6495" t="s">
        <v>14778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14761</v>
      </c>
    </row>
    <row r="6498" spans="1:3" x14ac:dyDescent="0.25">
      <c r="A6498">
        <f t="shared" si="101"/>
        <v>7709380</v>
      </c>
      <c r="B6498" t="s">
        <v>3913</v>
      </c>
      <c r="C6498" t="s">
        <v>14778</v>
      </c>
    </row>
    <row r="6499" spans="1:3" x14ac:dyDescent="0.25">
      <c r="A6499">
        <f t="shared" si="101"/>
        <v>7709380</v>
      </c>
      <c r="B6499" t="s">
        <v>3913</v>
      </c>
      <c r="C6499" t="s">
        <v>14785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14761</v>
      </c>
    </row>
    <row r="6502" spans="1:3" x14ac:dyDescent="0.25">
      <c r="A6502">
        <f t="shared" si="101"/>
        <v>7709381</v>
      </c>
      <c r="B6502" t="s">
        <v>3915</v>
      </c>
      <c r="C6502" t="s">
        <v>14778</v>
      </c>
    </row>
    <row r="6503" spans="1:3" x14ac:dyDescent="0.25">
      <c r="A6503">
        <f t="shared" si="101"/>
        <v>7709381</v>
      </c>
      <c r="B6503" t="s">
        <v>3915</v>
      </c>
      <c r="C6503" t="s">
        <v>14785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14778</v>
      </c>
    </row>
    <row r="6507" spans="1:3" x14ac:dyDescent="0.25">
      <c r="A6507">
        <f t="shared" si="101"/>
        <v>7709384</v>
      </c>
      <c r="B6507" t="s">
        <v>3918</v>
      </c>
      <c r="C6507" t="s">
        <v>14785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14778</v>
      </c>
    </row>
    <row r="6512" spans="1:3" x14ac:dyDescent="0.25">
      <c r="A6512">
        <f t="shared" si="101"/>
        <v>7709394</v>
      </c>
      <c r="B6512" t="s">
        <v>3922</v>
      </c>
      <c r="C6512" t="s">
        <v>14785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14778</v>
      </c>
    </row>
    <row r="6516" spans="1:3" x14ac:dyDescent="0.25">
      <c r="A6516">
        <f t="shared" si="101"/>
        <v>7709395</v>
      </c>
      <c r="B6516" t="s">
        <v>3925</v>
      </c>
      <c r="C6516" t="s">
        <v>14785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14761</v>
      </c>
    </row>
    <row r="6519" spans="1:3" x14ac:dyDescent="0.25">
      <c r="A6519">
        <f t="shared" si="101"/>
        <v>7709396</v>
      </c>
      <c r="B6519" t="s">
        <v>3927</v>
      </c>
      <c r="C6519" t="s">
        <v>14787</v>
      </c>
    </row>
    <row r="6520" spans="1:3" x14ac:dyDescent="0.25">
      <c r="A6520">
        <f t="shared" si="101"/>
        <v>7709396</v>
      </c>
      <c r="B6520" t="s">
        <v>3927</v>
      </c>
      <c r="C6520" t="s">
        <v>14778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14761</v>
      </c>
    </row>
    <row r="6523" spans="1:3" x14ac:dyDescent="0.25">
      <c r="A6523">
        <f t="shared" si="101"/>
        <v>7709401</v>
      </c>
      <c r="B6523" t="s">
        <v>3929</v>
      </c>
      <c r="C6523" t="s">
        <v>14787</v>
      </c>
    </row>
    <row r="6524" spans="1:3" x14ac:dyDescent="0.25">
      <c r="A6524">
        <f t="shared" si="101"/>
        <v>7709401</v>
      </c>
      <c r="B6524" t="s">
        <v>3929</v>
      </c>
      <c r="C6524" t="s">
        <v>14778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14778</v>
      </c>
    </row>
    <row r="6528" spans="1:3" x14ac:dyDescent="0.25">
      <c r="A6528">
        <f t="shared" si="101"/>
        <v>7709406</v>
      </c>
      <c r="B6528" t="s">
        <v>3932</v>
      </c>
      <c r="C6528" t="s">
        <v>14785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14778</v>
      </c>
    </row>
    <row r="6541" spans="1:3" x14ac:dyDescent="0.25">
      <c r="A6541">
        <f t="shared" si="102"/>
        <v>7709417</v>
      </c>
      <c r="B6541" t="s">
        <v>3945</v>
      </c>
      <c r="C6541" t="s">
        <v>14785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14787</v>
      </c>
    </row>
    <row r="6544" spans="1:3" x14ac:dyDescent="0.25">
      <c r="A6544">
        <f t="shared" si="102"/>
        <v>7709419</v>
      </c>
      <c r="B6544" t="s">
        <v>3947</v>
      </c>
      <c r="C6544" t="s">
        <v>14778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14761</v>
      </c>
    </row>
    <row r="6547" spans="1:3" x14ac:dyDescent="0.25">
      <c r="A6547">
        <f t="shared" si="102"/>
        <v>7709420</v>
      </c>
      <c r="B6547" t="s">
        <v>3949</v>
      </c>
      <c r="C6547" t="s">
        <v>14778</v>
      </c>
    </row>
    <row r="6548" spans="1:3" x14ac:dyDescent="0.25">
      <c r="A6548">
        <f t="shared" si="102"/>
        <v>7709420</v>
      </c>
      <c r="B6548" t="s">
        <v>3949</v>
      </c>
      <c r="C6548" t="s">
        <v>14785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14761</v>
      </c>
    </row>
    <row r="6551" spans="1:3" x14ac:dyDescent="0.25">
      <c r="A6551">
        <f t="shared" si="102"/>
        <v>7709421</v>
      </c>
      <c r="B6551" t="s">
        <v>3951</v>
      </c>
      <c r="C6551" t="s">
        <v>14787</v>
      </c>
    </row>
    <row r="6552" spans="1:3" x14ac:dyDescent="0.25">
      <c r="A6552">
        <f t="shared" si="102"/>
        <v>7709421</v>
      </c>
      <c r="B6552" t="s">
        <v>3951</v>
      </c>
      <c r="C6552" t="s">
        <v>14778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14761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14761</v>
      </c>
    </row>
    <row r="6557" spans="1:3" x14ac:dyDescent="0.25">
      <c r="A6557">
        <f t="shared" si="102"/>
        <v>7709425</v>
      </c>
      <c r="B6557" t="s">
        <v>3955</v>
      </c>
      <c r="C6557" t="s">
        <v>14778</v>
      </c>
    </row>
    <row r="6558" spans="1:3" x14ac:dyDescent="0.25">
      <c r="A6558">
        <f t="shared" si="102"/>
        <v>7709425</v>
      </c>
      <c r="B6558" t="s">
        <v>3955</v>
      </c>
      <c r="C6558" t="s">
        <v>14785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14778</v>
      </c>
    </row>
    <row r="6561" spans="1:3" x14ac:dyDescent="0.25">
      <c r="A6561">
        <f t="shared" si="102"/>
        <v>7709426</v>
      </c>
      <c r="B6561" t="s">
        <v>3957</v>
      </c>
      <c r="C6561" t="s">
        <v>14785</v>
      </c>
    </row>
    <row r="6562" spans="1:3" x14ac:dyDescent="0.25">
      <c r="A6562">
        <f t="shared" si="102"/>
        <v>7709438</v>
      </c>
      <c r="B6562" t="s">
        <v>14695</v>
      </c>
      <c r="C6562" t="s">
        <v>14696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14761</v>
      </c>
    </row>
    <row r="6565" spans="1:3" x14ac:dyDescent="0.25">
      <c r="A6565">
        <f t="shared" si="102"/>
        <v>7709439</v>
      </c>
      <c r="B6565" t="s">
        <v>3959</v>
      </c>
      <c r="C6565" t="s">
        <v>14778</v>
      </c>
    </row>
    <row r="6566" spans="1:3" x14ac:dyDescent="0.25">
      <c r="A6566">
        <f t="shared" si="102"/>
        <v>7709439</v>
      </c>
      <c r="B6566" t="s">
        <v>3959</v>
      </c>
      <c r="C6566" t="s">
        <v>14785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14761</v>
      </c>
    </row>
    <row r="6569" spans="1:3" x14ac:dyDescent="0.25">
      <c r="A6569">
        <f t="shared" si="102"/>
        <v>7709440</v>
      </c>
      <c r="B6569" t="s">
        <v>3961</v>
      </c>
      <c r="C6569" t="s">
        <v>14778</v>
      </c>
    </row>
    <row r="6570" spans="1:3" x14ac:dyDescent="0.25">
      <c r="A6570">
        <f t="shared" si="102"/>
        <v>7709440</v>
      </c>
      <c r="B6570" t="s">
        <v>3961</v>
      </c>
      <c r="C6570" t="s">
        <v>14785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14778</v>
      </c>
    </row>
    <row r="6574" spans="1:3" x14ac:dyDescent="0.25">
      <c r="A6574">
        <f t="shared" si="102"/>
        <v>7709441</v>
      </c>
      <c r="B6574" t="s">
        <v>3964</v>
      </c>
      <c r="C6574" t="s">
        <v>14785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14761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14761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14778</v>
      </c>
    </row>
    <row r="6582" spans="1:3" x14ac:dyDescent="0.25">
      <c r="A6582">
        <f t="shared" si="102"/>
        <v>7709450</v>
      </c>
      <c r="B6582" t="s">
        <v>3971</v>
      </c>
      <c r="C6582" t="s">
        <v>14785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14761</v>
      </c>
    </row>
    <row r="6585" spans="1:3" x14ac:dyDescent="0.25">
      <c r="A6585">
        <f t="shared" si="102"/>
        <v>7709451</v>
      </c>
      <c r="B6585" t="s">
        <v>3973</v>
      </c>
      <c r="C6585" t="s">
        <v>14778</v>
      </c>
    </row>
    <row r="6586" spans="1:3" x14ac:dyDescent="0.25">
      <c r="A6586">
        <f t="shared" si="102"/>
        <v>7709451</v>
      </c>
      <c r="B6586" t="s">
        <v>3973</v>
      </c>
      <c r="C6586" t="s">
        <v>14785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14787</v>
      </c>
    </row>
    <row r="6589" spans="1:3" x14ac:dyDescent="0.25">
      <c r="A6589">
        <f t="shared" si="102"/>
        <v>7709452</v>
      </c>
      <c r="B6589" t="s">
        <v>3975</v>
      </c>
      <c r="C6589" t="s">
        <v>14778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14778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14785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14761</v>
      </c>
    </row>
    <row r="6598" spans="1:3" x14ac:dyDescent="0.25">
      <c r="A6598">
        <f t="shared" si="103"/>
        <v>7709456</v>
      </c>
      <c r="B6598" t="s">
        <v>3984</v>
      </c>
      <c r="C6598" t="s">
        <v>14778</v>
      </c>
    </row>
    <row r="6599" spans="1:3" x14ac:dyDescent="0.25">
      <c r="A6599">
        <f t="shared" si="103"/>
        <v>7709456</v>
      </c>
      <c r="B6599" t="s">
        <v>3984</v>
      </c>
      <c r="C6599" t="s">
        <v>14785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14761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14761</v>
      </c>
    </row>
    <row r="6606" spans="1:3" x14ac:dyDescent="0.25">
      <c r="A6606">
        <f t="shared" si="103"/>
        <v>7709460</v>
      </c>
      <c r="B6606" t="s">
        <v>3992</v>
      </c>
      <c r="C6606" t="s">
        <v>14787</v>
      </c>
    </row>
    <row r="6607" spans="1:3" x14ac:dyDescent="0.25">
      <c r="A6607">
        <f t="shared" si="103"/>
        <v>7709460</v>
      </c>
      <c r="B6607" t="s">
        <v>3992</v>
      </c>
      <c r="C6607" t="s">
        <v>14778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14761</v>
      </c>
    </row>
    <row r="6610" spans="1:3" x14ac:dyDescent="0.25">
      <c r="A6610">
        <f t="shared" si="103"/>
        <v>7709461</v>
      </c>
      <c r="B6610" t="s">
        <v>3994</v>
      </c>
      <c r="C6610" t="s">
        <v>14787</v>
      </c>
    </row>
    <row r="6611" spans="1:3" x14ac:dyDescent="0.25">
      <c r="A6611">
        <f t="shared" si="103"/>
        <v>7709461</v>
      </c>
      <c r="B6611" t="s">
        <v>3994</v>
      </c>
      <c r="C6611" t="s">
        <v>14778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14778</v>
      </c>
    </row>
    <row r="6616" spans="1:3" x14ac:dyDescent="0.25">
      <c r="A6616">
        <f t="shared" si="103"/>
        <v>7709473</v>
      </c>
      <c r="B6616" t="s">
        <v>4000</v>
      </c>
      <c r="C6616" t="s">
        <v>14790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14778</v>
      </c>
    </row>
    <row r="6620" spans="1:3" x14ac:dyDescent="0.25">
      <c r="A6620">
        <f t="shared" si="103"/>
        <v>7709490</v>
      </c>
      <c r="B6620" t="s">
        <v>4003</v>
      </c>
      <c r="C6620" t="s">
        <v>14785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14778</v>
      </c>
    </row>
    <row r="6624" spans="1:3" x14ac:dyDescent="0.25">
      <c r="A6624">
        <f t="shared" si="103"/>
        <v>7709495</v>
      </c>
      <c r="B6624" t="s">
        <v>4006</v>
      </c>
      <c r="C6624" t="s">
        <v>14785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14761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14778</v>
      </c>
    </row>
    <row r="6632" spans="1:3" x14ac:dyDescent="0.25">
      <c r="A6632">
        <f t="shared" si="103"/>
        <v>7709501</v>
      </c>
      <c r="B6632" t="s">
        <v>4014</v>
      </c>
      <c r="C6632" t="s">
        <v>14785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14761</v>
      </c>
    </row>
    <row r="6635" spans="1:3" x14ac:dyDescent="0.25">
      <c r="A6635">
        <f t="shared" si="103"/>
        <v>7709502</v>
      </c>
      <c r="B6635" t="s">
        <v>4016</v>
      </c>
      <c r="C6635" t="s">
        <v>14778</v>
      </c>
    </row>
    <row r="6636" spans="1:3" x14ac:dyDescent="0.25">
      <c r="A6636">
        <f t="shared" si="103"/>
        <v>7709502</v>
      </c>
      <c r="B6636" t="s">
        <v>4016</v>
      </c>
      <c r="C6636" t="s">
        <v>14785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14787</v>
      </c>
    </row>
    <row r="6640" spans="1:3" x14ac:dyDescent="0.25">
      <c r="A6640">
        <f t="shared" si="103"/>
        <v>7709504</v>
      </c>
      <c r="B6640" t="s">
        <v>4020</v>
      </c>
      <c r="C6640" t="s">
        <v>14778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14778</v>
      </c>
    </row>
    <row r="6643" spans="1:3" x14ac:dyDescent="0.25">
      <c r="A6643">
        <f t="shared" si="103"/>
        <v>7709505</v>
      </c>
      <c r="B6643" t="s">
        <v>4022</v>
      </c>
      <c r="C6643" t="s">
        <v>14785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14777</v>
      </c>
    </row>
    <row r="6647" spans="1:3" x14ac:dyDescent="0.25">
      <c r="A6647">
        <f t="shared" si="103"/>
        <v>7709517</v>
      </c>
      <c r="B6647" t="s">
        <v>4026</v>
      </c>
      <c r="C6647" t="s">
        <v>14778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14791</v>
      </c>
    </row>
    <row r="6650" spans="1:3" x14ac:dyDescent="0.25">
      <c r="A6650">
        <f t="shared" si="103"/>
        <v>7709540</v>
      </c>
      <c r="B6650" t="s">
        <v>4028</v>
      </c>
      <c r="C6650" t="s">
        <v>14792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14761</v>
      </c>
    </row>
    <row r="6653" spans="1:3" x14ac:dyDescent="0.25">
      <c r="A6653">
        <f t="shared" si="103"/>
        <v>7709547</v>
      </c>
      <c r="B6653" t="s">
        <v>4030</v>
      </c>
      <c r="C6653" t="s">
        <v>14787</v>
      </c>
    </row>
    <row r="6654" spans="1:3" x14ac:dyDescent="0.25">
      <c r="A6654">
        <f t="shared" si="103"/>
        <v>7709547</v>
      </c>
      <c r="B6654" t="s">
        <v>4030</v>
      </c>
      <c r="C6654" t="s">
        <v>14778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14761</v>
      </c>
    </row>
    <row r="6657" spans="1:3" x14ac:dyDescent="0.25">
      <c r="A6657">
        <f t="shared" si="103"/>
        <v>7709549</v>
      </c>
      <c r="B6657" t="s">
        <v>4032</v>
      </c>
      <c r="C6657" t="s">
        <v>14787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14778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14761</v>
      </c>
    </row>
    <row r="6665" spans="1:3" x14ac:dyDescent="0.25">
      <c r="A6665">
        <f t="shared" si="104"/>
        <v>7709572</v>
      </c>
      <c r="B6665" t="s">
        <v>4040</v>
      </c>
      <c r="C6665" t="s">
        <v>14778</v>
      </c>
    </row>
    <row r="6666" spans="1:3" x14ac:dyDescent="0.25">
      <c r="A6666">
        <f t="shared" si="104"/>
        <v>7709572</v>
      </c>
      <c r="B6666" t="s">
        <v>4040</v>
      </c>
      <c r="C6666" t="s">
        <v>14785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14761</v>
      </c>
    </row>
    <row r="6669" spans="1:3" x14ac:dyDescent="0.25">
      <c r="A6669">
        <f t="shared" si="104"/>
        <v>7709600</v>
      </c>
      <c r="B6669" t="s">
        <v>4042</v>
      </c>
      <c r="C6669" t="s">
        <v>14787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14761</v>
      </c>
    </row>
    <row r="6679" spans="1:3" x14ac:dyDescent="0.25">
      <c r="A6679">
        <f t="shared" si="104"/>
        <v>7709606</v>
      </c>
      <c r="B6679" t="s">
        <v>4054</v>
      </c>
      <c r="C6679" t="s">
        <v>14778</v>
      </c>
    </row>
    <row r="6680" spans="1:3" x14ac:dyDescent="0.25">
      <c r="A6680">
        <f t="shared" si="104"/>
        <v>7709606</v>
      </c>
      <c r="B6680" t="s">
        <v>4054</v>
      </c>
      <c r="C6680" t="s">
        <v>14785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14761</v>
      </c>
    </row>
    <row r="6684" spans="1:3" x14ac:dyDescent="0.25">
      <c r="A6684">
        <f t="shared" si="104"/>
        <v>7709625</v>
      </c>
      <c r="B6684" t="s">
        <v>4058</v>
      </c>
      <c r="C6684" t="s">
        <v>14778</v>
      </c>
    </row>
    <row r="6685" spans="1:3" x14ac:dyDescent="0.25">
      <c r="A6685">
        <f t="shared" si="104"/>
        <v>7709625</v>
      </c>
      <c r="B6685" t="s">
        <v>4058</v>
      </c>
      <c r="C6685" t="s">
        <v>14785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14761</v>
      </c>
    </row>
    <row r="6688" spans="1:3" x14ac:dyDescent="0.25">
      <c r="A6688">
        <f t="shared" si="104"/>
        <v>7709650</v>
      </c>
      <c r="B6688" t="s">
        <v>4060</v>
      </c>
      <c r="C6688" t="s">
        <v>14787</v>
      </c>
    </row>
    <row r="6689" spans="1:3" x14ac:dyDescent="0.25">
      <c r="A6689">
        <f t="shared" si="104"/>
        <v>7709650</v>
      </c>
      <c r="B6689" t="s">
        <v>4060</v>
      </c>
      <c r="C6689" t="s">
        <v>14778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14761</v>
      </c>
    </row>
    <row r="6692" spans="1:3" x14ac:dyDescent="0.25">
      <c r="A6692">
        <f t="shared" si="104"/>
        <v>7709653</v>
      </c>
      <c r="B6692" t="s">
        <v>4062</v>
      </c>
      <c r="C6692" t="s">
        <v>14787</v>
      </c>
    </row>
    <row r="6693" spans="1:3" x14ac:dyDescent="0.25">
      <c r="A6693">
        <f t="shared" si="104"/>
        <v>7709653</v>
      </c>
      <c r="B6693" t="s">
        <v>4062</v>
      </c>
      <c r="C6693" t="s">
        <v>14778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14761</v>
      </c>
    </row>
    <row r="6696" spans="1:3" x14ac:dyDescent="0.25">
      <c r="A6696">
        <f t="shared" si="104"/>
        <v>7709654</v>
      </c>
      <c r="B6696" t="s">
        <v>4064</v>
      </c>
      <c r="C6696" t="s">
        <v>14778</v>
      </c>
    </row>
    <row r="6697" spans="1:3" x14ac:dyDescent="0.25">
      <c r="A6697">
        <f t="shared" si="104"/>
        <v>7709654</v>
      </c>
      <c r="B6697" t="s">
        <v>4064</v>
      </c>
      <c r="C6697" t="s">
        <v>14785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14778</v>
      </c>
    </row>
    <row r="6704" spans="1:3" x14ac:dyDescent="0.25">
      <c r="A6704">
        <f t="shared" si="104"/>
        <v>7709660</v>
      </c>
      <c r="B6704" t="s">
        <v>4072</v>
      </c>
      <c r="C6704" t="s">
        <v>14785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14778</v>
      </c>
    </row>
    <row r="6708" spans="1:3" x14ac:dyDescent="0.25">
      <c r="A6708">
        <f t="shared" si="104"/>
        <v>7709662</v>
      </c>
      <c r="B6708" t="s">
        <v>4076</v>
      </c>
      <c r="C6708" t="s">
        <v>14785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14761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14787</v>
      </c>
    </row>
    <row r="6713" spans="1:3" x14ac:dyDescent="0.25">
      <c r="A6713">
        <f t="shared" si="104"/>
        <v>7709664</v>
      </c>
      <c r="B6713" t="s">
        <v>4080</v>
      </c>
      <c r="C6713" t="s">
        <v>14778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14761</v>
      </c>
    </row>
    <row r="6716" spans="1:3" x14ac:dyDescent="0.25">
      <c r="A6716">
        <f t="shared" si="104"/>
        <v>7709665</v>
      </c>
      <c r="B6716" t="s">
        <v>4082</v>
      </c>
      <c r="C6716" t="s">
        <v>14787</v>
      </c>
    </row>
    <row r="6717" spans="1:3" x14ac:dyDescent="0.25">
      <c r="A6717">
        <f t="shared" si="104"/>
        <v>7709665</v>
      </c>
      <c r="B6717" t="s">
        <v>4082</v>
      </c>
      <c r="C6717" t="s">
        <v>14778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14787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14787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14787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14787</v>
      </c>
    </row>
    <row r="6731" spans="1:3" x14ac:dyDescent="0.25">
      <c r="A6731">
        <f t="shared" si="105"/>
        <v>7709680</v>
      </c>
      <c r="B6731" t="s">
        <v>4098</v>
      </c>
      <c r="C6731" t="s">
        <v>14778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14778</v>
      </c>
    </row>
    <row r="6734" spans="1:3" x14ac:dyDescent="0.25">
      <c r="A6734">
        <f t="shared" si="105"/>
        <v>7709700</v>
      </c>
      <c r="B6734" t="s">
        <v>4100</v>
      </c>
      <c r="C6734" t="s">
        <v>14785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14778</v>
      </c>
    </row>
    <row r="6737" spans="1:3" x14ac:dyDescent="0.25">
      <c r="A6737">
        <f t="shared" si="105"/>
        <v>7709709</v>
      </c>
      <c r="B6737" t="s">
        <v>4102</v>
      </c>
      <c r="C6737" t="s">
        <v>14785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14761</v>
      </c>
    </row>
    <row r="6740" spans="1:3" x14ac:dyDescent="0.25">
      <c r="A6740">
        <f t="shared" si="105"/>
        <v>7709712</v>
      </c>
      <c r="B6740" t="s">
        <v>4104</v>
      </c>
      <c r="C6740" t="s">
        <v>14787</v>
      </c>
    </row>
    <row r="6741" spans="1:3" x14ac:dyDescent="0.25">
      <c r="A6741">
        <f t="shared" si="105"/>
        <v>7709712</v>
      </c>
      <c r="B6741" t="s">
        <v>4104</v>
      </c>
      <c r="C6741" t="s">
        <v>14778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14761</v>
      </c>
    </row>
    <row r="6744" spans="1:3" x14ac:dyDescent="0.25">
      <c r="A6744">
        <f t="shared" si="105"/>
        <v>7709753</v>
      </c>
      <c r="B6744" t="s">
        <v>4106</v>
      </c>
      <c r="C6744" t="s">
        <v>14778</v>
      </c>
    </row>
    <row r="6745" spans="1:3" x14ac:dyDescent="0.25">
      <c r="A6745">
        <f t="shared" si="105"/>
        <v>7709753</v>
      </c>
      <c r="B6745" t="s">
        <v>4106</v>
      </c>
      <c r="C6745" t="s">
        <v>14785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14761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14761</v>
      </c>
    </row>
    <row r="6750" spans="1:3" x14ac:dyDescent="0.25">
      <c r="A6750">
        <f t="shared" si="105"/>
        <v>7709755</v>
      </c>
      <c r="B6750" t="s">
        <v>4110</v>
      </c>
      <c r="C6750" t="s">
        <v>14787</v>
      </c>
    </row>
    <row r="6751" spans="1:3" x14ac:dyDescent="0.25">
      <c r="A6751">
        <f t="shared" si="105"/>
        <v>7709755</v>
      </c>
      <c r="B6751" t="s">
        <v>4110</v>
      </c>
      <c r="C6751" t="s">
        <v>14778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14761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14787</v>
      </c>
    </row>
    <row r="6759" spans="1:3" x14ac:dyDescent="0.25">
      <c r="A6759">
        <f t="shared" si="105"/>
        <v>7709785</v>
      </c>
      <c r="B6759" t="s">
        <v>4118</v>
      </c>
      <c r="C6759" t="s">
        <v>14778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14778</v>
      </c>
    </row>
    <row r="6762" spans="1:3" x14ac:dyDescent="0.25">
      <c r="A6762">
        <f t="shared" si="105"/>
        <v>7709786</v>
      </c>
      <c r="B6762" t="s">
        <v>4120</v>
      </c>
      <c r="C6762" t="s">
        <v>14785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14761</v>
      </c>
    </row>
    <row r="6765" spans="1:3" x14ac:dyDescent="0.25">
      <c r="A6765">
        <f t="shared" si="105"/>
        <v>7709787</v>
      </c>
      <c r="B6765" t="s">
        <v>4122</v>
      </c>
      <c r="C6765" t="s">
        <v>14787</v>
      </c>
    </row>
    <row r="6766" spans="1:3" x14ac:dyDescent="0.25">
      <c r="A6766">
        <f t="shared" si="105"/>
        <v>7709787</v>
      </c>
      <c r="B6766" t="s">
        <v>4122</v>
      </c>
      <c r="C6766" t="s">
        <v>14778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14778</v>
      </c>
    </row>
    <row r="6770" spans="1:3" x14ac:dyDescent="0.25">
      <c r="A6770">
        <f t="shared" si="105"/>
        <v>7709788</v>
      </c>
      <c r="B6770" t="s">
        <v>4125</v>
      </c>
      <c r="C6770" t="s">
        <v>14785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14761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14761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14761</v>
      </c>
    </row>
    <row r="6778" spans="1:3" x14ac:dyDescent="0.25">
      <c r="A6778">
        <f t="shared" si="105"/>
        <v>7709800</v>
      </c>
      <c r="B6778" t="s">
        <v>4132</v>
      </c>
      <c r="C6778" t="s">
        <v>14778</v>
      </c>
    </row>
    <row r="6779" spans="1:3" x14ac:dyDescent="0.25">
      <c r="A6779">
        <f t="shared" si="105"/>
        <v>7709800</v>
      </c>
      <c r="B6779" t="s">
        <v>4132</v>
      </c>
      <c r="C6779" t="s">
        <v>14785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14761</v>
      </c>
    </row>
    <row r="6782" spans="1:3" x14ac:dyDescent="0.25">
      <c r="A6782">
        <f t="shared" si="105"/>
        <v>7709801</v>
      </c>
      <c r="B6782" t="s">
        <v>4134</v>
      </c>
      <c r="C6782" t="s">
        <v>14778</v>
      </c>
    </row>
    <row r="6783" spans="1:3" x14ac:dyDescent="0.25">
      <c r="A6783">
        <f t="shared" si="105"/>
        <v>7709801</v>
      </c>
      <c r="B6783" t="s">
        <v>4134</v>
      </c>
      <c r="C6783" t="s">
        <v>14785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14778</v>
      </c>
    </row>
    <row r="6826" spans="1:3" x14ac:dyDescent="0.25">
      <c r="A6826">
        <f t="shared" si="106"/>
        <v>7709831</v>
      </c>
      <c r="B6826" t="s">
        <v>4196</v>
      </c>
      <c r="C6826" t="s">
        <v>14785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14778</v>
      </c>
    </row>
    <row r="6830" spans="1:3" x14ac:dyDescent="0.25">
      <c r="A6830">
        <f t="shared" si="106"/>
        <v>7709833</v>
      </c>
      <c r="B6830" t="s">
        <v>4199</v>
      </c>
      <c r="C6830" t="s">
        <v>14785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14778</v>
      </c>
    </row>
    <row r="6834" spans="1:3" x14ac:dyDescent="0.25">
      <c r="A6834">
        <f t="shared" si="106"/>
        <v>7709834</v>
      </c>
      <c r="B6834" t="s">
        <v>4202</v>
      </c>
      <c r="C6834" t="s">
        <v>14785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14778</v>
      </c>
    </row>
    <row r="6838" spans="1:3" x14ac:dyDescent="0.25">
      <c r="A6838">
        <f t="shared" si="106"/>
        <v>7709835</v>
      </c>
      <c r="B6838" t="s">
        <v>4205</v>
      </c>
      <c r="C6838" t="s">
        <v>14785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14778</v>
      </c>
    </row>
    <row r="6844" spans="1:3" x14ac:dyDescent="0.25">
      <c r="A6844">
        <f t="shared" si="106"/>
        <v>7709850</v>
      </c>
      <c r="B6844" t="s">
        <v>4211</v>
      </c>
      <c r="C6844" t="s">
        <v>14785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14761</v>
      </c>
    </row>
    <row r="6848" spans="1:3" x14ac:dyDescent="0.25">
      <c r="A6848">
        <f t="shared" si="106"/>
        <v>7709851</v>
      </c>
      <c r="B6848" t="s">
        <v>4214</v>
      </c>
      <c r="C6848" t="s">
        <v>14787</v>
      </c>
    </row>
    <row r="6849" spans="1:3" x14ac:dyDescent="0.25">
      <c r="A6849">
        <f t="shared" si="106"/>
        <v>7709851</v>
      </c>
      <c r="B6849" t="s">
        <v>4214</v>
      </c>
      <c r="C6849" t="s">
        <v>14778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14787</v>
      </c>
    </row>
    <row r="6852" spans="1:3" x14ac:dyDescent="0.25">
      <c r="A6852">
        <f t="shared" si="107"/>
        <v>7709852</v>
      </c>
      <c r="B6852" t="s">
        <v>4216</v>
      </c>
      <c r="C6852" t="s">
        <v>14778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14761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14761</v>
      </c>
    </row>
    <row r="6857" spans="1:3" x14ac:dyDescent="0.25">
      <c r="A6857">
        <f t="shared" si="107"/>
        <v>7709854</v>
      </c>
      <c r="B6857" t="s">
        <v>4220</v>
      </c>
      <c r="C6857" t="s">
        <v>14778</v>
      </c>
    </row>
    <row r="6858" spans="1:3" x14ac:dyDescent="0.25">
      <c r="A6858">
        <f t="shared" si="107"/>
        <v>7709854</v>
      </c>
      <c r="B6858" t="s">
        <v>4220</v>
      </c>
      <c r="C6858" t="s">
        <v>14785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14761</v>
      </c>
    </row>
    <row r="6861" spans="1:3" x14ac:dyDescent="0.25">
      <c r="A6861">
        <f t="shared" si="107"/>
        <v>7709855</v>
      </c>
      <c r="B6861" t="s">
        <v>4222</v>
      </c>
      <c r="C6861" t="s">
        <v>14778</v>
      </c>
    </row>
    <row r="6862" spans="1:3" x14ac:dyDescent="0.25">
      <c r="A6862">
        <f t="shared" si="107"/>
        <v>7709855</v>
      </c>
      <c r="B6862" t="s">
        <v>4222</v>
      </c>
      <c r="C6862" t="s">
        <v>14785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14787</v>
      </c>
    </row>
    <row r="6865" spans="1:3" x14ac:dyDescent="0.25">
      <c r="A6865">
        <f t="shared" si="107"/>
        <v>7709856</v>
      </c>
      <c r="B6865" t="s">
        <v>4224</v>
      </c>
      <c r="C6865" t="s">
        <v>14778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14761</v>
      </c>
    </row>
    <row r="6868" spans="1:3" x14ac:dyDescent="0.25">
      <c r="A6868">
        <f t="shared" si="107"/>
        <v>7709857</v>
      </c>
      <c r="B6868" t="s">
        <v>4226</v>
      </c>
      <c r="C6868" t="s">
        <v>14778</v>
      </c>
    </row>
    <row r="6869" spans="1:3" x14ac:dyDescent="0.25">
      <c r="A6869">
        <f t="shared" si="107"/>
        <v>7709857</v>
      </c>
      <c r="B6869" t="s">
        <v>4226</v>
      </c>
      <c r="C6869" t="s">
        <v>14785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14787</v>
      </c>
    </row>
    <row r="6872" spans="1:3" x14ac:dyDescent="0.25">
      <c r="A6872">
        <f t="shared" si="107"/>
        <v>7709858</v>
      </c>
      <c r="B6872" t="s">
        <v>4228</v>
      </c>
      <c r="C6872" t="s">
        <v>14778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14761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14761</v>
      </c>
    </row>
    <row r="6882" spans="1:3" x14ac:dyDescent="0.25">
      <c r="A6882">
        <f t="shared" si="107"/>
        <v>7709867</v>
      </c>
      <c r="B6882" t="s">
        <v>4241</v>
      </c>
      <c r="C6882" t="s">
        <v>14778</v>
      </c>
    </row>
    <row r="6883" spans="1:3" x14ac:dyDescent="0.25">
      <c r="A6883">
        <f t="shared" si="107"/>
        <v>7709867</v>
      </c>
      <c r="B6883" t="s">
        <v>4241</v>
      </c>
      <c r="C6883" t="s">
        <v>14785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14778</v>
      </c>
    </row>
    <row r="6887" spans="1:3" x14ac:dyDescent="0.25">
      <c r="A6887">
        <f t="shared" si="107"/>
        <v>7709869</v>
      </c>
      <c r="B6887" t="s">
        <v>4244</v>
      </c>
      <c r="C6887" t="s">
        <v>14785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14787</v>
      </c>
    </row>
    <row r="6895" spans="1:3" x14ac:dyDescent="0.25">
      <c r="A6895">
        <f t="shared" si="107"/>
        <v>7709900</v>
      </c>
      <c r="B6895" t="s">
        <v>4252</v>
      </c>
      <c r="C6895" t="s">
        <v>14778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14778</v>
      </c>
    </row>
    <row r="6899" spans="1:3" x14ac:dyDescent="0.25">
      <c r="A6899">
        <f t="shared" si="107"/>
        <v>7709901</v>
      </c>
      <c r="B6899" t="s">
        <v>4255</v>
      </c>
      <c r="C6899" t="s">
        <v>14785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14787</v>
      </c>
    </row>
    <row r="6902" spans="1:3" x14ac:dyDescent="0.25">
      <c r="A6902">
        <f t="shared" si="107"/>
        <v>7709902</v>
      </c>
      <c r="B6902" t="s">
        <v>4257</v>
      </c>
      <c r="C6902" t="s">
        <v>14778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14778</v>
      </c>
    </row>
    <row r="6906" spans="1:3" x14ac:dyDescent="0.25">
      <c r="A6906">
        <f t="shared" si="107"/>
        <v>7709909</v>
      </c>
      <c r="B6906" t="s">
        <v>4260</v>
      </c>
      <c r="C6906" t="s">
        <v>14785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14761</v>
      </c>
    </row>
    <row r="6909" spans="1:3" x14ac:dyDescent="0.25">
      <c r="A6909">
        <f t="shared" si="107"/>
        <v>7709943</v>
      </c>
      <c r="B6909" t="s">
        <v>4262</v>
      </c>
      <c r="C6909" t="s">
        <v>14787</v>
      </c>
    </row>
    <row r="6910" spans="1:3" x14ac:dyDescent="0.25">
      <c r="A6910">
        <f t="shared" si="107"/>
        <v>7709943</v>
      </c>
      <c r="B6910" t="s">
        <v>4262</v>
      </c>
      <c r="C6910" t="s">
        <v>14778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14778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14785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14778</v>
      </c>
    </row>
    <row r="6917" spans="1:3" x14ac:dyDescent="0.25">
      <c r="A6917">
        <f t="shared" si="108"/>
        <v>7709956</v>
      </c>
      <c r="B6917" t="s">
        <v>4267</v>
      </c>
      <c r="C6917" t="s">
        <v>14785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14761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14761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14761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14761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14761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14761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14761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14761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14791</v>
      </c>
    </row>
    <row r="6947" spans="1:3" x14ac:dyDescent="0.25">
      <c r="A6947">
        <f t="shared" si="108"/>
        <v>7711069</v>
      </c>
      <c r="B6947" t="s">
        <v>4301</v>
      </c>
      <c r="C6947" t="s">
        <v>14792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14791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14761</v>
      </c>
    </row>
    <row r="6953" spans="1:3" x14ac:dyDescent="0.25">
      <c r="A6953">
        <f t="shared" si="108"/>
        <v>7711091</v>
      </c>
      <c r="B6953" t="s">
        <v>4306</v>
      </c>
      <c r="C6953" t="s">
        <v>14778</v>
      </c>
    </row>
    <row r="6954" spans="1:3" x14ac:dyDescent="0.25">
      <c r="A6954">
        <f t="shared" si="108"/>
        <v>7711091</v>
      </c>
      <c r="B6954" t="s">
        <v>4306</v>
      </c>
      <c r="C6954" t="s">
        <v>14785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14778</v>
      </c>
    </row>
    <row r="6957" spans="1:3" x14ac:dyDescent="0.25">
      <c r="A6957">
        <f t="shared" si="108"/>
        <v>7711100</v>
      </c>
      <c r="B6957" t="s">
        <v>4308</v>
      </c>
      <c r="C6957" t="s">
        <v>14785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14770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14770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14791</v>
      </c>
    </row>
    <row r="6968" spans="1:3" x14ac:dyDescent="0.25">
      <c r="A6968">
        <f t="shared" si="108"/>
        <v>7711139</v>
      </c>
      <c r="B6968" t="s">
        <v>4319</v>
      </c>
      <c r="C6968" t="s">
        <v>14792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14791</v>
      </c>
    </row>
    <row r="6972" spans="1:3" x14ac:dyDescent="0.25">
      <c r="A6972">
        <f t="shared" si="108"/>
        <v>7711141</v>
      </c>
      <c r="B6972" t="s">
        <v>4322</v>
      </c>
      <c r="C6972" t="s">
        <v>14792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14770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14761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14791</v>
      </c>
    </row>
    <row r="6983" spans="1:3" x14ac:dyDescent="0.25">
      <c r="A6983">
        <f t="shared" si="109"/>
        <v>7711222</v>
      </c>
      <c r="B6983" t="s">
        <v>4333</v>
      </c>
      <c r="C6983" t="s">
        <v>14792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14788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14793</v>
      </c>
    </row>
    <row r="6990" spans="1:3" x14ac:dyDescent="0.25">
      <c r="A6990">
        <f t="shared" si="109"/>
        <v>7711503</v>
      </c>
      <c r="B6990" t="s">
        <v>4340</v>
      </c>
      <c r="C6990" t="s">
        <v>14794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14761</v>
      </c>
    </row>
    <row r="6994" spans="1:3" x14ac:dyDescent="0.25">
      <c r="A6994">
        <f t="shared" si="109"/>
        <v>7711676</v>
      </c>
      <c r="B6994" t="s">
        <v>4343</v>
      </c>
      <c r="C6994" t="s">
        <v>14795</v>
      </c>
    </row>
    <row r="6995" spans="1:3" x14ac:dyDescent="0.25">
      <c r="A6995">
        <f t="shared" si="109"/>
        <v>7711676</v>
      </c>
      <c r="B6995" t="s">
        <v>4343</v>
      </c>
      <c r="C6995" t="s">
        <v>14796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14761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14797</v>
      </c>
    </row>
    <row r="7000" spans="1:3" x14ac:dyDescent="0.25">
      <c r="A7000">
        <f t="shared" si="109"/>
        <v>8203124</v>
      </c>
      <c r="B7000" t="s">
        <v>4347</v>
      </c>
      <c r="C7000" t="s">
        <v>14798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14799</v>
      </c>
    </row>
    <row r="7008" spans="1:3" x14ac:dyDescent="0.25">
      <c r="A7008">
        <f t="shared" si="109"/>
        <v>8203830</v>
      </c>
      <c r="B7008" t="s">
        <v>4357</v>
      </c>
      <c r="C7008" t="s">
        <v>14800</v>
      </c>
    </row>
    <row r="7009" spans="1:3" x14ac:dyDescent="0.25">
      <c r="A7009">
        <f t="shared" si="109"/>
        <v>8203830</v>
      </c>
      <c r="B7009" t="s">
        <v>4357</v>
      </c>
      <c r="C7009" t="s">
        <v>14801</v>
      </c>
    </row>
    <row r="7010" spans="1:3" x14ac:dyDescent="0.25">
      <c r="A7010">
        <f t="shared" si="109"/>
        <v>8203830</v>
      </c>
      <c r="B7010" t="s">
        <v>4357</v>
      </c>
      <c r="C7010" t="s">
        <v>14802</v>
      </c>
    </row>
    <row r="7011" spans="1:3" x14ac:dyDescent="0.25">
      <c r="A7011">
        <f t="shared" si="109"/>
        <v>8203830</v>
      </c>
      <c r="B7011" t="s">
        <v>4357</v>
      </c>
      <c r="C7011" t="s">
        <v>14803</v>
      </c>
    </row>
    <row r="7012" spans="1:3" x14ac:dyDescent="0.25">
      <c r="A7012">
        <f t="shared" si="109"/>
        <v>8203830</v>
      </c>
      <c r="B7012" t="s">
        <v>4357</v>
      </c>
      <c r="C7012" t="s">
        <v>14804</v>
      </c>
    </row>
    <row r="7013" spans="1:3" x14ac:dyDescent="0.25">
      <c r="A7013">
        <f t="shared" si="109"/>
        <v>8203830</v>
      </c>
      <c r="B7013" t="s">
        <v>4357</v>
      </c>
      <c r="C7013" t="s">
        <v>14805</v>
      </c>
    </row>
    <row r="7014" spans="1:3" x14ac:dyDescent="0.25">
      <c r="A7014">
        <f t="shared" si="109"/>
        <v>8203830</v>
      </c>
      <c r="B7014" t="s">
        <v>4357</v>
      </c>
      <c r="C7014" t="s">
        <v>14806</v>
      </c>
    </row>
    <row r="7015" spans="1:3" x14ac:dyDescent="0.25">
      <c r="A7015">
        <f t="shared" si="109"/>
        <v>8203830</v>
      </c>
      <c r="B7015" t="s">
        <v>4357</v>
      </c>
      <c r="C7015" t="s">
        <v>14807</v>
      </c>
    </row>
    <row r="7016" spans="1:3" x14ac:dyDescent="0.25">
      <c r="A7016">
        <f t="shared" si="109"/>
        <v>8203830</v>
      </c>
      <c r="B7016" t="s">
        <v>4357</v>
      </c>
      <c r="C7016" t="s">
        <v>14808</v>
      </c>
    </row>
    <row r="7017" spans="1:3" x14ac:dyDescent="0.25">
      <c r="A7017">
        <f t="shared" si="109"/>
        <v>8203830</v>
      </c>
      <c r="B7017" t="s">
        <v>4357</v>
      </c>
      <c r="C7017" t="s">
        <v>14809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14801</v>
      </c>
    </row>
    <row r="7022" spans="1:3" x14ac:dyDescent="0.25">
      <c r="A7022">
        <f t="shared" si="109"/>
        <v>8205010</v>
      </c>
      <c r="B7022" t="s">
        <v>4362</v>
      </c>
      <c r="C7022" t="s">
        <v>14810</v>
      </c>
    </row>
    <row r="7023" spans="1:3" x14ac:dyDescent="0.25">
      <c r="A7023">
        <f t="shared" si="109"/>
        <v>8205010</v>
      </c>
      <c r="B7023" t="s">
        <v>4362</v>
      </c>
      <c r="C7023" t="s">
        <v>14802</v>
      </c>
    </row>
    <row r="7024" spans="1:3" x14ac:dyDescent="0.25">
      <c r="A7024">
        <f t="shared" si="109"/>
        <v>8205010</v>
      </c>
      <c r="B7024" t="s">
        <v>4362</v>
      </c>
      <c r="C7024" t="s">
        <v>14803</v>
      </c>
    </row>
    <row r="7025" spans="1:3" x14ac:dyDescent="0.25">
      <c r="A7025">
        <f t="shared" si="109"/>
        <v>8205010</v>
      </c>
      <c r="B7025" t="s">
        <v>4362</v>
      </c>
      <c r="C7025" t="s">
        <v>14804</v>
      </c>
    </row>
    <row r="7026" spans="1:3" x14ac:dyDescent="0.25">
      <c r="A7026">
        <f t="shared" si="109"/>
        <v>8205010</v>
      </c>
      <c r="B7026" t="s">
        <v>4362</v>
      </c>
      <c r="C7026" t="s">
        <v>14805</v>
      </c>
    </row>
    <row r="7027" spans="1:3" x14ac:dyDescent="0.25">
      <c r="A7027">
        <f t="shared" si="109"/>
        <v>8205010</v>
      </c>
      <c r="B7027" t="s">
        <v>4362</v>
      </c>
      <c r="C7027" t="s">
        <v>14806</v>
      </c>
    </row>
    <row r="7028" spans="1:3" x14ac:dyDescent="0.25">
      <c r="A7028">
        <f t="shared" si="109"/>
        <v>8205010</v>
      </c>
      <c r="B7028" t="s">
        <v>4362</v>
      </c>
      <c r="C7028" t="s">
        <v>14811</v>
      </c>
    </row>
    <row r="7029" spans="1:3" x14ac:dyDescent="0.25">
      <c r="A7029">
        <f t="shared" si="109"/>
        <v>8205010</v>
      </c>
      <c r="B7029" t="s">
        <v>4362</v>
      </c>
      <c r="C7029" t="s">
        <v>14812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14811</v>
      </c>
    </row>
    <row r="7033" spans="1:3" x14ac:dyDescent="0.25">
      <c r="A7033">
        <f t="shared" si="109"/>
        <v>8205011</v>
      </c>
      <c r="B7033" t="s">
        <v>4365</v>
      </c>
      <c r="C7033" t="s">
        <v>14812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14800</v>
      </c>
    </row>
    <row r="7036" spans="1:3" x14ac:dyDescent="0.25">
      <c r="A7036">
        <f t="shared" si="109"/>
        <v>8205016</v>
      </c>
      <c r="B7036" t="s">
        <v>4367</v>
      </c>
      <c r="C7036" t="s">
        <v>14810</v>
      </c>
    </row>
    <row r="7037" spans="1:3" x14ac:dyDescent="0.25">
      <c r="A7037">
        <f t="shared" si="109"/>
        <v>8205016</v>
      </c>
      <c r="B7037" t="s">
        <v>4367</v>
      </c>
      <c r="C7037" t="s">
        <v>14802</v>
      </c>
    </row>
    <row r="7038" spans="1:3" x14ac:dyDescent="0.25">
      <c r="A7038">
        <f t="shared" si="109"/>
        <v>8205016</v>
      </c>
      <c r="B7038" t="s">
        <v>4367</v>
      </c>
      <c r="C7038" t="s">
        <v>14804</v>
      </c>
    </row>
    <row r="7039" spans="1:3" x14ac:dyDescent="0.25">
      <c r="A7039">
        <f t="shared" si="109"/>
        <v>8205016</v>
      </c>
      <c r="B7039" t="s">
        <v>4367</v>
      </c>
      <c r="C7039" t="s">
        <v>14813</v>
      </c>
    </row>
    <row r="7040" spans="1:3" x14ac:dyDescent="0.25">
      <c r="A7040">
        <f t="shared" si="109"/>
        <v>8205016</v>
      </c>
      <c r="B7040" t="s">
        <v>4367</v>
      </c>
      <c r="C7040" t="s">
        <v>14805</v>
      </c>
    </row>
    <row r="7041" spans="1:3" x14ac:dyDescent="0.25">
      <c r="A7041">
        <f t="shared" si="109"/>
        <v>8205016</v>
      </c>
      <c r="B7041" t="s">
        <v>4367</v>
      </c>
      <c r="C7041" t="s">
        <v>14806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14807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14799</v>
      </c>
    </row>
    <row r="7045" spans="1:3" x14ac:dyDescent="0.25">
      <c r="A7045">
        <f t="shared" si="110"/>
        <v>8205018</v>
      </c>
      <c r="B7045" t="s">
        <v>4369</v>
      </c>
      <c r="C7045" t="s">
        <v>14800</v>
      </c>
    </row>
    <row r="7046" spans="1:3" x14ac:dyDescent="0.25">
      <c r="A7046">
        <f t="shared" si="110"/>
        <v>8205018</v>
      </c>
      <c r="B7046" t="s">
        <v>4369</v>
      </c>
      <c r="C7046" t="s">
        <v>14801</v>
      </c>
    </row>
    <row r="7047" spans="1:3" x14ac:dyDescent="0.25">
      <c r="A7047">
        <f t="shared" si="110"/>
        <v>8205018</v>
      </c>
      <c r="B7047" t="s">
        <v>4369</v>
      </c>
      <c r="C7047" t="s">
        <v>14810</v>
      </c>
    </row>
    <row r="7048" spans="1:3" x14ac:dyDescent="0.25">
      <c r="A7048">
        <f t="shared" si="110"/>
        <v>8205018</v>
      </c>
      <c r="B7048" t="s">
        <v>4369</v>
      </c>
      <c r="C7048" t="s">
        <v>14802</v>
      </c>
    </row>
    <row r="7049" spans="1:3" x14ac:dyDescent="0.25">
      <c r="A7049">
        <f t="shared" si="110"/>
        <v>8205018</v>
      </c>
      <c r="B7049" t="s">
        <v>4369</v>
      </c>
      <c r="C7049" t="s">
        <v>14803</v>
      </c>
    </row>
    <row r="7050" spans="1:3" x14ac:dyDescent="0.25">
      <c r="A7050">
        <f t="shared" si="110"/>
        <v>8205018</v>
      </c>
      <c r="B7050" t="s">
        <v>4369</v>
      </c>
      <c r="C7050" t="s">
        <v>14804</v>
      </c>
    </row>
    <row r="7051" spans="1:3" x14ac:dyDescent="0.25">
      <c r="A7051">
        <f t="shared" si="110"/>
        <v>8205018</v>
      </c>
      <c r="B7051" t="s">
        <v>4369</v>
      </c>
      <c r="C7051" t="s">
        <v>14813</v>
      </c>
    </row>
    <row r="7052" spans="1:3" x14ac:dyDescent="0.25">
      <c r="A7052">
        <f t="shared" si="110"/>
        <v>8205018</v>
      </c>
      <c r="B7052" t="s">
        <v>4369</v>
      </c>
      <c r="C7052" t="s">
        <v>14805</v>
      </c>
    </row>
    <row r="7053" spans="1:3" x14ac:dyDescent="0.25">
      <c r="A7053">
        <f t="shared" si="110"/>
        <v>8205018</v>
      </c>
      <c r="B7053" t="s">
        <v>4369</v>
      </c>
      <c r="C7053" t="s">
        <v>14806</v>
      </c>
    </row>
    <row r="7054" spans="1:3" x14ac:dyDescent="0.25">
      <c r="A7054">
        <f t="shared" si="110"/>
        <v>8205018</v>
      </c>
      <c r="B7054" t="s">
        <v>4369</v>
      </c>
      <c r="C7054" t="s">
        <v>14807</v>
      </c>
    </row>
    <row r="7055" spans="1:3" x14ac:dyDescent="0.25">
      <c r="A7055">
        <f t="shared" si="110"/>
        <v>8205018</v>
      </c>
      <c r="B7055" t="s">
        <v>4369</v>
      </c>
      <c r="C7055" t="s">
        <v>14814</v>
      </c>
    </row>
    <row r="7056" spans="1:3" x14ac:dyDescent="0.25">
      <c r="A7056">
        <f t="shared" si="110"/>
        <v>8205018</v>
      </c>
      <c r="B7056" t="s">
        <v>4369</v>
      </c>
      <c r="C7056" t="s">
        <v>14815</v>
      </c>
    </row>
    <row r="7057" spans="1:3" x14ac:dyDescent="0.25">
      <c r="A7057">
        <f t="shared" si="110"/>
        <v>8205018</v>
      </c>
      <c r="B7057" t="s">
        <v>4369</v>
      </c>
      <c r="C7057" t="s">
        <v>14816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14804</v>
      </c>
    </row>
    <row r="7060" spans="1:3" x14ac:dyDescent="0.25">
      <c r="A7060">
        <f t="shared" si="110"/>
        <v>8205020</v>
      </c>
      <c r="B7060" t="s">
        <v>4371</v>
      </c>
      <c r="C7060" t="s">
        <v>14806</v>
      </c>
    </row>
    <row r="7061" spans="1:3" x14ac:dyDescent="0.25">
      <c r="A7061">
        <f t="shared" si="110"/>
        <v>8205020</v>
      </c>
      <c r="B7061" t="s">
        <v>4371</v>
      </c>
      <c r="C7061" t="s">
        <v>14815</v>
      </c>
    </row>
    <row r="7062" spans="1:3" x14ac:dyDescent="0.25">
      <c r="A7062">
        <f t="shared" si="110"/>
        <v>8205020</v>
      </c>
      <c r="B7062" t="s">
        <v>4371</v>
      </c>
      <c r="C7062" t="s">
        <v>14811</v>
      </c>
    </row>
    <row r="7063" spans="1:3" x14ac:dyDescent="0.25">
      <c r="A7063">
        <f t="shared" si="110"/>
        <v>8205020</v>
      </c>
      <c r="B7063" t="s">
        <v>4371</v>
      </c>
      <c r="C7063" t="s">
        <v>14812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14811</v>
      </c>
    </row>
    <row r="7067" spans="1:3" x14ac:dyDescent="0.25">
      <c r="A7067">
        <f t="shared" si="110"/>
        <v>8205021</v>
      </c>
      <c r="B7067" t="s">
        <v>4374</v>
      </c>
      <c r="C7067" t="s">
        <v>14812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14811</v>
      </c>
    </row>
    <row r="7071" spans="1:3" x14ac:dyDescent="0.25">
      <c r="A7071">
        <f t="shared" si="110"/>
        <v>8205030</v>
      </c>
      <c r="B7071" t="s">
        <v>4377</v>
      </c>
      <c r="C7071" t="s">
        <v>14812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14800</v>
      </c>
    </row>
    <row r="7074" spans="1:3" x14ac:dyDescent="0.25">
      <c r="A7074">
        <f t="shared" si="110"/>
        <v>8205040</v>
      </c>
      <c r="B7074" t="s">
        <v>4379</v>
      </c>
      <c r="C7074" t="s">
        <v>14810</v>
      </c>
    </row>
    <row r="7075" spans="1:3" x14ac:dyDescent="0.25">
      <c r="A7075">
        <f t="shared" si="110"/>
        <v>8205040</v>
      </c>
      <c r="B7075" t="s">
        <v>4379</v>
      </c>
      <c r="C7075" t="s">
        <v>14803</v>
      </c>
    </row>
    <row r="7076" spans="1:3" x14ac:dyDescent="0.25">
      <c r="A7076">
        <f t="shared" si="110"/>
        <v>8205040</v>
      </c>
      <c r="B7076" t="s">
        <v>4379</v>
      </c>
      <c r="C7076" t="s">
        <v>14805</v>
      </c>
    </row>
    <row r="7077" spans="1:3" x14ac:dyDescent="0.25">
      <c r="A7077">
        <f t="shared" si="110"/>
        <v>8205040</v>
      </c>
      <c r="B7077" t="s">
        <v>4379</v>
      </c>
      <c r="C7077" t="s">
        <v>14806</v>
      </c>
    </row>
    <row r="7078" spans="1:3" x14ac:dyDescent="0.25">
      <c r="A7078">
        <f t="shared" si="110"/>
        <v>8205040</v>
      </c>
      <c r="B7078" t="s">
        <v>4379</v>
      </c>
      <c r="C7078" t="s">
        <v>14807</v>
      </c>
    </row>
    <row r="7079" spans="1:3" x14ac:dyDescent="0.25">
      <c r="A7079">
        <f t="shared" si="110"/>
        <v>8205040</v>
      </c>
      <c r="B7079" t="s">
        <v>4379</v>
      </c>
      <c r="C7079" t="s">
        <v>14817</v>
      </c>
    </row>
    <row r="7080" spans="1:3" x14ac:dyDescent="0.25">
      <c r="A7080">
        <f t="shared" si="110"/>
        <v>8205040</v>
      </c>
      <c r="B7080" t="s">
        <v>4379</v>
      </c>
      <c r="C7080" t="s">
        <v>14811</v>
      </c>
    </row>
    <row r="7081" spans="1:3" x14ac:dyDescent="0.25">
      <c r="A7081">
        <f t="shared" si="110"/>
        <v>8205040</v>
      </c>
      <c r="B7081" t="s">
        <v>4379</v>
      </c>
      <c r="C7081" t="s">
        <v>14812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14800</v>
      </c>
    </row>
    <row r="7084" spans="1:3" x14ac:dyDescent="0.25">
      <c r="A7084">
        <f t="shared" si="110"/>
        <v>8205041</v>
      </c>
      <c r="B7084" t="s">
        <v>4381</v>
      </c>
      <c r="C7084" t="s">
        <v>14810</v>
      </c>
    </row>
    <row r="7085" spans="1:3" x14ac:dyDescent="0.25">
      <c r="A7085">
        <f t="shared" si="110"/>
        <v>8205041</v>
      </c>
      <c r="B7085" t="s">
        <v>4381</v>
      </c>
      <c r="C7085" t="s">
        <v>14802</v>
      </c>
    </row>
    <row r="7086" spans="1:3" x14ac:dyDescent="0.25">
      <c r="A7086">
        <f t="shared" si="110"/>
        <v>8205041</v>
      </c>
      <c r="B7086" t="s">
        <v>4381</v>
      </c>
      <c r="C7086" t="s">
        <v>14803</v>
      </c>
    </row>
    <row r="7087" spans="1:3" x14ac:dyDescent="0.25">
      <c r="A7087">
        <f t="shared" si="110"/>
        <v>8205041</v>
      </c>
      <c r="B7087" t="s">
        <v>4381</v>
      </c>
      <c r="C7087" t="s">
        <v>14804</v>
      </c>
    </row>
    <row r="7088" spans="1:3" x14ac:dyDescent="0.25">
      <c r="A7088">
        <f t="shared" si="110"/>
        <v>8205041</v>
      </c>
      <c r="B7088" t="s">
        <v>4381</v>
      </c>
      <c r="C7088" t="s">
        <v>14813</v>
      </c>
    </row>
    <row r="7089" spans="1:3" x14ac:dyDescent="0.25">
      <c r="A7089">
        <f t="shared" si="110"/>
        <v>8205041</v>
      </c>
      <c r="B7089" t="s">
        <v>4381</v>
      </c>
      <c r="C7089" t="s">
        <v>14805</v>
      </c>
    </row>
    <row r="7090" spans="1:3" x14ac:dyDescent="0.25">
      <c r="A7090">
        <f t="shared" si="110"/>
        <v>8205041</v>
      </c>
      <c r="B7090" t="s">
        <v>4381</v>
      </c>
      <c r="C7090" t="s">
        <v>14806</v>
      </c>
    </row>
    <row r="7091" spans="1:3" x14ac:dyDescent="0.25">
      <c r="A7091">
        <f t="shared" si="110"/>
        <v>8205041</v>
      </c>
      <c r="B7091" t="s">
        <v>4381</v>
      </c>
      <c r="C7091" t="s">
        <v>14807</v>
      </c>
    </row>
    <row r="7092" spans="1:3" x14ac:dyDescent="0.25">
      <c r="A7092">
        <f t="shared" si="110"/>
        <v>8205041</v>
      </c>
      <c r="B7092" t="s">
        <v>4381</v>
      </c>
      <c r="C7092" t="s">
        <v>14814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14811</v>
      </c>
    </row>
    <row r="7096" spans="1:3" x14ac:dyDescent="0.25">
      <c r="A7096">
        <f t="shared" si="110"/>
        <v>8205042</v>
      </c>
      <c r="B7096" t="s">
        <v>4384</v>
      </c>
      <c r="C7096" t="s">
        <v>14818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14811</v>
      </c>
    </row>
    <row r="7100" spans="1:3" x14ac:dyDescent="0.25">
      <c r="A7100">
        <f t="shared" si="110"/>
        <v>8205044</v>
      </c>
      <c r="B7100" t="s">
        <v>4387</v>
      </c>
      <c r="C7100" t="s">
        <v>14812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14810</v>
      </c>
    </row>
    <row r="7103" spans="1:3" x14ac:dyDescent="0.25">
      <c r="A7103">
        <f t="shared" si="110"/>
        <v>8205050</v>
      </c>
      <c r="B7103" t="s">
        <v>4389</v>
      </c>
      <c r="C7103" t="s">
        <v>14802</v>
      </c>
    </row>
    <row r="7104" spans="1:3" x14ac:dyDescent="0.25">
      <c r="A7104">
        <f t="shared" si="110"/>
        <v>8205050</v>
      </c>
      <c r="B7104" t="s">
        <v>4389</v>
      </c>
      <c r="C7104" t="s">
        <v>14803</v>
      </c>
    </row>
    <row r="7105" spans="1:3" x14ac:dyDescent="0.25">
      <c r="A7105">
        <f t="shared" si="110"/>
        <v>8205050</v>
      </c>
      <c r="B7105" t="s">
        <v>4389</v>
      </c>
      <c r="C7105" t="s">
        <v>14806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14800</v>
      </c>
    </row>
    <row r="7108" spans="1:3" x14ac:dyDescent="0.25">
      <c r="A7108">
        <f t="shared" si="111"/>
        <v>8205051</v>
      </c>
      <c r="B7108" t="s">
        <v>4391</v>
      </c>
      <c r="C7108" t="s">
        <v>14803</v>
      </c>
    </row>
    <row r="7109" spans="1:3" x14ac:dyDescent="0.25">
      <c r="A7109">
        <f t="shared" si="111"/>
        <v>8205051</v>
      </c>
      <c r="B7109" t="s">
        <v>4391</v>
      </c>
      <c r="C7109" t="s">
        <v>14804</v>
      </c>
    </row>
    <row r="7110" spans="1:3" x14ac:dyDescent="0.25">
      <c r="A7110">
        <f t="shared" si="111"/>
        <v>8205051</v>
      </c>
      <c r="B7110" t="s">
        <v>4391</v>
      </c>
      <c r="C7110" t="s">
        <v>14813</v>
      </c>
    </row>
    <row r="7111" spans="1:3" x14ac:dyDescent="0.25">
      <c r="A7111">
        <f t="shared" si="111"/>
        <v>8205051</v>
      </c>
      <c r="B7111" t="s">
        <v>4391</v>
      </c>
      <c r="C7111" t="s">
        <v>14805</v>
      </c>
    </row>
    <row r="7112" spans="1:3" x14ac:dyDescent="0.25">
      <c r="A7112">
        <f t="shared" si="111"/>
        <v>8205051</v>
      </c>
      <c r="B7112" t="s">
        <v>4391</v>
      </c>
      <c r="C7112" t="s">
        <v>14806</v>
      </c>
    </row>
    <row r="7113" spans="1:3" x14ac:dyDescent="0.25">
      <c r="A7113">
        <f t="shared" si="111"/>
        <v>8205051</v>
      </c>
      <c r="B7113" t="s">
        <v>4391</v>
      </c>
      <c r="C7113" t="s">
        <v>14807</v>
      </c>
    </row>
    <row r="7114" spans="1:3" x14ac:dyDescent="0.25">
      <c r="A7114">
        <f t="shared" si="111"/>
        <v>8205051</v>
      </c>
      <c r="B7114" t="s">
        <v>4391</v>
      </c>
      <c r="C7114" t="s">
        <v>14814</v>
      </c>
    </row>
    <row r="7115" spans="1:3" x14ac:dyDescent="0.25">
      <c r="A7115">
        <f t="shared" si="111"/>
        <v>8205051</v>
      </c>
      <c r="B7115" t="s">
        <v>4391</v>
      </c>
      <c r="C7115" t="s">
        <v>14815</v>
      </c>
    </row>
    <row r="7116" spans="1:3" x14ac:dyDescent="0.25">
      <c r="A7116">
        <f t="shared" si="111"/>
        <v>8205051</v>
      </c>
      <c r="B7116" t="s">
        <v>4391</v>
      </c>
      <c r="C7116" t="s">
        <v>14816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14800</v>
      </c>
    </row>
    <row r="7119" spans="1:3" x14ac:dyDescent="0.25">
      <c r="A7119">
        <f t="shared" si="111"/>
        <v>8205060</v>
      </c>
      <c r="B7119" t="s">
        <v>4393</v>
      </c>
      <c r="C7119" t="s">
        <v>14810</v>
      </c>
    </row>
    <row r="7120" spans="1:3" x14ac:dyDescent="0.25">
      <c r="A7120">
        <f t="shared" si="111"/>
        <v>8205060</v>
      </c>
      <c r="B7120" t="s">
        <v>4393</v>
      </c>
      <c r="C7120" t="s">
        <v>14803</v>
      </c>
    </row>
    <row r="7121" spans="1:3" x14ac:dyDescent="0.25">
      <c r="A7121">
        <f t="shared" si="111"/>
        <v>8205060</v>
      </c>
      <c r="B7121" t="s">
        <v>4393</v>
      </c>
      <c r="C7121" t="s">
        <v>14804</v>
      </c>
    </row>
    <row r="7122" spans="1:3" x14ac:dyDescent="0.25">
      <c r="A7122">
        <f t="shared" si="111"/>
        <v>8205060</v>
      </c>
      <c r="B7122" t="s">
        <v>4393</v>
      </c>
      <c r="C7122" t="s">
        <v>14806</v>
      </c>
    </row>
    <row r="7123" spans="1:3" x14ac:dyDescent="0.25">
      <c r="A7123">
        <f t="shared" si="111"/>
        <v>8205060</v>
      </c>
      <c r="B7123" t="s">
        <v>4393</v>
      </c>
      <c r="C7123" t="s">
        <v>14811</v>
      </c>
    </row>
    <row r="7124" spans="1:3" x14ac:dyDescent="0.25">
      <c r="A7124">
        <f t="shared" si="111"/>
        <v>8205060</v>
      </c>
      <c r="B7124" t="s">
        <v>4393</v>
      </c>
      <c r="C7124" t="s">
        <v>14812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14811</v>
      </c>
    </row>
    <row r="7128" spans="1:3" x14ac:dyDescent="0.25">
      <c r="A7128">
        <f t="shared" si="111"/>
        <v>8205061</v>
      </c>
      <c r="B7128" t="s">
        <v>4396</v>
      </c>
      <c r="C7128" t="s">
        <v>14812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14697</v>
      </c>
    </row>
    <row r="7131" spans="1:3" x14ac:dyDescent="0.25">
      <c r="A7131">
        <f t="shared" si="111"/>
        <v>8205078</v>
      </c>
      <c r="B7131" t="s">
        <v>4399</v>
      </c>
      <c r="C7131" t="s">
        <v>14811</v>
      </c>
    </row>
    <row r="7132" spans="1:3" x14ac:dyDescent="0.25">
      <c r="A7132">
        <f t="shared" si="111"/>
        <v>8205078</v>
      </c>
      <c r="B7132" t="s">
        <v>4399</v>
      </c>
      <c r="C7132" t="s">
        <v>14818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14811</v>
      </c>
    </row>
    <row r="7136" spans="1:3" x14ac:dyDescent="0.25">
      <c r="A7136">
        <f t="shared" si="111"/>
        <v>8205079</v>
      </c>
      <c r="B7136" t="s">
        <v>4401</v>
      </c>
      <c r="C7136" t="s">
        <v>14818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14802</v>
      </c>
    </row>
    <row r="7139" spans="1:3" x14ac:dyDescent="0.25">
      <c r="A7139">
        <f t="shared" si="111"/>
        <v>8205080</v>
      </c>
      <c r="B7139" t="s">
        <v>4403</v>
      </c>
      <c r="C7139" t="s">
        <v>14804</v>
      </c>
    </row>
    <row r="7140" spans="1:3" x14ac:dyDescent="0.25">
      <c r="A7140">
        <f t="shared" si="111"/>
        <v>8205080</v>
      </c>
      <c r="B7140" t="s">
        <v>4403</v>
      </c>
      <c r="C7140" t="s">
        <v>14813</v>
      </c>
    </row>
    <row r="7141" spans="1:3" x14ac:dyDescent="0.25">
      <c r="A7141">
        <f t="shared" si="111"/>
        <v>8205080</v>
      </c>
      <c r="B7141" t="s">
        <v>4403</v>
      </c>
      <c r="C7141" t="s">
        <v>14805</v>
      </c>
    </row>
    <row r="7142" spans="1:3" x14ac:dyDescent="0.25">
      <c r="A7142">
        <f t="shared" si="111"/>
        <v>8205080</v>
      </c>
      <c r="B7142" t="s">
        <v>4403</v>
      </c>
      <c r="C7142" t="s">
        <v>14806</v>
      </c>
    </row>
    <row r="7143" spans="1:3" x14ac:dyDescent="0.25">
      <c r="A7143">
        <f t="shared" si="111"/>
        <v>8205080</v>
      </c>
      <c r="B7143" t="s">
        <v>4403</v>
      </c>
      <c r="C7143" t="s">
        <v>14807</v>
      </c>
    </row>
    <row r="7144" spans="1:3" x14ac:dyDescent="0.25">
      <c r="A7144">
        <f t="shared" si="111"/>
        <v>8205080</v>
      </c>
      <c r="B7144" t="s">
        <v>4403</v>
      </c>
      <c r="C7144" t="s">
        <v>14814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14800</v>
      </c>
    </row>
    <row r="7147" spans="1:3" x14ac:dyDescent="0.25">
      <c r="A7147">
        <f t="shared" si="111"/>
        <v>8205090</v>
      </c>
      <c r="B7147" t="s">
        <v>8564</v>
      </c>
      <c r="C7147" t="s">
        <v>14801</v>
      </c>
    </row>
    <row r="7148" spans="1:3" x14ac:dyDescent="0.25">
      <c r="A7148">
        <f t="shared" si="111"/>
        <v>8205090</v>
      </c>
      <c r="B7148" t="s">
        <v>8564</v>
      </c>
      <c r="C7148" t="s">
        <v>14810</v>
      </c>
    </row>
    <row r="7149" spans="1:3" x14ac:dyDescent="0.25">
      <c r="A7149">
        <f t="shared" si="111"/>
        <v>8205090</v>
      </c>
      <c r="B7149" t="s">
        <v>8564</v>
      </c>
      <c r="C7149" t="s">
        <v>14802</v>
      </c>
    </row>
    <row r="7150" spans="1:3" x14ac:dyDescent="0.25">
      <c r="A7150">
        <f t="shared" si="111"/>
        <v>8205090</v>
      </c>
      <c r="B7150" t="s">
        <v>8564</v>
      </c>
      <c r="C7150" t="s">
        <v>14803</v>
      </c>
    </row>
    <row r="7151" spans="1:3" x14ac:dyDescent="0.25">
      <c r="A7151">
        <f t="shared" si="111"/>
        <v>8205090</v>
      </c>
      <c r="B7151" t="s">
        <v>8564</v>
      </c>
      <c r="C7151" t="s">
        <v>14804</v>
      </c>
    </row>
    <row r="7152" spans="1:3" x14ac:dyDescent="0.25">
      <c r="A7152">
        <f t="shared" si="111"/>
        <v>8205090</v>
      </c>
      <c r="B7152" t="s">
        <v>8564</v>
      </c>
      <c r="C7152" t="s">
        <v>14813</v>
      </c>
    </row>
    <row r="7153" spans="1:3" x14ac:dyDescent="0.25">
      <c r="A7153">
        <f t="shared" si="111"/>
        <v>8205090</v>
      </c>
      <c r="B7153" t="s">
        <v>8564</v>
      </c>
      <c r="C7153" t="s">
        <v>14805</v>
      </c>
    </row>
    <row r="7154" spans="1:3" x14ac:dyDescent="0.25">
      <c r="A7154">
        <f t="shared" si="111"/>
        <v>8205090</v>
      </c>
      <c r="B7154" t="s">
        <v>8564</v>
      </c>
      <c r="C7154" t="s">
        <v>14806</v>
      </c>
    </row>
    <row r="7155" spans="1:3" x14ac:dyDescent="0.25">
      <c r="A7155">
        <f t="shared" si="111"/>
        <v>8205090</v>
      </c>
      <c r="B7155" t="s">
        <v>8564</v>
      </c>
      <c r="C7155" t="s">
        <v>14807</v>
      </c>
    </row>
    <row r="7156" spans="1:3" x14ac:dyDescent="0.25">
      <c r="A7156">
        <f t="shared" si="111"/>
        <v>8205090</v>
      </c>
      <c r="B7156" t="s">
        <v>8564</v>
      </c>
      <c r="C7156" t="s">
        <v>14814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14799</v>
      </c>
    </row>
    <row r="7159" spans="1:3" x14ac:dyDescent="0.25">
      <c r="A7159">
        <f t="shared" si="111"/>
        <v>8205115</v>
      </c>
      <c r="B7159" t="s">
        <v>4405</v>
      </c>
      <c r="C7159" t="s">
        <v>14800</v>
      </c>
    </row>
    <row r="7160" spans="1:3" x14ac:dyDescent="0.25">
      <c r="A7160">
        <f t="shared" si="111"/>
        <v>8205115</v>
      </c>
      <c r="B7160" t="s">
        <v>4405</v>
      </c>
      <c r="C7160" t="s">
        <v>14801</v>
      </c>
    </row>
    <row r="7161" spans="1:3" x14ac:dyDescent="0.25">
      <c r="A7161">
        <f t="shared" si="111"/>
        <v>8205115</v>
      </c>
      <c r="B7161" t="s">
        <v>4405</v>
      </c>
      <c r="C7161" t="s">
        <v>14810</v>
      </c>
    </row>
    <row r="7162" spans="1:3" x14ac:dyDescent="0.25">
      <c r="A7162">
        <f t="shared" si="111"/>
        <v>8205115</v>
      </c>
      <c r="B7162" t="s">
        <v>4405</v>
      </c>
      <c r="C7162" t="s">
        <v>14802</v>
      </c>
    </row>
    <row r="7163" spans="1:3" x14ac:dyDescent="0.25">
      <c r="A7163">
        <f t="shared" si="111"/>
        <v>8205115</v>
      </c>
      <c r="B7163" t="s">
        <v>4405</v>
      </c>
      <c r="C7163" t="s">
        <v>14803</v>
      </c>
    </row>
    <row r="7164" spans="1:3" x14ac:dyDescent="0.25">
      <c r="A7164">
        <f t="shared" si="111"/>
        <v>8205115</v>
      </c>
      <c r="B7164" t="s">
        <v>4405</v>
      </c>
      <c r="C7164" t="s">
        <v>14804</v>
      </c>
    </row>
    <row r="7165" spans="1:3" x14ac:dyDescent="0.25">
      <c r="A7165">
        <f t="shared" si="111"/>
        <v>8205115</v>
      </c>
      <c r="B7165" t="s">
        <v>4405</v>
      </c>
      <c r="C7165" t="s">
        <v>14813</v>
      </c>
    </row>
    <row r="7166" spans="1:3" x14ac:dyDescent="0.25">
      <c r="A7166">
        <f t="shared" si="111"/>
        <v>8205115</v>
      </c>
      <c r="B7166" t="s">
        <v>4405</v>
      </c>
      <c r="C7166" t="s">
        <v>14805</v>
      </c>
    </row>
    <row r="7167" spans="1:3" x14ac:dyDescent="0.25">
      <c r="A7167">
        <f t="shared" si="111"/>
        <v>8205115</v>
      </c>
      <c r="B7167" t="s">
        <v>4405</v>
      </c>
      <c r="C7167" t="s">
        <v>14806</v>
      </c>
    </row>
    <row r="7168" spans="1:3" x14ac:dyDescent="0.25">
      <c r="A7168">
        <f t="shared" si="111"/>
        <v>8205115</v>
      </c>
      <c r="B7168" t="s">
        <v>4405</v>
      </c>
      <c r="C7168" t="s">
        <v>14807</v>
      </c>
    </row>
    <row r="7169" spans="1:3" x14ac:dyDescent="0.25">
      <c r="A7169">
        <f t="shared" si="111"/>
        <v>8205115</v>
      </c>
      <c r="B7169" t="s">
        <v>4405</v>
      </c>
      <c r="C7169" t="s">
        <v>14814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14811</v>
      </c>
    </row>
    <row r="7171" spans="1:3" x14ac:dyDescent="0.25">
      <c r="A7171">
        <f t="shared" si="112"/>
        <v>8205115</v>
      </c>
      <c r="B7171" t="s">
        <v>4405</v>
      </c>
      <c r="C7171" t="s">
        <v>14818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14814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14799</v>
      </c>
    </row>
    <row r="7177" spans="1:3" x14ac:dyDescent="0.25">
      <c r="A7177">
        <f t="shared" si="112"/>
        <v>8205118</v>
      </c>
      <c r="B7177" t="s">
        <v>4411</v>
      </c>
      <c r="C7177" t="s">
        <v>14800</v>
      </c>
    </row>
    <row r="7178" spans="1:3" x14ac:dyDescent="0.25">
      <c r="A7178">
        <f t="shared" si="112"/>
        <v>8205118</v>
      </c>
      <c r="B7178" t="s">
        <v>4411</v>
      </c>
      <c r="C7178" t="s">
        <v>14801</v>
      </c>
    </row>
    <row r="7179" spans="1:3" x14ac:dyDescent="0.25">
      <c r="A7179">
        <f t="shared" si="112"/>
        <v>8205118</v>
      </c>
      <c r="B7179" t="s">
        <v>4411</v>
      </c>
      <c r="C7179" t="s">
        <v>14802</v>
      </c>
    </row>
    <row r="7180" spans="1:3" x14ac:dyDescent="0.25">
      <c r="A7180">
        <f t="shared" si="112"/>
        <v>8205118</v>
      </c>
      <c r="B7180" t="s">
        <v>4411</v>
      </c>
      <c r="C7180" t="s">
        <v>14804</v>
      </c>
    </row>
    <row r="7181" spans="1:3" x14ac:dyDescent="0.25">
      <c r="A7181">
        <f t="shared" si="112"/>
        <v>8205118</v>
      </c>
      <c r="B7181" t="s">
        <v>4411</v>
      </c>
      <c r="C7181" t="s">
        <v>14805</v>
      </c>
    </row>
    <row r="7182" spans="1:3" x14ac:dyDescent="0.25">
      <c r="A7182">
        <f t="shared" si="112"/>
        <v>8205118</v>
      </c>
      <c r="B7182" t="s">
        <v>4411</v>
      </c>
      <c r="C7182" t="s">
        <v>14806</v>
      </c>
    </row>
    <row r="7183" spans="1:3" x14ac:dyDescent="0.25">
      <c r="A7183">
        <f t="shared" si="112"/>
        <v>8205118</v>
      </c>
      <c r="B7183" t="s">
        <v>4411</v>
      </c>
      <c r="C7183" t="s">
        <v>14807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14800</v>
      </c>
    </row>
    <row r="7186" spans="1:3" x14ac:dyDescent="0.25">
      <c r="A7186">
        <f t="shared" si="112"/>
        <v>8205119</v>
      </c>
      <c r="B7186" t="s">
        <v>4413</v>
      </c>
      <c r="C7186" t="s">
        <v>14801</v>
      </c>
    </row>
    <row r="7187" spans="1:3" x14ac:dyDescent="0.25">
      <c r="A7187">
        <f t="shared" si="112"/>
        <v>8205119</v>
      </c>
      <c r="B7187" t="s">
        <v>4413</v>
      </c>
      <c r="C7187" t="s">
        <v>14810</v>
      </c>
    </row>
    <row r="7188" spans="1:3" x14ac:dyDescent="0.25">
      <c r="A7188">
        <f t="shared" si="112"/>
        <v>8205119</v>
      </c>
      <c r="B7188" t="s">
        <v>4413</v>
      </c>
      <c r="C7188" t="s">
        <v>14802</v>
      </c>
    </row>
    <row r="7189" spans="1:3" x14ac:dyDescent="0.25">
      <c r="A7189">
        <f t="shared" si="112"/>
        <v>8205119</v>
      </c>
      <c r="B7189" t="s">
        <v>4413</v>
      </c>
      <c r="C7189" t="s">
        <v>14804</v>
      </c>
    </row>
    <row r="7190" spans="1:3" x14ac:dyDescent="0.25">
      <c r="A7190">
        <f t="shared" si="112"/>
        <v>8205119</v>
      </c>
      <c r="B7190" t="s">
        <v>4413</v>
      </c>
      <c r="C7190" t="s">
        <v>14813</v>
      </c>
    </row>
    <row r="7191" spans="1:3" x14ac:dyDescent="0.25">
      <c r="A7191">
        <f t="shared" si="112"/>
        <v>8205119</v>
      </c>
      <c r="B7191" t="s">
        <v>4413</v>
      </c>
      <c r="C7191" t="s">
        <v>14805</v>
      </c>
    </row>
    <row r="7192" spans="1:3" x14ac:dyDescent="0.25">
      <c r="A7192">
        <f t="shared" si="112"/>
        <v>8205119</v>
      </c>
      <c r="B7192" t="s">
        <v>4413</v>
      </c>
      <c r="C7192" t="s">
        <v>14806</v>
      </c>
    </row>
    <row r="7193" spans="1:3" x14ac:dyDescent="0.25">
      <c r="A7193">
        <f t="shared" si="112"/>
        <v>8205119</v>
      </c>
      <c r="B7193" t="s">
        <v>4413</v>
      </c>
      <c r="C7193" t="s">
        <v>14814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14800</v>
      </c>
    </row>
    <row r="7196" spans="1:3" x14ac:dyDescent="0.25">
      <c r="A7196">
        <f t="shared" si="112"/>
        <v>8205120</v>
      </c>
      <c r="B7196" t="s">
        <v>4415</v>
      </c>
      <c r="C7196" t="s">
        <v>14801</v>
      </c>
    </row>
    <row r="7197" spans="1:3" x14ac:dyDescent="0.25">
      <c r="A7197">
        <f t="shared" si="112"/>
        <v>8205120</v>
      </c>
      <c r="B7197" t="s">
        <v>4415</v>
      </c>
      <c r="C7197" t="s">
        <v>14810</v>
      </c>
    </row>
    <row r="7198" spans="1:3" x14ac:dyDescent="0.25">
      <c r="A7198">
        <f t="shared" si="112"/>
        <v>8205120</v>
      </c>
      <c r="B7198" t="s">
        <v>4415</v>
      </c>
      <c r="C7198" t="s">
        <v>14802</v>
      </c>
    </row>
    <row r="7199" spans="1:3" x14ac:dyDescent="0.25">
      <c r="A7199">
        <f t="shared" si="112"/>
        <v>8205120</v>
      </c>
      <c r="B7199" t="s">
        <v>4415</v>
      </c>
      <c r="C7199" t="s">
        <v>14803</v>
      </c>
    </row>
    <row r="7200" spans="1:3" x14ac:dyDescent="0.25">
      <c r="A7200">
        <f t="shared" si="112"/>
        <v>8205120</v>
      </c>
      <c r="B7200" t="s">
        <v>4415</v>
      </c>
      <c r="C7200" t="s">
        <v>14804</v>
      </c>
    </row>
    <row r="7201" spans="1:3" x14ac:dyDescent="0.25">
      <c r="A7201">
        <f t="shared" si="112"/>
        <v>8205120</v>
      </c>
      <c r="B7201" t="s">
        <v>4415</v>
      </c>
      <c r="C7201" t="s">
        <v>14813</v>
      </c>
    </row>
    <row r="7202" spans="1:3" x14ac:dyDescent="0.25">
      <c r="A7202">
        <f t="shared" si="112"/>
        <v>8205120</v>
      </c>
      <c r="B7202" t="s">
        <v>4415</v>
      </c>
      <c r="C7202" t="s">
        <v>14814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14819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14819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14799</v>
      </c>
    </row>
    <row r="7212" spans="1:3" x14ac:dyDescent="0.25">
      <c r="A7212">
        <f t="shared" si="112"/>
        <v>8205881</v>
      </c>
      <c r="B7212" t="s">
        <v>4427</v>
      </c>
      <c r="C7212" t="s">
        <v>14800</v>
      </c>
    </row>
    <row r="7213" spans="1:3" x14ac:dyDescent="0.25">
      <c r="A7213">
        <f t="shared" si="112"/>
        <v>8205881</v>
      </c>
      <c r="B7213" t="s">
        <v>4427</v>
      </c>
      <c r="C7213" t="s">
        <v>14810</v>
      </c>
    </row>
    <row r="7214" spans="1:3" x14ac:dyDescent="0.25">
      <c r="A7214">
        <f t="shared" si="112"/>
        <v>8205881</v>
      </c>
      <c r="B7214" t="s">
        <v>4427</v>
      </c>
      <c r="C7214" t="s">
        <v>14802</v>
      </c>
    </row>
    <row r="7215" spans="1:3" x14ac:dyDescent="0.25">
      <c r="A7215">
        <f t="shared" si="112"/>
        <v>8205881</v>
      </c>
      <c r="B7215" t="s">
        <v>4427</v>
      </c>
      <c r="C7215" t="s">
        <v>14803</v>
      </c>
    </row>
    <row r="7216" spans="1:3" x14ac:dyDescent="0.25">
      <c r="A7216">
        <f t="shared" si="112"/>
        <v>8205881</v>
      </c>
      <c r="B7216" t="s">
        <v>4427</v>
      </c>
      <c r="C7216" t="s">
        <v>14806</v>
      </c>
    </row>
    <row r="7217" spans="1:3" x14ac:dyDescent="0.25">
      <c r="A7217">
        <f t="shared" si="112"/>
        <v>8205881</v>
      </c>
      <c r="B7217" t="s">
        <v>4427</v>
      </c>
      <c r="C7217" t="s">
        <v>14814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14820</v>
      </c>
    </row>
    <row r="7221" spans="1:3" x14ac:dyDescent="0.25">
      <c r="A7221">
        <f t="shared" si="112"/>
        <v>8251025</v>
      </c>
      <c r="B7221" t="s">
        <v>4429</v>
      </c>
      <c r="C7221" t="s">
        <v>14821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14797</v>
      </c>
    </row>
    <row r="7225" spans="1:3" x14ac:dyDescent="0.25">
      <c r="A7225">
        <f t="shared" si="112"/>
        <v>8300777</v>
      </c>
      <c r="B7225" t="s">
        <v>4432</v>
      </c>
      <c r="C7225" t="s">
        <v>14822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14764</v>
      </c>
    </row>
    <row r="7228" spans="1:3" x14ac:dyDescent="0.25">
      <c r="A7228">
        <f t="shared" si="112"/>
        <v>8301000</v>
      </c>
      <c r="B7228" t="s">
        <v>4434</v>
      </c>
      <c r="C7228" t="s">
        <v>14823</v>
      </c>
    </row>
    <row r="7229" spans="1:3" x14ac:dyDescent="0.25">
      <c r="A7229">
        <f t="shared" si="112"/>
        <v>8301000</v>
      </c>
      <c r="B7229" t="s">
        <v>4434</v>
      </c>
      <c r="C7229" t="s">
        <v>14824</v>
      </c>
    </row>
    <row r="7230" spans="1:3" x14ac:dyDescent="0.25">
      <c r="A7230">
        <f t="shared" si="112"/>
        <v>8301000</v>
      </c>
      <c r="B7230" t="s">
        <v>4434</v>
      </c>
      <c r="C7230" t="s">
        <v>14825</v>
      </c>
    </row>
    <row r="7231" spans="1:3" x14ac:dyDescent="0.25">
      <c r="A7231">
        <f t="shared" si="112"/>
        <v>8301000</v>
      </c>
      <c r="B7231" t="s">
        <v>4434</v>
      </c>
      <c r="C7231" t="s">
        <v>14826</v>
      </c>
    </row>
    <row r="7232" spans="1:3" x14ac:dyDescent="0.25">
      <c r="A7232">
        <f t="shared" si="112"/>
        <v>8301000</v>
      </c>
      <c r="B7232" t="s">
        <v>4434</v>
      </c>
      <c r="C7232" t="s">
        <v>14827</v>
      </c>
    </row>
    <row r="7233" spans="1:3" x14ac:dyDescent="0.25">
      <c r="A7233">
        <f t="shared" si="112"/>
        <v>8301000</v>
      </c>
      <c r="B7233" t="s">
        <v>4434</v>
      </c>
      <c r="C7233" t="s">
        <v>14811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14828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14764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14823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14764</v>
      </c>
    </row>
    <row r="7242" spans="1:3" x14ac:dyDescent="0.25">
      <c r="A7242">
        <f t="shared" si="113"/>
        <v>8301008</v>
      </c>
      <c r="B7242" t="s">
        <v>4442</v>
      </c>
      <c r="C7242" t="s">
        <v>14829</v>
      </c>
    </row>
    <row r="7243" spans="1:3" x14ac:dyDescent="0.25">
      <c r="A7243">
        <f t="shared" si="113"/>
        <v>8301008</v>
      </c>
      <c r="B7243" t="s">
        <v>4442</v>
      </c>
      <c r="C7243" t="s">
        <v>14823</v>
      </c>
    </row>
    <row r="7244" spans="1:3" x14ac:dyDescent="0.25">
      <c r="A7244">
        <f t="shared" si="113"/>
        <v>8301008</v>
      </c>
      <c r="B7244" t="s">
        <v>4442</v>
      </c>
      <c r="C7244" t="s">
        <v>14811</v>
      </c>
    </row>
    <row r="7245" spans="1:3" x14ac:dyDescent="0.25">
      <c r="A7245">
        <f t="shared" si="113"/>
        <v>8301008</v>
      </c>
      <c r="B7245" t="s">
        <v>4442</v>
      </c>
      <c r="C7245" t="s">
        <v>14828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14811</v>
      </c>
    </row>
    <row r="7248" spans="1:3" x14ac:dyDescent="0.25">
      <c r="A7248">
        <f t="shared" si="113"/>
        <v>830100801</v>
      </c>
      <c r="B7248" t="s">
        <v>4444</v>
      </c>
      <c r="C7248" t="s">
        <v>14828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14811</v>
      </c>
    </row>
    <row r="7251" spans="1:3" x14ac:dyDescent="0.25">
      <c r="A7251">
        <f t="shared" si="113"/>
        <v>830100802</v>
      </c>
      <c r="B7251" t="s">
        <v>4446</v>
      </c>
      <c r="C7251" t="s">
        <v>14828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14811</v>
      </c>
    </row>
    <row r="7254" spans="1:3" x14ac:dyDescent="0.25">
      <c r="A7254">
        <f t="shared" si="113"/>
        <v>830100803</v>
      </c>
      <c r="B7254" t="s">
        <v>4448</v>
      </c>
      <c r="C7254" t="s">
        <v>14828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14698</v>
      </c>
    </row>
    <row r="7258" spans="1:3" x14ac:dyDescent="0.25">
      <c r="A7258">
        <f t="shared" si="113"/>
        <v>8301301</v>
      </c>
      <c r="B7258" t="s">
        <v>8568</v>
      </c>
      <c r="C7258" t="s">
        <v>14830</v>
      </c>
    </row>
    <row r="7259" spans="1:3" x14ac:dyDescent="0.25">
      <c r="A7259">
        <f t="shared" si="113"/>
        <v>8301301</v>
      </c>
      <c r="B7259" t="s">
        <v>8568</v>
      </c>
      <c r="C7259" t="s">
        <v>14831</v>
      </c>
    </row>
    <row r="7260" spans="1:3" x14ac:dyDescent="0.25">
      <c r="A7260">
        <f t="shared" si="113"/>
        <v>8301301</v>
      </c>
      <c r="B7260" t="s">
        <v>8568</v>
      </c>
      <c r="C7260" t="s">
        <v>14832</v>
      </c>
    </row>
    <row r="7261" spans="1:3" x14ac:dyDescent="0.25">
      <c r="A7261">
        <f t="shared" si="113"/>
        <v>8301301</v>
      </c>
      <c r="B7261" t="s">
        <v>8568</v>
      </c>
      <c r="C7261" t="s">
        <v>14833</v>
      </c>
    </row>
    <row r="7262" spans="1:3" x14ac:dyDescent="0.25">
      <c r="A7262">
        <f t="shared" si="113"/>
        <v>8301301</v>
      </c>
      <c r="B7262" t="s">
        <v>8568</v>
      </c>
      <c r="C7262" t="s">
        <v>14834</v>
      </c>
    </row>
    <row r="7263" spans="1:3" x14ac:dyDescent="0.25">
      <c r="A7263">
        <f t="shared" si="113"/>
        <v>8301301</v>
      </c>
      <c r="B7263" t="s">
        <v>8568</v>
      </c>
      <c r="C7263" t="s">
        <v>14835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14764</v>
      </c>
    </row>
    <row r="7274" spans="1:3" x14ac:dyDescent="0.25">
      <c r="A7274">
        <f t="shared" si="113"/>
        <v>8301495</v>
      </c>
      <c r="B7274" t="s">
        <v>4466</v>
      </c>
      <c r="C7274" t="s">
        <v>14829</v>
      </c>
    </row>
    <row r="7275" spans="1:3" x14ac:dyDescent="0.25">
      <c r="A7275">
        <f t="shared" si="113"/>
        <v>8301495</v>
      </c>
      <c r="B7275" t="s">
        <v>4466</v>
      </c>
      <c r="C7275" t="s">
        <v>14823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14825</v>
      </c>
    </row>
    <row r="7278" spans="1:3" x14ac:dyDescent="0.25">
      <c r="A7278">
        <f t="shared" si="113"/>
        <v>8301558</v>
      </c>
      <c r="B7278" t="s">
        <v>4468</v>
      </c>
      <c r="C7278" t="s">
        <v>14836</v>
      </c>
    </row>
    <row r="7279" spans="1:3" x14ac:dyDescent="0.25">
      <c r="A7279">
        <f t="shared" si="113"/>
        <v>8301558</v>
      </c>
      <c r="B7279" t="s">
        <v>4468</v>
      </c>
      <c r="C7279" t="s">
        <v>14826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14764</v>
      </c>
    </row>
    <row r="7282" spans="1:3" x14ac:dyDescent="0.25">
      <c r="A7282">
        <f t="shared" si="113"/>
        <v>8301700</v>
      </c>
      <c r="B7282" t="s">
        <v>4470</v>
      </c>
      <c r="C7282" t="s">
        <v>14829</v>
      </c>
    </row>
    <row r="7283" spans="1:3" x14ac:dyDescent="0.25">
      <c r="A7283">
        <f t="shared" si="113"/>
        <v>8301700</v>
      </c>
      <c r="B7283" t="s">
        <v>4470</v>
      </c>
      <c r="C7283" t="s">
        <v>14823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14764</v>
      </c>
    </row>
    <row r="7286" spans="1:3" x14ac:dyDescent="0.25">
      <c r="A7286">
        <f t="shared" si="113"/>
        <v>8301805</v>
      </c>
      <c r="B7286" t="s">
        <v>4472</v>
      </c>
      <c r="C7286" t="s">
        <v>14829</v>
      </c>
    </row>
    <row r="7287" spans="1:3" x14ac:dyDescent="0.25">
      <c r="A7287">
        <f t="shared" si="113"/>
        <v>8301805</v>
      </c>
      <c r="B7287" t="s">
        <v>4472</v>
      </c>
      <c r="C7287" t="s">
        <v>14823</v>
      </c>
    </row>
    <row r="7288" spans="1:3" x14ac:dyDescent="0.25">
      <c r="A7288">
        <f t="shared" si="113"/>
        <v>8301805</v>
      </c>
      <c r="B7288" t="s">
        <v>4472</v>
      </c>
      <c r="C7288" t="s">
        <v>14811</v>
      </c>
    </row>
    <row r="7289" spans="1:3" x14ac:dyDescent="0.25">
      <c r="A7289">
        <f t="shared" si="113"/>
        <v>8301805</v>
      </c>
      <c r="B7289" t="s">
        <v>4472</v>
      </c>
      <c r="C7289" t="s">
        <v>14828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14811</v>
      </c>
    </row>
    <row r="7292" spans="1:3" x14ac:dyDescent="0.25">
      <c r="A7292">
        <f t="shared" si="113"/>
        <v>830180500</v>
      </c>
      <c r="B7292" t="s">
        <v>4474</v>
      </c>
      <c r="C7292" t="s">
        <v>14828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14811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14828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14811</v>
      </c>
    </row>
    <row r="7301" spans="1:3" x14ac:dyDescent="0.25">
      <c r="A7301">
        <f t="shared" si="114"/>
        <v>830190001</v>
      </c>
      <c r="B7301" t="s">
        <v>4484</v>
      </c>
      <c r="C7301" t="s">
        <v>14828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14761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14797</v>
      </c>
    </row>
    <row r="7313" spans="1:3" x14ac:dyDescent="0.25">
      <c r="A7313">
        <f t="shared" si="114"/>
        <v>8303002</v>
      </c>
      <c r="B7313" t="s">
        <v>4499</v>
      </c>
      <c r="C7313" t="s">
        <v>14798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14761</v>
      </c>
    </row>
    <row r="7316" spans="1:3" x14ac:dyDescent="0.25">
      <c r="A7316">
        <f t="shared" si="114"/>
        <v>8303003</v>
      </c>
      <c r="B7316" t="s">
        <v>4501</v>
      </c>
      <c r="C7316" t="s">
        <v>14797</v>
      </c>
    </row>
    <row r="7317" spans="1:3" x14ac:dyDescent="0.25">
      <c r="A7317">
        <f t="shared" si="114"/>
        <v>8303003</v>
      </c>
      <c r="B7317" t="s">
        <v>4501</v>
      </c>
      <c r="C7317" t="s">
        <v>14798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14761</v>
      </c>
    </row>
    <row r="7320" spans="1:3" x14ac:dyDescent="0.25">
      <c r="A7320">
        <f t="shared" si="114"/>
        <v>8303004</v>
      </c>
      <c r="B7320" t="s">
        <v>4503</v>
      </c>
      <c r="C7320" t="s">
        <v>14797</v>
      </c>
    </row>
    <row r="7321" spans="1:3" x14ac:dyDescent="0.25">
      <c r="A7321">
        <f t="shared" si="114"/>
        <v>8303004</v>
      </c>
      <c r="B7321" t="s">
        <v>4503</v>
      </c>
      <c r="C7321" t="s">
        <v>14798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14761</v>
      </c>
    </row>
    <row r="7324" spans="1:3" x14ac:dyDescent="0.25">
      <c r="A7324">
        <f t="shared" si="114"/>
        <v>8303005</v>
      </c>
      <c r="B7324" t="s">
        <v>4505</v>
      </c>
      <c r="C7324" t="s">
        <v>14797</v>
      </c>
    </row>
    <row r="7325" spans="1:3" x14ac:dyDescent="0.25">
      <c r="A7325">
        <f t="shared" si="114"/>
        <v>8303005</v>
      </c>
      <c r="B7325" t="s">
        <v>4505</v>
      </c>
      <c r="C7325" t="s">
        <v>14798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14761</v>
      </c>
    </row>
    <row r="7328" spans="1:3" x14ac:dyDescent="0.25">
      <c r="A7328">
        <f t="shared" si="114"/>
        <v>8303006</v>
      </c>
      <c r="B7328" t="s">
        <v>4507</v>
      </c>
      <c r="C7328" t="s">
        <v>14797</v>
      </c>
    </row>
    <row r="7329" spans="1:3" x14ac:dyDescent="0.25">
      <c r="A7329">
        <f t="shared" si="114"/>
        <v>8303006</v>
      </c>
      <c r="B7329" t="s">
        <v>4507</v>
      </c>
      <c r="C7329" t="s">
        <v>14798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14761</v>
      </c>
    </row>
    <row r="7332" spans="1:3" x14ac:dyDescent="0.25">
      <c r="A7332">
        <f t="shared" si="114"/>
        <v>8303007</v>
      </c>
      <c r="B7332" t="s">
        <v>4509</v>
      </c>
      <c r="C7332" t="s">
        <v>14797</v>
      </c>
    </row>
    <row r="7333" spans="1:3" x14ac:dyDescent="0.25">
      <c r="A7333">
        <f t="shared" si="114"/>
        <v>8303007</v>
      </c>
      <c r="B7333" t="s">
        <v>4509</v>
      </c>
      <c r="C7333" t="s">
        <v>14798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14797</v>
      </c>
    </row>
    <row r="7337" spans="1:3" x14ac:dyDescent="0.25">
      <c r="A7337">
        <f t="shared" si="114"/>
        <v>8303008</v>
      </c>
      <c r="B7337" t="s">
        <v>4512</v>
      </c>
      <c r="C7337" t="s">
        <v>14798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14798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14797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14797</v>
      </c>
    </row>
    <row r="7348" spans="1:3" x14ac:dyDescent="0.25">
      <c r="A7348">
        <f t="shared" si="114"/>
        <v>8303012</v>
      </c>
      <c r="B7348" t="s">
        <v>4523</v>
      </c>
      <c r="C7348" t="s">
        <v>14798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14797</v>
      </c>
    </row>
    <row r="7353" spans="1:3" x14ac:dyDescent="0.25">
      <c r="A7353">
        <f t="shared" si="114"/>
        <v>8303014</v>
      </c>
      <c r="B7353" t="s">
        <v>4528</v>
      </c>
      <c r="C7353" t="s">
        <v>14798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14798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14761</v>
      </c>
    </row>
    <row r="7372" spans="1:3" x14ac:dyDescent="0.25">
      <c r="A7372">
        <f t="shared" si="115"/>
        <v>8303111</v>
      </c>
      <c r="B7372" t="s">
        <v>4553</v>
      </c>
      <c r="C7372" t="s">
        <v>14797</v>
      </c>
    </row>
    <row r="7373" spans="1:3" x14ac:dyDescent="0.25">
      <c r="A7373">
        <f t="shared" si="115"/>
        <v>8303111</v>
      </c>
      <c r="B7373" t="s">
        <v>4553</v>
      </c>
      <c r="C7373" t="s">
        <v>14798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14797</v>
      </c>
    </row>
    <row r="7376" spans="1:3" x14ac:dyDescent="0.25">
      <c r="A7376">
        <f t="shared" si="115"/>
        <v>8303112</v>
      </c>
      <c r="B7376" t="s">
        <v>4555</v>
      </c>
      <c r="C7376" t="s">
        <v>14798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14797</v>
      </c>
    </row>
    <row r="7379" spans="1:3" x14ac:dyDescent="0.25">
      <c r="A7379">
        <f t="shared" si="115"/>
        <v>8303113</v>
      </c>
      <c r="B7379" t="s">
        <v>4557</v>
      </c>
      <c r="C7379" t="s">
        <v>14798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14798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14797</v>
      </c>
    </row>
    <row r="7386" spans="1:3" x14ac:dyDescent="0.25">
      <c r="A7386">
        <f t="shared" si="115"/>
        <v>8303121</v>
      </c>
      <c r="B7386" t="s">
        <v>4565</v>
      </c>
      <c r="C7386" t="s">
        <v>14798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14837</v>
      </c>
    </row>
    <row r="7389" spans="1:3" x14ac:dyDescent="0.25">
      <c r="A7389">
        <f t="shared" si="115"/>
        <v>8303123</v>
      </c>
      <c r="B7389" t="s">
        <v>4567</v>
      </c>
      <c r="C7389" t="s">
        <v>14838</v>
      </c>
    </row>
    <row r="7390" spans="1:3" x14ac:dyDescent="0.25">
      <c r="A7390">
        <f t="shared" si="115"/>
        <v>8303123</v>
      </c>
      <c r="B7390" t="s">
        <v>4567</v>
      </c>
      <c r="C7390" t="s">
        <v>14824</v>
      </c>
    </row>
    <row r="7391" spans="1:3" x14ac:dyDescent="0.25">
      <c r="A7391">
        <f t="shared" si="115"/>
        <v>8303123</v>
      </c>
      <c r="B7391" t="s">
        <v>4567</v>
      </c>
      <c r="C7391" t="s">
        <v>14825</v>
      </c>
    </row>
    <row r="7392" spans="1:3" x14ac:dyDescent="0.25">
      <c r="A7392">
        <f t="shared" si="115"/>
        <v>8303123</v>
      </c>
      <c r="B7392" t="s">
        <v>4567</v>
      </c>
      <c r="C7392" t="s">
        <v>14797</v>
      </c>
    </row>
    <row r="7393" spans="1:3" x14ac:dyDescent="0.25">
      <c r="A7393">
        <f t="shared" si="115"/>
        <v>8303123</v>
      </c>
      <c r="B7393" t="s">
        <v>4567</v>
      </c>
      <c r="C7393" t="s">
        <v>14798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14797</v>
      </c>
    </row>
    <row r="7397" spans="1:3" x14ac:dyDescent="0.25">
      <c r="A7397">
        <f t="shared" si="115"/>
        <v>8303124</v>
      </c>
      <c r="B7397" t="s">
        <v>4570</v>
      </c>
      <c r="C7397" t="s">
        <v>14798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14761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14824</v>
      </c>
    </row>
    <row r="7406" spans="1:3" x14ac:dyDescent="0.25">
      <c r="A7406">
        <f t="shared" si="115"/>
        <v>8303129</v>
      </c>
      <c r="B7406" t="s">
        <v>4581</v>
      </c>
      <c r="C7406" t="s">
        <v>14825</v>
      </c>
    </row>
    <row r="7407" spans="1:3" x14ac:dyDescent="0.25">
      <c r="A7407">
        <f t="shared" si="115"/>
        <v>8303129</v>
      </c>
      <c r="B7407" t="s">
        <v>4581</v>
      </c>
      <c r="C7407" t="s">
        <v>14836</v>
      </c>
    </row>
    <row r="7408" spans="1:3" x14ac:dyDescent="0.25">
      <c r="A7408">
        <f t="shared" si="115"/>
        <v>8303129</v>
      </c>
      <c r="B7408" t="s">
        <v>4581</v>
      </c>
      <c r="C7408" t="s">
        <v>14826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14836</v>
      </c>
    </row>
    <row r="7411" spans="1:3" x14ac:dyDescent="0.25">
      <c r="A7411">
        <f t="shared" si="115"/>
        <v>8303130</v>
      </c>
      <c r="B7411" t="s">
        <v>4583</v>
      </c>
      <c r="C7411" t="s">
        <v>14826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14761</v>
      </c>
    </row>
    <row r="7420" spans="1:3" x14ac:dyDescent="0.25">
      <c r="A7420">
        <f t="shared" si="115"/>
        <v>8303222</v>
      </c>
      <c r="B7420" t="s">
        <v>4594</v>
      </c>
      <c r="C7420" t="s">
        <v>14837</v>
      </c>
    </row>
    <row r="7421" spans="1:3" x14ac:dyDescent="0.25">
      <c r="A7421">
        <f t="shared" si="115"/>
        <v>8303222</v>
      </c>
      <c r="B7421" t="s">
        <v>4594</v>
      </c>
      <c r="C7421" t="s">
        <v>14797</v>
      </c>
    </row>
    <row r="7422" spans="1:3" x14ac:dyDescent="0.25">
      <c r="A7422">
        <f t="shared" si="115"/>
        <v>8303222</v>
      </c>
      <c r="B7422" t="s">
        <v>4594</v>
      </c>
      <c r="C7422" t="s">
        <v>14798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14839</v>
      </c>
    </row>
    <row r="7425" spans="1:3" x14ac:dyDescent="0.25">
      <c r="A7425">
        <f t="shared" si="115"/>
        <v>8303297</v>
      </c>
      <c r="B7425" t="s">
        <v>4596</v>
      </c>
      <c r="C7425" t="s">
        <v>14840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14841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14840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14761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14842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14826</v>
      </c>
    </row>
    <row r="7439" spans="1:3" x14ac:dyDescent="0.25">
      <c r="A7439">
        <f t="shared" si="116"/>
        <v>8303496</v>
      </c>
      <c r="B7439" t="s">
        <v>4612</v>
      </c>
      <c r="C7439" t="s">
        <v>14797</v>
      </c>
    </row>
    <row r="7440" spans="1:3" x14ac:dyDescent="0.25">
      <c r="A7440">
        <f t="shared" si="116"/>
        <v>8303496</v>
      </c>
      <c r="B7440" t="s">
        <v>4612</v>
      </c>
      <c r="C7440" t="s">
        <v>14843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14844</v>
      </c>
    </row>
    <row r="7443" spans="1:3" x14ac:dyDescent="0.25">
      <c r="A7443">
        <f t="shared" si="116"/>
        <v>8303523</v>
      </c>
      <c r="B7443" t="s">
        <v>4614</v>
      </c>
      <c r="C7443" t="s">
        <v>14842</v>
      </c>
    </row>
    <row r="7444" spans="1:3" x14ac:dyDescent="0.25">
      <c r="A7444">
        <f t="shared" si="116"/>
        <v>8303523</v>
      </c>
      <c r="B7444" t="s">
        <v>4614</v>
      </c>
      <c r="C7444" t="s">
        <v>14839</v>
      </c>
    </row>
    <row r="7445" spans="1:3" x14ac:dyDescent="0.25">
      <c r="A7445">
        <f t="shared" si="116"/>
        <v>8303523</v>
      </c>
      <c r="B7445" t="s">
        <v>4614</v>
      </c>
      <c r="C7445" t="s">
        <v>14840</v>
      </c>
    </row>
    <row r="7446" spans="1:3" x14ac:dyDescent="0.25">
      <c r="A7446">
        <f t="shared" si="116"/>
        <v>8303523</v>
      </c>
      <c r="B7446" t="s">
        <v>4614</v>
      </c>
      <c r="C7446" t="s">
        <v>14845</v>
      </c>
    </row>
    <row r="7447" spans="1:3" x14ac:dyDescent="0.25">
      <c r="A7447">
        <f t="shared" si="116"/>
        <v>8303523</v>
      </c>
      <c r="B7447" t="s">
        <v>4614</v>
      </c>
      <c r="C7447" t="s">
        <v>14841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14761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14761</v>
      </c>
    </row>
    <row r="7452" spans="1:3" x14ac:dyDescent="0.25">
      <c r="A7452">
        <f t="shared" si="116"/>
        <v>8303665</v>
      </c>
      <c r="B7452" t="s">
        <v>4618</v>
      </c>
      <c r="C7452" t="s">
        <v>14837</v>
      </c>
    </row>
    <row r="7453" spans="1:3" x14ac:dyDescent="0.25">
      <c r="A7453">
        <f t="shared" si="116"/>
        <v>8303665</v>
      </c>
      <c r="B7453" t="s">
        <v>4618</v>
      </c>
      <c r="C7453" t="s">
        <v>14836</v>
      </c>
    </row>
    <row r="7454" spans="1:3" x14ac:dyDescent="0.25">
      <c r="A7454">
        <f t="shared" si="116"/>
        <v>8303665</v>
      </c>
      <c r="B7454" t="s">
        <v>4618</v>
      </c>
      <c r="C7454" t="s">
        <v>14826</v>
      </c>
    </row>
    <row r="7455" spans="1:3" x14ac:dyDescent="0.25">
      <c r="A7455">
        <f t="shared" si="116"/>
        <v>8303665</v>
      </c>
      <c r="B7455" t="s">
        <v>4618</v>
      </c>
      <c r="C7455" t="s">
        <v>14797</v>
      </c>
    </row>
    <row r="7456" spans="1:3" x14ac:dyDescent="0.25">
      <c r="A7456">
        <f t="shared" si="116"/>
        <v>8303665</v>
      </c>
      <c r="B7456" t="s">
        <v>4618</v>
      </c>
      <c r="C7456" t="s">
        <v>14798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14761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14761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14761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14761</v>
      </c>
    </row>
    <row r="7468" spans="1:3" x14ac:dyDescent="0.25">
      <c r="A7468">
        <f t="shared" si="116"/>
        <v>8303900</v>
      </c>
      <c r="B7468" t="s">
        <v>4631</v>
      </c>
      <c r="C7468" t="s">
        <v>14797</v>
      </c>
    </row>
    <row r="7469" spans="1:3" x14ac:dyDescent="0.25">
      <c r="A7469">
        <f t="shared" si="116"/>
        <v>8303900</v>
      </c>
      <c r="B7469" t="s">
        <v>4631</v>
      </c>
      <c r="C7469" t="s">
        <v>14798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14797</v>
      </c>
    </row>
    <row r="7472" spans="1:3" x14ac:dyDescent="0.25">
      <c r="A7472">
        <f t="shared" si="116"/>
        <v>8303901</v>
      </c>
      <c r="B7472" t="s">
        <v>4633</v>
      </c>
      <c r="C7472" t="s">
        <v>14798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14797</v>
      </c>
    </row>
    <row r="7477" spans="1:3" x14ac:dyDescent="0.25">
      <c r="A7477">
        <f t="shared" si="116"/>
        <v>8303987</v>
      </c>
      <c r="B7477" t="s">
        <v>4638</v>
      </c>
      <c r="C7477" t="s">
        <v>14798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14846</v>
      </c>
    </row>
    <row r="7480" spans="1:3" x14ac:dyDescent="0.25">
      <c r="A7480">
        <f t="shared" si="116"/>
        <v>8305000</v>
      </c>
      <c r="B7480" t="s">
        <v>4640</v>
      </c>
      <c r="C7480" t="s">
        <v>14837</v>
      </c>
    </row>
    <row r="7481" spans="1:3" x14ac:dyDescent="0.25">
      <c r="A7481">
        <f t="shared" si="116"/>
        <v>8305000</v>
      </c>
      <c r="B7481" t="s">
        <v>4640</v>
      </c>
      <c r="C7481" t="s">
        <v>14825</v>
      </c>
    </row>
    <row r="7482" spans="1:3" x14ac:dyDescent="0.25">
      <c r="A7482">
        <f t="shared" si="116"/>
        <v>8305000</v>
      </c>
      <c r="B7482" t="s">
        <v>4640</v>
      </c>
      <c r="C7482" t="s">
        <v>14836</v>
      </c>
    </row>
    <row r="7483" spans="1:3" x14ac:dyDescent="0.25">
      <c r="A7483">
        <f t="shared" si="116"/>
        <v>8305000</v>
      </c>
      <c r="B7483" t="s">
        <v>4640</v>
      </c>
      <c r="C7483" t="s">
        <v>14826</v>
      </c>
    </row>
    <row r="7484" spans="1:3" x14ac:dyDescent="0.25">
      <c r="A7484">
        <f t="shared" si="116"/>
        <v>8305000</v>
      </c>
      <c r="B7484" t="s">
        <v>4640</v>
      </c>
      <c r="C7484" t="s">
        <v>14847</v>
      </c>
    </row>
    <row r="7485" spans="1:3" x14ac:dyDescent="0.25">
      <c r="A7485">
        <f t="shared" si="116"/>
        <v>8305000</v>
      </c>
      <c r="B7485" t="s">
        <v>4640</v>
      </c>
      <c r="C7485" t="s">
        <v>14848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14837</v>
      </c>
    </row>
    <row r="7489" spans="1:3" x14ac:dyDescent="0.25">
      <c r="A7489">
        <f t="shared" si="116"/>
        <v>8305002</v>
      </c>
      <c r="B7489" t="s">
        <v>4644</v>
      </c>
      <c r="C7489" t="s">
        <v>14838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14824</v>
      </c>
    </row>
    <row r="7491" spans="1:3" x14ac:dyDescent="0.25">
      <c r="A7491">
        <f t="shared" si="117"/>
        <v>8305002</v>
      </c>
      <c r="B7491" t="s">
        <v>4644</v>
      </c>
      <c r="C7491" t="s">
        <v>14825</v>
      </c>
    </row>
    <row r="7492" spans="1:3" x14ac:dyDescent="0.25">
      <c r="A7492">
        <f t="shared" si="117"/>
        <v>8305002</v>
      </c>
      <c r="B7492" t="s">
        <v>4644</v>
      </c>
      <c r="C7492" t="s">
        <v>14836</v>
      </c>
    </row>
    <row r="7493" spans="1:3" x14ac:dyDescent="0.25">
      <c r="A7493">
        <f t="shared" si="117"/>
        <v>8305002</v>
      </c>
      <c r="B7493" t="s">
        <v>4644</v>
      </c>
      <c r="C7493" t="s">
        <v>14847</v>
      </c>
    </row>
    <row r="7494" spans="1:3" x14ac:dyDescent="0.25">
      <c r="A7494">
        <f t="shared" si="117"/>
        <v>8305002</v>
      </c>
      <c r="B7494" t="s">
        <v>4644</v>
      </c>
      <c r="C7494" t="s">
        <v>14848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14838</v>
      </c>
    </row>
    <row r="7501" spans="1:3" x14ac:dyDescent="0.25">
      <c r="A7501">
        <f t="shared" si="117"/>
        <v>8305006</v>
      </c>
      <c r="B7501" t="s">
        <v>4652</v>
      </c>
      <c r="C7501" t="s">
        <v>14824</v>
      </c>
    </row>
    <row r="7502" spans="1:3" x14ac:dyDescent="0.25">
      <c r="A7502">
        <f t="shared" si="117"/>
        <v>8305006</v>
      </c>
      <c r="B7502" t="s">
        <v>4652</v>
      </c>
      <c r="C7502" t="s">
        <v>14825</v>
      </c>
    </row>
    <row r="7503" spans="1:3" x14ac:dyDescent="0.25">
      <c r="A7503">
        <f t="shared" si="117"/>
        <v>8305006</v>
      </c>
      <c r="B7503" t="s">
        <v>4652</v>
      </c>
      <c r="C7503" t="s">
        <v>14836</v>
      </c>
    </row>
    <row r="7504" spans="1:3" x14ac:dyDescent="0.25">
      <c r="A7504">
        <f t="shared" si="117"/>
        <v>8305006</v>
      </c>
      <c r="B7504" t="s">
        <v>4652</v>
      </c>
      <c r="C7504" t="s">
        <v>14826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14825</v>
      </c>
    </row>
    <row r="7507" spans="1:3" x14ac:dyDescent="0.25">
      <c r="A7507">
        <f t="shared" si="117"/>
        <v>8305007</v>
      </c>
      <c r="B7507" t="s">
        <v>4654</v>
      </c>
      <c r="C7507" t="s">
        <v>14836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14761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14761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14761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14846</v>
      </c>
    </row>
    <row r="7521" spans="1:3" x14ac:dyDescent="0.25">
      <c r="A7521">
        <f t="shared" si="117"/>
        <v>8307017</v>
      </c>
      <c r="B7521" t="s">
        <v>4669</v>
      </c>
      <c r="C7521" t="s">
        <v>14837</v>
      </c>
    </row>
    <row r="7522" spans="1:3" x14ac:dyDescent="0.25">
      <c r="A7522">
        <f t="shared" si="117"/>
        <v>8307017</v>
      </c>
      <c r="B7522" t="s">
        <v>4669</v>
      </c>
      <c r="C7522" t="s">
        <v>14838</v>
      </c>
    </row>
    <row r="7523" spans="1:3" x14ac:dyDescent="0.25">
      <c r="A7523">
        <f t="shared" si="117"/>
        <v>8307017</v>
      </c>
      <c r="B7523" t="s">
        <v>4669</v>
      </c>
      <c r="C7523" t="s">
        <v>14825</v>
      </c>
    </row>
    <row r="7524" spans="1:3" x14ac:dyDescent="0.25">
      <c r="A7524">
        <f t="shared" si="117"/>
        <v>8307017</v>
      </c>
      <c r="B7524" t="s">
        <v>4669</v>
      </c>
      <c r="C7524" t="s">
        <v>14826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14849</v>
      </c>
    </row>
    <row r="7527" spans="1:3" x14ac:dyDescent="0.25">
      <c r="A7527">
        <f t="shared" si="117"/>
        <v>8307018</v>
      </c>
      <c r="B7527" t="s">
        <v>4671</v>
      </c>
      <c r="C7527" t="s">
        <v>14846</v>
      </c>
    </row>
    <row r="7528" spans="1:3" x14ac:dyDescent="0.25">
      <c r="A7528">
        <f t="shared" si="117"/>
        <v>8307018</v>
      </c>
      <c r="B7528" t="s">
        <v>4671</v>
      </c>
      <c r="C7528" t="s">
        <v>14837</v>
      </c>
    </row>
    <row r="7529" spans="1:3" x14ac:dyDescent="0.25">
      <c r="A7529">
        <f t="shared" si="117"/>
        <v>8307018</v>
      </c>
      <c r="B7529" t="s">
        <v>4671</v>
      </c>
      <c r="C7529" t="s">
        <v>14824</v>
      </c>
    </row>
    <row r="7530" spans="1:3" x14ac:dyDescent="0.25">
      <c r="A7530">
        <f t="shared" si="117"/>
        <v>8307018</v>
      </c>
      <c r="B7530" t="s">
        <v>4671</v>
      </c>
      <c r="C7530" t="s">
        <v>14825</v>
      </c>
    </row>
    <row r="7531" spans="1:3" x14ac:dyDescent="0.25">
      <c r="A7531">
        <f t="shared" si="117"/>
        <v>8307018</v>
      </c>
      <c r="B7531" t="s">
        <v>4671</v>
      </c>
      <c r="C7531" t="s">
        <v>14836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14761</v>
      </c>
    </row>
    <row r="7536" spans="1:3" x14ac:dyDescent="0.25">
      <c r="A7536">
        <f t="shared" si="117"/>
        <v>8307810</v>
      </c>
      <c r="B7536" t="s">
        <v>4676</v>
      </c>
      <c r="C7536" t="s">
        <v>14824</v>
      </c>
    </row>
    <row r="7537" spans="1:3" x14ac:dyDescent="0.25">
      <c r="A7537">
        <f t="shared" si="117"/>
        <v>8307810</v>
      </c>
      <c r="B7537" t="s">
        <v>4676</v>
      </c>
      <c r="C7537" t="s">
        <v>14850</v>
      </c>
    </row>
    <row r="7538" spans="1:3" x14ac:dyDescent="0.25">
      <c r="A7538">
        <f t="shared" si="117"/>
        <v>8307810</v>
      </c>
      <c r="B7538" t="s">
        <v>4676</v>
      </c>
      <c r="C7538" t="s">
        <v>14851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14850</v>
      </c>
    </row>
    <row r="7542" spans="1:3" x14ac:dyDescent="0.25">
      <c r="A7542">
        <f t="shared" si="117"/>
        <v>8307811</v>
      </c>
      <c r="B7542" t="s">
        <v>4679</v>
      </c>
      <c r="C7542" t="s">
        <v>14851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14852</v>
      </c>
    </row>
    <row r="7546" spans="1:3" x14ac:dyDescent="0.25">
      <c r="A7546">
        <f t="shared" si="117"/>
        <v>8307812</v>
      </c>
      <c r="B7546" t="s">
        <v>4682</v>
      </c>
      <c r="C7546" t="s">
        <v>14853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14852</v>
      </c>
    </row>
    <row r="7550" spans="1:3" x14ac:dyDescent="0.25">
      <c r="A7550">
        <f t="shared" si="117"/>
        <v>8307813</v>
      </c>
      <c r="B7550" t="s">
        <v>4685</v>
      </c>
      <c r="C7550" t="s">
        <v>14853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14854</v>
      </c>
    </row>
    <row r="7555" spans="1:3" x14ac:dyDescent="0.25">
      <c r="A7555">
        <f t="shared" si="118"/>
        <v>8400000</v>
      </c>
      <c r="B7555" t="s">
        <v>4690</v>
      </c>
      <c r="C7555" t="s">
        <v>14847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14847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14701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14761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14847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14761</v>
      </c>
    </row>
    <row r="7573" spans="1:3" x14ac:dyDescent="0.25">
      <c r="A7573">
        <f t="shared" si="118"/>
        <v>8400024</v>
      </c>
      <c r="B7573" t="s">
        <v>4709</v>
      </c>
      <c r="C7573" t="s">
        <v>14847</v>
      </c>
    </row>
    <row r="7574" spans="1:3" x14ac:dyDescent="0.25">
      <c r="A7574">
        <f t="shared" si="118"/>
        <v>8400024</v>
      </c>
      <c r="B7574" t="s">
        <v>4709</v>
      </c>
      <c r="C7574" t="s">
        <v>14848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14847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14847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14847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14761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14847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14761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14847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14855</v>
      </c>
    </row>
    <row r="7604" spans="1:3" x14ac:dyDescent="0.25">
      <c r="A7604">
        <f t="shared" si="118"/>
        <v>8400086</v>
      </c>
      <c r="B7604" t="s">
        <v>4745</v>
      </c>
      <c r="C7604" t="s">
        <v>14847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14847</v>
      </c>
    </row>
    <row r="7616" spans="1:3" x14ac:dyDescent="0.25">
      <c r="A7616">
        <f t="shared" si="118"/>
        <v>8400105</v>
      </c>
      <c r="B7616" t="s">
        <v>4759</v>
      </c>
      <c r="C7616" t="s">
        <v>14848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14847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14847</v>
      </c>
    </row>
    <row r="7624" spans="1:3" x14ac:dyDescent="0.25">
      <c r="A7624">
        <f t="shared" si="119"/>
        <v>8400111</v>
      </c>
      <c r="B7624" t="s">
        <v>4766</v>
      </c>
      <c r="C7624" t="s">
        <v>14848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14855</v>
      </c>
    </row>
    <row r="7627" spans="1:3" x14ac:dyDescent="0.25">
      <c r="A7627">
        <f t="shared" si="119"/>
        <v>8400112</v>
      </c>
      <c r="B7627" t="s">
        <v>4768</v>
      </c>
      <c r="C7627" t="s">
        <v>14847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14847</v>
      </c>
    </row>
    <row r="7631" spans="1:3" x14ac:dyDescent="0.25">
      <c r="A7631">
        <f t="shared" si="119"/>
        <v>8400113</v>
      </c>
      <c r="B7631" t="s">
        <v>4771</v>
      </c>
      <c r="C7631" t="s">
        <v>14848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14847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14847</v>
      </c>
    </row>
    <row r="7637" spans="1:3" x14ac:dyDescent="0.25">
      <c r="A7637">
        <f t="shared" si="119"/>
        <v>8400116</v>
      </c>
      <c r="B7637" t="s">
        <v>4776</v>
      </c>
      <c r="C7637" t="s">
        <v>14848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14847</v>
      </c>
    </row>
    <row r="7641" spans="1:3" x14ac:dyDescent="0.25">
      <c r="A7641">
        <f t="shared" si="119"/>
        <v>8400117</v>
      </c>
      <c r="B7641" t="s">
        <v>4779</v>
      </c>
      <c r="C7641" t="s">
        <v>14848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14761</v>
      </c>
    </row>
    <row r="7644" spans="1:3" x14ac:dyDescent="0.25">
      <c r="A7644">
        <f t="shared" si="119"/>
        <v>8400119</v>
      </c>
      <c r="B7644" t="s">
        <v>4781</v>
      </c>
      <c r="C7644" t="s">
        <v>14855</v>
      </c>
    </row>
    <row r="7645" spans="1:3" x14ac:dyDescent="0.25">
      <c r="A7645">
        <f t="shared" si="119"/>
        <v>8400119</v>
      </c>
      <c r="B7645" t="s">
        <v>4781</v>
      </c>
      <c r="C7645" t="s">
        <v>14847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14847</v>
      </c>
    </row>
    <row r="7649" spans="1:3" x14ac:dyDescent="0.25">
      <c r="A7649">
        <f t="shared" si="119"/>
        <v>8400121</v>
      </c>
      <c r="B7649" t="s">
        <v>4785</v>
      </c>
      <c r="C7649" t="s">
        <v>14848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14847</v>
      </c>
    </row>
    <row r="7653" spans="1:3" x14ac:dyDescent="0.25">
      <c r="A7653">
        <f t="shared" si="119"/>
        <v>8400123</v>
      </c>
      <c r="B7653" t="s">
        <v>4789</v>
      </c>
      <c r="C7653" t="s">
        <v>14848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14848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14847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14847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14847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14847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14847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14847</v>
      </c>
    </row>
    <row r="7688" spans="1:3" x14ac:dyDescent="0.25">
      <c r="A7688">
        <f t="shared" si="120"/>
        <v>8400168</v>
      </c>
      <c r="B7688" t="s">
        <v>4834</v>
      </c>
      <c r="C7688" t="s">
        <v>14848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14761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14847</v>
      </c>
    </row>
    <row r="7696" spans="1:3" x14ac:dyDescent="0.25">
      <c r="A7696">
        <f t="shared" si="120"/>
        <v>8400173</v>
      </c>
      <c r="B7696" t="s">
        <v>4842</v>
      </c>
      <c r="C7696" t="s">
        <v>14848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14847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14761</v>
      </c>
    </row>
    <row r="7712" spans="1:3" x14ac:dyDescent="0.25">
      <c r="A7712">
        <f t="shared" si="120"/>
        <v>8400240</v>
      </c>
      <c r="B7712" t="s">
        <v>4861</v>
      </c>
      <c r="C7712" t="s">
        <v>14847</v>
      </c>
    </row>
    <row r="7713" spans="1:3" x14ac:dyDescent="0.25">
      <c r="A7713">
        <f t="shared" si="120"/>
        <v>8400240</v>
      </c>
      <c r="B7713" t="s">
        <v>4861</v>
      </c>
      <c r="C7713" t="s">
        <v>14848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14761</v>
      </c>
    </row>
    <row r="7722" spans="1:3" x14ac:dyDescent="0.25">
      <c r="A7722">
        <f t="shared" si="120"/>
        <v>8400286</v>
      </c>
      <c r="B7722" t="s">
        <v>4871</v>
      </c>
      <c r="C7722" t="s">
        <v>14847</v>
      </c>
    </row>
    <row r="7723" spans="1:3" x14ac:dyDescent="0.25">
      <c r="A7723">
        <f t="shared" si="120"/>
        <v>8400286</v>
      </c>
      <c r="B7723" t="s">
        <v>4871</v>
      </c>
      <c r="C7723" t="s">
        <v>14848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14761</v>
      </c>
    </row>
    <row r="7728" spans="1:3" x14ac:dyDescent="0.25">
      <c r="A7728">
        <f t="shared" si="120"/>
        <v>8400292</v>
      </c>
      <c r="B7728" t="s">
        <v>4876</v>
      </c>
      <c r="C7728" t="s">
        <v>14847</v>
      </c>
    </row>
    <row r="7729" spans="1:3" x14ac:dyDescent="0.25">
      <c r="A7729">
        <f t="shared" si="120"/>
        <v>8400292</v>
      </c>
      <c r="B7729" t="s">
        <v>4876</v>
      </c>
      <c r="C7729" t="s">
        <v>14848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14847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14847</v>
      </c>
    </row>
    <row r="7736" spans="1:3" x14ac:dyDescent="0.25">
      <c r="A7736">
        <f t="shared" si="120"/>
        <v>8400311</v>
      </c>
      <c r="B7736" t="s">
        <v>4883</v>
      </c>
      <c r="C7736" t="s">
        <v>14848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14855</v>
      </c>
    </row>
    <row r="7745" spans="1:3" x14ac:dyDescent="0.25">
      <c r="A7745">
        <f t="shared" si="120"/>
        <v>8400333</v>
      </c>
      <c r="B7745" t="s">
        <v>4894</v>
      </c>
      <c r="C7745" t="s">
        <v>14847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14761</v>
      </c>
    </row>
    <row r="7748" spans="1:3" x14ac:dyDescent="0.25">
      <c r="A7748">
        <f t="shared" si="121"/>
        <v>8400356</v>
      </c>
      <c r="B7748" t="s">
        <v>4896</v>
      </c>
      <c r="C7748" t="s">
        <v>14847</v>
      </c>
    </row>
    <row r="7749" spans="1:3" x14ac:dyDescent="0.25">
      <c r="A7749">
        <f t="shared" si="121"/>
        <v>8400356</v>
      </c>
      <c r="B7749" t="s">
        <v>4896</v>
      </c>
      <c r="C7749" t="s">
        <v>14848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14761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14847</v>
      </c>
    </row>
    <row r="7754" spans="1:3" x14ac:dyDescent="0.25">
      <c r="A7754">
        <f t="shared" si="121"/>
        <v>8400360</v>
      </c>
      <c r="B7754" t="s">
        <v>4900</v>
      </c>
      <c r="C7754" t="s">
        <v>14848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14761</v>
      </c>
    </row>
    <row r="7757" spans="1:3" x14ac:dyDescent="0.25">
      <c r="A7757">
        <f t="shared" si="121"/>
        <v>8400367</v>
      </c>
      <c r="B7757" t="s">
        <v>4902</v>
      </c>
      <c r="C7757" t="s">
        <v>14855</v>
      </c>
    </row>
    <row r="7758" spans="1:3" x14ac:dyDescent="0.25">
      <c r="A7758">
        <f t="shared" si="121"/>
        <v>8400367</v>
      </c>
      <c r="B7758" t="s">
        <v>4902</v>
      </c>
      <c r="C7758" t="s">
        <v>14847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14855</v>
      </c>
    </row>
    <row r="7761" spans="1:3" x14ac:dyDescent="0.25">
      <c r="A7761">
        <f t="shared" si="121"/>
        <v>8400368</v>
      </c>
      <c r="B7761" t="s">
        <v>4904</v>
      </c>
      <c r="C7761" t="s">
        <v>14847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14847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14761</v>
      </c>
    </row>
    <row r="7768" spans="1:3" x14ac:dyDescent="0.25">
      <c r="A7768">
        <f t="shared" si="121"/>
        <v>8400390</v>
      </c>
      <c r="B7768" t="s">
        <v>4911</v>
      </c>
      <c r="C7768" t="s">
        <v>14855</v>
      </c>
    </row>
    <row r="7769" spans="1:3" x14ac:dyDescent="0.25">
      <c r="A7769">
        <f t="shared" si="121"/>
        <v>8400390</v>
      </c>
      <c r="B7769" t="s">
        <v>4911</v>
      </c>
      <c r="C7769" t="s">
        <v>14847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14855</v>
      </c>
    </row>
    <row r="7772" spans="1:3" x14ac:dyDescent="0.25">
      <c r="A7772">
        <f t="shared" si="121"/>
        <v>8400391</v>
      </c>
      <c r="B7772" t="s">
        <v>4913</v>
      </c>
      <c r="C7772" t="s">
        <v>14847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14847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14847</v>
      </c>
    </row>
    <row r="7778" spans="1:3" x14ac:dyDescent="0.25">
      <c r="A7778">
        <f t="shared" si="121"/>
        <v>8400393</v>
      </c>
      <c r="B7778" t="s">
        <v>4918</v>
      </c>
      <c r="C7778" t="s">
        <v>14848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14856</v>
      </c>
    </row>
    <row r="7784" spans="1:3" x14ac:dyDescent="0.25">
      <c r="A7784">
        <f t="shared" si="121"/>
        <v>8400456</v>
      </c>
      <c r="B7784" t="s">
        <v>4924</v>
      </c>
      <c r="C7784" t="s">
        <v>14847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14847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14855</v>
      </c>
    </row>
    <row r="7790" spans="1:3" x14ac:dyDescent="0.25">
      <c r="A7790">
        <f t="shared" si="121"/>
        <v>8400650</v>
      </c>
      <c r="B7790" t="s">
        <v>4929</v>
      </c>
      <c r="C7790" t="s">
        <v>14847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14847</v>
      </c>
    </row>
    <row r="7796" spans="1:3" x14ac:dyDescent="0.25">
      <c r="A7796">
        <f t="shared" si="121"/>
        <v>8400661</v>
      </c>
      <c r="B7796" t="s">
        <v>4936</v>
      </c>
      <c r="C7796" t="s">
        <v>14848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14761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14761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14848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14847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14761</v>
      </c>
    </row>
    <row r="7816" spans="1:3" x14ac:dyDescent="0.25">
      <c r="A7816">
        <f t="shared" si="122"/>
        <v>8401001</v>
      </c>
      <c r="B7816" t="s">
        <v>4961</v>
      </c>
      <c r="C7816" t="s">
        <v>14857</v>
      </c>
    </row>
    <row r="7817" spans="1:3" x14ac:dyDescent="0.25">
      <c r="A7817">
        <f t="shared" si="122"/>
        <v>8401001</v>
      </c>
      <c r="B7817" t="s">
        <v>4961</v>
      </c>
      <c r="C7817" t="s">
        <v>14858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14859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14761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14761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14761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14761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14761</v>
      </c>
    </row>
    <row r="7848" spans="1:3" x14ac:dyDescent="0.25">
      <c r="A7848">
        <f t="shared" si="122"/>
        <v>8501025</v>
      </c>
      <c r="B7848" t="s">
        <v>5003</v>
      </c>
      <c r="C7848" t="s">
        <v>14860</v>
      </c>
    </row>
    <row r="7849" spans="1:3" x14ac:dyDescent="0.25">
      <c r="A7849">
        <f t="shared" si="122"/>
        <v>8501025</v>
      </c>
      <c r="B7849" t="s">
        <v>5003</v>
      </c>
      <c r="C7849" t="s">
        <v>14861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14761</v>
      </c>
    </row>
    <row r="7852" spans="1:3" x14ac:dyDescent="0.25">
      <c r="A7852">
        <f t="shared" si="122"/>
        <v>8501026</v>
      </c>
      <c r="B7852" t="s">
        <v>5005</v>
      </c>
      <c r="C7852" t="s">
        <v>14860</v>
      </c>
    </row>
    <row r="7853" spans="1:3" x14ac:dyDescent="0.25">
      <c r="A7853">
        <f t="shared" si="122"/>
        <v>8501026</v>
      </c>
      <c r="B7853" t="s">
        <v>5005</v>
      </c>
      <c r="C7853" t="s">
        <v>14861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14761</v>
      </c>
    </row>
    <row r="7856" spans="1:3" x14ac:dyDescent="0.25">
      <c r="A7856">
        <f t="shared" si="122"/>
        <v>8501027</v>
      </c>
      <c r="B7856" t="s">
        <v>5007</v>
      </c>
      <c r="C7856" t="s">
        <v>14860</v>
      </c>
    </row>
    <row r="7857" spans="1:3" x14ac:dyDescent="0.25">
      <c r="A7857">
        <f t="shared" si="122"/>
        <v>8501027</v>
      </c>
      <c r="B7857" t="s">
        <v>5007</v>
      </c>
      <c r="C7857" t="s">
        <v>14861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14861</v>
      </c>
    </row>
    <row r="7863" spans="1:3" x14ac:dyDescent="0.25">
      <c r="A7863">
        <f t="shared" si="122"/>
        <v>8501228</v>
      </c>
      <c r="B7863" t="s">
        <v>5013</v>
      </c>
      <c r="C7863" t="s">
        <v>14862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14863</v>
      </c>
    </row>
    <row r="7868" spans="1:3" x14ac:dyDescent="0.25">
      <c r="A7868">
        <f t="shared" si="122"/>
        <v>8501594</v>
      </c>
      <c r="B7868" t="s">
        <v>5018</v>
      </c>
      <c r="C7868" t="s">
        <v>14864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14865</v>
      </c>
    </row>
    <row r="7872" spans="1:3" x14ac:dyDescent="0.25">
      <c r="A7872">
        <f t="shared" si="122"/>
        <v>8501602</v>
      </c>
      <c r="B7872" t="s">
        <v>5021</v>
      </c>
      <c r="C7872" t="s">
        <v>14866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14861</v>
      </c>
    </row>
    <row r="7877" spans="1:3" x14ac:dyDescent="0.25">
      <c r="A7877">
        <f t="shared" si="123"/>
        <v>8501654</v>
      </c>
      <c r="B7877" t="s">
        <v>5026</v>
      </c>
      <c r="C7877" t="s">
        <v>14862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14861</v>
      </c>
    </row>
    <row r="7881" spans="1:3" x14ac:dyDescent="0.25">
      <c r="A7881">
        <f t="shared" si="123"/>
        <v>8501655</v>
      </c>
      <c r="B7881" t="s">
        <v>5029</v>
      </c>
      <c r="C7881" t="s">
        <v>14862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14761</v>
      </c>
    </row>
    <row r="7884" spans="1:3" x14ac:dyDescent="0.25">
      <c r="A7884">
        <f t="shared" si="123"/>
        <v>8501662</v>
      </c>
      <c r="B7884" t="s">
        <v>5031</v>
      </c>
      <c r="C7884" t="s">
        <v>14860</v>
      </c>
    </row>
    <row r="7885" spans="1:3" x14ac:dyDescent="0.25">
      <c r="A7885">
        <f t="shared" si="123"/>
        <v>8501662</v>
      </c>
      <c r="B7885" t="s">
        <v>5031</v>
      </c>
      <c r="C7885" t="s">
        <v>14861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14867</v>
      </c>
    </row>
    <row r="7888" spans="1:3" x14ac:dyDescent="0.25">
      <c r="A7888">
        <f t="shared" si="123"/>
        <v>8501700</v>
      </c>
      <c r="B7888" t="s">
        <v>5032</v>
      </c>
      <c r="C7888" t="s">
        <v>14868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14778</v>
      </c>
    </row>
    <row r="7892" spans="1:3" x14ac:dyDescent="0.25">
      <c r="A7892">
        <f t="shared" si="123"/>
        <v>8503003</v>
      </c>
      <c r="B7892" t="s">
        <v>5036</v>
      </c>
      <c r="C7892" t="s">
        <v>14869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14761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14870</v>
      </c>
    </row>
    <row r="7900" spans="1:3" x14ac:dyDescent="0.25">
      <c r="A7900">
        <f t="shared" si="123"/>
        <v>8503020</v>
      </c>
      <c r="B7900" t="s">
        <v>5044</v>
      </c>
      <c r="C7900" t="s">
        <v>14871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14761</v>
      </c>
    </row>
    <row r="7904" spans="1:3" x14ac:dyDescent="0.25">
      <c r="A7904">
        <f t="shared" si="123"/>
        <v>8503045</v>
      </c>
      <c r="B7904" t="s">
        <v>5048</v>
      </c>
      <c r="C7904" t="s">
        <v>14778</v>
      </c>
    </row>
    <row r="7905" spans="1:3" x14ac:dyDescent="0.25">
      <c r="A7905">
        <f t="shared" si="123"/>
        <v>8503045</v>
      </c>
      <c r="B7905" t="s">
        <v>5048</v>
      </c>
      <c r="C7905" t="s">
        <v>14869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14872</v>
      </c>
    </row>
    <row r="7911" spans="1:3" x14ac:dyDescent="0.25">
      <c r="A7911">
        <f t="shared" si="123"/>
        <v>8503060</v>
      </c>
      <c r="B7911" t="s">
        <v>5054</v>
      </c>
      <c r="C7911" t="s">
        <v>14873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14761</v>
      </c>
    </row>
    <row r="7914" spans="1:3" x14ac:dyDescent="0.25">
      <c r="A7914">
        <f t="shared" si="123"/>
        <v>8503061</v>
      </c>
      <c r="B7914" t="s">
        <v>5056</v>
      </c>
      <c r="C7914" t="s">
        <v>14874</v>
      </c>
    </row>
    <row r="7915" spans="1:3" x14ac:dyDescent="0.25">
      <c r="A7915">
        <f t="shared" si="123"/>
        <v>8503061</v>
      </c>
      <c r="B7915" t="s">
        <v>5056</v>
      </c>
      <c r="C7915" t="s">
        <v>14873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14875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14761</v>
      </c>
    </row>
    <row r="7920" spans="1:3" x14ac:dyDescent="0.25">
      <c r="A7920">
        <f t="shared" si="123"/>
        <v>8503063</v>
      </c>
      <c r="B7920" t="s">
        <v>5060</v>
      </c>
      <c r="C7920" t="s">
        <v>14870</v>
      </c>
    </row>
    <row r="7921" spans="1:3" x14ac:dyDescent="0.25">
      <c r="A7921">
        <f t="shared" si="123"/>
        <v>8503063</v>
      </c>
      <c r="B7921" t="s">
        <v>5060</v>
      </c>
      <c r="C7921" t="s">
        <v>14871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14876</v>
      </c>
    </row>
    <row r="7924" spans="1:3" x14ac:dyDescent="0.25">
      <c r="A7924">
        <f t="shared" si="123"/>
        <v>8503090</v>
      </c>
      <c r="B7924" t="s">
        <v>5062</v>
      </c>
      <c r="C7924" t="s">
        <v>14778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14876</v>
      </c>
    </row>
    <row r="7928" spans="1:3" x14ac:dyDescent="0.25">
      <c r="A7928">
        <f t="shared" si="123"/>
        <v>8503091</v>
      </c>
      <c r="B7928" t="s">
        <v>5065</v>
      </c>
      <c r="C7928" t="s">
        <v>14778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14761</v>
      </c>
    </row>
    <row r="7932" spans="1:3" x14ac:dyDescent="0.25">
      <c r="A7932">
        <f t="shared" si="123"/>
        <v>8503100</v>
      </c>
      <c r="B7932" t="s">
        <v>5069</v>
      </c>
      <c r="C7932" t="s">
        <v>14770</v>
      </c>
    </row>
    <row r="7933" spans="1:3" x14ac:dyDescent="0.25">
      <c r="A7933">
        <f t="shared" si="123"/>
        <v>8503100</v>
      </c>
      <c r="B7933" t="s">
        <v>5069</v>
      </c>
      <c r="C7933" t="s">
        <v>14877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14870</v>
      </c>
    </row>
    <row r="7936" spans="1:3" x14ac:dyDescent="0.25">
      <c r="A7936">
        <f t="shared" si="123"/>
        <v>8503111</v>
      </c>
      <c r="B7936" t="s">
        <v>5071</v>
      </c>
      <c r="C7936" t="s">
        <v>14871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14761</v>
      </c>
    </row>
    <row r="7939" spans="1:3" x14ac:dyDescent="0.25">
      <c r="A7939">
        <f t="shared" si="124"/>
        <v>8503125</v>
      </c>
      <c r="B7939" t="s">
        <v>5073</v>
      </c>
      <c r="C7939" t="s">
        <v>14770</v>
      </c>
    </row>
    <row r="7940" spans="1:3" x14ac:dyDescent="0.25">
      <c r="A7940">
        <f t="shared" si="124"/>
        <v>8503125</v>
      </c>
      <c r="B7940" t="s">
        <v>5073</v>
      </c>
      <c r="C7940" t="s">
        <v>14877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14770</v>
      </c>
    </row>
    <row r="7946" spans="1:3" x14ac:dyDescent="0.25">
      <c r="A7946">
        <f t="shared" si="124"/>
        <v>8503159</v>
      </c>
      <c r="B7946" t="s">
        <v>5079</v>
      </c>
      <c r="C7946" t="s">
        <v>14877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14761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14761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14770</v>
      </c>
    </row>
    <row r="7958" spans="1:3" x14ac:dyDescent="0.25">
      <c r="A7958">
        <f t="shared" si="124"/>
        <v>8503230</v>
      </c>
      <c r="B7958" t="s">
        <v>5091</v>
      </c>
      <c r="C7958" t="s">
        <v>14877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14761</v>
      </c>
    </row>
    <row r="7961" spans="1:3" x14ac:dyDescent="0.25">
      <c r="A7961">
        <f t="shared" si="124"/>
        <v>8503234</v>
      </c>
      <c r="B7961" t="s">
        <v>5093</v>
      </c>
      <c r="C7961" t="s">
        <v>14878</v>
      </c>
    </row>
    <row r="7962" spans="1:3" x14ac:dyDescent="0.25">
      <c r="A7962">
        <f t="shared" si="124"/>
        <v>8503234</v>
      </c>
      <c r="B7962" t="s">
        <v>5093</v>
      </c>
      <c r="C7962" t="s">
        <v>14788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14879</v>
      </c>
    </row>
    <row r="7972" spans="1:3" x14ac:dyDescent="0.25">
      <c r="A7972">
        <f t="shared" si="124"/>
        <v>8503258</v>
      </c>
      <c r="B7972" t="s">
        <v>5106</v>
      </c>
      <c r="C7972" t="s">
        <v>14880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14881</v>
      </c>
    </row>
    <row r="7980" spans="1:3" x14ac:dyDescent="0.25">
      <c r="A7980">
        <f t="shared" si="124"/>
        <v>8503320</v>
      </c>
      <c r="B7980" t="s">
        <v>5118</v>
      </c>
      <c r="C7980" t="s">
        <v>14797</v>
      </c>
    </row>
    <row r="7981" spans="1:3" x14ac:dyDescent="0.25">
      <c r="A7981">
        <f t="shared" si="124"/>
        <v>8503332</v>
      </c>
      <c r="B7981" t="s">
        <v>14706</v>
      </c>
      <c r="C7981" t="s">
        <v>14707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14761</v>
      </c>
    </row>
    <row r="7987" spans="1:3" x14ac:dyDescent="0.25">
      <c r="A7987">
        <f t="shared" si="124"/>
        <v>8503424</v>
      </c>
      <c r="B7987" t="s">
        <v>5125</v>
      </c>
      <c r="C7987" t="s">
        <v>14770</v>
      </c>
    </row>
    <row r="7988" spans="1:3" x14ac:dyDescent="0.25">
      <c r="A7988">
        <f t="shared" si="124"/>
        <v>8503424</v>
      </c>
      <c r="B7988" t="s">
        <v>5125</v>
      </c>
      <c r="C7988" t="s">
        <v>14877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14770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14770</v>
      </c>
    </row>
    <row r="7994" spans="1:3" x14ac:dyDescent="0.25">
      <c r="A7994">
        <f t="shared" si="124"/>
        <v>8503426</v>
      </c>
      <c r="B7994" t="s">
        <v>5130</v>
      </c>
      <c r="C7994" t="s">
        <v>14877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14770</v>
      </c>
    </row>
    <row r="7998" spans="1:3" x14ac:dyDescent="0.25">
      <c r="A7998">
        <f t="shared" si="124"/>
        <v>8503427</v>
      </c>
      <c r="B7998" t="s">
        <v>5133</v>
      </c>
      <c r="C7998" t="s">
        <v>14877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14761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14770</v>
      </c>
    </row>
    <row r="8004" spans="1:3" x14ac:dyDescent="0.25">
      <c r="A8004">
        <f t="shared" si="125"/>
        <v>8503429</v>
      </c>
      <c r="B8004" t="s">
        <v>5137</v>
      </c>
      <c r="C8004" t="s">
        <v>14877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14770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14761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14761</v>
      </c>
    </row>
    <row r="8017" spans="1:3" x14ac:dyDescent="0.25">
      <c r="A8017">
        <f t="shared" si="125"/>
        <v>8503500</v>
      </c>
      <c r="B8017" t="s">
        <v>5151</v>
      </c>
      <c r="C8017" t="s">
        <v>14870</v>
      </c>
    </row>
    <row r="8018" spans="1:3" x14ac:dyDescent="0.25">
      <c r="A8018">
        <f t="shared" si="125"/>
        <v>8503500</v>
      </c>
      <c r="B8018" t="s">
        <v>5151</v>
      </c>
      <c r="C8018" t="s">
        <v>14871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14761</v>
      </c>
    </row>
    <row r="8022" spans="1:3" x14ac:dyDescent="0.25">
      <c r="A8022">
        <f t="shared" si="125"/>
        <v>8503600</v>
      </c>
      <c r="B8022" t="s">
        <v>5155</v>
      </c>
      <c r="C8022" t="s">
        <v>14870</v>
      </c>
    </row>
    <row r="8023" spans="1:3" x14ac:dyDescent="0.25">
      <c r="A8023">
        <f t="shared" si="125"/>
        <v>8503600</v>
      </c>
      <c r="B8023" t="s">
        <v>5155</v>
      </c>
      <c r="C8023" t="s">
        <v>14871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14761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14879</v>
      </c>
    </row>
    <row r="8030" spans="1:3" x14ac:dyDescent="0.25">
      <c r="A8030">
        <f t="shared" si="125"/>
        <v>8503712</v>
      </c>
      <c r="B8030" t="s">
        <v>5162</v>
      </c>
      <c r="C8030" t="s">
        <v>14880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14761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14761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14761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14761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14882</v>
      </c>
    </row>
    <row r="8080" spans="1:3" x14ac:dyDescent="0.25">
      <c r="A8080">
        <f t="shared" si="126"/>
        <v>8503853</v>
      </c>
      <c r="B8080" t="s">
        <v>5234</v>
      </c>
      <c r="C8080" t="s">
        <v>14870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14870</v>
      </c>
    </row>
    <row r="8084" spans="1:3" x14ac:dyDescent="0.25">
      <c r="A8084">
        <f t="shared" si="126"/>
        <v>8503888</v>
      </c>
      <c r="B8084" t="s">
        <v>5237</v>
      </c>
      <c r="C8084" t="s">
        <v>14871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14874</v>
      </c>
    </row>
    <row r="8087" spans="1:3" x14ac:dyDescent="0.25">
      <c r="A8087">
        <f t="shared" si="126"/>
        <v>8503901</v>
      </c>
      <c r="B8087" t="s">
        <v>5239</v>
      </c>
      <c r="C8087" t="s">
        <v>14873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14878</v>
      </c>
    </row>
    <row r="8091" spans="1:3" x14ac:dyDescent="0.25">
      <c r="A8091">
        <f t="shared" si="126"/>
        <v>8503984</v>
      </c>
      <c r="B8091" t="s">
        <v>5243</v>
      </c>
      <c r="C8091" t="s">
        <v>14788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14781</v>
      </c>
    </row>
    <row r="8097" spans="1:3" x14ac:dyDescent="0.25">
      <c r="A8097">
        <f t="shared" si="126"/>
        <v>8505000</v>
      </c>
      <c r="B8097" t="s">
        <v>5249</v>
      </c>
      <c r="C8097" t="s">
        <v>14782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14782</v>
      </c>
    </row>
    <row r="8100" spans="1:3" x14ac:dyDescent="0.25">
      <c r="A8100">
        <f t="shared" si="126"/>
        <v>8505001</v>
      </c>
      <c r="B8100" t="s">
        <v>5251</v>
      </c>
      <c r="C8100" t="s">
        <v>14883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14782</v>
      </c>
    </row>
    <row r="8103" spans="1:3" x14ac:dyDescent="0.25">
      <c r="A8103">
        <f t="shared" si="126"/>
        <v>8505002</v>
      </c>
      <c r="B8103" t="s">
        <v>5253</v>
      </c>
      <c r="C8103" t="s">
        <v>14883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14782</v>
      </c>
    </row>
    <row r="8108" spans="1:3" x14ac:dyDescent="0.25">
      <c r="A8108">
        <f t="shared" si="126"/>
        <v>8505004</v>
      </c>
      <c r="B8108" t="s">
        <v>5258</v>
      </c>
      <c r="C8108" t="s">
        <v>14883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14782</v>
      </c>
    </row>
    <row r="8112" spans="1:3" x14ac:dyDescent="0.25">
      <c r="A8112">
        <f t="shared" si="126"/>
        <v>8505005</v>
      </c>
      <c r="B8112" t="s">
        <v>5261</v>
      </c>
      <c r="C8112" t="s">
        <v>14883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14782</v>
      </c>
    </row>
    <row r="8115" spans="1:3" x14ac:dyDescent="0.25">
      <c r="A8115">
        <f t="shared" si="126"/>
        <v>8505006</v>
      </c>
      <c r="B8115" t="s">
        <v>5263</v>
      </c>
      <c r="C8115" t="s">
        <v>14883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14782</v>
      </c>
    </row>
    <row r="8119" spans="1:3" x14ac:dyDescent="0.25">
      <c r="A8119">
        <f t="shared" si="126"/>
        <v>8505007</v>
      </c>
      <c r="B8119" t="s">
        <v>5266</v>
      </c>
      <c r="C8119" t="s">
        <v>14883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14782</v>
      </c>
    </row>
    <row r="8123" spans="1:3" x14ac:dyDescent="0.25">
      <c r="A8123">
        <f t="shared" si="126"/>
        <v>8505008</v>
      </c>
      <c r="B8123" t="s">
        <v>5269</v>
      </c>
      <c r="C8123" t="s">
        <v>14883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14866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14782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14883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14782</v>
      </c>
    </row>
    <row r="8134" spans="1:3" x14ac:dyDescent="0.25">
      <c r="A8134">
        <f t="shared" si="127"/>
        <v>8505011</v>
      </c>
      <c r="B8134" t="s">
        <v>5278</v>
      </c>
      <c r="C8134" t="s">
        <v>14883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14782</v>
      </c>
    </row>
    <row r="8137" spans="1:3" x14ac:dyDescent="0.25">
      <c r="A8137">
        <f t="shared" si="127"/>
        <v>8505012</v>
      </c>
      <c r="B8137" t="s">
        <v>5280</v>
      </c>
      <c r="C8137" t="s">
        <v>14883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14884</v>
      </c>
    </row>
    <row r="8142" spans="1:3" x14ac:dyDescent="0.25">
      <c r="A8142">
        <f t="shared" si="127"/>
        <v>8505014</v>
      </c>
      <c r="B8142" t="s">
        <v>5285</v>
      </c>
      <c r="C8142" t="s">
        <v>14885</v>
      </c>
    </row>
    <row r="8143" spans="1:3" x14ac:dyDescent="0.25">
      <c r="A8143">
        <f t="shared" si="127"/>
        <v>8505014</v>
      </c>
      <c r="B8143" t="s">
        <v>5285</v>
      </c>
      <c r="C8143" t="s">
        <v>14886</v>
      </c>
    </row>
    <row r="8144" spans="1:3" x14ac:dyDescent="0.25">
      <c r="A8144">
        <f t="shared" si="127"/>
        <v>8505014</v>
      </c>
      <c r="B8144" t="s">
        <v>5285</v>
      </c>
      <c r="C8144" t="s">
        <v>14887</v>
      </c>
    </row>
    <row r="8145" spans="1:3" x14ac:dyDescent="0.25">
      <c r="A8145">
        <f t="shared" si="127"/>
        <v>8505014</v>
      </c>
      <c r="B8145" t="s">
        <v>5285</v>
      </c>
      <c r="C8145" t="s">
        <v>14888</v>
      </c>
    </row>
    <row r="8146" spans="1:3" x14ac:dyDescent="0.25">
      <c r="A8146">
        <f t="shared" si="127"/>
        <v>8505014</v>
      </c>
      <c r="B8146" t="s">
        <v>5285</v>
      </c>
      <c r="C8146" t="s">
        <v>14889</v>
      </c>
    </row>
    <row r="8147" spans="1:3" x14ac:dyDescent="0.25">
      <c r="A8147">
        <f t="shared" si="127"/>
        <v>8505014</v>
      </c>
      <c r="B8147" t="s">
        <v>5285</v>
      </c>
      <c r="C8147" t="s">
        <v>14890</v>
      </c>
    </row>
    <row r="8148" spans="1:3" x14ac:dyDescent="0.25">
      <c r="A8148">
        <f t="shared" si="127"/>
        <v>8505014</v>
      </c>
      <c r="B8148" t="s">
        <v>5285</v>
      </c>
      <c r="C8148" t="s">
        <v>14891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14892</v>
      </c>
    </row>
    <row r="8151" spans="1:3" x14ac:dyDescent="0.25">
      <c r="A8151">
        <f t="shared" si="127"/>
        <v>8505015</v>
      </c>
      <c r="B8151" t="s">
        <v>5287</v>
      </c>
      <c r="C8151" t="s">
        <v>14893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14887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14892</v>
      </c>
    </row>
    <row r="8156" spans="1:3" x14ac:dyDescent="0.25">
      <c r="A8156">
        <f t="shared" si="127"/>
        <v>8505017</v>
      </c>
      <c r="B8156" t="s">
        <v>5291</v>
      </c>
      <c r="C8156" t="s">
        <v>14893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14892</v>
      </c>
    </row>
    <row r="8160" spans="1:3" x14ac:dyDescent="0.25">
      <c r="A8160">
        <f t="shared" si="127"/>
        <v>8505018</v>
      </c>
      <c r="B8160" t="s">
        <v>5294</v>
      </c>
      <c r="C8160" t="s">
        <v>14893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14892</v>
      </c>
    </row>
    <row r="8163" spans="1:3" x14ac:dyDescent="0.25">
      <c r="A8163">
        <f t="shared" si="127"/>
        <v>8505019</v>
      </c>
      <c r="B8163" t="s">
        <v>5296</v>
      </c>
      <c r="C8163" t="s">
        <v>14893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14892</v>
      </c>
    </row>
    <row r="8167" spans="1:3" x14ac:dyDescent="0.25">
      <c r="A8167">
        <f t="shared" si="127"/>
        <v>8505020</v>
      </c>
      <c r="B8167" t="s">
        <v>5299</v>
      </c>
      <c r="C8167" t="s">
        <v>14893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14892</v>
      </c>
    </row>
    <row r="8170" spans="1:3" x14ac:dyDescent="0.25">
      <c r="A8170">
        <f t="shared" si="127"/>
        <v>8505021</v>
      </c>
      <c r="B8170" t="s">
        <v>5301</v>
      </c>
      <c r="C8170" t="s">
        <v>14893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14894</v>
      </c>
    </row>
    <row r="8174" spans="1:3" x14ac:dyDescent="0.25">
      <c r="A8174">
        <f t="shared" si="127"/>
        <v>850502201</v>
      </c>
      <c r="B8174" t="s">
        <v>5305</v>
      </c>
      <c r="C8174" t="s">
        <v>14782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14894</v>
      </c>
    </row>
    <row r="8178" spans="1:3" x14ac:dyDescent="0.25">
      <c r="A8178">
        <f t="shared" si="127"/>
        <v>850502302</v>
      </c>
      <c r="B8178" t="s">
        <v>5309</v>
      </c>
      <c r="C8178" t="s">
        <v>14782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14894</v>
      </c>
    </row>
    <row r="8182" spans="1:3" x14ac:dyDescent="0.25">
      <c r="A8182">
        <f t="shared" si="127"/>
        <v>850502403</v>
      </c>
      <c r="B8182" t="s">
        <v>5313</v>
      </c>
      <c r="C8182" t="s">
        <v>14782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14761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14761</v>
      </c>
    </row>
    <row r="8212" spans="1:3" x14ac:dyDescent="0.25">
      <c r="A8212">
        <f t="shared" si="128"/>
        <v>8505070</v>
      </c>
      <c r="B8212" t="s">
        <v>5343</v>
      </c>
      <c r="C8212" t="s">
        <v>14895</v>
      </c>
    </row>
    <row r="8213" spans="1:3" x14ac:dyDescent="0.25">
      <c r="A8213">
        <f t="shared" si="128"/>
        <v>8505070</v>
      </c>
      <c r="B8213" t="s">
        <v>5343</v>
      </c>
      <c r="C8213" t="s">
        <v>14896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14895</v>
      </c>
    </row>
    <row r="8217" spans="1:3" x14ac:dyDescent="0.25">
      <c r="A8217">
        <f t="shared" si="128"/>
        <v>8505071</v>
      </c>
      <c r="B8217" t="s">
        <v>5346</v>
      </c>
      <c r="C8217" t="s">
        <v>14896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14896</v>
      </c>
    </row>
    <row r="8221" spans="1:3" x14ac:dyDescent="0.25">
      <c r="A8221">
        <f t="shared" si="128"/>
        <v>8505072</v>
      </c>
      <c r="B8221" t="s">
        <v>5349</v>
      </c>
      <c r="C8221" t="s">
        <v>14897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14895</v>
      </c>
    </row>
    <row r="8225" spans="1:3" x14ac:dyDescent="0.25">
      <c r="A8225">
        <f t="shared" si="128"/>
        <v>8505073</v>
      </c>
      <c r="B8225" t="s">
        <v>5352</v>
      </c>
      <c r="C8225" t="s">
        <v>14896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14761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14898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14761</v>
      </c>
    </row>
    <row r="8236" spans="1:3" x14ac:dyDescent="0.25">
      <c r="A8236">
        <f t="shared" si="128"/>
        <v>8505101</v>
      </c>
      <c r="B8236" t="s">
        <v>5365</v>
      </c>
      <c r="C8236" t="s">
        <v>14782</v>
      </c>
    </row>
    <row r="8237" spans="1:3" x14ac:dyDescent="0.25">
      <c r="A8237">
        <f t="shared" si="128"/>
        <v>8505101</v>
      </c>
      <c r="B8237" t="s">
        <v>5365</v>
      </c>
      <c r="C8237" t="s">
        <v>14883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14782</v>
      </c>
    </row>
    <row r="8242" spans="1:3" x14ac:dyDescent="0.25">
      <c r="A8242">
        <f t="shared" si="128"/>
        <v>8505110</v>
      </c>
      <c r="B8242" t="s">
        <v>5370</v>
      </c>
      <c r="C8242" t="s">
        <v>14883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14761</v>
      </c>
    </row>
    <row r="8248" spans="1:3" x14ac:dyDescent="0.25">
      <c r="A8248">
        <f t="shared" si="128"/>
        <v>8505120</v>
      </c>
      <c r="B8248" t="s">
        <v>5377</v>
      </c>
      <c r="C8248" t="s">
        <v>14781</v>
      </c>
    </row>
    <row r="8249" spans="1:3" x14ac:dyDescent="0.25">
      <c r="A8249">
        <f t="shared" si="128"/>
        <v>8505120</v>
      </c>
      <c r="B8249" t="s">
        <v>5377</v>
      </c>
      <c r="C8249" t="s">
        <v>14782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14761</v>
      </c>
    </row>
    <row r="8252" spans="1:3" x14ac:dyDescent="0.25">
      <c r="A8252">
        <f t="shared" si="128"/>
        <v>8505121</v>
      </c>
      <c r="B8252" t="s">
        <v>5379</v>
      </c>
      <c r="C8252" t="s">
        <v>14770</v>
      </c>
    </row>
    <row r="8253" spans="1:3" x14ac:dyDescent="0.25">
      <c r="A8253">
        <f t="shared" si="128"/>
        <v>8505121</v>
      </c>
      <c r="B8253" t="s">
        <v>5379</v>
      </c>
      <c r="C8253" t="s">
        <v>14877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14761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14761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14770</v>
      </c>
    </row>
    <row r="8259" spans="1:3" x14ac:dyDescent="0.25">
      <c r="A8259">
        <f t="shared" si="129"/>
        <v>8505123</v>
      </c>
      <c r="B8259" t="s">
        <v>5383</v>
      </c>
      <c r="C8259" t="s">
        <v>14877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14761</v>
      </c>
    </row>
    <row r="8262" spans="1:3" x14ac:dyDescent="0.25">
      <c r="A8262">
        <f t="shared" si="129"/>
        <v>8505124</v>
      </c>
      <c r="B8262" t="s">
        <v>5385</v>
      </c>
      <c r="C8262" t="s">
        <v>14770</v>
      </c>
    </row>
    <row r="8263" spans="1:3" x14ac:dyDescent="0.25">
      <c r="A8263">
        <f t="shared" si="129"/>
        <v>8505124</v>
      </c>
      <c r="B8263" t="s">
        <v>5385</v>
      </c>
      <c r="C8263" t="s">
        <v>14877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14761</v>
      </c>
    </row>
    <row r="8266" spans="1:3" x14ac:dyDescent="0.25">
      <c r="A8266">
        <f t="shared" si="129"/>
        <v>8505125</v>
      </c>
      <c r="B8266" t="s">
        <v>5387</v>
      </c>
      <c r="C8266" t="s">
        <v>14770</v>
      </c>
    </row>
    <row r="8267" spans="1:3" x14ac:dyDescent="0.25">
      <c r="A8267">
        <f t="shared" si="129"/>
        <v>8505125</v>
      </c>
      <c r="B8267" t="s">
        <v>5387</v>
      </c>
      <c r="C8267" t="s">
        <v>14877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14761</v>
      </c>
    </row>
    <row r="8270" spans="1:3" x14ac:dyDescent="0.25">
      <c r="A8270">
        <f t="shared" si="129"/>
        <v>8505126</v>
      </c>
      <c r="B8270" t="s">
        <v>5389</v>
      </c>
      <c r="C8270" t="s">
        <v>14770</v>
      </c>
    </row>
    <row r="8271" spans="1:3" x14ac:dyDescent="0.25">
      <c r="A8271">
        <f t="shared" si="129"/>
        <v>8505126</v>
      </c>
      <c r="B8271" t="s">
        <v>5389</v>
      </c>
      <c r="C8271" t="s">
        <v>14877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14782</v>
      </c>
    </row>
    <row r="8274" spans="1:3" x14ac:dyDescent="0.25">
      <c r="A8274">
        <f t="shared" si="129"/>
        <v>8505127</v>
      </c>
      <c r="B8274" t="s">
        <v>5391</v>
      </c>
      <c r="C8274" t="s">
        <v>14883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14761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14761</v>
      </c>
    </row>
    <row r="8280" spans="1:3" x14ac:dyDescent="0.25">
      <c r="A8280">
        <f t="shared" si="129"/>
        <v>8505130</v>
      </c>
      <c r="B8280" t="s">
        <v>5397</v>
      </c>
      <c r="C8280" t="s">
        <v>14781</v>
      </c>
    </row>
    <row r="8281" spans="1:3" x14ac:dyDescent="0.25">
      <c r="A8281">
        <f t="shared" si="129"/>
        <v>8505130</v>
      </c>
      <c r="B8281" t="s">
        <v>5397</v>
      </c>
      <c r="C8281" t="s">
        <v>14782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14761</v>
      </c>
    </row>
    <row r="8284" spans="1:3" x14ac:dyDescent="0.25">
      <c r="A8284">
        <f t="shared" si="129"/>
        <v>8505131</v>
      </c>
      <c r="B8284" t="s">
        <v>5399</v>
      </c>
      <c r="C8284" t="s">
        <v>14782</v>
      </c>
    </row>
    <row r="8285" spans="1:3" x14ac:dyDescent="0.25">
      <c r="A8285">
        <f t="shared" si="129"/>
        <v>8505131</v>
      </c>
      <c r="B8285" t="s">
        <v>5399</v>
      </c>
      <c r="C8285" t="s">
        <v>14883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14761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14761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14761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14761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14761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14761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14761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14761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14761</v>
      </c>
    </row>
    <row r="8307" spans="1:3" x14ac:dyDescent="0.25">
      <c r="A8307">
        <f t="shared" si="129"/>
        <v>8505149</v>
      </c>
      <c r="B8307" t="s">
        <v>5423</v>
      </c>
      <c r="C8307" t="s">
        <v>14770</v>
      </c>
    </row>
    <row r="8308" spans="1:3" x14ac:dyDescent="0.25">
      <c r="A8308">
        <f t="shared" si="129"/>
        <v>8505149</v>
      </c>
      <c r="B8308" t="s">
        <v>5423</v>
      </c>
      <c r="C8308" t="s">
        <v>14877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14761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14761</v>
      </c>
    </row>
    <row r="8314" spans="1:3" x14ac:dyDescent="0.25">
      <c r="A8314">
        <f t="shared" si="129"/>
        <v>8505153</v>
      </c>
      <c r="B8314" t="s">
        <v>5428</v>
      </c>
      <c r="C8314" t="s">
        <v>14770</v>
      </c>
    </row>
    <row r="8315" spans="1:3" x14ac:dyDescent="0.25">
      <c r="A8315">
        <f t="shared" si="129"/>
        <v>8505153</v>
      </c>
      <c r="B8315" t="s">
        <v>5428</v>
      </c>
      <c r="C8315" t="s">
        <v>14877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14761</v>
      </c>
    </row>
    <row r="8318" spans="1:3" x14ac:dyDescent="0.25">
      <c r="A8318">
        <f t="shared" si="129"/>
        <v>8505154</v>
      </c>
      <c r="B8318" t="s">
        <v>5430</v>
      </c>
      <c r="C8318" t="s">
        <v>14770</v>
      </c>
    </row>
    <row r="8319" spans="1:3" x14ac:dyDescent="0.25">
      <c r="A8319">
        <f t="shared" si="129"/>
        <v>8505154</v>
      </c>
      <c r="B8319" t="s">
        <v>5430</v>
      </c>
      <c r="C8319" t="s">
        <v>14877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14761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14770</v>
      </c>
    </row>
    <row r="8323" spans="1:3" x14ac:dyDescent="0.25">
      <c r="A8323">
        <f t="shared" si="130"/>
        <v>8505155</v>
      </c>
      <c r="B8323" t="s">
        <v>5432</v>
      </c>
      <c r="C8323" t="s">
        <v>14877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14761</v>
      </c>
    </row>
    <row r="8326" spans="1:3" x14ac:dyDescent="0.25">
      <c r="A8326">
        <f t="shared" si="130"/>
        <v>8505156</v>
      </c>
      <c r="B8326" t="s">
        <v>5434</v>
      </c>
      <c r="C8326" t="s">
        <v>14781</v>
      </c>
    </row>
    <row r="8327" spans="1:3" x14ac:dyDescent="0.25">
      <c r="A8327">
        <f t="shared" si="130"/>
        <v>8505156</v>
      </c>
      <c r="B8327" t="s">
        <v>5434</v>
      </c>
      <c r="C8327" t="s">
        <v>14782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14761</v>
      </c>
    </row>
    <row r="8330" spans="1:3" x14ac:dyDescent="0.25">
      <c r="A8330">
        <f t="shared" si="130"/>
        <v>8505157</v>
      </c>
      <c r="B8330" t="s">
        <v>5436</v>
      </c>
      <c r="C8330" t="s">
        <v>14781</v>
      </c>
    </row>
    <row r="8331" spans="1:3" x14ac:dyDescent="0.25">
      <c r="A8331">
        <f t="shared" si="130"/>
        <v>8505157</v>
      </c>
      <c r="B8331" t="s">
        <v>5436</v>
      </c>
      <c r="C8331" t="s">
        <v>14782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14761</v>
      </c>
    </row>
    <row r="8334" spans="1:3" x14ac:dyDescent="0.25">
      <c r="A8334">
        <f t="shared" si="130"/>
        <v>8505158</v>
      </c>
      <c r="B8334" t="s">
        <v>5438</v>
      </c>
      <c r="C8334" t="s">
        <v>14781</v>
      </c>
    </row>
    <row r="8335" spans="1:3" x14ac:dyDescent="0.25">
      <c r="A8335">
        <f t="shared" si="130"/>
        <v>8505158</v>
      </c>
      <c r="B8335" t="s">
        <v>5438</v>
      </c>
      <c r="C8335" t="s">
        <v>14782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14761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14761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14761</v>
      </c>
    </row>
    <row r="8342" spans="1:3" x14ac:dyDescent="0.25">
      <c r="A8342">
        <f t="shared" si="130"/>
        <v>8505161</v>
      </c>
      <c r="B8342" t="s">
        <v>5444</v>
      </c>
      <c r="C8342" t="s">
        <v>14770</v>
      </c>
    </row>
    <row r="8343" spans="1:3" x14ac:dyDescent="0.25">
      <c r="A8343">
        <f t="shared" si="130"/>
        <v>8505161</v>
      </c>
      <c r="B8343" t="s">
        <v>5444</v>
      </c>
      <c r="C8343" t="s">
        <v>14877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14761</v>
      </c>
    </row>
    <row r="8346" spans="1:3" x14ac:dyDescent="0.25">
      <c r="A8346">
        <f t="shared" si="130"/>
        <v>8505162</v>
      </c>
      <c r="B8346" t="s">
        <v>5446</v>
      </c>
      <c r="C8346" t="s">
        <v>14770</v>
      </c>
    </row>
    <row r="8347" spans="1:3" x14ac:dyDescent="0.25">
      <c r="A8347">
        <f t="shared" si="130"/>
        <v>8505162</v>
      </c>
      <c r="B8347" t="s">
        <v>5446</v>
      </c>
      <c r="C8347" t="s">
        <v>14877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14781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14761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14761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14761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14770</v>
      </c>
    </row>
    <row r="8364" spans="1:3" x14ac:dyDescent="0.25">
      <c r="A8364">
        <f t="shared" si="130"/>
        <v>8505170</v>
      </c>
      <c r="B8364" t="s">
        <v>5465</v>
      </c>
      <c r="C8364" t="s">
        <v>14877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14761</v>
      </c>
    </row>
    <row r="8367" spans="1:3" x14ac:dyDescent="0.25">
      <c r="A8367">
        <f t="shared" si="130"/>
        <v>8505171</v>
      </c>
      <c r="B8367" t="s">
        <v>5467</v>
      </c>
      <c r="C8367" t="s">
        <v>14770</v>
      </c>
    </row>
    <row r="8368" spans="1:3" x14ac:dyDescent="0.25">
      <c r="A8368">
        <f t="shared" si="130"/>
        <v>8505171</v>
      </c>
      <c r="B8368" t="s">
        <v>5467</v>
      </c>
      <c r="C8368" t="s">
        <v>14877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14761</v>
      </c>
    </row>
    <row r="8371" spans="1:3" x14ac:dyDescent="0.25">
      <c r="A8371">
        <f t="shared" si="130"/>
        <v>8505172</v>
      </c>
      <c r="B8371" t="s">
        <v>5469</v>
      </c>
      <c r="C8371" t="s">
        <v>14770</v>
      </c>
    </row>
    <row r="8372" spans="1:3" x14ac:dyDescent="0.25">
      <c r="A8372">
        <f t="shared" si="130"/>
        <v>8505172</v>
      </c>
      <c r="B8372" t="s">
        <v>5469</v>
      </c>
      <c r="C8372" t="s">
        <v>14877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14761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14761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14761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14761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14761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14761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14770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14782</v>
      </c>
    </row>
    <row r="8391" spans="1:3" x14ac:dyDescent="0.25">
      <c r="A8391">
        <f t="shared" si="131"/>
        <v>8505201</v>
      </c>
      <c r="B8391" t="s">
        <v>5487</v>
      </c>
      <c r="C8391" t="s">
        <v>14883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14782</v>
      </c>
    </row>
    <row r="8394" spans="1:3" x14ac:dyDescent="0.25">
      <c r="A8394">
        <f t="shared" si="131"/>
        <v>8505202</v>
      </c>
      <c r="B8394" t="s">
        <v>5489</v>
      </c>
      <c r="C8394" t="s">
        <v>14883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14782</v>
      </c>
    </row>
    <row r="8398" spans="1:3" x14ac:dyDescent="0.25">
      <c r="A8398">
        <f t="shared" si="131"/>
        <v>8505203</v>
      </c>
      <c r="B8398" t="s">
        <v>5492</v>
      </c>
      <c r="C8398" t="s">
        <v>14883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14761</v>
      </c>
    </row>
    <row r="8403" spans="1:3" x14ac:dyDescent="0.25">
      <c r="A8403">
        <f t="shared" si="131"/>
        <v>8505205</v>
      </c>
      <c r="B8403" t="s">
        <v>5497</v>
      </c>
      <c r="C8403" t="s">
        <v>14782</v>
      </c>
    </row>
    <row r="8404" spans="1:3" x14ac:dyDescent="0.25">
      <c r="A8404">
        <f t="shared" si="131"/>
        <v>8505205</v>
      </c>
      <c r="B8404" t="s">
        <v>5497</v>
      </c>
      <c r="C8404" t="s">
        <v>14883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14761</v>
      </c>
    </row>
    <row r="8408" spans="1:3" x14ac:dyDescent="0.25">
      <c r="A8408">
        <f t="shared" si="131"/>
        <v>8505206</v>
      </c>
      <c r="B8408" t="s">
        <v>5500</v>
      </c>
      <c r="C8408" t="s">
        <v>14782</v>
      </c>
    </row>
    <row r="8409" spans="1:3" x14ac:dyDescent="0.25">
      <c r="A8409">
        <f t="shared" si="131"/>
        <v>8505206</v>
      </c>
      <c r="B8409" t="s">
        <v>5500</v>
      </c>
      <c r="C8409" t="s">
        <v>14883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14761</v>
      </c>
    </row>
    <row r="8412" spans="1:3" x14ac:dyDescent="0.25">
      <c r="A8412">
        <f t="shared" si="131"/>
        <v>8505207</v>
      </c>
      <c r="B8412" t="s">
        <v>5502</v>
      </c>
      <c r="C8412" t="s">
        <v>14782</v>
      </c>
    </row>
    <row r="8413" spans="1:3" x14ac:dyDescent="0.25">
      <c r="A8413">
        <f t="shared" si="131"/>
        <v>8505207</v>
      </c>
      <c r="B8413" t="s">
        <v>5502</v>
      </c>
      <c r="C8413" t="s">
        <v>14883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14761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14764</v>
      </c>
    </row>
    <row r="8432" spans="1:3" x14ac:dyDescent="0.25">
      <c r="A8432">
        <f t="shared" si="131"/>
        <v>8505220</v>
      </c>
      <c r="B8432" t="s">
        <v>5529</v>
      </c>
      <c r="C8432" t="s">
        <v>14829</v>
      </c>
    </row>
    <row r="8433" spans="1:3" x14ac:dyDescent="0.25">
      <c r="A8433">
        <f t="shared" si="131"/>
        <v>8505220</v>
      </c>
      <c r="B8433" t="s">
        <v>5529</v>
      </c>
      <c r="C8433" t="s">
        <v>14823</v>
      </c>
    </row>
    <row r="8434" spans="1:3" x14ac:dyDescent="0.25">
      <c r="A8434">
        <f t="shared" si="131"/>
        <v>8505220</v>
      </c>
      <c r="B8434" t="s">
        <v>5529</v>
      </c>
      <c r="C8434" t="s">
        <v>14899</v>
      </c>
    </row>
    <row r="8435" spans="1:3" x14ac:dyDescent="0.25">
      <c r="A8435">
        <f t="shared" si="131"/>
        <v>8505220</v>
      </c>
      <c r="B8435" t="s">
        <v>5529</v>
      </c>
      <c r="C8435" t="s">
        <v>14900</v>
      </c>
    </row>
    <row r="8436" spans="1:3" x14ac:dyDescent="0.25">
      <c r="A8436">
        <f t="shared" si="131"/>
        <v>8505220</v>
      </c>
      <c r="B8436" t="s">
        <v>5529</v>
      </c>
      <c r="C8436" t="s">
        <v>14901</v>
      </c>
    </row>
    <row r="8437" spans="1:3" x14ac:dyDescent="0.25">
      <c r="A8437">
        <f t="shared" si="131"/>
        <v>8505220</v>
      </c>
      <c r="B8437" t="s">
        <v>5529</v>
      </c>
      <c r="C8437" t="s">
        <v>14781</v>
      </c>
    </row>
    <row r="8438" spans="1:3" x14ac:dyDescent="0.25">
      <c r="A8438">
        <f t="shared" si="131"/>
        <v>8505220</v>
      </c>
      <c r="B8438" t="s">
        <v>5529</v>
      </c>
      <c r="C8438" t="s">
        <v>14782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14782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14782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14782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14782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14782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14782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14764</v>
      </c>
    </row>
    <row r="8453" spans="1:3" x14ac:dyDescent="0.25">
      <c r="A8453">
        <f t="shared" si="132"/>
        <v>8505221</v>
      </c>
      <c r="B8453" t="s">
        <v>5543</v>
      </c>
      <c r="C8453" t="s">
        <v>14829</v>
      </c>
    </row>
    <row r="8454" spans="1:3" x14ac:dyDescent="0.25">
      <c r="A8454">
        <f t="shared" si="132"/>
        <v>8505221</v>
      </c>
      <c r="B8454" t="s">
        <v>5543</v>
      </c>
      <c r="C8454" t="s">
        <v>14899</v>
      </c>
    </row>
    <row r="8455" spans="1:3" x14ac:dyDescent="0.25">
      <c r="A8455">
        <f t="shared" si="132"/>
        <v>8505221</v>
      </c>
      <c r="B8455" t="s">
        <v>5543</v>
      </c>
      <c r="C8455" t="s">
        <v>14900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14761</v>
      </c>
    </row>
    <row r="8460" spans="1:3" x14ac:dyDescent="0.25">
      <c r="A8460">
        <f t="shared" si="132"/>
        <v>8505223</v>
      </c>
      <c r="B8460" t="s">
        <v>5548</v>
      </c>
      <c r="C8460" t="s">
        <v>14782</v>
      </c>
    </row>
    <row r="8461" spans="1:3" x14ac:dyDescent="0.25">
      <c r="A8461">
        <f t="shared" si="132"/>
        <v>8505223</v>
      </c>
      <c r="B8461" t="s">
        <v>5548</v>
      </c>
      <c r="C8461" t="s">
        <v>14883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14761</v>
      </c>
    </row>
    <row r="8464" spans="1:3" x14ac:dyDescent="0.25">
      <c r="A8464">
        <f t="shared" si="132"/>
        <v>8505224</v>
      </c>
      <c r="B8464" t="s">
        <v>5550</v>
      </c>
      <c r="C8464" t="s">
        <v>14782</v>
      </c>
    </row>
    <row r="8465" spans="1:3" x14ac:dyDescent="0.25">
      <c r="A8465">
        <f t="shared" si="132"/>
        <v>8505224</v>
      </c>
      <c r="B8465" t="s">
        <v>5550</v>
      </c>
      <c r="C8465" t="s">
        <v>14883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14761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14761</v>
      </c>
    </row>
    <row r="8472" spans="1:3" x14ac:dyDescent="0.25">
      <c r="A8472">
        <f t="shared" si="132"/>
        <v>8505243</v>
      </c>
      <c r="B8472" t="s">
        <v>5557</v>
      </c>
      <c r="C8472" t="s">
        <v>14781</v>
      </c>
    </row>
    <row r="8473" spans="1:3" x14ac:dyDescent="0.25">
      <c r="A8473">
        <f t="shared" si="132"/>
        <v>8505243</v>
      </c>
      <c r="B8473" t="s">
        <v>5557</v>
      </c>
      <c r="C8473" t="s">
        <v>14782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14761</v>
      </c>
    </row>
    <row r="8477" spans="1:3" x14ac:dyDescent="0.25">
      <c r="A8477">
        <f t="shared" si="132"/>
        <v>8505262</v>
      </c>
      <c r="B8477" t="s">
        <v>5561</v>
      </c>
      <c r="C8477" t="s">
        <v>14782</v>
      </c>
    </row>
    <row r="8478" spans="1:3" x14ac:dyDescent="0.25">
      <c r="A8478">
        <f t="shared" si="132"/>
        <v>8505262</v>
      </c>
      <c r="B8478" t="s">
        <v>5561</v>
      </c>
      <c r="C8478" t="s">
        <v>14883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14782</v>
      </c>
    </row>
    <row r="8486" spans="1:3" x14ac:dyDescent="0.25">
      <c r="A8486">
        <f t="shared" si="132"/>
        <v>8505290</v>
      </c>
      <c r="B8486" t="s">
        <v>5570</v>
      </c>
      <c r="C8486" t="s">
        <v>14883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14761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14761</v>
      </c>
    </row>
    <row r="8496" spans="1:3" x14ac:dyDescent="0.25">
      <c r="A8496">
        <f t="shared" si="132"/>
        <v>8505329</v>
      </c>
      <c r="B8496" t="s">
        <v>5582</v>
      </c>
      <c r="C8496" t="s">
        <v>14782</v>
      </c>
    </row>
    <row r="8497" spans="1:3" x14ac:dyDescent="0.25">
      <c r="A8497">
        <f t="shared" si="132"/>
        <v>8505329</v>
      </c>
      <c r="B8497" t="s">
        <v>5582</v>
      </c>
      <c r="C8497" t="s">
        <v>14883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14782</v>
      </c>
    </row>
    <row r="8500" spans="1:3" x14ac:dyDescent="0.25">
      <c r="A8500">
        <f t="shared" si="132"/>
        <v>8505330</v>
      </c>
      <c r="B8500" t="s">
        <v>5584</v>
      </c>
      <c r="C8500" t="s">
        <v>14883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14761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14782</v>
      </c>
    </row>
    <row r="8505" spans="1:3" x14ac:dyDescent="0.25">
      <c r="A8505">
        <f t="shared" si="132"/>
        <v>8505367</v>
      </c>
      <c r="B8505" t="s">
        <v>5588</v>
      </c>
      <c r="C8505" t="s">
        <v>14883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14761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14761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14761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14761</v>
      </c>
    </row>
    <row r="8519" spans="1:3" x14ac:dyDescent="0.25">
      <c r="A8519">
        <f t="shared" si="133"/>
        <v>8505605</v>
      </c>
      <c r="B8519" t="s">
        <v>5603</v>
      </c>
      <c r="C8519" t="s">
        <v>14866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14761</v>
      </c>
    </row>
    <row r="8522" spans="1:3" x14ac:dyDescent="0.25">
      <c r="A8522">
        <f t="shared" si="133"/>
        <v>8505606</v>
      </c>
      <c r="B8522" t="s">
        <v>5605</v>
      </c>
      <c r="C8522" t="s">
        <v>14866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14761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14902</v>
      </c>
    </row>
    <row r="8529" spans="1:3" x14ac:dyDescent="0.25">
      <c r="A8529">
        <f t="shared" si="133"/>
        <v>8505688</v>
      </c>
      <c r="B8529" t="s">
        <v>5610</v>
      </c>
      <c r="C8529" t="s">
        <v>14903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14902</v>
      </c>
    </row>
    <row r="8532" spans="1:3" x14ac:dyDescent="0.25">
      <c r="A8532">
        <f t="shared" si="133"/>
        <v>8505689</v>
      </c>
      <c r="B8532" t="s">
        <v>5612</v>
      </c>
      <c r="C8532" t="s">
        <v>14903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14902</v>
      </c>
    </row>
    <row r="8535" spans="1:3" x14ac:dyDescent="0.25">
      <c r="A8535">
        <f t="shared" si="133"/>
        <v>8505690</v>
      </c>
      <c r="B8535" t="s">
        <v>5614</v>
      </c>
      <c r="C8535" t="s">
        <v>14903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14904</v>
      </c>
    </row>
    <row r="8538" spans="1:3" x14ac:dyDescent="0.25">
      <c r="A8538">
        <f t="shared" si="133"/>
        <v>8505691</v>
      </c>
      <c r="B8538" t="s">
        <v>5616</v>
      </c>
      <c r="C8538" t="s">
        <v>14903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14761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14866</v>
      </c>
    </row>
    <row r="8545" spans="1:3" x14ac:dyDescent="0.25">
      <c r="A8545">
        <f t="shared" si="133"/>
        <v>8505701</v>
      </c>
      <c r="B8545" t="s">
        <v>5623</v>
      </c>
      <c r="C8545" t="s">
        <v>14905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14866</v>
      </c>
    </row>
    <row r="8549" spans="1:3" x14ac:dyDescent="0.25">
      <c r="A8549">
        <f t="shared" si="133"/>
        <v>8505702</v>
      </c>
      <c r="B8549" t="s">
        <v>5626</v>
      </c>
      <c r="C8549" t="s">
        <v>14905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14866</v>
      </c>
    </row>
    <row r="8552" spans="1:3" x14ac:dyDescent="0.25">
      <c r="A8552">
        <f t="shared" si="133"/>
        <v>8505703</v>
      </c>
      <c r="B8552" t="s">
        <v>5628</v>
      </c>
      <c r="C8552" t="s">
        <v>14905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14866</v>
      </c>
    </row>
    <row r="8555" spans="1:3" x14ac:dyDescent="0.25">
      <c r="A8555">
        <f t="shared" si="133"/>
        <v>8505704</v>
      </c>
      <c r="B8555" t="s">
        <v>5630</v>
      </c>
      <c r="C8555" t="s">
        <v>14905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14761</v>
      </c>
    </row>
    <row r="8558" spans="1:3" x14ac:dyDescent="0.25">
      <c r="A8558">
        <f t="shared" si="133"/>
        <v>8505705</v>
      </c>
      <c r="B8558" t="s">
        <v>5632</v>
      </c>
      <c r="C8558" t="s">
        <v>14866</v>
      </c>
    </row>
    <row r="8559" spans="1:3" x14ac:dyDescent="0.25">
      <c r="A8559">
        <f t="shared" si="133"/>
        <v>8505705</v>
      </c>
      <c r="B8559" t="s">
        <v>5632</v>
      </c>
      <c r="C8559" t="s">
        <v>14905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14866</v>
      </c>
    </row>
    <row r="8562" spans="1:3" x14ac:dyDescent="0.25">
      <c r="A8562">
        <f t="shared" si="133"/>
        <v>8505706</v>
      </c>
      <c r="B8562" t="s">
        <v>5634</v>
      </c>
      <c r="C8562" t="s">
        <v>14905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14865</v>
      </c>
    </row>
    <row r="8565" spans="1:3" x14ac:dyDescent="0.25">
      <c r="A8565">
        <f t="shared" si="133"/>
        <v>8505707</v>
      </c>
      <c r="B8565" t="s">
        <v>5636</v>
      </c>
      <c r="C8565" t="s">
        <v>14866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14761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14761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14761</v>
      </c>
    </row>
    <row r="8587" spans="1:3" x14ac:dyDescent="0.25">
      <c r="A8587">
        <f t="shared" si="134"/>
        <v>8505820</v>
      </c>
      <c r="B8587" t="s">
        <v>5664</v>
      </c>
      <c r="C8587" t="s">
        <v>14906</v>
      </c>
    </row>
    <row r="8588" spans="1:3" x14ac:dyDescent="0.25">
      <c r="A8588">
        <f t="shared" si="134"/>
        <v>8505820</v>
      </c>
      <c r="B8588" t="s">
        <v>5664</v>
      </c>
      <c r="C8588" t="s">
        <v>14770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14770</v>
      </c>
    </row>
    <row r="8591" spans="1:3" x14ac:dyDescent="0.25">
      <c r="A8591">
        <f t="shared" si="134"/>
        <v>8505821</v>
      </c>
      <c r="B8591" t="s">
        <v>5666</v>
      </c>
      <c r="C8591" t="s">
        <v>14907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14770</v>
      </c>
    </row>
    <row r="8594" spans="1:3" x14ac:dyDescent="0.25">
      <c r="A8594">
        <f t="shared" si="134"/>
        <v>8505822</v>
      </c>
      <c r="B8594" t="s">
        <v>5668</v>
      </c>
      <c r="C8594" t="s">
        <v>14908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14761</v>
      </c>
    </row>
    <row r="8597" spans="1:3" x14ac:dyDescent="0.25">
      <c r="A8597">
        <f t="shared" si="134"/>
        <v>8505823</v>
      </c>
      <c r="B8597" t="s">
        <v>5670</v>
      </c>
      <c r="C8597" t="s">
        <v>14906</v>
      </c>
    </row>
    <row r="8598" spans="1:3" x14ac:dyDescent="0.25">
      <c r="A8598">
        <f t="shared" si="134"/>
        <v>8505823</v>
      </c>
      <c r="B8598" t="s">
        <v>5670</v>
      </c>
      <c r="C8598" t="s">
        <v>14770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14761</v>
      </c>
    </row>
    <row r="8601" spans="1:3" x14ac:dyDescent="0.25">
      <c r="A8601">
        <f t="shared" si="134"/>
        <v>8505824</v>
      </c>
      <c r="B8601" t="s">
        <v>5672</v>
      </c>
      <c r="C8601" t="s">
        <v>14770</v>
      </c>
    </row>
    <row r="8602" spans="1:3" x14ac:dyDescent="0.25">
      <c r="A8602">
        <f t="shared" si="134"/>
        <v>8505824</v>
      </c>
      <c r="B8602" t="s">
        <v>5672</v>
      </c>
      <c r="C8602" t="s">
        <v>14907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14761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14761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14761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14761</v>
      </c>
    </row>
    <row r="8613" spans="1:3" x14ac:dyDescent="0.25">
      <c r="A8613">
        <f t="shared" si="134"/>
        <v>8507002</v>
      </c>
      <c r="B8613" t="s">
        <v>5683</v>
      </c>
      <c r="C8613" t="s">
        <v>14909</v>
      </c>
    </row>
    <row r="8614" spans="1:3" x14ac:dyDescent="0.25">
      <c r="A8614">
        <f t="shared" si="134"/>
        <v>8507002</v>
      </c>
      <c r="B8614" t="s">
        <v>5683</v>
      </c>
      <c r="C8614" t="s">
        <v>14910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14911</v>
      </c>
    </row>
    <row r="8618" spans="1:3" x14ac:dyDescent="0.25">
      <c r="A8618">
        <f t="shared" si="134"/>
        <v>8508065</v>
      </c>
      <c r="B8618" t="s">
        <v>5686</v>
      </c>
      <c r="C8618" t="s">
        <v>14912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14913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14913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14913</v>
      </c>
    </row>
    <row r="8631" spans="1:3" x14ac:dyDescent="0.25">
      <c r="A8631">
        <f t="shared" si="134"/>
        <v>850850712</v>
      </c>
      <c r="B8631" t="s">
        <v>5702</v>
      </c>
      <c r="C8631" t="s">
        <v>14914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14761</v>
      </c>
    </row>
    <row r="8634" spans="1:3" x14ac:dyDescent="0.25">
      <c r="A8634">
        <f t="shared" si="134"/>
        <v>8509729</v>
      </c>
      <c r="B8634" t="s">
        <v>5704</v>
      </c>
      <c r="C8634" t="s">
        <v>14915</v>
      </c>
    </row>
    <row r="8635" spans="1:3" x14ac:dyDescent="0.25">
      <c r="A8635">
        <f t="shared" si="134"/>
        <v>8509729</v>
      </c>
      <c r="B8635" t="s">
        <v>5704</v>
      </c>
      <c r="C8635" t="s">
        <v>14916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14761</v>
      </c>
    </row>
    <row r="8639" spans="1:3" x14ac:dyDescent="0.25">
      <c r="A8639">
        <f t="shared" si="134"/>
        <v>8511421</v>
      </c>
      <c r="B8639" t="s">
        <v>5708</v>
      </c>
      <c r="C8639" t="s">
        <v>14917</v>
      </c>
    </row>
    <row r="8640" spans="1:3" x14ac:dyDescent="0.25">
      <c r="A8640">
        <f t="shared" si="134"/>
        <v>8511421</v>
      </c>
      <c r="B8640" t="s">
        <v>5708</v>
      </c>
      <c r="C8640" t="s">
        <v>14797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14761</v>
      </c>
    </row>
    <row r="8644" spans="1:3" x14ac:dyDescent="0.25">
      <c r="A8644">
        <f t="shared" si="135"/>
        <v>8511522</v>
      </c>
      <c r="B8644" t="s">
        <v>5712</v>
      </c>
      <c r="C8644" t="s">
        <v>14797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14761</v>
      </c>
    </row>
    <row r="8647" spans="1:3" x14ac:dyDescent="0.25">
      <c r="A8647">
        <f t="shared" si="135"/>
        <v>8511744</v>
      </c>
      <c r="B8647" t="s">
        <v>5714</v>
      </c>
      <c r="C8647" t="s">
        <v>14797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14918</v>
      </c>
    </row>
    <row r="8650" spans="1:3" x14ac:dyDescent="0.25">
      <c r="A8650">
        <f t="shared" si="135"/>
        <v>8513001</v>
      </c>
      <c r="B8650" t="s">
        <v>5716</v>
      </c>
      <c r="C8650" t="s">
        <v>14919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14761</v>
      </c>
    </row>
    <row r="8653" spans="1:3" x14ac:dyDescent="0.25">
      <c r="A8653">
        <f t="shared" si="135"/>
        <v>8513012</v>
      </c>
      <c r="B8653" t="s">
        <v>5718</v>
      </c>
      <c r="C8653" t="s">
        <v>14797</v>
      </c>
    </row>
    <row r="8654" spans="1:3" x14ac:dyDescent="0.25">
      <c r="A8654">
        <f t="shared" si="135"/>
        <v>8513012</v>
      </c>
      <c r="B8654" t="s">
        <v>5718</v>
      </c>
      <c r="C8654" t="s">
        <v>14920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14918</v>
      </c>
    </row>
    <row r="8658" spans="1:3" x14ac:dyDescent="0.25">
      <c r="A8658">
        <f t="shared" si="135"/>
        <v>8513173</v>
      </c>
      <c r="B8658" t="s">
        <v>5722</v>
      </c>
      <c r="C8658" t="s">
        <v>14919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14761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14761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14918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14797</v>
      </c>
    </row>
    <row r="8669" spans="1:3" x14ac:dyDescent="0.25">
      <c r="A8669">
        <f t="shared" si="135"/>
        <v>8513243</v>
      </c>
      <c r="B8669" t="s">
        <v>5732</v>
      </c>
      <c r="C8669" t="s">
        <v>14920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14761</v>
      </c>
    </row>
    <row r="8672" spans="1:3" x14ac:dyDescent="0.25">
      <c r="A8672">
        <f t="shared" si="135"/>
        <v>8513244</v>
      </c>
      <c r="B8672" t="s">
        <v>5734</v>
      </c>
      <c r="C8672" t="s">
        <v>14797</v>
      </c>
    </row>
    <row r="8673" spans="1:3" x14ac:dyDescent="0.25">
      <c r="A8673">
        <f t="shared" si="135"/>
        <v>8513244</v>
      </c>
      <c r="B8673" t="s">
        <v>5734</v>
      </c>
      <c r="C8673" t="s">
        <v>14920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14797</v>
      </c>
    </row>
    <row r="8677" spans="1:3" x14ac:dyDescent="0.25">
      <c r="A8677">
        <f t="shared" si="135"/>
        <v>8513245</v>
      </c>
      <c r="B8677" t="s">
        <v>5737</v>
      </c>
      <c r="C8677" t="s">
        <v>14920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14761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14918</v>
      </c>
    </row>
    <row r="8682" spans="1:3" x14ac:dyDescent="0.25">
      <c r="A8682">
        <f t="shared" si="135"/>
        <v>8513405</v>
      </c>
      <c r="B8682" t="s">
        <v>5741</v>
      </c>
      <c r="C8682" t="s">
        <v>14919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14921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14921</v>
      </c>
    </row>
    <row r="8688" spans="1:3" x14ac:dyDescent="0.25">
      <c r="A8688">
        <f t="shared" si="135"/>
        <v>8515004</v>
      </c>
      <c r="B8688" t="s">
        <v>5746</v>
      </c>
      <c r="C8688" t="s">
        <v>14922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14761</v>
      </c>
    </row>
    <row r="8693" spans="1:3" x14ac:dyDescent="0.25">
      <c r="A8693">
        <f t="shared" si="135"/>
        <v>8515746</v>
      </c>
      <c r="B8693" t="s">
        <v>5752</v>
      </c>
      <c r="C8693" t="s">
        <v>14923</v>
      </c>
    </row>
    <row r="8694" spans="1:3" x14ac:dyDescent="0.25">
      <c r="A8694">
        <f t="shared" si="135"/>
        <v>8515746</v>
      </c>
      <c r="B8694" t="s">
        <v>5752</v>
      </c>
      <c r="C8694" t="s">
        <v>14921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14921</v>
      </c>
    </row>
    <row r="8697" spans="1:3" x14ac:dyDescent="0.25">
      <c r="A8697">
        <f t="shared" si="135"/>
        <v>8515747</v>
      </c>
      <c r="B8697" t="s">
        <v>5754</v>
      </c>
      <c r="C8697" t="s">
        <v>14922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14761</v>
      </c>
    </row>
    <row r="8700" spans="1:3" x14ac:dyDescent="0.25">
      <c r="A8700">
        <f t="shared" si="135"/>
        <v>8515748</v>
      </c>
      <c r="B8700" t="s">
        <v>5756</v>
      </c>
      <c r="C8700" t="s">
        <v>14923</v>
      </c>
    </row>
    <row r="8701" spans="1:3" x14ac:dyDescent="0.25">
      <c r="A8701">
        <f t="shared" si="135"/>
        <v>8515748</v>
      </c>
      <c r="B8701" t="s">
        <v>5756</v>
      </c>
      <c r="C8701" t="s">
        <v>14921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14761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14761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14924</v>
      </c>
    </row>
    <row r="8710" spans="1:3" x14ac:dyDescent="0.25">
      <c r="A8710">
        <f t="shared" si="136"/>
        <v>8517000</v>
      </c>
      <c r="B8710" t="s">
        <v>5765</v>
      </c>
      <c r="C8710" t="s">
        <v>14925</v>
      </c>
    </row>
    <row r="8711" spans="1:3" x14ac:dyDescent="0.25">
      <c r="A8711">
        <f t="shared" si="136"/>
        <v>8517000</v>
      </c>
      <c r="B8711" t="s">
        <v>5765</v>
      </c>
      <c r="C8711" t="s">
        <v>14926</v>
      </c>
    </row>
    <row r="8712" spans="1:3" x14ac:dyDescent="0.25">
      <c r="A8712">
        <f t="shared" si="136"/>
        <v>8517000</v>
      </c>
      <c r="B8712" t="s">
        <v>5765</v>
      </c>
      <c r="C8712" t="s">
        <v>14927</v>
      </c>
    </row>
    <row r="8713" spans="1:3" x14ac:dyDescent="0.25">
      <c r="A8713">
        <f t="shared" si="136"/>
        <v>8517000</v>
      </c>
      <c r="B8713" t="s">
        <v>5765</v>
      </c>
      <c r="C8713" t="s">
        <v>14928</v>
      </c>
    </row>
    <row r="8714" spans="1:3" x14ac:dyDescent="0.25">
      <c r="A8714">
        <f t="shared" si="136"/>
        <v>8517000</v>
      </c>
      <c r="B8714" t="s">
        <v>5765</v>
      </c>
      <c r="C8714" t="s">
        <v>14929</v>
      </c>
    </row>
    <row r="8715" spans="1:3" x14ac:dyDescent="0.25">
      <c r="A8715">
        <f t="shared" si="136"/>
        <v>8517000</v>
      </c>
      <c r="B8715" t="s">
        <v>5765</v>
      </c>
      <c r="C8715" t="s">
        <v>14930</v>
      </c>
    </row>
    <row r="8716" spans="1:3" x14ac:dyDescent="0.25">
      <c r="A8716">
        <f t="shared" si="136"/>
        <v>8517000</v>
      </c>
      <c r="B8716" t="s">
        <v>5765</v>
      </c>
      <c r="C8716" t="s">
        <v>14931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14761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14761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14761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14761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14761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14931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14930</v>
      </c>
    </row>
    <row r="8733" spans="1:3" x14ac:dyDescent="0.25">
      <c r="A8733">
        <f t="shared" si="136"/>
        <v>8517001</v>
      </c>
      <c r="B8733" t="s">
        <v>5782</v>
      </c>
      <c r="C8733" t="s">
        <v>14931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14930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14930</v>
      </c>
    </row>
    <row r="8740" spans="1:3" x14ac:dyDescent="0.25">
      <c r="A8740">
        <f t="shared" si="136"/>
        <v>8517050</v>
      </c>
      <c r="B8740" t="s">
        <v>5790</v>
      </c>
      <c r="C8740" t="s">
        <v>14931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14761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14761</v>
      </c>
    </row>
    <row r="8745" spans="1:3" x14ac:dyDescent="0.25">
      <c r="A8745">
        <f t="shared" si="136"/>
        <v>8517103</v>
      </c>
      <c r="B8745" t="s">
        <v>5794</v>
      </c>
      <c r="C8745" t="s">
        <v>14930</v>
      </c>
    </row>
    <row r="8746" spans="1:3" x14ac:dyDescent="0.25">
      <c r="A8746">
        <f t="shared" si="136"/>
        <v>8517103</v>
      </c>
      <c r="B8746" t="s">
        <v>5794</v>
      </c>
      <c r="C8746" t="s">
        <v>14931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14930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14930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14930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14930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14930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14930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14930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14930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14930</v>
      </c>
    </row>
    <row r="8766" spans="1:3" x14ac:dyDescent="0.25">
      <c r="A8766">
        <f t="shared" si="136"/>
        <v>8517110</v>
      </c>
      <c r="B8766" t="s">
        <v>5813</v>
      </c>
      <c r="C8766" t="s">
        <v>14931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14932</v>
      </c>
    </row>
    <row r="8769" spans="1:3" x14ac:dyDescent="0.25">
      <c r="A8769">
        <f t="shared" si="136"/>
        <v>8517235</v>
      </c>
      <c r="B8769" t="s">
        <v>5815</v>
      </c>
      <c r="C8769" t="s">
        <v>14930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14761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14761</v>
      </c>
    </row>
    <row r="8774" spans="1:3" x14ac:dyDescent="0.25">
      <c r="A8774">
        <f t="shared" si="137"/>
        <v>8517408</v>
      </c>
      <c r="B8774" t="s">
        <v>5819</v>
      </c>
      <c r="C8774" t="s">
        <v>14930</v>
      </c>
    </row>
    <row r="8775" spans="1:3" x14ac:dyDescent="0.25">
      <c r="A8775">
        <f t="shared" si="137"/>
        <v>8517408</v>
      </c>
      <c r="B8775" t="s">
        <v>5819</v>
      </c>
      <c r="C8775" t="s">
        <v>14931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14933</v>
      </c>
    </row>
    <row r="8779" spans="1:3" x14ac:dyDescent="0.25">
      <c r="A8779">
        <f t="shared" si="137"/>
        <v>8517900</v>
      </c>
      <c r="B8779" t="s">
        <v>5822</v>
      </c>
      <c r="C8779" t="s">
        <v>14934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14933</v>
      </c>
    </row>
    <row r="8782" spans="1:3" x14ac:dyDescent="0.25">
      <c r="A8782">
        <f t="shared" si="137"/>
        <v>8517901</v>
      </c>
      <c r="B8782" t="s">
        <v>5823</v>
      </c>
      <c r="C8782" t="s">
        <v>14935</v>
      </c>
    </row>
    <row r="8783" spans="1:3" x14ac:dyDescent="0.25">
      <c r="A8783">
        <f t="shared" si="137"/>
        <v>8517901</v>
      </c>
      <c r="B8783" t="s">
        <v>5823</v>
      </c>
      <c r="C8783" t="s">
        <v>14934</v>
      </c>
    </row>
    <row r="8784" spans="1:3" x14ac:dyDescent="0.25">
      <c r="A8784">
        <f t="shared" si="137"/>
        <v>8517901</v>
      </c>
      <c r="B8784" t="s">
        <v>5823</v>
      </c>
      <c r="C8784" t="s">
        <v>14936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14933</v>
      </c>
    </row>
    <row r="8788" spans="1:3" x14ac:dyDescent="0.25">
      <c r="A8788">
        <f t="shared" si="137"/>
        <v>8517902</v>
      </c>
      <c r="B8788" t="s">
        <v>5825</v>
      </c>
      <c r="C8788" t="s">
        <v>14935</v>
      </c>
    </row>
    <row r="8789" spans="1:3" x14ac:dyDescent="0.25">
      <c r="A8789">
        <f t="shared" si="137"/>
        <v>8517902</v>
      </c>
      <c r="B8789" t="s">
        <v>5825</v>
      </c>
      <c r="C8789" t="s">
        <v>14934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14933</v>
      </c>
    </row>
    <row r="8794" spans="1:3" x14ac:dyDescent="0.25">
      <c r="A8794">
        <f t="shared" si="137"/>
        <v>8517904</v>
      </c>
      <c r="B8794" t="s">
        <v>5828</v>
      </c>
      <c r="C8794" t="s">
        <v>14935</v>
      </c>
    </row>
    <row r="8795" spans="1:3" x14ac:dyDescent="0.25">
      <c r="A8795">
        <f t="shared" si="137"/>
        <v>8517904</v>
      </c>
      <c r="B8795" t="s">
        <v>5828</v>
      </c>
      <c r="C8795" t="s">
        <v>14934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14933</v>
      </c>
    </row>
    <row r="8799" spans="1:3" x14ac:dyDescent="0.25">
      <c r="A8799">
        <f t="shared" si="137"/>
        <v>8517905</v>
      </c>
      <c r="B8799" t="s">
        <v>5830</v>
      </c>
      <c r="C8799" t="s">
        <v>14935</v>
      </c>
    </row>
    <row r="8800" spans="1:3" x14ac:dyDescent="0.25">
      <c r="A8800">
        <f t="shared" si="137"/>
        <v>8517905</v>
      </c>
      <c r="B8800" t="s">
        <v>5830</v>
      </c>
      <c r="C8800" t="s">
        <v>14934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14933</v>
      </c>
    </row>
    <row r="8803" spans="1:3" x14ac:dyDescent="0.25">
      <c r="A8803">
        <f t="shared" si="137"/>
        <v>8517906</v>
      </c>
      <c r="B8803" t="s">
        <v>8620</v>
      </c>
      <c r="C8803" t="s">
        <v>14934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14923</v>
      </c>
    </row>
    <row r="8809" spans="1:3" x14ac:dyDescent="0.25">
      <c r="A8809">
        <f t="shared" si="137"/>
        <v>8518000</v>
      </c>
      <c r="B8809" t="s">
        <v>5835</v>
      </c>
      <c r="C8809" t="s">
        <v>14921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14761</v>
      </c>
    </row>
    <row r="8812" spans="1:3" x14ac:dyDescent="0.25">
      <c r="A8812">
        <f t="shared" si="137"/>
        <v>8518011</v>
      </c>
      <c r="B8812" t="s">
        <v>5837</v>
      </c>
      <c r="C8812" t="s">
        <v>14937</v>
      </c>
    </row>
    <row r="8813" spans="1:3" x14ac:dyDescent="0.25">
      <c r="A8813">
        <f t="shared" si="137"/>
        <v>8518011</v>
      </c>
      <c r="B8813" t="s">
        <v>5837</v>
      </c>
      <c r="C8813" t="s">
        <v>14938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14937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14937</v>
      </c>
    </row>
    <row r="8819" spans="1:3" x14ac:dyDescent="0.25">
      <c r="A8819">
        <f t="shared" si="137"/>
        <v>8518013</v>
      </c>
      <c r="B8819" t="s">
        <v>5842</v>
      </c>
      <c r="C8819" t="s">
        <v>14938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14939</v>
      </c>
    </row>
    <row r="8822" spans="1:3" x14ac:dyDescent="0.25">
      <c r="A8822">
        <f t="shared" si="137"/>
        <v>8518014</v>
      </c>
      <c r="B8822" t="s">
        <v>5844</v>
      </c>
      <c r="C8822" t="s">
        <v>14842</v>
      </c>
    </row>
    <row r="8823" spans="1:3" x14ac:dyDescent="0.25">
      <c r="A8823">
        <f t="shared" si="137"/>
        <v>8518014</v>
      </c>
      <c r="B8823" t="s">
        <v>5844</v>
      </c>
      <c r="C8823" t="s">
        <v>14840</v>
      </c>
    </row>
    <row r="8824" spans="1:3" x14ac:dyDescent="0.25">
      <c r="A8824">
        <f t="shared" si="137"/>
        <v>8518014</v>
      </c>
      <c r="B8824" t="s">
        <v>5844</v>
      </c>
      <c r="C8824" t="s">
        <v>14937</v>
      </c>
    </row>
    <row r="8825" spans="1:3" x14ac:dyDescent="0.25">
      <c r="A8825">
        <f t="shared" si="137"/>
        <v>8518014</v>
      </c>
      <c r="B8825" t="s">
        <v>5844</v>
      </c>
      <c r="C8825" t="s">
        <v>14938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14937</v>
      </c>
    </row>
    <row r="8829" spans="1:3" x14ac:dyDescent="0.25">
      <c r="A8829">
        <f t="shared" si="137"/>
        <v>8518015</v>
      </c>
      <c r="B8829" t="s">
        <v>5847</v>
      </c>
      <c r="C8829" t="s">
        <v>14938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14761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14940</v>
      </c>
    </row>
    <row r="8843" spans="1:3" x14ac:dyDescent="0.25">
      <c r="A8843">
        <f t="shared" si="138"/>
        <v>8518789</v>
      </c>
      <c r="B8843" t="s">
        <v>5866</v>
      </c>
      <c r="C8843" t="s">
        <v>14941</v>
      </c>
    </row>
    <row r="8844" spans="1:3" x14ac:dyDescent="0.25">
      <c r="A8844">
        <f t="shared" si="138"/>
        <v>8518789</v>
      </c>
      <c r="B8844" t="s">
        <v>5866</v>
      </c>
      <c r="C8844" t="s">
        <v>14942</v>
      </c>
    </row>
    <row r="8845" spans="1:3" x14ac:dyDescent="0.25">
      <c r="A8845">
        <f t="shared" si="138"/>
        <v>8518789</v>
      </c>
      <c r="B8845" t="s">
        <v>5866</v>
      </c>
      <c r="C8845" t="s">
        <v>14943</v>
      </c>
    </row>
    <row r="8846" spans="1:3" x14ac:dyDescent="0.25">
      <c r="A8846">
        <f t="shared" si="138"/>
        <v>8518789</v>
      </c>
      <c r="B8846" t="s">
        <v>5866</v>
      </c>
      <c r="C8846" t="s">
        <v>14944</v>
      </c>
    </row>
    <row r="8847" spans="1:3" x14ac:dyDescent="0.25">
      <c r="A8847">
        <f t="shared" si="138"/>
        <v>8518789</v>
      </c>
      <c r="B8847" t="s">
        <v>5866</v>
      </c>
      <c r="C8847" t="s">
        <v>14945</v>
      </c>
    </row>
    <row r="8848" spans="1:3" x14ac:dyDescent="0.25">
      <c r="A8848">
        <f t="shared" si="138"/>
        <v>8518789</v>
      </c>
      <c r="B8848" t="s">
        <v>5866</v>
      </c>
      <c r="C8848" t="s">
        <v>14946</v>
      </c>
    </row>
    <row r="8849" spans="1:3" x14ac:dyDescent="0.25">
      <c r="A8849">
        <f t="shared" si="138"/>
        <v>8518789</v>
      </c>
      <c r="B8849" t="s">
        <v>5866</v>
      </c>
      <c r="C8849" t="s">
        <v>14947</v>
      </c>
    </row>
    <row r="8850" spans="1:3" x14ac:dyDescent="0.25">
      <c r="A8850">
        <f t="shared" si="138"/>
        <v>8518789</v>
      </c>
      <c r="B8850" t="s">
        <v>5866</v>
      </c>
      <c r="C8850" t="s">
        <v>14948</v>
      </c>
    </row>
    <row r="8851" spans="1:3" x14ac:dyDescent="0.25">
      <c r="A8851">
        <f t="shared" si="138"/>
        <v>8518789</v>
      </c>
      <c r="B8851" t="s">
        <v>5866</v>
      </c>
      <c r="C8851" t="s">
        <v>14949</v>
      </c>
    </row>
    <row r="8852" spans="1:3" x14ac:dyDescent="0.25">
      <c r="A8852">
        <f t="shared" si="138"/>
        <v>8518789</v>
      </c>
      <c r="B8852" t="s">
        <v>5866</v>
      </c>
      <c r="C8852" t="s">
        <v>14950</v>
      </c>
    </row>
    <row r="8853" spans="1:3" x14ac:dyDescent="0.25">
      <c r="A8853">
        <f t="shared" si="138"/>
        <v>8518789</v>
      </c>
      <c r="B8853" t="s">
        <v>5866</v>
      </c>
      <c r="C8853" t="s">
        <v>14951</v>
      </c>
    </row>
    <row r="8854" spans="1:3" x14ac:dyDescent="0.25">
      <c r="A8854">
        <f t="shared" si="138"/>
        <v>8518789</v>
      </c>
      <c r="B8854" t="s">
        <v>5866</v>
      </c>
      <c r="C8854" t="s">
        <v>14840</v>
      </c>
    </row>
    <row r="8855" spans="1:3" x14ac:dyDescent="0.25">
      <c r="A8855">
        <f t="shared" si="138"/>
        <v>8518789</v>
      </c>
      <c r="B8855" t="s">
        <v>5866</v>
      </c>
      <c r="C8855" t="s">
        <v>14952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14953</v>
      </c>
    </row>
    <row r="8862" spans="1:3" x14ac:dyDescent="0.25">
      <c r="A8862">
        <f t="shared" si="138"/>
        <v>8519040</v>
      </c>
      <c r="B8862" t="s">
        <v>5874</v>
      </c>
      <c r="C8862" t="s">
        <v>14954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14761</v>
      </c>
    </row>
    <row r="8865" spans="1:3" x14ac:dyDescent="0.25">
      <c r="A8865">
        <f t="shared" si="138"/>
        <v>8519041</v>
      </c>
      <c r="B8865" t="s">
        <v>5876</v>
      </c>
      <c r="C8865" t="s">
        <v>14953</v>
      </c>
    </row>
    <row r="8866" spans="1:3" x14ac:dyDescent="0.25">
      <c r="A8866">
        <f t="shared" si="138"/>
        <v>8519041</v>
      </c>
      <c r="B8866" t="s">
        <v>5876</v>
      </c>
      <c r="C8866" t="s">
        <v>14954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14761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14761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14761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14953</v>
      </c>
    </row>
    <row r="8884" spans="1:3" x14ac:dyDescent="0.25">
      <c r="A8884">
        <f t="shared" si="138"/>
        <v>8519502</v>
      </c>
      <c r="B8884" t="s">
        <v>5898</v>
      </c>
      <c r="C8884" t="s">
        <v>14954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14761</v>
      </c>
    </row>
    <row r="8888" spans="1:3" x14ac:dyDescent="0.25">
      <c r="A8888">
        <f t="shared" si="138"/>
        <v>8520000</v>
      </c>
      <c r="B8888" t="s">
        <v>5901</v>
      </c>
      <c r="C8888" t="s">
        <v>14955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14955</v>
      </c>
    </row>
    <row r="8892" spans="1:3" x14ac:dyDescent="0.25">
      <c r="A8892">
        <f t="shared" si="138"/>
        <v>8520001</v>
      </c>
      <c r="B8892" t="s">
        <v>5903</v>
      </c>
      <c r="C8892" t="s">
        <v>14956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14955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14761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14761</v>
      </c>
    </row>
    <row r="8900" spans="1:3" x14ac:dyDescent="0.25">
      <c r="A8900">
        <f t="shared" si="139"/>
        <v>8520005</v>
      </c>
      <c r="B8900" t="s">
        <v>5911</v>
      </c>
      <c r="C8900" t="s">
        <v>14955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14761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14797</v>
      </c>
    </row>
    <row r="8909" spans="1:3" x14ac:dyDescent="0.25">
      <c r="A8909">
        <f t="shared" si="139"/>
        <v>8520009</v>
      </c>
      <c r="B8909" t="s">
        <v>5921</v>
      </c>
      <c r="C8909" t="s">
        <v>14822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14797</v>
      </c>
    </row>
    <row r="8912" spans="1:3" x14ac:dyDescent="0.25">
      <c r="A8912">
        <f t="shared" si="139"/>
        <v>8520010</v>
      </c>
      <c r="B8912" t="s">
        <v>5923</v>
      </c>
      <c r="C8912" t="s">
        <v>14822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14797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14708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14955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14761</v>
      </c>
    </row>
    <row r="8926" spans="1:3" x14ac:dyDescent="0.25">
      <c r="A8926">
        <f t="shared" si="139"/>
        <v>8520016</v>
      </c>
      <c r="B8926" t="s">
        <v>5938</v>
      </c>
      <c r="C8926" t="s">
        <v>14955</v>
      </c>
    </row>
    <row r="8927" spans="1:3" x14ac:dyDescent="0.25">
      <c r="A8927">
        <f t="shared" si="139"/>
        <v>8520016</v>
      </c>
      <c r="B8927" t="s">
        <v>5938</v>
      </c>
      <c r="C8927" t="s">
        <v>14956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14761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14955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14761</v>
      </c>
    </row>
    <row r="8946" spans="1:3" x14ac:dyDescent="0.25">
      <c r="A8946">
        <f t="shared" si="139"/>
        <v>8520025</v>
      </c>
      <c r="B8946" t="s">
        <v>5961</v>
      </c>
      <c r="C8946" t="s">
        <v>14955</v>
      </c>
    </row>
    <row r="8947" spans="1:3" x14ac:dyDescent="0.25">
      <c r="A8947">
        <f t="shared" si="139"/>
        <v>8520025</v>
      </c>
      <c r="B8947" t="s">
        <v>5961</v>
      </c>
      <c r="C8947" t="s">
        <v>14956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14957</v>
      </c>
    </row>
    <row r="8957" spans="1:3" x14ac:dyDescent="0.25">
      <c r="A8957">
        <f t="shared" si="139"/>
        <v>8520030</v>
      </c>
      <c r="B8957" t="s">
        <v>5974</v>
      </c>
      <c r="C8957" t="s">
        <v>14958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14820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14761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14955</v>
      </c>
    </row>
    <row r="8984" spans="1:3" x14ac:dyDescent="0.25">
      <c r="A8984">
        <f t="shared" si="140"/>
        <v>8520060</v>
      </c>
      <c r="B8984" t="s">
        <v>6012</v>
      </c>
      <c r="C8984" t="s">
        <v>14956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14761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14955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14761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14761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14709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14955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14955</v>
      </c>
    </row>
    <row r="9011" spans="1:3" x14ac:dyDescent="0.25">
      <c r="A9011">
        <f t="shared" si="140"/>
        <v>8520106</v>
      </c>
      <c r="B9011" t="s">
        <v>6044</v>
      </c>
      <c r="C9011" t="s">
        <v>14956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14761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14955</v>
      </c>
    </row>
    <row r="9019" spans="1:3" x14ac:dyDescent="0.25">
      <c r="A9019">
        <f t="shared" si="140"/>
        <v>8520115</v>
      </c>
      <c r="B9019" t="s">
        <v>6053</v>
      </c>
      <c r="C9019" t="s">
        <v>14956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14761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14710</v>
      </c>
    </row>
    <row r="9032" spans="1:3" x14ac:dyDescent="0.25">
      <c r="A9032">
        <f t="shared" si="141"/>
        <v>8520124</v>
      </c>
      <c r="B9032" t="s">
        <v>6073</v>
      </c>
      <c r="C9032" t="s">
        <v>14761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14955</v>
      </c>
    </row>
    <row r="9041" spans="1:3" x14ac:dyDescent="0.25">
      <c r="A9041">
        <f t="shared" si="141"/>
        <v>8520130</v>
      </c>
      <c r="B9041" t="s">
        <v>6083</v>
      </c>
      <c r="C9041" t="s">
        <v>14956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14761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14955</v>
      </c>
    </row>
    <row r="9053" spans="1:3" x14ac:dyDescent="0.25">
      <c r="A9053">
        <f t="shared" si="141"/>
        <v>8520155</v>
      </c>
      <c r="B9053" t="s">
        <v>6097</v>
      </c>
      <c r="C9053" t="s">
        <v>14956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14711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14955</v>
      </c>
    </row>
    <row r="9060" spans="1:3" x14ac:dyDescent="0.25">
      <c r="A9060">
        <f t="shared" si="141"/>
        <v>8520175</v>
      </c>
      <c r="B9060" t="s">
        <v>6105</v>
      </c>
      <c r="C9060" t="s">
        <v>14956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14959</v>
      </c>
    </row>
    <row r="9065" spans="1:3" x14ac:dyDescent="0.25">
      <c r="A9065">
        <f t="shared" si="141"/>
        <v>8520220</v>
      </c>
      <c r="B9065" t="s">
        <v>6111</v>
      </c>
      <c r="C9065" t="s">
        <v>14960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14761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14761</v>
      </c>
    </row>
    <row r="9074" spans="1:3" x14ac:dyDescent="0.25">
      <c r="A9074">
        <f t="shared" si="141"/>
        <v>8520265</v>
      </c>
      <c r="B9074" t="s">
        <v>6120</v>
      </c>
      <c r="C9074" t="s">
        <v>14955</v>
      </c>
    </row>
    <row r="9075" spans="1:3" x14ac:dyDescent="0.25">
      <c r="A9075">
        <f t="shared" si="141"/>
        <v>8520265</v>
      </c>
      <c r="B9075" t="s">
        <v>6120</v>
      </c>
      <c r="C9075" t="s">
        <v>14956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14955</v>
      </c>
    </row>
    <row r="9079" spans="1:3" x14ac:dyDescent="0.25">
      <c r="A9079">
        <f t="shared" si="141"/>
        <v>8520271</v>
      </c>
      <c r="B9079" t="s">
        <v>6123</v>
      </c>
      <c r="C9079" t="s">
        <v>14956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14955</v>
      </c>
    </row>
    <row r="9084" spans="1:3" x14ac:dyDescent="0.25">
      <c r="A9084">
        <f t="shared" si="141"/>
        <v>8520290</v>
      </c>
      <c r="B9084" t="s">
        <v>6128</v>
      </c>
      <c r="C9084" t="s">
        <v>14956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14955</v>
      </c>
    </row>
    <row r="9092" spans="1:3" x14ac:dyDescent="0.25">
      <c r="A9092">
        <f t="shared" si="142"/>
        <v>8520407</v>
      </c>
      <c r="B9092" t="s">
        <v>6139</v>
      </c>
      <c r="C9092" t="s">
        <v>14956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14712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14713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14761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14955</v>
      </c>
    </row>
    <row r="9114" spans="1:3" x14ac:dyDescent="0.25">
      <c r="A9114">
        <f t="shared" si="142"/>
        <v>8520546</v>
      </c>
      <c r="B9114" t="s">
        <v>6168</v>
      </c>
      <c r="C9114" t="s">
        <v>14956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14955</v>
      </c>
    </row>
    <row r="9118" spans="1:3" x14ac:dyDescent="0.25">
      <c r="A9118">
        <f t="shared" si="142"/>
        <v>8520556</v>
      </c>
      <c r="B9118" t="s">
        <v>6171</v>
      </c>
      <c r="C9118" t="s">
        <v>14956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14761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14955</v>
      </c>
    </row>
    <row r="9126" spans="1:3" x14ac:dyDescent="0.25">
      <c r="A9126">
        <f t="shared" si="142"/>
        <v>8520625</v>
      </c>
      <c r="B9126" t="s">
        <v>6180</v>
      </c>
      <c r="C9126" t="s">
        <v>14956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14761</v>
      </c>
    </row>
    <row r="9129" spans="1:3" x14ac:dyDescent="0.25">
      <c r="A9129">
        <f t="shared" si="142"/>
        <v>8520626</v>
      </c>
      <c r="B9129" t="s">
        <v>6182</v>
      </c>
      <c r="C9129" t="s">
        <v>14955</v>
      </c>
    </row>
    <row r="9130" spans="1:3" x14ac:dyDescent="0.25">
      <c r="A9130">
        <f t="shared" si="142"/>
        <v>8520626</v>
      </c>
      <c r="B9130" t="s">
        <v>6182</v>
      </c>
      <c r="C9130" t="s">
        <v>14956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14761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14761</v>
      </c>
    </row>
    <row r="9136" spans="1:3" x14ac:dyDescent="0.25">
      <c r="A9136">
        <f t="shared" si="142"/>
        <v>8520710</v>
      </c>
      <c r="B9136" t="s">
        <v>6190</v>
      </c>
      <c r="C9136" t="s">
        <v>14714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14761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14761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14761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14761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14761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14715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14761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14716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14961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14761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14761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14761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14761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14761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14717</v>
      </c>
      <c r="C9191" t="s">
        <v>14718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14955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14864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14864</v>
      </c>
    </row>
    <row r="9203" spans="1:3" x14ac:dyDescent="0.25">
      <c r="A9203">
        <f t="shared" si="143"/>
        <v>8521002</v>
      </c>
      <c r="B9203" t="s">
        <v>6268</v>
      </c>
      <c r="C9203" t="s">
        <v>14962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14761</v>
      </c>
    </row>
    <row r="9207" spans="1:3" x14ac:dyDescent="0.25">
      <c r="A9207">
        <f t="shared" si="143"/>
        <v>8521014</v>
      </c>
      <c r="B9207" t="s">
        <v>6272</v>
      </c>
      <c r="C9207" t="s">
        <v>14864</v>
      </c>
    </row>
    <row r="9208" spans="1:3" x14ac:dyDescent="0.25">
      <c r="A9208">
        <f t="shared" si="143"/>
        <v>8521014</v>
      </c>
      <c r="B9208" t="s">
        <v>6272</v>
      </c>
      <c r="C9208" t="s">
        <v>14962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14963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14864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14719</v>
      </c>
    </row>
    <row r="9216" spans="1:3" x14ac:dyDescent="0.25">
      <c r="A9216">
        <f t="shared" si="143"/>
        <v>8521024</v>
      </c>
      <c r="B9216" t="s">
        <v>6280</v>
      </c>
      <c r="C9216" t="s">
        <v>14864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14864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14864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14864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14864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14864</v>
      </c>
    </row>
    <row r="9234" spans="1:3" x14ac:dyDescent="0.25">
      <c r="A9234">
        <f t="shared" si="144"/>
        <v>8521036</v>
      </c>
      <c r="B9234" t="s">
        <v>6298</v>
      </c>
      <c r="C9234" t="s">
        <v>14962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14720</v>
      </c>
    </row>
    <row r="9237" spans="1:3" x14ac:dyDescent="0.25">
      <c r="A9237">
        <f t="shared" si="144"/>
        <v>8521040</v>
      </c>
      <c r="B9237" t="s">
        <v>6301</v>
      </c>
      <c r="C9237" t="s">
        <v>14864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14864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14864</v>
      </c>
    </row>
    <row r="9244" spans="1:3" x14ac:dyDescent="0.25">
      <c r="A9244">
        <f t="shared" si="144"/>
        <v>8521043</v>
      </c>
      <c r="B9244" t="s">
        <v>6306</v>
      </c>
      <c r="C9244" t="s">
        <v>14962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14793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14864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14964</v>
      </c>
    </row>
    <row r="9253" spans="1:3" x14ac:dyDescent="0.25">
      <c r="A9253">
        <f t="shared" si="144"/>
        <v>8521050</v>
      </c>
      <c r="B9253" t="s">
        <v>6314</v>
      </c>
      <c r="C9253" t="s">
        <v>14965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14864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14864</v>
      </c>
    </row>
    <row r="9261" spans="1:3" x14ac:dyDescent="0.25">
      <c r="A9261">
        <f t="shared" si="144"/>
        <v>8521062</v>
      </c>
      <c r="B9261" t="s">
        <v>6322</v>
      </c>
      <c r="C9261" t="s">
        <v>14962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14761</v>
      </c>
    </row>
    <row r="9264" spans="1:3" x14ac:dyDescent="0.25">
      <c r="A9264">
        <f t="shared" si="144"/>
        <v>8521063</v>
      </c>
      <c r="B9264" t="s">
        <v>6324</v>
      </c>
      <c r="C9264" t="s">
        <v>14864</v>
      </c>
    </row>
    <row r="9265" spans="1:3" x14ac:dyDescent="0.25">
      <c r="A9265">
        <f t="shared" si="144"/>
        <v>8521063</v>
      </c>
      <c r="B9265" t="s">
        <v>6324</v>
      </c>
      <c r="C9265" t="s">
        <v>14962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14761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14761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14811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14962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14761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14761</v>
      </c>
    </row>
    <row r="9287" spans="1:3" x14ac:dyDescent="0.25">
      <c r="A9287">
        <f t="shared" si="145"/>
        <v>8521303</v>
      </c>
      <c r="B9287" t="s">
        <v>6352</v>
      </c>
      <c r="C9287" t="s">
        <v>14721</v>
      </c>
    </row>
    <row r="9288" spans="1:3" x14ac:dyDescent="0.25">
      <c r="A9288">
        <f t="shared" si="145"/>
        <v>8521303</v>
      </c>
      <c r="B9288" t="s">
        <v>6352</v>
      </c>
      <c r="C9288" t="s">
        <v>14761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14761</v>
      </c>
    </row>
    <row r="9293" spans="1:3" x14ac:dyDescent="0.25">
      <c r="A9293">
        <f t="shared" si="145"/>
        <v>8521307</v>
      </c>
      <c r="B9293" t="s">
        <v>14722</v>
      </c>
      <c r="C9293" t="s">
        <v>14723</v>
      </c>
    </row>
    <row r="9294" spans="1:3" x14ac:dyDescent="0.25">
      <c r="A9294">
        <f t="shared" si="145"/>
        <v>8521307</v>
      </c>
      <c r="B9294" t="s">
        <v>14722</v>
      </c>
      <c r="C9294" t="s">
        <v>14761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14864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14911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14864</v>
      </c>
    </row>
    <row r="9315" spans="1:3" x14ac:dyDescent="0.25">
      <c r="A9315">
        <f t="shared" si="145"/>
        <v>8521593</v>
      </c>
      <c r="B9315" t="s">
        <v>6386</v>
      </c>
      <c r="C9315" t="s">
        <v>14962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14864</v>
      </c>
    </row>
    <row r="9319" spans="1:3" x14ac:dyDescent="0.25">
      <c r="A9319">
        <f t="shared" si="145"/>
        <v>8521674</v>
      </c>
      <c r="B9319" t="s">
        <v>6390</v>
      </c>
      <c r="C9319" t="s">
        <v>14962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14921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14966</v>
      </c>
    </row>
    <row r="9327" spans="1:3" x14ac:dyDescent="0.25">
      <c r="A9327">
        <f t="shared" si="145"/>
        <v>8522011</v>
      </c>
      <c r="B9327" t="s">
        <v>6398</v>
      </c>
      <c r="C9327" t="s">
        <v>14967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14761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14761</v>
      </c>
    </row>
    <row r="9332" spans="1:3" x14ac:dyDescent="0.25">
      <c r="A9332">
        <f t="shared" si="145"/>
        <v>8522030</v>
      </c>
      <c r="B9332" t="s">
        <v>6402</v>
      </c>
      <c r="C9332" t="s">
        <v>14966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14761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14761</v>
      </c>
    </row>
    <row r="9337" spans="1:3" x14ac:dyDescent="0.25">
      <c r="A9337">
        <f t="shared" si="145"/>
        <v>8522999</v>
      </c>
      <c r="B9337" t="s">
        <v>6406</v>
      </c>
      <c r="C9337" t="s">
        <v>14968</v>
      </c>
    </row>
    <row r="9338" spans="1:3" x14ac:dyDescent="0.25">
      <c r="A9338">
        <f t="shared" si="145"/>
        <v>8522999</v>
      </c>
      <c r="B9338" t="s">
        <v>6406</v>
      </c>
      <c r="C9338" t="s">
        <v>14966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14761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14797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14797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14761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14840</v>
      </c>
    </row>
    <row r="9374" spans="1:3" x14ac:dyDescent="0.25">
      <c r="A9374">
        <f t="shared" si="146"/>
        <v>8612080</v>
      </c>
      <c r="B9374" t="s">
        <v>6455</v>
      </c>
      <c r="C9374" t="s">
        <v>14969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14842</v>
      </c>
    </row>
    <row r="9377" spans="1:3" x14ac:dyDescent="0.25">
      <c r="A9377">
        <f t="shared" si="146"/>
        <v>8612093</v>
      </c>
      <c r="B9377" t="s">
        <v>6457</v>
      </c>
      <c r="C9377" t="s">
        <v>14952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14761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14970</v>
      </c>
    </row>
    <row r="9390" spans="1:3" x14ac:dyDescent="0.25">
      <c r="A9390">
        <f t="shared" si="146"/>
        <v>8612416</v>
      </c>
      <c r="B9390" t="s">
        <v>6472</v>
      </c>
      <c r="C9390" t="s">
        <v>14788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14761</v>
      </c>
    </row>
    <row r="9393" spans="1:3" x14ac:dyDescent="0.25">
      <c r="A9393">
        <f t="shared" si="146"/>
        <v>8612418</v>
      </c>
      <c r="B9393" t="s">
        <v>6474</v>
      </c>
      <c r="C9393" t="s">
        <v>14970</v>
      </c>
    </row>
    <row r="9394" spans="1:3" x14ac:dyDescent="0.25">
      <c r="A9394">
        <f t="shared" si="146"/>
        <v>8612418</v>
      </c>
      <c r="B9394" t="s">
        <v>6474</v>
      </c>
      <c r="C9394" t="s">
        <v>14788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14970</v>
      </c>
    </row>
    <row r="9398" spans="1:3" x14ac:dyDescent="0.25">
      <c r="A9398">
        <f t="shared" si="146"/>
        <v>8612420</v>
      </c>
      <c r="B9398" t="s">
        <v>6477</v>
      </c>
      <c r="C9398" t="s">
        <v>14788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14761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14729</v>
      </c>
    </row>
    <row r="9413" spans="1:3" x14ac:dyDescent="0.25">
      <c r="A9413">
        <f t="shared" si="147"/>
        <v>8614015</v>
      </c>
      <c r="B9413" t="s">
        <v>6501</v>
      </c>
      <c r="C9413" t="s">
        <v>14797</v>
      </c>
    </row>
    <row r="9414" spans="1:3" x14ac:dyDescent="0.25">
      <c r="A9414">
        <f t="shared" si="147"/>
        <v>8614016</v>
      </c>
      <c r="B9414" t="s">
        <v>14730</v>
      </c>
      <c r="C9414" t="s">
        <v>14731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14955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14793</v>
      </c>
    </row>
    <row r="9421" spans="1:3" x14ac:dyDescent="0.25">
      <c r="A9421">
        <f t="shared" si="147"/>
        <v>8686003</v>
      </c>
      <c r="B9421" t="s">
        <v>6507</v>
      </c>
      <c r="C9421" t="s">
        <v>14971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14793</v>
      </c>
    </row>
    <row r="9427" spans="1:3" x14ac:dyDescent="0.25">
      <c r="A9427">
        <f t="shared" si="147"/>
        <v>8686070</v>
      </c>
      <c r="B9427" t="s">
        <v>6514</v>
      </c>
      <c r="C9427" t="s">
        <v>14971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14793</v>
      </c>
    </row>
    <row r="9430" spans="1:3" x14ac:dyDescent="0.25">
      <c r="A9430">
        <f t="shared" si="147"/>
        <v>8687002</v>
      </c>
      <c r="B9430" t="s">
        <v>6516</v>
      </c>
      <c r="C9430" t="s">
        <v>14971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14847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14797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14732</v>
      </c>
    </row>
    <row r="9439" spans="1:3" x14ac:dyDescent="0.25">
      <c r="A9439">
        <f t="shared" si="147"/>
        <v>8692010</v>
      </c>
      <c r="B9439" t="s">
        <v>6525</v>
      </c>
      <c r="C9439" t="s">
        <v>14797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14797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14797</v>
      </c>
    </row>
    <row r="9445" spans="1:3" x14ac:dyDescent="0.25">
      <c r="A9445">
        <f t="shared" si="147"/>
        <v>8692150</v>
      </c>
      <c r="B9445" t="s">
        <v>6530</v>
      </c>
      <c r="C9445" t="s">
        <v>14920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14797</v>
      </c>
    </row>
    <row r="9448" spans="1:3" x14ac:dyDescent="0.25">
      <c r="A9448">
        <f t="shared" si="147"/>
        <v>8692210</v>
      </c>
      <c r="B9448" t="s">
        <v>6532</v>
      </c>
      <c r="C9448" t="s">
        <v>14920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14734</v>
      </c>
    </row>
    <row r="9451" spans="1:3" x14ac:dyDescent="0.25">
      <c r="A9451">
        <f t="shared" si="147"/>
        <v>8692230</v>
      </c>
      <c r="B9451" t="s">
        <v>6535</v>
      </c>
      <c r="C9451" t="s">
        <v>14811</v>
      </c>
    </row>
    <row r="9452" spans="1:3" x14ac:dyDescent="0.25">
      <c r="A9452">
        <f t="shared" si="147"/>
        <v>8692231</v>
      </c>
      <c r="B9452" t="s">
        <v>14735</v>
      </c>
      <c r="C9452" t="s">
        <v>14736</v>
      </c>
    </row>
    <row r="9453" spans="1:3" x14ac:dyDescent="0.25">
      <c r="A9453">
        <f t="shared" si="147"/>
        <v>8692232</v>
      </c>
      <c r="B9453" t="s">
        <v>14737</v>
      </c>
      <c r="C9453" t="s">
        <v>14738</v>
      </c>
    </row>
    <row r="9454" spans="1:3" x14ac:dyDescent="0.25">
      <c r="A9454">
        <f t="shared" si="147"/>
        <v>8692233</v>
      </c>
      <c r="B9454" t="s">
        <v>14739</v>
      </c>
      <c r="C9454" t="s">
        <v>14740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14797</v>
      </c>
    </row>
    <row r="9457" spans="1:3" x14ac:dyDescent="0.25">
      <c r="A9457">
        <f t="shared" si="147"/>
        <v>8692240</v>
      </c>
      <c r="B9457" t="s">
        <v>6536</v>
      </c>
      <c r="C9457" t="s">
        <v>14920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14797</v>
      </c>
    </row>
    <row r="9461" spans="1:3" x14ac:dyDescent="0.25">
      <c r="A9461">
        <f t="shared" si="147"/>
        <v>8692501</v>
      </c>
      <c r="B9461" t="s">
        <v>6539</v>
      </c>
      <c r="C9461" t="s">
        <v>14920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14921</v>
      </c>
    </row>
    <row r="9465" spans="1:3" x14ac:dyDescent="0.25">
      <c r="A9465">
        <f t="shared" si="147"/>
        <v>8692502</v>
      </c>
      <c r="B9465" t="s">
        <v>6542</v>
      </c>
      <c r="C9465" t="s">
        <v>14972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14921</v>
      </c>
    </row>
    <row r="9469" spans="1:3" x14ac:dyDescent="0.25">
      <c r="A9469">
        <f t="shared" si="147"/>
        <v>8692503</v>
      </c>
      <c r="B9469" t="s">
        <v>6545</v>
      </c>
      <c r="C9469" t="s">
        <v>14973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14921</v>
      </c>
    </row>
    <row r="9472" spans="1:3" x14ac:dyDescent="0.25">
      <c r="A9472">
        <f t="shared" si="147"/>
        <v>8692504</v>
      </c>
      <c r="B9472" t="s">
        <v>6547</v>
      </c>
      <c r="C9472" t="s">
        <v>14973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14921</v>
      </c>
    </row>
    <row r="9475" spans="1:3" x14ac:dyDescent="0.25">
      <c r="A9475">
        <f t="shared" si="148"/>
        <v>8692505</v>
      </c>
      <c r="B9475" t="s">
        <v>6549</v>
      </c>
      <c r="C9475" t="s">
        <v>14973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14797</v>
      </c>
    </row>
    <row r="9478" spans="1:3" x14ac:dyDescent="0.25">
      <c r="A9478">
        <f t="shared" si="148"/>
        <v>8692506</v>
      </c>
      <c r="B9478" t="s">
        <v>6551</v>
      </c>
      <c r="C9478" t="s">
        <v>14822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14797</v>
      </c>
    </row>
    <row r="9482" spans="1:3" x14ac:dyDescent="0.25">
      <c r="A9482">
        <f t="shared" si="148"/>
        <v>8692507</v>
      </c>
      <c r="B9482" t="s">
        <v>6554</v>
      </c>
      <c r="C9482" t="s">
        <v>14822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14797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14797</v>
      </c>
    </row>
    <row r="9489" spans="1:3" x14ac:dyDescent="0.25">
      <c r="A9489">
        <f t="shared" si="148"/>
        <v>8692851</v>
      </c>
      <c r="B9489" t="s">
        <v>6559</v>
      </c>
      <c r="C9489" t="s">
        <v>14920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14811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14811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14797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14761</v>
      </c>
    </row>
    <row r="9504" spans="1:3" x14ac:dyDescent="0.25">
      <c r="A9504">
        <f t="shared" si="148"/>
        <v>8701000</v>
      </c>
      <c r="B9504" t="s">
        <v>6572</v>
      </c>
      <c r="C9504" t="s">
        <v>14974</v>
      </c>
    </row>
    <row r="9505" spans="1:3" x14ac:dyDescent="0.25">
      <c r="A9505">
        <f t="shared" si="148"/>
        <v>8701000</v>
      </c>
      <c r="B9505" t="s">
        <v>6572</v>
      </c>
      <c r="C9505" t="s">
        <v>14975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14974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14778</v>
      </c>
    </row>
    <row r="9510" spans="1:3" x14ac:dyDescent="0.25">
      <c r="A9510">
        <f t="shared" si="148"/>
        <v>8701001</v>
      </c>
      <c r="B9510" t="s">
        <v>6576</v>
      </c>
      <c r="C9510" t="s">
        <v>14869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14761</v>
      </c>
    </row>
    <row r="9516" spans="1:3" x14ac:dyDescent="0.25">
      <c r="A9516">
        <f t="shared" si="148"/>
        <v>8701005</v>
      </c>
      <c r="B9516" t="s">
        <v>6583</v>
      </c>
      <c r="C9516" t="s">
        <v>14974</v>
      </c>
    </row>
    <row r="9517" spans="1:3" x14ac:dyDescent="0.25">
      <c r="A9517">
        <f t="shared" si="148"/>
        <v>8701005</v>
      </c>
      <c r="B9517" t="s">
        <v>6583</v>
      </c>
      <c r="C9517" t="s">
        <v>14975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14761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14976</v>
      </c>
    </row>
    <row r="9523" spans="1:3" x14ac:dyDescent="0.25">
      <c r="A9523">
        <f t="shared" si="148"/>
        <v>8701032</v>
      </c>
      <c r="B9523" t="s">
        <v>6588</v>
      </c>
      <c r="C9523" t="s">
        <v>14977</v>
      </c>
    </row>
    <row r="9524" spans="1:3" x14ac:dyDescent="0.25">
      <c r="A9524">
        <f t="shared" si="148"/>
        <v>8701032</v>
      </c>
      <c r="B9524" t="s">
        <v>6588</v>
      </c>
      <c r="C9524" t="s">
        <v>14978</v>
      </c>
    </row>
    <row r="9525" spans="1:3" x14ac:dyDescent="0.25">
      <c r="A9525">
        <f t="shared" si="148"/>
        <v>8701032</v>
      </c>
      <c r="B9525" t="s">
        <v>6588</v>
      </c>
      <c r="C9525" t="s">
        <v>14979</v>
      </c>
    </row>
    <row r="9526" spans="1:3" x14ac:dyDescent="0.25">
      <c r="A9526">
        <f t="shared" si="148"/>
        <v>8701032</v>
      </c>
      <c r="B9526" t="s">
        <v>6588</v>
      </c>
      <c r="C9526" t="s">
        <v>14974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14980</v>
      </c>
    </row>
    <row r="9529" spans="1:3" x14ac:dyDescent="0.25">
      <c r="A9529">
        <f t="shared" si="148"/>
        <v>8701033</v>
      </c>
      <c r="B9529" t="s">
        <v>6590</v>
      </c>
      <c r="C9529" t="s">
        <v>14977</v>
      </c>
    </row>
    <row r="9530" spans="1:3" x14ac:dyDescent="0.25">
      <c r="A9530">
        <f t="shared" si="148"/>
        <v>8701033</v>
      </c>
      <c r="B9530" t="s">
        <v>6590</v>
      </c>
      <c r="C9530" t="s">
        <v>14978</v>
      </c>
    </row>
    <row r="9531" spans="1:3" x14ac:dyDescent="0.25">
      <c r="A9531">
        <f t="shared" si="148"/>
        <v>8701033</v>
      </c>
      <c r="B9531" t="s">
        <v>6590</v>
      </c>
      <c r="C9531" t="s">
        <v>14981</v>
      </c>
    </row>
    <row r="9532" spans="1:3" x14ac:dyDescent="0.25">
      <c r="A9532">
        <f t="shared" si="148"/>
        <v>8701033</v>
      </c>
      <c r="B9532" t="s">
        <v>6590</v>
      </c>
      <c r="C9532" t="s">
        <v>14979</v>
      </c>
    </row>
    <row r="9533" spans="1:3" x14ac:dyDescent="0.25">
      <c r="A9533">
        <f t="shared" si="148"/>
        <v>8701033</v>
      </c>
      <c r="B9533" t="s">
        <v>6590</v>
      </c>
      <c r="C9533" t="s">
        <v>14974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14842</v>
      </c>
    </row>
    <row r="9536" spans="1:3" x14ac:dyDescent="0.25">
      <c r="A9536">
        <f t="shared" si="148"/>
        <v>8701038</v>
      </c>
      <c r="B9536" t="s">
        <v>6592</v>
      </c>
      <c r="C9536" t="s">
        <v>14840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14974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14933</v>
      </c>
    </row>
    <row r="9543" spans="1:3" x14ac:dyDescent="0.25">
      <c r="A9543">
        <f t="shared" si="149"/>
        <v>8701092</v>
      </c>
      <c r="B9543" t="s">
        <v>6599</v>
      </c>
      <c r="C9543" t="s">
        <v>14935</v>
      </c>
    </row>
    <row r="9544" spans="1:3" x14ac:dyDescent="0.25">
      <c r="A9544">
        <f t="shared" si="149"/>
        <v>8701092</v>
      </c>
      <c r="B9544" t="s">
        <v>6599</v>
      </c>
      <c r="C9544" t="s">
        <v>14982</v>
      </c>
    </row>
    <row r="9545" spans="1:3" x14ac:dyDescent="0.25">
      <c r="A9545">
        <f t="shared" si="149"/>
        <v>8701092</v>
      </c>
      <c r="B9545" t="s">
        <v>6599</v>
      </c>
      <c r="C9545" t="s">
        <v>14983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14935</v>
      </c>
    </row>
    <row r="9548" spans="1:3" x14ac:dyDescent="0.25">
      <c r="A9548">
        <f t="shared" si="149"/>
        <v>8701093</v>
      </c>
      <c r="B9548" t="s">
        <v>6601</v>
      </c>
      <c r="C9548" t="s">
        <v>14934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14984</v>
      </c>
    </row>
    <row r="9552" spans="1:3" x14ac:dyDescent="0.25">
      <c r="A9552">
        <f t="shared" si="149"/>
        <v>8701100</v>
      </c>
      <c r="B9552" t="s">
        <v>6604</v>
      </c>
      <c r="C9552" t="s">
        <v>14985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14974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14761</v>
      </c>
    </row>
    <row r="9560" spans="1:3" x14ac:dyDescent="0.25">
      <c r="A9560">
        <f t="shared" si="149"/>
        <v>8701200</v>
      </c>
      <c r="B9560" t="s">
        <v>6613</v>
      </c>
      <c r="C9560" t="s">
        <v>14986</v>
      </c>
    </row>
    <row r="9561" spans="1:3" x14ac:dyDescent="0.25">
      <c r="A9561">
        <f t="shared" si="149"/>
        <v>8701200</v>
      </c>
      <c r="B9561" t="s">
        <v>6613</v>
      </c>
      <c r="C9561" t="s">
        <v>14974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14761</v>
      </c>
    </row>
    <row r="9564" spans="1:3" x14ac:dyDescent="0.25">
      <c r="A9564">
        <f t="shared" si="149"/>
        <v>8701214</v>
      </c>
      <c r="B9564" t="s">
        <v>6615</v>
      </c>
      <c r="C9564" t="s">
        <v>14979</v>
      </c>
    </row>
    <row r="9565" spans="1:3" x14ac:dyDescent="0.25">
      <c r="A9565">
        <f t="shared" si="149"/>
        <v>8701214</v>
      </c>
      <c r="B9565" t="s">
        <v>6615</v>
      </c>
      <c r="C9565" t="s">
        <v>14974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14974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14761</v>
      </c>
    </row>
    <row r="9574" spans="1:3" x14ac:dyDescent="0.25">
      <c r="A9574">
        <f t="shared" si="149"/>
        <v>8701350</v>
      </c>
      <c r="B9574" t="s">
        <v>6625</v>
      </c>
      <c r="C9574" t="s">
        <v>14974</v>
      </c>
    </row>
    <row r="9575" spans="1:3" x14ac:dyDescent="0.25">
      <c r="A9575">
        <f t="shared" si="149"/>
        <v>8701350</v>
      </c>
      <c r="B9575" t="s">
        <v>6625</v>
      </c>
      <c r="C9575" t="s">
        <v>14975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14761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14761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14761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14761</v>
      </c>
    </row>
    <row r="9588" spans="1:3" x14ac:dyDescent="0.25">
      <c r="A9588">
        <f t="shared" si="149"/>
        <v>8701541</v>
      </c>
      <c r="B9588" t="s">
        <v>6639</v>
      </c>
      <c r="C9588" t="s">
        <v>14987</v>
      </c>
    </row>
    <row r="9589" spans="1:3" x14ac:dyDescent="0.25">
      <c r="A9589">
        <f t="shared" si="149"/>
        <v>8701541</v>
      </c>
      <c r="B9589" t="s">
        <v>6639</v>
      </c>
      <c r="C9589" t="s">
        <v>14974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14761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14761</v>
      </c>
    </row>
    <row r="9597" spans="1:3" x14ac:dyDescent="0.25">
      <c r="A9597">
        <f t="shared" si="149"/>
        <v>8701576</v>
      </c>
      <c r="B9597" t="s">
        <v>6650</v>
      </c>
      <c r="C9597" t="s">
        <v>14741</v>
      </c>
    </row>
    <row r="9598" spans="1:3" x14ac:dyDescent="0.25">
      <c r="A9598">
        <f t="shared" si="149"/>
        <v>8701576</v>
      </c>
      <c r="B9598" t="s">
        <v>6650</v>
      </c>
      <c r="C9598" t="s">
        <v>14939</v>
      </c>
    </row>
    <row r="9599" spans="1:3" x14ac:dyDescent="0.25">
      <c r="A9599">
        <f t="shared" si="149"/>
        <v>8701576</v>
      </c>
      <c r="B9599" t="s">
        <v>6650</v>
      </c>
      <c r="C9599" t="s">
        <v>14842</v>
      </c>
    </row>
    <row r="9600" spans="1:3" x14ac:dyDescent="0.25">
      <c r="A9600">
        <f t="shared" si="149"/>
        <v>8701576</v>
      </c>
      <c r="B9600" t="s">
        <v>6650</v>
      </c>
      <c r="C9600" t="s">
        <v>14840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14761</v>
      </c>
    </row>
    <row r="9603" spans="1:3" x14ac:dyDescent="0.25">
      <c r="A9603">
        <f t="shared" si="150"/>
        <v>8701652</v>
      </c>
      <c r="B9603" t="s">
        <v>6651</v>
      </c>
      <c r="C9603" t="s">
        <v>14988</v>
      </c>
    </row>
    <row r="9604" spans="1:3" x14ac:dyDescent="0.25">
      <c r="A9604">
        <f t="shared" si="150"/>
        <v>8701652</v>
      </c>
      <c r="B9604" t="s">
        <v>6651</v>
      </c>
      <c r="C9604" t="s">
        <v>14965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14761</v>
      </c>
    </row>
    <row r="9607" spans="1:3" x14ac:dyDescent="0.25">
      <c r="A9607">
        <f t="shared" si="150"/>
        <v>8701653</v>
      </c>
      <c r="B9607" t="s">
        <v>6653</v>
      </c>
      <c r="C9607" t="s">
        <v>14988</v>
      </c>
    </row>
    <row r="9608" spans="1:3" x14ac:dyDescent="0.25">
      <c r="A9608">
        <f t="shared" si="150"/>
        <v>8701653</v>
      </c>
      <c r="B9608" t="s">
        <v>6653</v>
      </c>
      <c r="C9608" t="s">
        <v>14965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14761</v>
      </c>
    </row>
    <row r="9612" spans="1:3" x14ac:dyDescent="0.25">
      <c r="A9612">
        <f t="shared" si="150"/>
        <v>8701655</v>
      </c>
      <c r="B9612" t="s">
        <v>6657</v>
      </c>
      <c r="C9612" t="s">
        <v>14979</v>
      </c>
    </row>
    <row r="9613" spans="1:3" x14ac:dyDescent="0.25">
      <c r="A9613">
        <f t="shared" si="150"/>
        <v>8701655</v>
      </c>
      <c r="B9613" t="s">
        <v>6657</v>
      </c>
      <c r="C9613" t="s">
        <v>14974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14761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14989</v>
      </c>
    </row>
    <row r="9620" spans="1:3" x14ac:dyDescent="0.25">
      <c r="A9620">
        <f t="shared" si="150"/>
        <v>8701735</v>
      </c>
      <c r="B9620" t="s">
        <v>6666</v>
      </c>
      <c r="C9620" t="s">
        <v>14990</v>
      </c>
    </row>
    <row r="9621" spans="1:3" x14ac:dyDescent="0.25">
      <c r="A9621">
        <f t="shared" si="150"/>
        <v>8701735</v>
      </c>
      <c r="B9621" t="s">
        <v>6666</v>
      </c>
      <c r="C9621" t="s">
        <v>14976</v>
      </c>
    </row>
    <row r="9622" spans="1:3" x14ac:dyDescent="0.25">
      <c r="A9622">
        <f t="shared" si="150"/>
        <v>8701735</v>
      </c>
      <c r="B9622" t="s">
        <v>6666</v>
      </c>
      <c r="C9622" t="s">
        <v>14991</v>
      </c>
    </row>
    <row r="9623" spans="1:3" x14ac:dyDescent="0.25">
      <c r="A9623">
        <f t="shared" si="150"/>
        <v>8701735</v>
      </c>
      <c r="B9623" t="s">
        <v>6666</v>
      </c>
      <c r="C9623" t="s">
        <v>14978</v>
      </c>
    </row>
    <row r="9624" spans="1:3" x14ac:dyDescent="0.25">
      <c r="A9624">
        <f t="shared" si="150"/>
        <v>8701735</v>
      </c>
      <c r="B9624" t="s">
        <v>6666</v>
      </c>
      <c r="C9624" t="s">
        <v>14981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14974</v>
      </c>
    </row>
    <row r="9627" spans="1:3" x14ac:dyDescent="0.25">
      <c r="A9627">
        <f t="shared" si="150"/>
        <v>870173500</v>
      </c>
      <c r="B9627" t="s">
        <v>6668</v>
      </c>
      <c r="C9627" t="s">
        <v>14975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14974</v>
      </c>
    </row>
    <row r="9631" spans="1:3" x14ac:dyDescent="0.25">
      <c r="A9631">
        <f t="shared" si="150"/>
        <v>870173511</v>
      </c>
      <c r="B9631" t="s">
        <v>6672</v>
      </c>
      <c r="C9631" t="s">
        <v>14975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14974</v>
      </c>
    </row>
    <row r="9634" spans="1:3" x14ac:dyDescent="0.25">
      <c r="A9634">
        <f t="shared" si="150"/>
        <v>870173512</v>
      </c>
      <c r="B9634" t="s">
        <v>6674</v>
      </c>
      <c r="C9634" t="s">
        <v>14975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14974</v>
      </c>
    </row>
    <row r="9637" spans="1:3" x14ac:dyDescent="0.25">
      <c r="A9637">
        <f t="shared" si="150"/>
        <v>870173515</v>
      </c>
      <c r="B9637" t="s">
        <v>6676</v>
      </c>
      <c r="C9637" t="s">
        <v>14975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14974</v>
      </c>
    </row>
    <row r="9640" spans="1:3" x14ac:dyDescent="0.25">
      <c r="A9640">
        <f t="shared" si="150"/>
        <v>870173580</v>
      </c>
      <c r="B9640" t="s">
        <v>6678</v>
      </c>
      <c r="C9640" t="s">
        <v>14975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14974</v>
      </c>
    </row>
    <row r="9643" spans="1:3" x14ac:dyDescent="0.25">
      <c r="A9643">
        <f t="shared" si="150"/>
        <v>870173585</v>
      </c>
      <c r="B9643" t="s">
        <v>6680</v>
      </c>
      <c r="C9643" t="s">
        <v>14975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14974</v>
      </c>
    </row>
    <row r="9646" spans="1:3" x14ac:dyDescent="0.25">
      <c r="A9646">
        <f t="shared" si="150"/>
        <v>870173590</v>
      </c>
      <c r="B9646" t="s">
        <v>6682</v>
      </c>
      <c r="C9646" t="s">
        <v>14975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14974</v>
      </c>
    </row>
    <row r="9652" spans="1:3" x14ac:dyDescent="0.25">
      <c r="A9652">
        <f t="shared" si="150"/>
        <v>8701741</v>
      </c>
      <c r="B9652" t="s">
        <v>6689</v>
      </c>
      <c r="C9652" t="s">
        <v>14975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14761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14986</v>
      </c>
    </row>
    <row r="9658" spans="1:3" x14ac:dyDescent="0.25">
      <c r="A9658">
        <f t="shared" si="150"/>
        <v>8701745</v>
      </c>
      <c r="B9658" t="s">
        <v>6694</v>
      </c>
      <c r="C9658" t="s">
        <v>14974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14761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14761</v>
      </c>
    </row>
    <row r="9663" spans="1:3" x14ac:dyDescent="0.25">
      <c r="A9663">
        <f t="shared" si="150"/>
        <v>8701800</v>
      </c>
      <c r="B9663" t="s">
        <v>6698</v>
      </c>
      <c r="C9663" t="s">
        <v>14974</v>
      </c>
    </row>
    <row r="9664" spans="1:3" x14ac:dyDescent="0.25">
      <c r="A9664">
        <f t="shared" si="150"/>
        <v>8701800</v>
      </c>
      <c r="B9664" t="s">
        <v>6698</v>
      </c>
      <c r="C9664" t="s">
        <v>14975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14761</v>
      </c>
    </row>
    <row r="9667" spans="1:3" x14ac:dyDescent="0.25">
      <c r="A9667">
        <f t="shared" si="151"/>
        <v>8701856</v>
      </c>
      <c r="B9667" t="s">
        <v>6700</v>
      </c>
      <c r="C9667" t="s">
        <v>14974</v>
      </c>
    </row>
    <row r="9668" spans="1:3" x14ac:dyDescent="0.25">
      <c r="A9668">
        <f t="shared" si="151"/>
        <v>8701856</v>
      </c>
      <c r="B9668" t="s">
        <v>6700</v>
      </c>
      <c r="C9668" t="s">
        <v>14975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14761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14989</v>
      </c>
    </row>
    <row r="9673" spans="1:3" x14ac:dyDescent="0.25">
      <c r="A9673">
        <f t="shared" si="151"/>
        <v>8701999</v>
      </c>
      <c r="B9673" t="s">
        <v>6704</v>
      </c>
      <c r="C9673" t="s">
        <v>14990</v>
      </c>
    </row>
    <row r="9674" spans="1:3" x14ac:dyDescent="0.25">
      <c r="A9674">
        <f t="shared" si="151"/>
        <v>8701999</v>
      </c>
      <c r="B9674" t="s">
        <v>6704</v>
      </c>
      <c r="C9674" t="s">
        <v>14976</v>
      </c>
    </row>
    <row r="9675" spans="1:3" x14ac:dyDescent="0.25">
      <c r="A9675">
        <f t="shared" si="151"/>
        <v>8701999</v>
      </c>
      <c r="B9675" t="s">
        <v>6704</v>
      </c>
      <c r="C9675" t="s">
        <v>14991</v>
      </c>
    </row>
    <row r="9676" spans="1:3" x14ac:dyDescent="0.25">
      <c r="A9676">
        <f t="shared" si="151"/>
        <v>8701999</v>
      </c>
      <c r="B9676" t="s">
        <v>6704</v>
      </c>
      <c r="C9676" t="s">
        <v>14992</v>
      </c>
    </row>
    <row r="9677" spans="1:3" x14ac:dyDescent="0.25">
      <c r="A9677">
        <f t="shared" si="151"/>
        <v>8701999</v>
      </c>
      <c r="B9677" t="s">
        <v>6704</v>
      </c>
      <c r="C9677" t="s">
        <v>14993</v>
      </c>
    </row>
    <row r="9678" spans="1:3" x14ac:dyDescent="0.25">
      <c r="A9678">
        <f t="shared" si="151"/>
        <v>8701999</v>
      </c>
      <c r="B9678" t="s">
        <v>6704</v>
      </c>
      <c r="C9678" t="s">
        <v>14994</v>
      </c>
    </row>
    <row r="9679" spans="1:3" x14ac:dyDescent="0.25">
      <c r="A9679">
        <f t="shared" si="151"/>
        <v>8701999</v>
      </c>
      <c r="B9679" t="s">
        <v>6704</v>
      </c>
      <c r="C9679" t="s">
        <v>14980</v>
      </c>
    </row>
    <row r="9680" spans="1:3" x14ac:dyDescent="0.25">
      <c r="A9680">
        <f t="shared" si="151"/>
        <v>8701999</v>
      </c>
      <c r="B9680" t="s">
        <v>6704</v>
      </c>
      <c r="C9680" t="s">
        <v>14977</v>
      </c>
    </row>
    <row r="9681" spans="1:3" x14ac:dyDescent="0.25">
      <c r="A9681">
        <f t="shared" si="151"/>
        <v>8701999</v>
      </c>
      <c r="B9681" t="s">
        <v>6704</v>
      </c>
      <c r="C9681" t="s">
        <v>14978</v>
      </c>
    </row>
    <row r="9682" spans="1:3" x14ac:dyDescent="0.25">
      <c r="A9682">
        <f t="shared" si="151"/>
        <v>8701999</v>
      </c>
      <c r="B9682" t="s">
        <v>6704</v>
      </c>
      <c r="C9682" t="s">
        <v>14974</v>
      </c>
    </row>
    <row r="9683" spans="1:3" x14ac:dyDescent="0.25">
      <c r="A9683">
        <f t="shared" si="151"/>
        <v>8701999</v>
      </c>
      <c r="B9683" t="s">
        <v>6704</v>
      </c>
      <c r="C9683" t="s">
        <v>14975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14974</v>
      </c>
    </row>
    <row r="9686" spans="1:3" x14ac:dyDescent="0.25">
      <c r="A9686">
        <f t="shared" si="151"/>
        <v>870199900</v>
      </c>
      <c r="B9686" t="s">
        <v>6706</v>
      </c>
      <c r="C9686" t="s">
        <v>14975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14974</v>
      </c>
    </row>
    <row r="9689" spans="1:3" x14ac:dyDescent="0.25">
      <c r="A9689">
        <f t="shared" si="151"/>
        <v>870199905</v>
      </c>
      <c r="B9689" t="s">
        <v>6708</v>
      </c>
      <c r="C9689" t="s">
        <v>14975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14974</v>
      </c>
    </row>
    <row r="9692" spans="1:3" x14ac:dyDescent="0.25">
      <c r="A9692">
        <f t="shared" si="151"/>
        <v>870199910</v>
      </c>
      <c r="B9692" t="s">
        <v>6710</v>
      </c>
      <c r="C9692" t="s">
        <v>14975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14974</v>
      </c>
    </row>
    <row r="9695" spans="1:3" x14ac:dyDescent="0.25">
      <c r="A9695">
        <f t="shared" si="151"/>
        <v>870199915</v>
      </c>
      <c r="B9695" t="s">
        <v>6712</v>
      </c>
      <c r="C9695" t="s">
        <v>14975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14974</v>
      </c>
    </row>
    <row r="9698" spans="1:3" x14ac:dyDescent="0.25">
      <c r="A9698">
        <f t="shared" si="151"/>
        <v>870199920</v>
      </c>
      <c r="B9698" t="s">
        <v>6714</v>
      </c>
      <c r="C9698" t="s">
        <v>14975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14974</v>
      </c>
    </row>
    <row r="9701" spans="1:3" x14ac:dyDescent="0.25">
      <c r="A9701">
        <f t="shared" si="151"/>
        <v>870199925</v>
      </c>
      <c r="B9701" t="s">
        <v>6716</v>
      </c>
      <c r="C9701" t="s">
        <v>14975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14974</v>
      </c>
    </row>
    <row r="9704" spans="1:3" x14ac:dyDescent="0.25">
      <c r="A9704">
        <f t="shared" si="151"/>
        <v>870199970</v>
      </c>
      <c r="B9704" t="s">
        <v>6718</v>
      </c>
      <c r="C9704" t="s">
        <v>14975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14974</v>
      </c>
    </row>
    <row r="9707" spans="1:3" x14ac:dyDescent="0.25">
      <c r="A9707">
        <f t="shared" si="151"/>
        <v>870199975</v>
      </c>
      <c r="B9707" t="s">
        <v>6720</v>
      </c>
      <c r="C9707" t="s">
        <v>14975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14974</v>
      </c>
    </row>
    <row r="9710" spans="1:3" x14ac:dyDescent="0.25">
      <c r="A9710">
        <f t="shared" si="151"/>
        <v>870199980</v>
      </c>
      <c r="B9710" t="s">
        <v>6722</v>
      </c>
      <c r="C9710" t="s">
        <v>14975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14761</v>
      </c>
    </row>
    <row r="9713" spans="1:3" x14ac:dyDescent="0.25">
      <c r="A9713">
        <f t="shared" si="151"/>
        <v>870199985</v>
      </c>
      <c r="B9713" t="s">
        <v>6724</v>
      </c>
      <c r="C9713" t="s">
        <v>14974</v>
      </c>
    </row>
    <row r="9714" spans="1:3" x14ac:dyDescent="0.25">
      <c r="A9714">
        <f t="shared" si="151"/>
        <v>870199985</v>
      </c>
      <c r="B9714" t="s">
        <v>6724</v>
      </c>
      <c r="C9714" t="s">
        <v>14975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14974</v>
      </c>
    </row>
    <row r="9717" spans="1:3" x14ac:dyDescent="0.25">
      <c r="A9717">
        <f t="shared" si="151"/>
        <v>870199990</v>
      </c>
      <c r="B9717" t="s">
        <v>6726</v>
      </c>
      <c r="C9717" t="s">
        <v>14975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14974</v>
      </c>
    </row>
    <row r="9720" spans="1:3" x14ac:dyDescent="0.25">
      <c r="A9720">
        <f t="shared" si="151"/>
        <v>870199995</v>
      </c>
      <c r="B9720" t="s">
        <v>6728</v>
      </c>
      <c r="C9720" t="s">
        <v>14975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14797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14861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14861</v>
      </c>
    </row>
    <row r="9729" spans="1:3" x14ac:dyDescent="0.25">
      <c r="A9729">
        <f t="shared" si="151"/>
        <v>8702557</v>
      </c>
      <c r="B9729" t="s">
        <v>6736</v>
      </c>
      <c r="C9729" t="s">
        <v>14862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14761</v>
      </c>
    </row>
    <row r="9732" spans="1:3" x14ac:dyDescent="0.25">
      <c r="A9732">
        <f t="shared" si="152"/>
        <v>8702660</v>
      </c>
      <c r="B9732" t="s">
        <v>6738</v>
      </c>
      <c r="C9732" t="s">
        <v>14995</v>
      </c>
    </row>
    <row r="9733" spans="1:3" x14ac:dyDescent="0.25">
      <c r="A9733">
        <f t="shared" si="152"/>
        <v>8702660</v>
      </c>
      <c r="B9733" t="s">
        <v>6738</v>
      </c>
      <c r="C9733" t="s">
        <v>14797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14761</v>
      </c>
    </row>
    <row r="9736" spans="1:3" x14ac:dyDescent="0.25">
      <c r="A9736">
        <f t="shared" si="152"/>
        <v>8702661</v>
      </c>
      <c r="B9736" t="s">
        <v>6740</v>
      </c>
      <c r="C9736" t="s">
        <v>14995</v>
      </c>
    </row>
    <row r="9737" spans="1:3" x14ac:dyDescent="0.25">
      <c r="A9737">
        <f t="shared" si="152"/>
        <v>8702661</v>
      </c>
      <c r="B9737" t="s">
        <v>6740</v>
      </c>
      <c r="C9737" t="s">
        <v>14797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14911</v>
      </c>
    </row>
    <row r="9742" spans="1:3" x14ac:dyDescent="0.25">
      <c r="A9742">
        <f t="shared" si="152"/>
        <v>8703000</v>
      </c>
      <c r="B9742" t="s">
        <v>6745</v>
      </c>
      <c r="C9742" t="s">
        <v>14996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14761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14997</v>
      </c>
    </row>
    <row r="9748" spans="1:3" x14ac:dyDescent="0.25">
      <c r="A9748">
        <f t="shared" si="152"/>
        <v>8703002</v>
      </c>
      <c r="B9748" t="s">
        <v>6750</v>
      </c>
      <c r="C9748" t="s">
        <v>14998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14999</v>
      </c>
    </row>
    <row r="9751" spans="1:3" x14ac:dyDescent="0.25">
      <c r="A9751">
        <f t="shared" si="152"/>
        <v>8703004</v>
      </c>
      <c r="B9751" t="s">
        <v>6752</v>
      </c>
      <c r="C9751" t="s">
        <v>14997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14997</v>
      </c>
    </row>
    <row r="9754" spans="1:3" x14ac:dyDescent="0.25">
      <c r="A9754">
        <f t="shared" si="152"/>
        <v>8703005</v>
      </c>
      <c r="B9754" t="s">
        <v>6754</v>
      </c>
      <c r="C9754" t="s">
        <v>14998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14761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15000</v>
      </c>
    </row>
    <row r="9761" spans="1:3" x14ac:dyDescent="0.25">
      <c r="A9761">
        <f t="shared" si="152"/>
        <v>8703017</v>
      </c>
      <c r="B9761" t="s">
        <v>6761</v>
      </c>
      <c r="C9761" t="s">
        <v>15001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14761</v>
      </c>
    </row>
    <row r="9764" spans="1:3" x14ac:dyDescent="0.25">
      <c r="A9764">
        <f t="shared" si="152"/>
        <v>8703018</v>
      </c>
      <c r="B9764" t="s">
        <v>6763</v>
      </c>
      <c r="C9764" t="s">
        <v>15000</v>
      </c>
    </row>
    <row r="9765" spans="1:3" x14ac:dyDescent="0.25">
      <c r="A9765">
        <f t="shared" si="152"/>
        <v>8703018</v>
      </c>
      <c r="B9765" t="s">
        <v>6763</v>
      </c>
      <c r="C9765" t="s">
        <v>15001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14742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15002</v>
      </c>
    </row>
    <row r="9774" spans="1:3" x14ac:dyDescent="0.25">
      <c r="A9774">
        <f t="shared" si="152"/>
        <v>8703034</v>
      </c>
      <c r="B9774" t="s">
        <v>6774</v>
      </c>
      <c r="C9774" t="s">
        <v>14911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14761</v>
      </c>
    </row>
    <row r="9777" spans="1:3" x14ac:dyDescent="0.25">
      <c r="A9777">
        <f t="shared" si="152"/>
        <v>8703035</v>
      </c>
      <c r="B9777" t="s">
        <v>6776</v>
      </c>
      <c r="C9777" t="s">
        <v>15003</v>
      </c>
    </row>
    <row r="9778" spans="1:3" x14ac:dyDescent="0.25">
      <c r="A9778">
        <f t="shared" si="152"/>
        <v>8703035</v>
      </c>
      <c r="B9778" t="s">
        <v>6776</v>
      </c>
      <c r="C9778" t="s">
        <v>15004</v>
      </c>
    </row>
    <row r="9779" spans="1:3" x14ac:dyDescent="0.25">
      <c r="A9779">
        <f t="shared" si="152"/>
        <v>8703035</v>
      </c>
      <c r="B9779" t="s">
        <v>6776</v>
      </c>
      <c r="C9779" t="s">
        <v>15005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14761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14761</v>
      </c>
    </row>
    <row r="9786" spans="1:3" x14ac:dyDescent="0.25">
      <c r="A9786">
        <f t="shared" si="152"/>
        <v>8703037</v>
      </c>
      <c r="B9786" t="s">
        <v>6784</v>
      </c>
      <c r="C9786" t="s">
        <v>15006</v>
      </c>
    </row>
    <row r="9787" spans="1:3" x14ac:dyDescent="0.25">
      <c r="A9787">
        <f t="shared" si="152"/>
        <v>8703037</v>
      </c>
      <c r="B9787" t="s">
        <v>6784</v>
      </c>
      <c r="C9787" t="s">
        <v>14911</v>
      </c>
    </row>
    <row r="9788" spans="1:3" x14ac:dyDescent="0.25">
      <c r="A9788">
        <f t="shared" si="152"/>
        <v>8703037</v>
      </c>
      <c r="B9788" t="s">
        <v>6784</v>
      </c>
      <c r="C9788" t="s">
        <v>14996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14761</v>
      </c>
    </row>
    <row r="9791" spans="1:3" x14ac:dyDescent="0.25">
      <c r="A9791">
        <f t="shared" si="152"/>
        <v>8703038</v>
      </c>
      <c r="B9791" t="s">
        <v>6786</v>
      </c>
      <c r="C9791" t="s">
        <v>15003</v>
      </c>
    </row>
    <row r="9792" spans="1:3" x14ac:dyDescent="0.25">
      <c r="A9792">
        <f t="shared" si="152"/>
        <v>8703038</v>
      </c>
      <c r="B9792" t="s">
        <v>6786</v>
      </c>
      <c r="C9792" t="s">
        <v>15004</v>
      </c>
    </row>
    <row r="9793" spans="1:3" x14ac:dyDescent="0.25">
      <c r="A9793">
        <f t="shared" si="152"/>
        <v>8703038</v>
      </c>
      <c r="B9793" t="s">
        <v>6786</v>
      </c>
      <c r="C9793" t="s">
        <v>15005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15002</v>
      </c>
    </row>
    <row r="9795" spans="1:3" x14ac:dyDescent="0.25">
      <c r="A9795">
        <f t="shared" si="153"/>
        <v>8703038</v>
      </c>
      <c r="B9795" t="s">
        <v>6786</v>
      </c>
      <c r="C9795" t="s">
        <v>14911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14761</v>
      </c>
    </row>
    <row r="9804" spans="1:3" x14ac:dyDescent="0.25">
      <c r="A9804">
        <f t="shared" si="153"/>
        <v>8703040</v>
      </c>
      <c r="B9804" t="s">
        <v>6799</v>
      </c>
      <c r="C9804" t="s">
        <v>15002</v>
      </c>
    </row>
    <row r="9805" spans="1:3" x14ac:dyDescent="0.25">
      <c r="A9805">
        <f t="shared" si="153"/>
        <v>8703040</v>
      </c>
      <c r="B9805" t="s">
        <v>6799</v>
      </c>
      <c r="C9805" t="s">
        <v>14911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14761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14761</v>
      </c>
    </row>
    <row r="9812" spans="1:3" x14ac:dyDescent="0.25">
      <c r="A9812">
        <f t="shared" si="153"/>
        <v>8703042</v>
      </c>
      <c r="B9812" t="s">
        <v>6807</v>
      </c>
      <c r="C9812" t="s">
        <v>15002</v>
      </c>
    </row>
    <row r="9813" spans="1:3" x14ac:dyDescent="0.25">
      <c r="A9813">
        <f t="shared" si="153"/>
        <v>8703042</v>
      </c>
      <c r="B9813" t="s">
        <v>6807</v>
      </c>
      <c r="C9813" t="s">
        <v>14911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14761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14761</v>
      </c>
    </row>
    <row r="9818" spans="1:3" x14ac:dyDescent="0.25">
      <c r="A9818">
        <f t="shared" si="153"/>
        <v>8703046</v>
      </c>
      <c r="B9818" t="s">
        <v>6811</v>
      </c>
      <c r="C9818" t="s">
        <v>15002</v>
      </c>
    </row>
    <row r="9819" spans="1:3" x14ac:dyDescent="0.25">
      <c r="A9819">
        <f t="shared" si="153"/>
        <v>8703046</v>
      </c>
      <c r="B9819" t="s">
        <v>6811</v>
      </c>
      <c r="C9819" t="s">
        <v>14911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14761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14761</v>
      </c>
    </row>
    <row r="9824" spans="1:3" x14ac:dyDescent="0.25">
      <c r="A9824">
        <f t="shared" si="153"/>
        <v>8703051</v>
      </c>
      <c r="B9824" t="s">
        <v>6814</v>
      </c>
      <c r="C9824" t="s">
        <v>15002</v>
      </c>
    </row>
    <row r="9825" spans="1:3" x14ac:dyDescent="0.25">
      <c r="A9825">
        <f t="shared" si="153"/>
        <v>8703051</v>
      </c>
      <c r="B9825" t="s">
        <v>6814</v>
      </c>
      <c r="C9825" t="s">
        <v>14911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15007</v>
      </c>
    </row>
    <row r="9837" spans="1:3" x14ac:dyDescent="0.25">
      <c r="A9837">
        <f t="shared" si="153"/>
        <v>8703099</v>
      </c>
      <c r="B9837" t="s">
        <v>6831</v>
      </c>
      <c r="C9837" t="s">
        <v>14867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14984</v>
      </c>
    </row>
    <row r="9841" spans="1:3" x14ac:dyDescent="0.25">
      <c r="A9841">
        <f t="shared" si="153"/>
        <v>8703100</v>
      </c>
      <c r="B9841" t="s">
        <v>6834</v>
      </c>
      <c r="C9841" t="s">
        <v>14985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15008</v>
      </c>
    </row>
    <row r="9844" spans="1:3" x14ac:dyDescent="0.25">
      <c r="A9844">
        <f t="shared" si="153"/>
        <v>8703101</v>
      </c>
      <c r="B9844" t="s">
        <v>6836</v>
      </c>
      <c r="C9844" t="s">
        <v>15001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14761</v>
      </c>
    </row>
    <row r="9847" spans="1:3" x14ac:dyDescent="0.25">
      <c r="A9847">
        <f t="shared" si="153"/>
        <v>8703102</v>
      </c>
      <c r="B9847" t="s">
        <v>6838</v>
      </c>
      <c r="C9847" t="s">
        <v>15009</v>
      </c>
    </row>
    <row r="9848" spans="1:3" x14ac:dyDescent="0.25">
      <c r="A9848">
        <f t="shared" si="153"/>
        <v>8703102</v>
      </c>
      <c r="B9848" t="s">
        <v>6838</v>
      </c>
      <c r="C9848" t="s">
        <v>14985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14761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14761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14761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14761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14761</v>
      </c>
    </row>
    <row r="9862" spans="1:3" x14ac:dyDescent="0.25">
      <c r="A9862">
        <f t="shared" si="154"/>
        <v>8703110</v>
      </c>
      <c r="B9862" t="s">
        <v>6854</v>
      </c>
      <c r="C9862" t="s">
        <v>15001</v>
      </c>
    </row>
    <row r="9863" spans="1:3" x14ac:dyDescent="0.25">
      <c r="A9863">
        <f t="shared" si="154"/>
        <v>8703110</v>
      </c>
      <c r="B9863" t="s">
        <v>6854</v>
      </c>
      <c r="C9863" t="s">
        <v>15010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14761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14761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14761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14761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14761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14761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15011</v>
      </c>
    </row>
    <row r="9886" spans="1:3" x14ac:dyDescent="0.25">
      <c r="A9886">
        <f t="shared" si="154"/>
        <v>8703121</v>
      </c>
      <c r="B9886" t="s">
        <v>6880</v>
      </c>
      <c r="C9886" t="s">
        <v>14985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14761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14911</v>
      </c>
    </row>
    <row r="9893" spans="1:3" x14ac:dyDescent="0.25">
      <c r="A9893">
        <f t="shared" si="154"/>
        <v>8703135</v>
      </c>
      <c r="B9893" t="s">
        <v>6887</v>
      </c>
      <c r="C9893" t="s">
        <v>14996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14911</v>
      </c>
    </row>
    <row r="9897" spans="1:3" x14ac:dyDescent="0.25">
      <c r="A9897">
        <f t="shared" si="154"/>
        <v>8703138</v>
      </c>
      <c r="B9897" t="s">
        <v>6890</v>
      </c>
      <c r="C9897" t="s">
        <v>14996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14761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14761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14761</v>
      </c>
    </row>
    <row r="9905" spans="1:3" x14ac:dyDescent="0.25">
      <c r="A9905">
        <f t="shared" si="154"/>
        <v>8703152</v>
      </c>
      <c r="B9905" t="s">
        <v>6898</v>
      </c>
      <c r="C9905" t="s">
        <v>14842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14761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14761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14997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14761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14761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15000</v>
      </c>
    </row>
    <row r="9921" spans="1:3" x14ac:dyDescent="0.25">
      <c r="A9921">
        <f t="shared" si="154"/>
        <v>8703200</v>
      </c>
      <c r="B9921" t="s">
        <v>6913</v>
      </c>
      <c r="C9921" t="s">
        <v>15001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14997</v>
      </c>
    </row>
    <row r="9925" spans="1:3" x14ac:dyDescent="0.25">
      <c r="A9925">
        <f t="shared" si="155"/>
        <v>8703201</v>
      </c>
      <c r="B9925" t="s">
        <v>6915</v>
      </c>
      <c r="C9925" t="s">
        <v>14998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14997</v>
      </c>
    </row>
    <row r="9928" spans="1:3" x14ac:dyDescent="0.25">
      <c r="A9928">
        <f t="shared" si="155"/>
        <v>8703203</v>
      </c>
      <c r="B9928" t="s">
        <v>6917</v>
      </c>
      <c r="C9928" t="s">
        <v>14998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14761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14761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14761</v>
      </c>
    </row>
    <row r="9935" spans="1:3" x14ac:dyDescent="0.25">
      <c r="A9935">
        <f t="shared" si="155"/>
        <v>8703207</v>
      </c>
      <c r="B9935" t="s">
        <v>6923</v>
      </c>
      <c r="C9935" t="s">
        <v>15012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14761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14761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14761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14761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14761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14761</v>
      </c>
    </row>
    <row r="9955" spans="1:3" x14ac:dyDescent="0.25">
      <c r="A9955">
        <f t="shared" si="155"/>
        <v>8703250</v>
      </c>
      <c r="B9955" t="s">
        <v>6947</v>
      </c>
      <c r="C9955" t="s">
        <v>15013</v>
      </c>
    </row>
    <row r="9956" spans="1:3" x14ac:dyDescent="0.25">
      <c r="A9956">
        <f t="shared" si="155"/>
        <v>8703250</v>
      </c>
      <c r="B9956" t="s">
        <v>6947</v>
      </c>
      <c r="C9956" t="s">
        <v>15001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14761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14761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14761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15006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14761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14761</v>
      </c>
    </row>
    <row r="9976" spans="1:3" x14ac:dyDescent="0.25">
      <c r="A9976">
        <f t="shared" si="155"/>
        <v>8703376</v>
      </c>
      <c r="B9976" t="s">
        <v>6968</v>
      </c>
      <c r="C9976" t="s">
        <v>15001</v>
      </c>
    </row>
    <row r="9977" spans="1:3" x14ac:dyDescent="0.25">
      <c r="A9977">
        <f t="shared" si="155"/>
        <v>8703376</v>
      </c>
      <c r="B9977" t="s">
        <v>6968</v>
      </c>
      <c r="C9977" t="s">
        <v>15010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14761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14761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14761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15003</v>
      </c>
    </row>
    <row r="9987" spans="1:3" x14ac:dyDescent="0.25">
      <c r="A9987">
        <f t="shared" si="156"/>
        <v>8703501</v>
      </c>
      <c r="B9987" t="s">
        <v>6978</v>
      </c>
      <c r="C9987" t="s">
        <v>15002</v>
      </c>
    </row>
    <row r="9988" spans="1:3" x14ac:dyDescent="0.25">
      <c r="A9988">
        <f t="shared" si="156"/>
        <v>8703501</v>
      </c>
      <c r="B9988" t="s">
        <v>6978</v>
      </c>
      <c r="C9988" t="s">
        <v>14911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15002</v>
      </c>
    </row>
    <row r="9991" spans="1:3" x14ac:dyDescent="0.25">
      <c r="A9991">
        <f t="shared" si="156"/>
        <v>8703502</v>
      </c>
      <c r="B9991" t="s">
        <v>6980</v>
      </c>
      <c r="C9991" t="s">
        <v>14911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14761</v>
      </c>
    </row>
    <row r="9994" spans="1:3" x14ac:dyDescent="0.25">
      <c r="A9994">
        <f t="shared" si="156"/>
        <v>8703503</v>
      </c>
      <c r="B9994" t="s">
        <v>6982</v>
      </c>
      <c r="C9994" t="s">
        <v>15002</v>
      </c>
    </row>
    <row r="9995" spans="1:3" x14ac:dyDescent="0.25">
      <c r="A9995">
        <f t="shared" si="156"/>
        <v>8703503</v>
      </c>
      <c r="B9995" t="s">
        <v>6982</v>
      </c>
      <c r="C9995" t="s">
        <v>14911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14761</v>
      </c>
    </row>
    <row r="9998" spans="1:3" x14ac:dyDescent="0.25">
      <c r="A9998">
        <f t="shared" si="156"/>
        <v>8703504</v>
      </c>
      <c r="B9998" t="s">
        <v>6984</v>
      </c>
      <c r="C9998" t="s">
        <v>15014</v>
      </c>
    </row>
    <row r="9999" spans="1:3" x14ac:dyDescent="0.25">
      <c r="A9999">
        <f t="shared" si="156"/>
        <v>8703504</v>
      </c>
      <c r="B9999" t="s">
        <v>6984</v>
      </c>
      <c r="C9999" t="s">
        <v>15006</v>
      </c>
    </row>
    <row r="10000" spans="1:3" x14ac:dyDescent="0.25">
      <c r="A10000">
        <f t="shared" si="156"/>
        <v>8703504</v>
      </c>
      <c r="B10000" t="s">
        <v>6984</v>
      </c>
      <c r="C10000" t="s">
        <v>15002</v>
      </c>
    </row>
    <row r="10001" spans="1:3" x14ac:dyDescent="0.25">
      <c r="A10001">
        <f t="shared" si="156"/>
        <v>8703504</v>
      </c>
      <c r="B10001" t="s">
        <v>6984</v>
      </c>
      <c r="C10001" t="s">
        <v>14911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14761</v>
      </c>
    </row>
    <row r="10004" spans="1:3" x14ac:dyDescent="0.25">
      <c r="A10004">
        <f t="shared" si="156"/>
        <v>8703505</v>
      </c>
      <c r="B10004" t="s">
        <v>6986</v>
      </c>
      <c r="C10004" t="s">
        <v>15003</v>
      </c>
    </row>
    <row r="10005" spans="1:3" x14ac:dyDescent="0.25">
      <c r="A10005">
        <f t="shared" si="156"/>
        <v>8703505</v>
      </c>
      <c r="B10005" t="s">
        <v>6986</v>
      </c>
      <c r="C10005" t="s">
        <v>15004</v>
      </c>
    </row>
    <row r="10006" spans="1:3" x14ac:dyDescent="0.25">
      <c r="A10006">
        <f t="shared" si="156"/>
        <v>8703505</v>
      </c>
      <c r="B10006" t="s">
        <v>6986</v>
      </c>
      <c r="C10006" t="s">
        <v>15005</v>
      </c>
    </row>
    <row r="10007" spans="1:3" x14ac:dyDescent="0.25">
      <c r="A10007">
        <f t="shared" si="156"/>
        <v>8703505</v>
      </c>
      <c r="B10007" t="s">
        <v>6986</v>
      </c>
      <c r="C10007" t="s">
        <v>15015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14761</v>
      </c>
    </row>
    <row r="10010" spans="1:3" x14ac:dyDescent="0.25">
      <c r="A10010">
        <f t="shared" si="156"/>
        <v>8703506</v>
      </c>
      <c r="B10010" t="s">
        <v>6988</v>
      </c>
      <c r="C10010" t="s">
        <v>15006</v>
      </c>
    </row>
    <row r="10011" spans="1:3" x14ac:dyDescent="0.25">
      <c r="A10011">
        <f t="shared" si="156"/>
        <v>8703506</v>
      </c>
      <c r="B10011" t="s">
        <v>6988</v>
      </c>
      <c r="C10011" t="s">
        <v>15002</v>
      </c>
    </row>
    <row r="10012" spans="1:3" x14ac:dyDescent="0.25">
      <c r="A10012">
        <f t="shared" si="156"/>
        <v>8703506</v>
      </c>
      <c r="B10012" t="s">
        <v>6988</v>
      </c>
      <c r="C10012" t="s">
        <v>14911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14761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14911</v>
      </c>
    </row>
    <row r="10017" spans="1:3" x14ac:dyDescent="0.25">
      <c r="A10017">
        <f t="shared" si="156"/>
        <v>8703508</v>
      </c>
      <c r="B10017" t="s">
        <v>6992</v>
      </c>
      <c r="C10017" t="s">
        <v>14996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14761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14761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14761</v>
      </c>
    </row>
    <row r="10028" spans="1:3" x14ac:dyDescent="0.25">
      <c r="A10028">
        <f t="shared" si="156"/>
        <v>8703551</v>
      </c>
      <c r="B10028" t="s">
        <v>7005</v>
      </c>
      <c r="C10028" t="s">
        <v>15002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15003</v>
      </c>
    </row>
    <row r="10034" spans="1:3" x14ac:dyDescent="0.25">
      <c r="A10034">
        <f t="shared" si="156"/>
        <v>8703555</v>
      </c>
      <c r="B10034" t="s">
        <v>7012</v>
      </c>
      <c r="C10034" t="s">
        <v>15004</v>
      </c>
    </row>
    <row r="10035" spans="1:3" x14ac:dyDescent="0.25">
      <c r="A10035">
        <f t="shared" si="156"/>
        <v>8703555</v>
      </c>
      <c r="B10035" t="s">
        <v>7012</v>
      </c>
      <c r="C10035" t="s">
        <v>15005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14761</v>
      </c>
    </row>
    <row r="10038" spans="1:3" x14ac:dyDescent="0.25">
      <c r="A10038">
        <f t="shared" si="156"/>
        <v>8703557</v>
      </c>
      <c r="B10038" t="s">
        <v>7014</v>
      </c>
      <c r="C10038" t="s">
        <v>15016</v>
      </c>
    </row>
    <row r="10039" spans="1:3" x14ac:dyDescent="0.25">
      <c r="A10039">
        <f t="shared" si="156"/>
        <v>8703557</v>
      </c>
      <c r="B10039" t="s">
        <v>7014</v>
      </c>
      <c r="C10039" t="s">
        <v>14911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14761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14761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14761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14761</v>
      </c>
    </row>
    <row r="10048" spans="1:3" x14ac:dyDescent="0.25">
      <c r="A10048">
        <f t="shared" si="156"/>
        <v>8703600</v>
      </c>
      <c r="B10048" t="s">
        <v>7022</v>
      </c>
      <c r="C10048" t="s">
        <v>15002</v>
      </c>
    </row>
    <row r="10049" spans="1:3" x14ac:dyDescent="0.25">
      <c r="A10049">
        <f t="shared" si="156"/>
        <v>8703600</v>
      </c>
      <c r="B10049" t="s">
        <v>7022</v>
      </c>
      <c r="C10049" t="s">
        <v>14911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14761</v>
      </c>
    </row>
    <row r="10052" spans="1:3" x14ac:dyDescent="0.25">
      <c r="A10052">
        <f t="shared" si="157"/>
        <v>8703601</v>
      </c>
      <c r="B10052" t="s">
        <v>7024</v>
      </c>
      <c r="C10052" t="s">
        <v>15002</v>
      </c>
    </row>
    <row r="10053" spans="1:3" x14ac:dyDescent="0.25">
      <c r="A10053">
        <f t="shared" si="157"/>
        <v>8703601</v>
      </c>
      <c r="B10053" t="s">
        <v>7024</v>
      </c>
      <c r="C10053" t="s">
        <v>14911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14761</v>
      </c>
    </row>
    <row r="10056" spans="1:3" x14ac:dyDescent="0.25">
      <c r="A10056">
        <f t="shared" si="157"/>
        <v>8703604</v>
      </c>
      <c r="B10056" t="s">
        <v>7026</v>
      </c>
      <c r="C10056" t="s">
        <v>15002</v>
      </c>
    </row>
    <row r="10057" spans="1:3" x14ac:dyDescent="0.25">
      <c r="A10057">
        <f t="shared" si="157"/>
        <v>8703604</v>
      </c>
      <c r="B10057" t="s">
        <v>7026</v>
      </c>
      <c r="C10057" t="s">
        <v>14911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14761</v>
      </c>
    </row>
    <row r="10060" spans="1:3" x14ac:dyDescent="0.25">
      <c r="A10060">
        <f t="shared" si="157"/>
        <v>8703607</v>
      </c>
      <c r="B10060" t="s">
        <v>7028</v>
      </c>
      <c r="C10060" t="s">
        <v>15002</v>
      </c>
    </row>
    <row r="10061" spans="1:3" x14ac:dyDescent="0.25">
      <c r="A10061">
        <f t="shared" si="157"/>
        <v>8703607</v>
      </c>
      <c r="B10061" t="s">
        <v>7028</v>
      </c>
      <c r="C10061" t="s">
        <v>14911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14761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14761</v>
      </c>
    </row>
    <row r="10067" spans="1:3" x14ac:dyDescent="0.25">
      <c r="A10067">
        <f t="shared" si="157"/>
        <v>8703612</v>
      </c>
      <c r="B10067" t="s">
        <v>7034</v>
      </c>
      <c r="C10067" t="s">
        <v>15002</v>
      </c>
    </row>
    <row r="10068" spans="1:3" x14ac:dyDescent="0.25">
      <c r="A10068">
        <f t="shared" si="157"/>
        <v>8703612</v>
      </c>
      <c r="B10068" t="s">
        <v>7034</v>
      </c>
      <c r="C10068" t="s">
        <v>14911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14761</v>
      </c>
    </row>
    <row r="10071" spans="1:3" x14ac:dyDescent="0.25">
      <c r="A10071">
        <f t="shared" si="157"/>
        <v>8703613</v>
      </c>
      <c r="B10071" t="s">
        <v>7036</v>
      </c>
      <c r="C10071" t="s">
        <v>14997</v>
      </c>
    </row>
    <row r="10072" spans="1:3" x14ac:dyDescent="0.25">
      <c r="A10072">
        <f t="shared" si="157"/>
        <v>8703613</v>
      </c>
      <c r="B10072" t="s">
        <v>7036</v>
      </c>
      <c r="C10072" t="s">
        <v>14998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14761</v>
      </c>
    </row>
    <row r="10075" spans="1:3" x14ac:dyDescent="0.25">
      <c r="A10075">
        <f t="shared" si="157"/>
        <v>8703615</v>
      </c>
      <c r="B10075" t="s">
        <v>7038</v>
      </c>
      <c r="C10075" t="s">
        <v>14911</v>
      </c>
    </row>
    <row r="10076" spans="1:3" x14ac:dyDescent="0.25">
      <c r="A10076">
        <f t="shared" si="157"/>
        <v>8703615</v>
      </c>
      <c r="B10076" t="s">
        <v>7038</v>
      </c>
      <c r="C10076" t="s">
        <v>14996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14761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14761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14761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14761</v>
      </c>
    </row>
    <row r="10088" spans="1:3" x14ac:dyDescent="0.25">
      <c r="A10088">
        <f t="shared" si="157"/>
        <v>8703641</v>
      </c>
      <c r="B10088" t="s">
        <v>7052</v>
      </c>
      <c r="C10088" t="s">
        <v>15001</v>
      </c>
    </row>
    <row r="10089" spans="1:3" x14ac:dyDescent="0.25">
      <c r="A10089">
        <f t="shared" si="157"/>
        <v>8703641</v>
      </c>
      <c r="B10089" t="s">
        <v>7052</v>
      </c>
      <c r="C10089" t="s">
        <v>15010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14761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14761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14761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14761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14761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14761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14761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14761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14761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14761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15006</v>
      </c>
    </row>
    <row r="10118" spans="1:3" x14ac:dyDescent="0.25">
      <c r="A10118">
        <f t="shared" si="158"/>
        <v>8703700</v>
      </c>
      <c r="B10118" t="s">
        <v>7082</v>
      </c>
      <c r="C10118" t="s">
        <v>14911</v>
      </c>
    </row>
    <row r="10119" spans="1:3" x14ac:dyDescent="0.25">
      <c r="A10119">
        <f t="shared" si="158"/>
        <v>8703700</v>
      </c>
      <c r="B10119" t="s">
        <v>7082</v>
      </c>
      <c r="C10119" t="s">
        <v>14996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14761</v>
      </c>
    </row>
    <row r="10122" spans="1:3" x14ac:dyDescent="0.25">
      <c r="A10122">
        <f t="shared" si="158"/>
        <v>8703702</v>
      </c>
      <c r="B10122" t="s">
        <v>7084</v>
      </c>
      <c r="C10122" t="s">
        <v>15006</v>
      </c>
    </row>
    <row r="10123" spans="1:3" x14ac:dyDescent="0.25">
      <c r="A10123">
        <f t="shared" si="158"/>
        <v>8703702</v>
      </c>
      <c r="B10123" t="s">
        <v>7084</v>
      </c>
      <c r="C10123" t="s">
        <v>14911</v>
      </c>
    </row>
    <row r="10124" spans="1:3" x14ac:dyDescent="0.25">
      <c r="A10124">
        <f t="shared" si="158"/>
        <v>8703702</v>
      </c>
      <c r="B10124" t="s">
        <v>7084</v>
      </c>
      <c r="C10124" t="s">
        <v>14996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14761</v>
      </c>
    </row>
    <row r="10127" spans="1:3" x14ac:dyDescent="0.25">
      <c r="A10127">
        <f t="shared" si="158"/>
        <v>8703703</v>
      </c>
      <c r="B10127" t="s">
        <v>7086</v>
      </c>
      <c r="C10127" t="s">
        <v>14999</v>
      </c>
    </row>
    <row r="10128" spans="1:3" x14ac:dyDescent="0.25">
      <c r="A10128">
        <f t="shared" si="158"/>
        <v>8703703</v>
      </c>
      <c r="B10128" t="s">
        <v>7086</v>
      </c>
      <c r="C10128" t="s">
        <v>14997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14997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15017</v>
      </c>
    </row>
    <row r="10134" spans="1:3" x14ac:dyDescent="0.25">
      <c r="A10134">
        <f t="shared" si="158"/>
        <v>8703705</v>
      </c>
      <c r="B10134" t="s">
        <v>7091</v>
      </c>
      <c r="C10134" t="s">
        <v>15018</v>
      </c>
    </row>
    <row r="10135" spans="1:3" x14ac:dyDescent="0.25">
      <c r="A10135">
        <f t="shared" si="158"/>
        <v>8703705</v>
      </c>
      <c r="B10135" t="s">
        <v>7091</v>
      </c>
      <c r="C10135" t="s">
        <v>15019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15017</v>
      </c>
    </row>
    <row r="10138" spans="1:3" x14ac:dyDescent="0.25">
      <c r="A10138">
        <f t="shared" si="158"/>
        <v>8703706</v>
      </c>
      <c r="B10138" t="s">
        <v>7093</v>
      </c>
      <c r="C10138" t="s">
        <v>15018</v>
      </c>
    </row>
    <row r="10139" spans="1:3" x14ac:dyDescent="0.25">
      <c r="A10139">
        <f t="shared" si="158"/>
        <v>8703706</v>
      </c>
      <c r="B10139" t="s">
        <v>7093</v>
      </c>
      <c r="C10139" t="s">
        <v>15019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14761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14761</v>
      </c>
    </row>
    <row r="10150" spans="1:3" x14ac:dyDescent="0.25">
      <c r="A10150">
        <f t="shared" si="158"/>
        <v>8703750</v>
      </c>
      <c r="B10150" t="s">
        <v>7106</v>
      </c>
      <c r="C10150" t="s">
        <v>14911</v>
      </c>
    </row>
    <row r="10151" spans="1:3" x14ac:dyDescent="0.25">
      <c r="A10151">
        <f t="shared" si="158"/>
        <v>8703750</v>
      </c>
      <c r="B10151" t="s">
        <v>7106</v>
      </c>
      <c r="C10151" t="s">
        <v>14996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14761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14911</v>
      </c>
    </row>
    <row r="10158" spans="1:3" x14ac:dyDescent="0.25">
      <c r="A10158">
        <f t="shared" si="158"/>
        <v>8703803</v>
      </c>
      <c r="B10158" t="s">
        <v>7111</v>
      </c>
      <c r="C10158" t="s">
        <v>14996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14761</v>
      </c>
    </row>
    <row r="10161" spans="1:3" x14ac:dyDescent="0.25">
      <c r="A10161">
        <f t="shared" si="158"/>
        <v>8703810</v>
      </c>
      <c r="B10161" t="s">
        <v>7113</v>
      </c>
      <c r="C10161" t="s">
        <v>14911</v>
      </c>
    </row>
    <row r="10162" spans="1:3" x14ac:dyDescent="0.25">
      <c r="A10162">
        <f t="shared" si="158"/>
        <v>8703810</v>
      </c>
      <c r="B10162" t="s">
        <v>7113</v>
      </c>
      <c r="C10162" t="s">
        <v>14996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14761</v>
      </c>
    </row>
    <row r="10165" spans="1:3" x14ac:dyDescent="0.25">
      <c r="A10165">
        <f t="shared" si="158"/>
        <v>8703811</v>
      </c>
      <c r="B10165" t="s">
        <v>7115</v>
      </c>
      <c r="C10165" t="s">
        <v>14911</v>
      </c>
    </row>
    <row r="10166" spans="1:3" x14ac:dyDescent="0.25">
      <c r="A10166">
        <f t="shared" si="158"/>
        <v>8703811</v>
      </c>
      <c r="B10166" t="s">
        <v>7115</v>
      </c>
      <c r="C10166" t="s">
        <v>14996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14761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14911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14911</v>
      </c>
    </row>
    <row r="10177" spans="1:3" x14ac:dyDescent="0.25">
      <c r="A10177">
        <f t="shared" si="158"/>
        <v>8703900</v>
      </c>
      <c r="B10177" t="s">
        <v>7128</v>
      </c>
      <c r="C10177" t="s">
        <v>14996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14911</v>
      </c>
    </row>
    <row r="10180" spans="1:3" x14ac:dyDescent="0.25">
      <c r="A10180">
        <f t="shared" si="159"/>
        <v>8703901</v>
      </c>
      <c r="B10180" t="s">
        <v>7130</v>
      </c>
      <c r="C10180" t="s">
        <v>14996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14911</v>
      </c>
    </row>
    <row r="10184" spans="1:3" x14ac:dyDescent="0.25">
      <c r="A10184">
        <f t="shared" si="159"/>
        <v>8703902</v>
      </c>
      <c r="B10184" t="s">
        <v>7133</v>
      </c>
      <c r="C10184" t="s">
        <v>14996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14761</v>
      </c>
    </row>
    <row r="10188" spans="1:3" x14ac:dyDescent="0.25">
      <c r="A10188">
        <f t="shared" si="159"/>
        <v>8703925</v>
      </c>
      <c r="B10188" t="s">
        <v>7137</v>
      </c>
      <c r="C10188" t="s">
        <v>15020</v>
      </c>
    </row>
    <row r="10189" spans="1:3" x14ac:dyDescent="0.25">
      <c r="A10189">
        <f t="shared" si="159"/>
        <v>8703925</v>
      </c>
      <c r="B10189" t="s">
        <v>7137</v>
      </c>
      <c r="C10189" t="s">
        <v>15006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14761</v>
      </c>
    </row>
    <row r="10192" spans="1:3" x14ac:dyDescent="0.25">
      <c r="A10192">
        <f t="shared" si="159"/>
        <v>8703926</v>
      </c>
      <c r="B10192" t="s">
        <v>7139</v>
      </c>
      <c r="C10192" t="s">
        <v>15006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14761</v>
      </c>
    </row>
    <row r="10195" spans="1:3" x14ac:dyDescent="0.25">
      <c r="A10195">
        <f t="shared" si="159"/>
        <v>8703950</v>
      </c>
      <c r="B10195" t="s">
        <v>7141</v>
      </c>
      <c r="C10195" t="s">
        <v>15016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15016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14761</v>
      </c>
    </row>
    <row r="10201" spans="1:3" x14ac:dyDescent="0.25">
      <c r="A10201">
        <f t="shared" si="159"/>
        <v>8703955</v>
      </c>
      <c r="B10201" t="s">
        <v>7147</v>
      </c>
      <c r="C10201" t="s">
        <v>15006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14761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14761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14761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15021</v>
      </c>
    </row>
    <row r="10213" spans="1:3" x14ac:dyDescent="0.25">
      <c r="A10213">
        <f t="shared" si="159"/>
        <v>8703987</v>
      </c>
      <c r="B10213" t="s">
        <v>7161</v>
      </c>
      <c r="C10213" t="s">
        <v>15022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14861</v>
      </c>
    </row>
    <row r="10216" spans="1:3" x14ac:dyDescent="0.25">
      <c r="A10216">
        <f t="shared" si="159"/>
        <v>8705001</v>
      </c>
      <c r="B10216" t="s">
        <v>7163</v>
      </c>
      <c r="C10216" t="s">
        <v>14862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14761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14761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14860</v>
      </c>
    </row>
    <row r="10241" spans="1:3" x14ac:dyDescent="0.25">
      <c r="A10241">
        <f t="shared" si="159"/>
        <v>8705018</v>
      </c>
      <c r="B10241" t="s">
        <v>7199</v>
      </c>
      <c r="C10241" t="s">
        <v>14861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14761</v>
      </c>
    </row>
    <row r="10244" spans="1:3" x14ac:dyDescent="0.25">
      <c r="A10244">
        <f t="shared" si="160"/>
        <v>8705019</v>
      </c>
      <c r="B10244" t="s">
        <v>7201</v>
      </c>
      <c r="C10244" t="s">
        <v>14860</v>
      </c>
    </row>
    <row r="10245" spans="1:3" x14ac:dyDescent="0.25">
      <c r="A10245">
        <f t="shared" si="160"/>
        <v>8705019</v>
      </c>
      <c r="B10245" t="s">
        <v>7201</v>
      </c>
      <c r="C10245" t="s">
        <v>14861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14761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14861</v>
      </c>
    </row>
    <row r="10256" spans="1:3" x14ac:dyDescent="0.25">
      <c r="A10256">
        <f t="shared" si="160"/>
        <v>8705036</v>
      </c>
      <c r="B10256" t="s">
        <v>7214</v>
      </c>
      <c r="C10256" t="s">
        <v>14862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14761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15023</v>
      </c>
    </row>
    <row r="10267" spans="1:3" x14ac:dyDescent="0.25">
      <c r="A10267">
        <f t="shared" si="160"/>
        <v>8705100</v>
      </c>
      <c r="B10267" t="s">
        <v>7228</v>
      </c>
      <c r="C10267" t="s">
        <v>14861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14761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14861</v>
      </c>
    </row>
    <row r="10280" spans="1:3" x14ac:dyDescent="0.25">
      <c r="A10280">
        <f t="shared" si="160"/>
        <v>8705214</v>
      </c>
      <c r="B10280" t="s">
        <v>7244</v>
      </c>
      <c r="C10280" t="s">
        <v>14862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14861</v>
      </c>
    </row>
    <row r="10287" spans="1:3" x14ac:dyDescent="0.25">
      <c r="A10287">
        <f t="shared" si="160"/>
        <v>8705227</v>
      </c>
      <c r="B10287" t="s">
        <v>7252</v>
      </c>
      <c r="C10287" t="s">
        <v>14862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14861</v>
      </c>
    </row>
    <row r="10291" spans="1:3" x14ac:dyDescent="0.25">
      <c r="A10291">
        <f t="shared" si="160"/>
        <v>8705228</v>
      </c>
      <c r="B10291" t="s">
        <v>7255</v>
      </c>
      <c r="C10291" t="s">
        <v>14862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14861</v>
      </c>
    </row>
    <row r="10296" spans="1:3" x14ac:dyDescent="0.25">
      <c r="A10296">
        <f t="shared" si="160"/>
        <v>8705241</v>
      </c>
      <c r="B10296" t="s">
        <v>7260</v>
      </c>
      <c r="C10296" t="s">
        <v>14862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14761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14761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14861</v>
      </c>
    </row>
    <row r="10303" spans="1:3" x14ac:dyDescent="0.25">
      <c r="A10303">
        <f t="shared" si="160"/>
        <v>8705370</v>
      </c>
      <c r="B10303" t="s">
        <v>7266</v>
      </c>
      <c r="C10303" t="s">
        <v>14862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14861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14862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14861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14761</v>
      </c>
    </row>
    <row r="10311" spans="1:3" x14ac:dyDescent="0.25">
      <c r="A10311">
        <f t="shared" si="161"/>
        <v>8705459</v>
      </c>
      <c r="B10311" t="s">
        <v>7272</v>
      </c>
      <c r="C10311" t="s">
        <v>14860</v>
      </c>
    </row>
    <row r="10312" spans="1:3" x14ac:dyDescent="0.25">
      <c r="A10312">
        <f t="shared" si="161"/>
        <v>8705459</v>
      </c>
      <c r="B10312" t="s">
        <v>7272</v>
      </c>
      <c r="C10312" t="s">
        <v>14861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14861</v>
      </c>
    </row>
    <row r="10317" spans="1:3" x14ac:dyDescent="0.25">
      <c r="A10317">
        <f t="shared" si="161"/>
        <v>8705480</v>
      </c>
      <c r="B10317" t="s">
        <v>7277</v>
      </c>
      <c r="C10317" t="s">
        <v>14862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14761</v>
      </c>
    </row>
    <row r="10320" spans="1:3" x14ac:dyDescent="0.25">
      <c r="A10320">
        <f t="shared" si="161"/>
        <v>8705500</v>
      </c>
      <c r="B10320" t="s">
        <v>7279</v>
      </c>
      <c r="C10320" t="s">
        <v>14860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14761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14761</v>
      </c>
    </row>
    <row r="10325" spans="1:3" x14ac:dyDescent="0.25">
      <c r="A10325">
        <f t="shared" si="161"/>
        <v>8705551</v>
      </c>
      <c r="B10325" t="s">
        <v>7282</v>
      </c>
      <c r="C10325" t="s">
        <v>14860</v>
      </c>
    </row>
    <row r="10326" spans="1:3" x14ac:dyDescent="0.25">
      <c r="A10326">
        <f t="shared" si="161"/>
        <v>8705551</v>
      </c>
      <c r="B10326" t="s">
        <v>7282</v>
      </c>
      <c r="C10326" t="s">
        <v>14861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14761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14860</v>
      </c>
    </row>
    <row r="10333" spans="1:3" x14ac:dyDescent="0.25">
      <c r="A10333">
        <f t="shared" si="161"/>
        <v>8705555</v>
      </c>
      <c r="B10333" t="s">
        <v>7290</v>
      </c>
      <c r="C10333" t="s">
        <v>14861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14761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14761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14761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14761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14861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14861</v>
      </c>
    </row>
    <row r="10355" spans="1:3" x14ac:dyDescent="0.25">
      <c r="A10355">
        <f t="shared" si="161"/>
        <v>8705749</v>
      </c>
      <c r="B10355" t="s">
        <v>7316</v>
      </c>
      <c r="C10355" t="s">
        <v>14862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14761</v>
      </c>
    </row>
    <row r="10358" spans="1:3" x14ac:dyDescent="0.25">
      <c r="A10358">
        <f t="shared" si="161"/>
        <v>8705750</v>
      </c>
      <c r="B10358" t="s">
        <v>7318</v>
      </c>
      <c r="C10358" t="s">
        <v>14861</v>
      </c>
    </row>
    <row r="10359" spans="1:3" x14ac:dyDescent="0.25">
      <c r="A10359">
        <f t="shared" si="161"/>
        <v>8705750</v>
      </c>
      <c r="B10359" t="s">
        <v>7318</v>
      </c>
      <c r="C10359" t="s">
        <v>14862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14861</v>
      </c>
    </row>
    <row r="10362" spans="1:3" x14ac:dyDescent="0.25">
      <c r="A10362">
        <f t="shared" si="161"/>
        <v>8705802</v>
      </c>
      <c r="B10362" t="s">
        <v>7320</v>
      </c>
      <c r="C10362" t="s">
        <v>14862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15024</v>
      </c>
    </row>
    <row r="10368" spans="1:3" x14ac:dyDescent="0.25">
      <c r="A10368">
        <f t="shared" si="161"/>
        <v>8705910</v>
      </c>
      <c r="B10368" t="s">
        <v>7327</v>
      </c>
      <c r="C10368" t="s">
        <v>14861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14761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14761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14761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14861</v>
      </c>
    </row>
    <row r="10378" spans="1:3" x14ac:dyDescent="0.25">
      <c r="A10378">
        <f t="shared" si="162"/>
        <v>8706500</v>
      </c>
      <c r="B10378" t="s">
        <v>7337</v>
      </c>
      <c r="C10378" t="s">
        <v>14862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14761</v>
      </c>
    </row>
    <row r="10381" spans="1:3" x14ac:dyDescent="0.25">
      <c r="A10381">
        <f t="shared" si="162"/>
        <v>8707000</v>
      </c>
      <c r="B10381" t="s">
        <v>7339</v>
      </c>
      <c r="C10381" t="s">
        <v>14921</v>
      </c>
    </row>
    <row r="10382" spans="1:3" x14ac:dyDescent="0.25">
      <c r="A10382">
        <f t="shared" si="162"/>
        <v>8707000</v>
      </c>
      <c r="B10382" t="s">
        <v>7339</v>
      </c>
      <c r="C10382" t="s">
        <v>14922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15025</v>
      </c>
    </row>
    <row r="10385" spans="1:3" x14ac:dyDescent="0.25">
      <c r="A10385">
        <f t="shared" si="162"/>
        <v>8707002</v>
      </c>
      <c r="B10385" t="s">
        <v>7341</v>
      </c>
      <c r="C10385" t="s">
        <v>15026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14761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14761</v>
      </c>
    </row>
    <row r="10394" spans="1:3" x14ac:dyDescent="0.25">
      <c r="A10394">
        <f t="shared" si="162"/>
        <v>8707023</v>
      </c>
      <c r="B10394" t="s">
        <v>7351</v>
      </c>
      <c r="C10394" t="s">
        <v>14860</v>
      </c>
    </row>
    <row r="10395" spans="1:3" x14ac:dyDescent="0.25">
      <c r="A10395">
        <f t="shared" si="162"/>
        <v>8707023</v>
      </c>
      <c r="B10395" t="s">
        <v>7351</v>
      </c>
      <c r="C10395" t="s">
        <v>14861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14761</v>
      </c>
    </row>
    <row r="10398" spans="1:3" x14ac:dyDescent="0.25">
      <c r="A10398">
        <f t="shared" si="162"/>
        <v>8707024</v>
      </c>
      <c r="B10398" t="s">
        <v>7353</v>
      </c>
      <c r="C10398" t="s">
        <v>14861</v>
      </c>
    </row>
    <row r="10399" spans="1:3" x14ac:dyDescent="0.25">
      <c r="A10399">
        <f t="shared" si="162"/>
        <v>8707024</v>
      </c>
      <c r="B10399" t="s">
        <v>7353</v>
      </c>
      <c r="C10399" t="s">
        <v>14862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14761</v>
      </c>
    </row>
    <row r="10407" spans="1:3" x14ac:dyDescent="0.25">
      <c r="A10407">
        <f t="shared" si="162"/>
        <v>8707113</v>
      </c>
      <c r="B10407" t="s">
        <v>7363</v>
      </c>
      <c r="C10407" t="s">
        <v>15006</v>
      </c>
    </row>
    <row r="10408" spans="1:3" x14ac:dyDescent="0.25">
      <c r="A10408">
        <f t="shared" si="162"/>
        <v>8707113</v>
      </c>
      <c r="B10408" t="s">
        <v>7363</v>
      </c>
      <c r="C10408" t="s">
        <v>15027</v>
      </c>
    </row>
    <row r="10409" spans="1:3" x14ac:dyDescent="0.25">
      <c r="A10409">
        <f t="shared" si="162"/>
        <v>8707113</v>
      </c>
      <c r="B10409" t="s">
        <v>7363</v>
      </c>
      <c r="C10409" t="s">
        <v>14911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15028</v>
      </c>
    </row>
    <row r="10412" spans="1:3" x14ac:dyDescent="0.25">
      <c r="A10412">
        <f t="shared" si="162"/>
        <v>8707117</v>
      </c>
      <c r="B10412" t="s">
        <v>7365</v>
      </c>
      <c r="C10412" t="s">
        <v>14867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14867</v>
      </c>
    </row>
    <row r="10416" spans="1:3" x14ac:dyDescent="0.25">
      <c r="A10416">
        <f t="shared" si="162"/>
        <v>8707206</v>
      </c>
      <c r="B10416" t="s">
        <v>7368</v>
      </c>
      <c r="C10416" t="s">
        <v>15029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14761</v>
      </c>
    </row>
    <row r="10419" spans="1:3" x14ac:dyDescent="0.25">
      <c r="A10419">
        <f t="shared" si="162"/>
        <v>8707381</v>
      </c>
      <c r="B10419" t="s">
        <v>7370</v>
      </c>
      <c r="C10419" t="s">
        <v>15030</v>
      </c>
    </row>
    <row r="10420" spans="1:3" x14ac:dyDescent="0.25">
      <c r="A10420">
        <f t="shared" si="162"/>
        <v>8707381</v>
      </c>
      <c r="B10420" t="s">
        <v>7370</v>
      </c>
      <c r="C10420" t="s">
        <v>14921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14761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14761</v>
      </c>
    </row>
    <row r="10426" spans="1:3" x14ac:dyDescent="0.25">
      <c r="A10426">
        <f t="shared" si="162"/>
        <v>8707550</v>
      </c>
      <c r="B10426" t="s">
        <v>7376</v>
      </c>
      <c r="C10426" t="s">
        <v>14860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14761</v>
      </c>
    </row>
    <row r="10429" spans="1:3" x14ac:dyDescent="0.25">
      <c r="A10429">
        <f t="shared" si="162"/>
        <v>8707552</v>
      </c>
      <c r="B10429" t="s">
        <v>7378</v>
      </c>
      <c r="C10429" t="s">
        <v>14842</v>
      </c>
    </row>
    <row r="10430" spans="1:3" x14ac:dyDescent="0.25">
      <c r="A10430">
        <f t="shared" si="162"/>
        <v>8707552</v>
      </c>
      <c r="B10430" t="s">
        <v>7378</v>
      </c>
      <c r="C10430" t="s">
        <v>14845</v>
      </c>
    </row>
    <row r="10431" spans="1:3" x14ac:dyDescent="0.25">
      <c r="A10431">
        <f t="shared" si="162"/>
        <v>8707552</v>
      </c>
      <c r="B10431" t="s">
        <v>7378</v>
      </c>
      <c r="C10431" t="s">
        <v>14860</v>
      </c>
    </row>
    <row r="10432" spans="1:3" x14ac:dyDescent="0.25">
      <c r="A10432">
        <f t="shared" si="162"/>
        <v>8707552</v>
      </c>
      <c r="B10432" t="s">
        <v>7378</v>
      </c>
      <c r="C10432" t="s">
        <v>14861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14761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14761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14860</v>
      </c>
    </row>
    <row r="10441" spans="1:3" x14ac:dyDescent="0.25">
      <c r="A10441">
        <f t="shared" si="163"/>
        <v>8707556</v>
      </c>
      <c r="B10441" t="s">
        <v>7387</v>
      </c>
      <c r="C10441" t="s">
        <v>14861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15030</v>
      </c>
    </row>
    <row r="10444" spans="1:3" x14ac:dyDescent="0.25">
      <c r="A10444">
        <f t="shared" si="163"/>
        <v>8707657</v>
      </c>
      <c r="B10444" t="s">
        <v>7389</v>
      </c>
      <c r="C10444" t="s">
        <v>14921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15031</v>
      </c>
    </row>
    <row r="10449" spans="1:3" x14ac:dyDescent="0.25">
      <c r="A10449">
        <f t="shared" si="163"/>
        <v>8707701</v>
      </c>
      <c r="B10449" t="s">
        <v>7394</v>
      </c>
      <c r="C10449" t="s">
        <v>15032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14761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14861</v>
      </c>
    </row>
    <row r="10454" spans="1:3" x14ac:dyDescent="0.25">
      <c r="A10454">
        <f t="shared" si="163"/>
        <v>8707721</v>
      </c>
      <c r="B10454" t="s">
        <v>7398</v>
      </c>
      <c r="C10454" t="s">
        <v>14862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14861</v>
      </c>
    </row>
    <row r="10457" spans="1:3" x14ac:dyDescent="0.25">
      <c r="A10457">
        <f t="shared" si="163"/>
        <v>8707750</v>
      </c>
      <c r="B10457" t="s">
        <v>7400</v>
      </c>
      <c r="C10457" t="s">
        <v>14862</v>
      </c>
    </row>
    <row r="10458" spans="1:3" x14ac:dyDescent="0.25">
      <c r="A10458">
        <f t="shared" si="163"/>
        <v>8707964</v>
      </c>
      <c r="B10458" t="s">
        <v>7402</v>
      </c>
      <c r="C10458" t="s">
        <v>14746</v>
      </c>
    </row>
    <row r="10459" spans="1:3" x14ac:dyDescent="0.25">
      <c r="A10459">
        <f t="shared" si="163"/>
        <v>8707964</v>
      </c>
      <c r="B10459" t="s">
        <v>7402</v>
      </c>
      <c r="C10459" t="s">
        <v>14861</v>
      </c>
    </row>
    <row r="10460" spans="1:3" x14ac:dyDescent="0.25">
      <c r="A10460">
        <f t="shared" si="163"/>
        <v>8707964</v>
      </c>
      <c r="B10460" t="s">
        <v>7402</v>
      </c>
      <c r="C10460" t="s">
        <v>14862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14861</v>
      </c>
    </row>
    <row r="10465" spans="1:3" x14ac:dyDescent="0.25">
      <c r="A10465">
        <f t="shared" si="163"/>
        <v>8707980</v>
      </c>
      <c r="B10465" t="s">
        <v>7406</v>
      </c>
      <c r="C10465" t="s">
        <v>14862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14861</v>
      </c>
    </row>
    <row r="10468" spans="1:3" x14ac:dyDescent="0.25">
      <c r="A10468">
        <f t="shared" si="163"/>
        <v>8707981</v>
      </c>
      <c r="B10468" t="s">
        <v>7408</v>
      </c>
      <c r="C10468" t="s">
        <v>14862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14761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14867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14867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14867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14867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15023</v>
      </c>
    </row>
    <row r="10494" spans="1:3" x14ac:dyDescent="0.25">
      <c r="A10494">
        <f t="shared" si="163"/>
        <v>8708011</v>
      </c>
      <c r="B10494" t="s">
        <v>7438</v>
      </c>
      <c r="C10494" t="s">
        <v>14861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14748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14761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14761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14761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14761</v>
      </c>
    </row>
    <row r="10506" spans="1:3" x14ac:dyDescent="0.25">
      <c r="A10506">
        <f t="shared" si="164"/>
        <v>8708024</v>
      </c>
      <c r="B10506" t="s">
        <v>7450</v>
      </c>
      <c r="C10506" t="s">
        <v>14921</v>
      </c>
    </row>
    <row r="10507" spans="1:3" x14ac:dyDescent="0.25">
      <c r="A10507">
        <f t="shared" si="164"/>
        <v>8708024</v>
      </c>
      <c r="B10507" t="s">
        <v>7450</v>
      </c>
      <c r="C10507" t="s">
        <v>14922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15033</v>
      </c>
    </row>
    <row r="10513" spans="1:3" x14ac:dyDescent="0.25">
      <c r="A10513">
        <f t="shared" si="164"/>
        <v>8708040</v>
      </c>
      <c r="B10513" t="s">
        <v>7457</v>
      </c>
      <c r="C10513" t="s">
        <v>14921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14761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14761</v>
      </c>
    </row>
    <row r="10518" spans="1:3" x14ac:dyDescent="0.25">
      <c r="A10518">
        <f t="shared" si="164"/>
        <v>8708045</v>
      </c>
      <c r="B10518" t="s">
        <v>7461</v>
      </c>
      <c r="C10518" t="s">
        <v>14867</v>
      </c>
    </row>
    <row r="10519" spans="1:3" x14ac:dyDescent="0.25">
      <c r="A10519">
        <f t="shared" si="164"/>
        <v>8708045</v>
      </c>
      <c r="B10519" t="s">
        <v>7461</v>
      </c>
      <c r="C10519" t="s">
        <v>14868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14842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14844</v>
      </c>
    </row>
    <row r="10527" spans="1:3" x14ac:dyDescent="0.25">
      <c r="A10527">
        <f t="shared" si="164"/>
        <v>8708052</v>
      </c>
      <c r="B10527" t="s">
        <v>7471</v>
      </c>
      <c r="C10527" t="s">
        <v>14842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14840</v>
      </c>
    </row>
    <row r="10530" spans="1:3" x14ac:dyDescent="0.25">
      <c r="A10530">
        <f t="shared" si="164"/>
        <v>8708053</v>
      </c>
      <c r="B10530" t="s">
        <v>7473</v>
      </c>
      <c r="C10530" t="s">
        <v>15034</v>
      </c>
    </row>
    <row r="10531" spans="1:3" x14ac:dyDescent="0.25">
      <c r="A10531">
        <f t="shared" si="164"/>
        <v>8708053</v>
      </c>
      <c r="B10531" t="s">
        <v>7473</v>
      </c>
      <c r="C10531" t="s">
        <v>14867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14761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14761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14761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15035</v>
      </c>
    </row>
    <row r="10542" spans="1:3" x14ac:dyDescent="0.25">
      <c r="A10542">
        <f t="shared" si="164"/>
        <v>8708070</v>
      </c>
      <c r="B10542" t="s">
        <v>7485</v>
      </c>
      <c r="C10542" t="s">
        <v>15036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15035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14844</v>
      </c>
    </row>
    <row r="10556" spans="1:3" x14ac:dyDescent="0.25">
      <c r="A10556">
        <f t="shared" si="164"/>
        <v>8708100</v>
      </c>
      <c r="B10556" t="s">
        <v>7503</v>
      </c>
      <c r="C10556" t="s">
        <v>14842</v>
      </c>
    </row>
    <row r="10557" spans="1:3" x14ac:dyDescent="0.25">
      <c r="A10557">
        <f t="shared" si="164"/>
        <v>8708100</v>
      </c>
      <c r="B10557" t="s">
        <v>7503</v>
      </c>
      <c r="C10557" t="s">
        <v>14841</v>
      </c>
    </row>
    <row r="10558" spans="1:3" x14ac:dyDescent="0.25">
      <c r="A10558">
        <f t="shared" si="164"/>
        <v>8708100</v>
      </c>
      <c r="B10558" t="s">
        <v>7503</v>
      </c>
      <c r="C10558" t="s">
        <v>15007</v>
      </c>
    </row>
    <row r="10559" spans="1:3" x14ac:dyDescent="0.25">
      <c r="A10559">
        <f t="shared" si="164"/>
        <v>8708100</v>
      </c>
      <c r="B10559" t="s">
        <v>7503</v>
      </c>
      <c r="C10559" t="s">
        <v>14867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14761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14842</v>
      </c>
    </row>
    <row r="10563" spans="1:3" x14ac:dyDescent="0.25">
      <c r="A10563">
        <f t="shared" si="165"/>
        <v>8708101</v>
      </c>
      <c r="B10563" t="s">
        <v>7505</v>
      </c>
      <c r="C10563" t="s">
        <v>14840</v>
      </c>
    </row>
    <row r="10564" spans="1:3" x14ac:dyDescent="0.25">
      <c r="A10564">
        <f t="shared" si="165"/>
        <v>8708101</v>
      </c>
      <c r="B10564" t="s">
        <v>7505</v>
      </c>
      <c r="C10564" t="s">
        <v>15007</v>
      </c>
    </row>
    <row r="10565" spans="1:3" x14ac:dyDescent="0.25">
      <c r="A10565">
        <f t="shared" si="165"/>
        <v>8708101</v>
      </c>
      <c r="B10565" t="s">
        <v>7505</v>
      </c>
      <c r="C10565" t="s">
        <v>14867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14761</v>
      </c>
    </row>
    <row r="10568" spans="1:3" x14ac:dyDescent="0.25">
      <c r="A10568">
        <f t="shared" si="165"/>
        <v>8708102</v>
      </c>
      <c r="B10568" t="s">
        <v>7507</v>
      </c>
      <c r="C10568" t="s">
        <v>15007</v>
      </c>
    </row>
    <row r="10569" spans="1:3" x14ac:dyDescent="0.25">
      <c r="A10569">
        <f t="shared" si="165"/>
        <v>8708102</v>
      </c>
      <c r="B10569" t="s">
        <v>7507</v>
      </c>
      <c r="C10569" t="s">
        <v>14867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15037</v>
      </c>
    </row>
    <row r="10572" spans="1:3" x14ac:dyDescent="0.25">
      <c r="A10572">
        <f t="shared" si="165"/>
        <v>8708103</v>
      </c>
      <c r="B10572" t="s">
        <v>7509</v>
      </c>
      <c r="C10572" t="s">
        <v>14811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14761</v>
      </c>
    </row>
    <row r="10575" spans="1:3" x14ac:dyDescent="0.25">
      <c r="A10575">
        <f t="shared" si="165"/>
        <v>8708104</v>
      </c>
      <c r="B10575" t="s">
        <v>7511</v>
      </c>
      <c r="C10575" t="s">
        <v>15037</v>
      </c>
    </row>
    <row r="10576" spans="1:3" x14ac:dyDescent="0.25">
      <c r="A10576">
        <f t="shared" si="165"/>
        <v>8708104</v>
      </c>
      <c r="B10576" t="s">
        <v>7511</v>
      </c>
      <c r="C10576" t="s">
        <v>14811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14761</v>
      </c>
    </row>
    <row r="10579" spans="1:3" x14ac:dyDescent="0.25">
      <c r="A10579">
        <f t="shared" si="165"/>
        <v>8708105</v>
      </c>
      <c r="B10579" t="s">
        <v>7513</v>
      </c>
      <c r="C10579" t="s">
        <v>15038</v>
      </c>
    </row>
    <row r="10580" spans="1:3" x14ac:dyDescent="0.25">
      <c r="A10580">
        <f t="shared" si="165"/>
        <v>8708105</v>
      </c>
      <c r="B10580" t="s">
        <v>7513</v>
      </c>
      <c r="C10580" t="s">
        <v>14867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14811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14761</v>
      </c>
    </row>
    <row r="10586" spans="1:3" x14ac:dyDescent="0.25">
      <c r="A10586">
        <f t="shared" si="165"/>
        <v>8708107</v>
      </c>
      <c r="B10586" t="s">
        <v>7518</v>
      </c>
      <c r="C10586" t="s">
        <v>15039</v>
      </c>
    </row>
    <row r="10587" spans="1:3" x14ac:dyDescent="0.25">
      <c r="A10587">
        <f t="shared" si="165"/>
        <v>8708107</v>
      </c>
      <c r="B10587" t="s">
        <v>7518</v>
      </c>
      <c r="C10587" t="s">
        <v>14861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15037</v>
      </c>
    </row>
    <row r="10591" spans="1:3" x14ac:dyDescent="0.25">
      <c r="A10591">
        <f t="shared" si="165"/>
        <v>8708108</v>
      </c>
      <c r="B10591" t="s">
        <v>7521</v>
      </c>
      <c r="C10591" t="s">
        <v>14811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14761</v>
      </c>
    </row>
    <row r="10594" spans="1:3" x14ac:dyDescent="0.25">
      <c r="A10594">
        <f t="shared" si="165"/>
        <v>8708109</v>
      </c>
      <c r="B10594" t="s">
        <v>7523</v>
      </c>
      <c r="C10594" t="s">
        <v>15023</v>
      </c>
    </row>
    <row r="10595" spans="1:3" x14ac:dyDescent="0.25">
      <c r="A10595">
        <f t="shared" si="165"/>
        <v>8708109</v>
      </c>
      <c r="B10595" t="s">
        <v>7523</v>
      </c>
      <c r="C10595" t="s">
        <v>14861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14761</v>
      </c>
    </row>
    <row r="10598" spans="1:3" x14ac:dyDescent="0.25">
      <c r="A10598">
        <f t="shared" si="165"/>
        <v>8708110</v>
      </c>
      <c r="B10598" t="s">
        <v>7525</v>
      </c>
      <c r="C10598" t="s">
        <v>15037</v>
      </c>
    </row>
    <row r="10599" spans="1:3" x14ac:dyDescent="0.25">
      <c r="A10599">
        <f t="shared" si="165"/>
        <v>8708110</v>
      </c>
      <c r="B10599" t="s">
        <v>7525</v>
      </c>
      <c r="C10599" t="s">
        <v>14811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14933</v>
      </c>
    </row>
    <row r="10602" spans="1:3" x14ac:dyDescent="0.25">
      <c r="A10602">
        <f t="shared" si="165"/>
        <v>8708111</v>
      </c>
      <c r="B10602" t="s">
        <v>7527</v>
      </c>
      <c r="C10602" t="s">
        <v>14935</v>
      </c>
    </row>
    <row r="10603" spans="1:3" x14ac:dyDescent="0.25">
      <c r="A10603">
        <f t="shared" si="165"/>
        <v>8708111</v>
      </c>
      <c r="B10603" t="s">
        <v>7527</v>
      </c>
      <c r="C10603" t="s">
        <v>14982</v>
      </c>
    </row>
    <row r="10604" spans="1:3" x14ac:dyDescent="0.25">
      <c r="A10604">
        <f t="shared" si="165"/>
        <v>8708111</v>
      </c>
      <c r="B10604" t="s">
        <v>7527</v>
      </c>
      <c r="C10604" t="s">
        <v>14934</v>
      </c>
    </row>
    <row r="10605" spans="1:3" x14ac:dyDescent="0.25">
      <c r="A10605">
        <f t="shared" si="165"/>
        <v>8708111</v>
      </c>
      <c r="B10605" t="s">
        <v>7527</v>
      </c>
      <c r="C10605" t="s">
        <v>14983</v>
      </c>
    </row>
    <row r="10606" spans="1:3" x14ac:dyDescent="0.25">
      <c r="A10606">
        <f t="shared" si="165"/>
        <v>8708111</v>
      </c>
      <c r="B10606" t="s">
        <v>7527</v>
      </c>
      <c r="C10606" t="s">
        <v>15040</v>
      </c>
    </row>
    <row r="10607" spans="1:3" x14ac:dyDescent="0.25">
      <c r="A10607">
        <f t="shared" si="165"/>
        <v>8708111</v>
      </c>
      <c r="B10607" t="s">
        <v>7527</v>
      </c>
      <c r="C10607" t="s">
        <v>14997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14933</v>
      </c>
    </row>
    <row r="10610" spans="1:3" x14ac:dyDescent="0.25">
      <c r="A10610">
        <f t="shared" si="165"/>
        <v>8708112</v>
      </c>
      <c r="B10610" t="s">
        <v>7529</v>
      </c>
      <c r="C10610" t="s">
        <v>14935</v>
      </c>
    </row>
    <row r="10611" spans="1:3" x14ac:dyDescent="0.25">
      <c r="A10611">
        <f t="shared" si="165"/>
        <v>8708112</v>
      </c>
      <c r="B10611" t="s">
        <v>7529</v>
      </c>
      <c r="C10611" t="s">
        <v>14982</v>
      </c>
    </row>
    <row r="10612" spans="1:3" x14ac:dyDescent="0.25">
      <c r="A10612">
        <f t="shared" si="165"/>
        <v>8708112</v>
      </c>
      <c r="B10612" t="s">
        <v>7529</v>
      </c>
      <c r="C10612" t="s">
        <v>14934</v>
      </c>
    </row>
    <row r="10613" spans="1:3" x14ac:dyDescent="0.25">
      <c r="A10613">
        <f t="shared" si="165"/>
        <v>8708112</v>
      </c>
      <c r="B10613" t="s">
        <v>7529</v>
      </c>
      <c r="C10613" t="s">
        <v>14983</v>
      </c>
    </row>
    <row r="10614" spans="1:3" x14ac:dyDescent="0.25">
      <c r="A10614">
        <f t="shared" si="165"/>
        <v>8708112</v>
      </c>
      <c r="B10614" t="s">
        <v>7529</v>
      </c>
      <c r="C10614" t="s">
        <v>15041</v>
      </c>
    </row>
    <row r="10615" spans="1:3" x14ac:dyDescent="0.25">
      <c r="A10615">
        <f t="shared" si="165"/>
        <v>8708112</v>
      </c>
      <c r="B10615" t="s">
        <v>7529</v>
      </c>
      <c r="C10615" t="s">
        <v>14850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14933</v>
      </c>
    </row>
    <row r="10618" spans="1:3" x14ac:dyDescent="0.25">
      <c r="A10618">
        <f t="shared" si="165"/>
        <v>8708113</v>
      </c>
      <c r="B10618" t="s">
        <v>7531</v>
      </c>
      <c r="C10618" t="s">
        <v>14935</v>
      </c>
    </row>
    <row r="10619" spans="1:3" x14ac:dyDescent="0.25">
      <c r="A10619">
        <f t="shared" si="165"/>
        <v>8708113</v>
      </c>
      <c r="B10619" t="s">
        <v>7531</v>
      </c>
      <c r="C10619" t="s">
        <v>14982</v>
      </c>
    </row>
    <row r="10620" spans="1:3" x14ac:dyDescent="0.25">
      <c r="A10620">
        <f t="shared" si="165"/>
        <v>8708113</v>
      </c>
      <c r="B10620" t="s">
        <v>7531</v>
      </c>
      <c r="C10620" t="s">
        <v>14934</v>
      </c>
    </row>
    <row r="10621" spans="1:3" x14ac:dyDescent="0.25">
      <c r="A10621">
        <f t="shared" si="165"/>
        <v>8708113</v>
      </c>
      <c r="B10621" t="s">
        <v>7531</v>
      </c>
      <c r="C10621" t="s">
        <v>14983</v>
      </c>
    </row>
    <row r="10622" spans="1:3" x14ac:dyDescent="0.25">
      <c r="A10622">
        <f t="shared" si="165"/>
        <v>8708113</v>
      </c>
      <c r="B10622" t="s">
        <v>7531</v>
      </c>
      <c r="C10622" t="s">
        <v>15041</v>
      </c>
    </row>
    <row r="10623" spans="1:3" x14ac:dyDescent="0.25">
      <c r="A10623">
        <f t="shared" si="165"/>
        <v>8708113</v>
      </c>
      <c r="B10623" t="s">
        <v>7531</v>
      </c>
      <c r="C10623" t="s">
        <v>14850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14761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15042</v>
      </c>
    </row>
    <row r="10629" spans="1:3" x14ac:dyDescent="0.25">
      <c r="A10629">
        <f t="shared" si="166"/>
        <v>8708116</v>
      </c>
      <c r="B10629" t="s">
        <v>7537</v>
      </c>
      <c r="C10629" t="s">
        <v>14933</v>
      </c>
    </row>
    <row r="10630" spans="1:3" x14ac:dyDescent="0.25">
      <c r="A10630">
        <f t="shared" si="166"/>
        <v>8708116</v>
      </c>
      <c r="B10630" t="s">
        <v>7537</v>
      </c>
      <c r="C10630" t="s">
        <v>14935</v>
      </c>
    </row>
    <row r="10631" spans="1:3" x14ac:dyDescent="0.25">
      <c r="A10631">
        <f t="shared" si="166"/>
        <v>8708116</v>
      </c>
      <c r="B10631" t="s">
        <v>7537</v>
      </c>
      <c r="C10631" t="s">
        <v>14982</v>
      </c>
    </row>
    <row r="10632" spans="1:3" x14ac:dyDescent="0.25">
      <c r="A10632">
        <f t="shared" si="166"/>
        <v>8708116</v>
      </c>
      <c r="B10632" t="s">
        <v>7537</v>
      </c>
      <c r="C10632" t="s">
        <v>14934</v>
      </c>
    </row>
    <row r="10633" spans="1:3" x14ac:dyDescent="0.25">
      <c r="A10633">
        <f t="shared" si="166"/>
        <v>8708116</v>
      </c>
      <c r="B10633" t="s">
        <v>7537</v>
      </c>
      <c r="C10633" t="s">
        <v>14983</v>
      </c>
    </row>
    <row r="10634" spans="1:3" x14ac:dyDescent="0.25">
      <c r="A10634">
        <f t="shared" si="166"/>
        <v>8708116</v>
      </c>
      <c r="B10634" t="s">
        <v>7537</v>
      </c>
      <c r="C10634" t="s">
        <v>15041</v>
      </c>
    </row>
    <row r="10635" spans="1:3" x14ac:dyDescent="0.25">
      <c r="A10635">
        <f t="shared" si="166"/>
        <v>8708116</v>
      </c>
      <c r="B10635" t="s">
        <v>7537</v>
      </c>
      <c r="C10635" t="s">
        <v>14850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14761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14761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15043</v>
      </c>
    </row>
    <row r="10644" spans="1:3" x14ac:dyDescent="0.25">
      <c r="A10644">
        <f t="shared" si="166"/>
        <v>8708121</v>
      </c>
      <c r="B10644" t="s">
        <v>7547</v>
      </c>
      <c r="C10644" t="s">
        <v>14842</v>
      </c>
    </row>
    <row r="10645" spans="1:3" x14ac:dyDescent="0.25">
      <c r="A10645">
        <f t="shared" si="166"/>
        <v>8708121</v>
      </c>
      <c r="B10645" t="s">
        <v>7547</v>
      </c>
      <c r="C10645" t="s">
        <v>14952</v>
      </c>
    </row>
    <row r="10646" spans="1:3" x14ac:dyDescent="0.25">
      <c r="A10646">
        <f t="shared" si="166"/>
        <v>8708121</v>
      </c>
      <c r="B10646" t="s">
        <v>7547</v>
      </c>
      <c r="C10646" t="s">
        <v>14841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15001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14761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14761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14761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14761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14761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14761</v>
      </c>
    </row>
    <row r="10664" spans="1:3" x14ac:dyDescent="0.25">
      <c r="A10664">
        <f t="shared" si="166"/>
        <v>8708196</v>
      </c>
      <c r="B10664" t="s">
        <v>7567</v>
      </c>
      <c r="C10664" t="s">
        <v>15006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14761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14761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15001</v>
      </c>
    </row>
    <row r="10671" spans="1:3" x14ac:dyDescent="0.25">
      <c r="A10671">
        <f t="shared" si="166"/>
        <v>8708202</v>
      </c>
      <c r="B10671" t="s">
        <v>7573</v>
      </c>
      <c r="C10671" t="s">
        <v>15010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14761</v>
      </c>
    </row>
    <row r="10675" spans="1:3" x14ac:dyDescent="0.25">
      <c r="A10675">
        <f t="shared" si="166"/>
        <v>8708204</v>
      </c>
      <c r="B10675" t="s">
        <v>7577</v>
      </c>
      <c r="C10675" t="s">
        <v>15001</v>
      </c>
    </row>
    <row r="10676" spans="1:3" x14ac:dyDescent="0.25">
      <c r="A10676">
        <f t="shared" si="166"/>
        <v>8708204</v>
      </c>
      <c r="B10676" t="s">
        <v>7577</v>
      </c>
      <c r="C10676" t="s">
        <v>15010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14761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14761</v>
      </c>
    </row>
    <row r="10681" spans="1:3" x14ac:dyDescent="0.25">
      <c r="A10681">
        <f t="shared" si="166"/>
        <v>8708206</v>
      </c>
      <c r="B10681" t="s">
        <v>7581</v>
      </c>
      <c r="C10681" t="s">
        <v>15001</v>
      </c>
    </row>
    <row r="10682" spans="1:3" x14ac:dyDescent="0.25">
      <c r="A10682">
        <f t="shared" si="166"/>
        <v>8708206</v>
      </c>
      <c r="B10682" t="s">
        <v>7581</v>
      </c>
      <c r="C10682" t="s">
        <v>15010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14761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14761</v>
      </c>
    </row>
    <row r="10687" spans="1:3" x14ac:dyDescent="0.25">
      <c r="A10687">
        <f t="shared" si="166"/>
        <v>8708209</v>
      </c>
      <c r="B10687" t="s">
        <v>7585</v>
      </c>
      <c r="C10687" t="s">
        <v>15001</v>
      </c>
    </row>
    <row r="10688" spans="1:3" x14ac:dyDescent="0.25">
      <c r="A10688">
        <f t="shared" si="166"/>
        <v>8708209</v>
      </c>
      <c r="B10688" t="s">
        <v>7585</v>
      </c>
      <c r="C10688" t="s">
        <v>15010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14761</v>
      </c>
    </row>
    <row r="10691" spans="1:3" x14ac:dyDescent="0.25">
      <c r="A10691">
        <f t="shared" si="167"/>
        <v>8708210</v>
      </c>
      <c r="B10691" t="s">
        <v>7587</v>
      </c>
      <c r="C10691" t="s">
        <v>15001</v>
      </c>
    </row>
    <row r="10692" spans="1:3" x14ac:dyDescent="0.25">
      <c r="A10692">
        <f t="shared" si="167"/>
        <v>8708210</v>
      </c>
      <c r="B10692" t="s">
        <v>7587</v>
      </c>
      <c r="C10692" t="s">
        <v>15010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14761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15001</v>
      </c>
    </row>
    <row r="10697" spans="1:3" x14ac:dyDescent="0.25">
      <c r="A10697">
        <f t="shared" si="167"/>
        <v>8708213</v>
      </c>
      <c r="B10697" t="s">
        <v>7591</v>
      </c>
      <c r="C10697" t="s">
        <v>15010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14952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14761</v>
      </c>
    </row>
    <row r="10707" spans="1:3" x14ac:dyDescent="0.25">
      <c r="A10707">
        <f t="shared" si="167"/>
        <v>8708228</v>
      </c>
      <c r="B10707" t="s">
        <v>7604</v>
      </c>
      <c r="C10707" t="s">
        <v>14870</v>
      </c>
    </row>
    <row r="10708" spans="1:3" x14ac:dyDescent="0.25">
      <c r="A10708">
        <f t="shared" si="167"/>
        <v>8708228</v>
      </c>
      <c r="B10708" t="s">
        <v>7604</v>
      </c>
      <c r="C10708" t="s">
        <v>14871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14761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14761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14761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14933</v>
      </c>
    </row>
    <row r="10719" spans="1:3" x14ac:dyDescent="0.25">
      <c r="A10719">
        <f t="shared" si="167"/>
        <v>8708300</v>
      </c>
      <c r="B10719" t="s">
        <v>7616</v>
      </c>
      <c r="C10719" t="s">
        <v>14935</v>
      </c>
    </row>
    <row r="10720" spans="1:3" x14ac:dyDescent="0.25">
      <c r="A10720">
        <f t="shared" si="167"/>
        <v>8708300</v>
      </c>
      <c r="B10720" t="s">
        <v>7616</v>
      </c>
      <c r="C10720" t="s">
        <v>14982</v>
      </c>
    </row>
    <row r="10721" spans="1:3" x14ac:dyDescent="0.25">
      <c r="A10721">
        <f t="shared" si="167"/>
        <v>8708300</v>
      </c>
      <c r="B10721" t="s">
        <v>7616</v>
      </c>
      <c r="C10721" t="s">
        <v>14934</v>
      </c>
    </row>
    <row r="10722" spans="1:3" x14ac:dyDescent="0.25">
      <c r="A10722">
        <f t="shared" si="167"/>
        <v>8708300</v>
      </c>
      <c r="B10722" t="s">
        <v>7616</v>
      </c>
      <c r="C10722" t="s">
        <v>14983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14933</v>
      </c>
    </row>
    <row r="10725" spans="1:3" x14ac:dyDescent="0.25">
      <c r="A10725">
        <f t="shared" si="167"/>
        <v>8708301</v>
      </c>
      <c r="B10725" t="s">
        <v>7617</v>
      </c>
      <c r="C10725" t="s">
        <v>14935</v>
      </c>
    </row>
    <row r="10726" spans="1:3" x14ac:dyDescent="0.25">
      <c r="A10726">
        <f t="shared" si="167"/>
        <v>8708301</v>
      </c>
      <c r="B10726" t="s">
        <v>7617</v>
      </c>
      <c r="C10726" t="s">
        <v>14982</v>
      </c>
    </row>
    <row r="10727" spans="1:3" x14ac:dyDescent="0.25">
      <c r="A10727">
        <f t="shared" si="167"/>
        <v>8708301</v>
      </c>
      <c r="B10727" t="s">
        <v>7617</v>
      </c>
      <c r="C10727" t="s">
        <v>14934</v>
      </c>
    </row>
    <row r="10728" spans="1:3" x14ac:dyDescent="0.25">
      <c r="A10728">
        <f t="shared" si="167"/>
        <v>8708301</v>
      </c>
      <c r="B10728" t="s">
        <v>7617</v>
      </c>
      <c r="C10728" t="s">
        <v>14983</v>
      </c>
    </row>
    <row r="10729" spans="1:3" x14ac:dyDescent="0.25">
      <c r="A10729">
        <f t="shared" si="167"/>
        <v>8708304</v>
      </c>
      <c r="B10729" t="s">
        <v>14749</v>
      </c>
      <c r="C10729" t="s">
        <v>14750</v>
      </c>
    </row>
    <row r="10730" spans="1:3" x14ac:dyDescent="0.25">
      <c r="A10730">
        <f t="shared" si="167"/>
        <v>8708310</v>
      </c>
      <c r="B10730" t="s">
        <v>14751</v>
      </c>
      <c r="C10730" t="s">
        <v>14752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14753</v>
      </c>
      <c r="C10736" t="s">
        <v>14754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14811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15044</v>
      </c>
    </row>
    <row r="10747" spans="1:3" x14ac:dyDescent="0.25">
      <c r="A10747">
        <f t="shared" si="167"/>
        <v>8708601</v>
      </c>
      <c r="B10747" t="s">
        <v>7640</v>
      </c>
      <c r="C10747" t="s">
        <v>14939</v>
      </c>
    </row>
    <row r="10748" spans="1:3" x14ac:dyDescent="0.25">
      <c r="A10748">
        <f t="shared" si="167"/>
        <v>8708601</v>
      </c>
      <c r="B10748" t="s">
        <v>7640</v>
      </c>
      <c r="C10748" t="s">
        <v>14844</v>
      </c>
    </row>
    <row r="10749" spans="1:3" x14ac:dyDescent="0.25">
      <c r="A10749">
        <f t="shared" si="167"/>
        <v>8708601</v>
      </c>
      <c r="B10749" t="s">
        <v>7640</v>
      </c>
      <c r="C10749" t="s">
        <v>15045</v>
      </c>
    </row>
    <row r="10750" spans="1:3" x14ac:dyDescent="0.25">
      <c r="A10750">
        <f t="shared" si="167"/>
        <v>8708601</v>
      </c>
      <c r="B10750" t="s">
        <v>7640</v>
      </c>
      <c r="C10750" t="s">
        <v>14842</v>
      </c>
    </row>
    <row r="10751" spans="1:3" x14ac:dyDescent="0.25">
      <c r="A10751">
        <f t="shared" si="167"/>
        <v>8708601</v>
      </c>
      <c r="B10751" t="s">
        <v>7640</v>
      </c>
      <c r="C10751" t="s">
        <v>15046</v>
      </c>
    </row>
    <row r="10752" spans="1:3" x14ac:dyDescent="0.25">
      <c r="A10752">
        <f t="shared" si="167"/>
        <v>8708601</v>
      </c>
      <c r="B10752" t="s">
        <v>7640</v>
      </c>
      <c r="C10752" t="s">
        <v>14839</v>
      </c>
    </row>
    <row r="10753" spans="1:3" x14ac:dyDescent="0.25">
      <c r="A10753">
        <f t="shared" si="167"/>
        <v>8708601</v>
      </c>
      <c r="B10753" t="s">
        <v>7640</v>
      </c>
      <c r="C10753" t="s">
        <v>14840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15047</v>
      </c>
    </row>
    <row r="10755" spans="1:3" x14ac:dyDescent="0.25">
      <c r="A10755">
        <f t="shared" si="168"/>
        <v>8708601</v>
      </c>
      <c r="B10755" t="s">
        <v>7640</v>
      </c>
      <c r="C10755" t="s">
        <v>14845</v>
      </c>
    </row>
    <row r="10756" spans="1:3" x14ac:dyDescent="0.25">
      <c r="A10756">
        <f t="shared" si="168"/>
        <v>8708601</v>
      </c>
      <c r="B10756" t="s">
        <v>7640</v>
      </c>
      <c r="C10756" t="s">
        <v>15048</v>
      </c>
    </row>
    <row r="10757" spans="1:3" x14ac:dyDescent="0.25">
      <c r="A10757">
        <f t="shared" si="168"/>
        <v>8708601</v>
      </c>
      <c r="B10757" t="s">
        <v>7640</v>
      </c>
      <c r="C10757" t="s">
        <v>15049</v>
      </c>
    </row>
    <row r="10758" spans="1:3" x14ac:dyDescent="0.25">
      <c r="A10758">
        <f t="shared" si="168"/>
        <v>8708601</v>
      </c>
      <c r="B10758" t="s">
        <v>7640</v>
      </c>
      <c r="C10758" t="s">
        <v>15050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15044</v>
      </c>
    </row>
    <row r="10761" spans="1:3" x14ac:dyDescent="0.25">
      <c r="A10761">
        <f t="shared" si="168"/>
        <v>8708602</v>
      </c>
      <c r="B10761" t="s">
        <v>7642</v>
      </c>
      <c r="C10761" t="s">
        <v>14939</v>
      </c>
    </row>
    <row r="10762" spans="1:3" x14ac:dyDescent="0.25">
      <c r="A10762">
        <f t="shared" si="168"/>
        <v>8708602</v>
      </c>
      <c r="B10762" t="s">
        <v>7642</v>
      </c>
      <c r="C10762" t="s">
        <v>14844</v>
      </c>
    </row>
    <row r="10763" spans="1:3" x14ac:dyDescent="0.25">
      <c r="A10763">
        <f t="shared" si="168"/>
        <v>8708602</v>
      </c>
      <c r="B10763" t="s">
        <v>7642</v>
      </c>
      <c r="C10763" t="s">
        <v>15045</v>
      </c>
    </row>
    <row r="10764" spans="1:3" x14ac:dyDescent="0.25">
      <c r="A10764">
        <f t="shared" si="168"/>
        <v>8708602</v>
      </c>
      <c r="B10764" t="s">
        <v>7642</v>
      </c>
      <c r="C10764" t="s">
        <v>14842</v>
      </c>
    </row>
    <row r="10765" spans="1:3" x14ac:dyDescent="0.25">
      <c r="A10765">
        <f t="shared" si="168"/>
        <v>8708602</v>
      </c>
      <c r="B10765" t="s">
        <v>7642</v>
      </c>
      <c r="C10765" t="s">
        <v>15046</v>
      </c>
    </row>
    <row r="10766" spans="1:3" x14ac:dyDescent="0.25">
      <c r="A10766">
        <f t="shared" si="168"/>
        <v>8708602</v>
      </c>
      <c r="B10766" t="s">
        <v>7642</v>
      </c>
      <c r="C10766" t="s">
        <v>14839</v>
      </c>
    </row>
    <row r="10767" spans="1:3" x14ac:dyDescent="0.25">
      <c r="A10767">
        <f t="shared" si="168"/>
        <v>8708602</v>
      </c>
      <c r="B10767" t="s">
        <v>7642</v>
      </c>
      <c r="C10767" t="s">
        <v>14840</v>
      </c>
    </row>
    <row r="10768" spans="1:3" x14ac:dyDescent="0.25">
      <c r="A10768">
        <f t="shared" si="168"/>
        <v>8708602</v>
      </c>
      <c r="B10768" t="s">
        <v>7642</v>
      </c>
      <c r="C10768" t="s">
        <v>15047</v>
      </c>
    </row>
    <row r="10769" spans="1:3" x14ac:dyDescent="0.25">
      <c r="A10769">
        <f t="shared" si="168"/>
        <v>8708602</v>
      </c>
      <c r="B10769" t="s">
        <v>7642</v>
      </c>
      <c r="C10769" t="s">
        <v>15051</v>
      </c>
    </row>
    <row r="10770" spans="1:3" x14ac:dyDescent="0.25">
      <c r="A10770">
        <f t="shared" si="168"/>
        <v>8708602</v>
      </c>
      <c r="B10770" t="s">
        <v>7642</v>
      </c>
      <c r="C10770" t="s">
        <v>15048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14939</v>
      </c>
    </row>
    <row r="10773" spans="1:3" x14ac:dyDescent="0.25">
      <c r="A10773">
        <f t="shared" si="168"/>
        <v>8708603</v>
      </c>
      <c r="B10773" t="s">
        <v>7644</v>
      </c>
      <c r="C10773" t="s">
        <v>14842</v>
      </c>
    </row>
    <row r="10774" spans="1:3" x14ac:dyDescent="0.25">
      <c r="A10774">
        <f t="shared" si="168"/>
        <v>8708603</v>
      </c>
      <c r="B10774" t="s">
        <v>7644</v>
      </c>
      <c r="C10774" t="s">
        <v>14839</v>
      </c>
    </row>
    <row r="10775" spans="1:3" x14ac:dyDescent="0.25">
      <c r="A10775">
        <f t="shared" si="168"/>
        <v>8708603</v>
      </c>
      <c r="B10775" t="s">
        <v>7644</v>
      </c>
      <c r="C10775" t="s">
        <v>15049</v>
      </c>
    </row>
    <row r="10776" spans="1:3" x14ac:dyDescent="0.25">
      <c r="A10776">
        <f t="shared" si="168"/>
        <v>8708603</v>
      </c>
      <c r="B10776" t="s">
        <v>7644</v>
      </c>
      <c r="C10776" t="s">
        <v>15050</v>
      </c>
    </row>
    <row r="10777" spans="1:3" x14ac:dyDescent="0.25">
      <c r="A10777">
        <f t="shared" si="168"/>
        <v>8708603</v>
      </c>
      <c r="B10777" t="s">
        <v>7644</v>
      </c>
      <c r="C10777" t="s">
        <v>15052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15043</v>
      </c>
    </row>
    <row r="10780" spans="1:3" x14ac:dyDescent="0.25">
      <c r="A10780">
        <f t="shared" si="168"/>
        <v>8708604</v>
      </c>
      <c r="B10780" t="s">
        <v>7646</v>
      </c>
      <c r="C10780" t="s">
        <v>14844</v>
      </c>
    </row>
    <row r="10781" spans="1:3" x14ac:dyDescent="0.25">
      <c r="A10781">
        <f t="shared" si="168"/>
        <v>8708604</v>
      </c>
      <c r="B10781" t="s">
        <v>7646</v>
      </c>
      <c r="C10781" t="s">
        <v>15045</v>
      </c>
    </row>
    <row r="10782" spans="1:3" x14ac:dyDescent="0.25">
      <c r="A10782">
        <f t="shared" si="168"/>
        <v>8708604</v>
      </c>
      <c r="B10782" t="s">
        <v>7646</v>
      </c>
      <c r="C10782" t="s">
        <v>14842</v>
      </c>
    </row>
    <row r="10783" spans="1:3" x14ac:dyDescent="0.25">
      <c r="A10783">
        <f t="shared" si="168"/>
        <v>8708604</v>
      </c>
      <c r="B10783" t="s">
        <v>7646</v>
      </c>
      <c r="C10783" t="s">
        <v>15046</v>
      </c>
    </row>
    <row r="10784" spans="1:3" x14ac:dyDescent="0.25">
      <c r="A10784">
        <f t="shared" si="168"/>
        <v>8708604</v>
      </c>
      <c r="B10784" t="s">
        <v>7646</v>
      </c>
      <c r="C10784" t="s">
        <v>14839</v>
      </c>
    </row>
    <row r="10785" spans="1:3" x14ac:dyDescent="0.25">
      <c r="A10785">
        <f t="shared" si="168"/>
        <v>8708604</v>
      </c>
      <c r="B10785" t="s">
        <v>7646</v>
      </c>
      <c r="C10785" t="s">
        <v>14840</v>
      </c>
    </row>
    <row r="10786" spans="1:3" x14ac:dyDescent="0.25">
      <c r="A10786">
        <f t="shared" si="168"/>
        <v>8708604</v>
      </c>
      <c r="B10786" t="s">
        <v>7646</v>
      </c>
      <c r="C10786" t="s">
        <v>15047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15043</v>
      </c>
    </row>
    <row r="10789" spans="1:3" x14ac:dyDescent="0.25">
      <c r="A10789">
        <f t="shared" si="168"/>
        <v>8708607</v>
      </c>
      <c r="B10789" t="s">
        <v>7648</v>
      </c>
      <c r="C10789" t="s">
        <v>14844</v>
      </c>
    </row>
    <row r="10790" spans="1:3" x14ac:dyDescent="0.25">
      <c r="A10790">
        <f t="shared" si="168"/>
        <v>8708607</v>
      </c>
      <c r="B10790" t="s">
        <v>7648</v>
      </c>
      <c r="C10790" t="s">
        <v>15045</v>
      </c>
    </row>
    <row r="10791" spans="1:3" x14ac:dyDescent="0.25">
      <c r="A10791">
        <f t="shared" si="168"/>
        <v>8708607</v>
      </c>
      <c r="B10791" t="s">
        <v>7648</v>
      </c>
      <c r="C10791" t="s">
        <v>14842</v>
      </c>
    </row>
    <row r="10792" spans="1:3" x14ac:dyDescent="0.25">
      <c r="A10792">
        <f t="shared" si="168"/>
        <v>8708607</v>
      </c>
      <c r="B10792" t="s">
        <v>7648</v>
      </c>
      <c r="C10792" t="s">
        <v>15046</v>
      </c>
    </row>
    <row r="10793" spans="1:3" x14ac:dyDescent="0.25">
      <c r="A10793">
        <f t="shared" si="168"/>
        <v>8708607</v>
      </c>
      <c r="B10793" t="s">
        <v>7648</v>
      </c>
      <c r="C10793" t="s">
        <v>15047</v>
      </c>
    </row>
    <row r="10794" spans="1:3" x14ac:dyDescent="0.25">
      <c r="A10794">
        <f t="shared" si="168"/>
        <v>8708607</v>
      </c>
      <c r="B10794" t="s">
        <v>7648</v>
      </c>
      <c r="C10794" t="s">
        <v>15051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15043</v>
      </c>
    </row>
    <row r="10797" spans="1:3" x14ac:dyDescent="0.25">
      <c r="A10797">
        <f t="shared" si="168"/>
        <v>8708608</v>
      </c>
      <c r="B10797" t="s">
        <v>7650</v>
      </c>
      <c r="C10797" t="s">
        <v>15044</v>
      </c>
    </row>
    <row r="10798" spans="1:3" x14ac:dyDescent="0.25">
      <c r="A10798">
        <f t="shared" si="168"/>
        <v>8708608</v>
      </c>
      <c r="B10798" t="s">
        <v>7650</v>
      </c>
      <c r="C10798" t="s">
        <v>14939</v>
      </c>
    </row>
    <row r="10799" spans="1:3" x14ac:dyDescent="0.25">
      <c r="A10799">
        <f t="shared" si="168"/>
        <v>8708608</v>
      </c>
      <c r="B10799" t="s">
        <v>7650</v>
      </c>
      <c r="C10799" t="s">
        <v>14844</v>
      </c>
    </row>
    <row r="10800" spans="1:3" x14ac:dyDescent="0.25">
      <c r="A10800">
        <f t="shared" si="168"/>
        <v>8708608</v>
      </c>
      <c r="B10800" t="s">
        <v>7650</v>
      </c>
      <c r="C10800" t="s">
        <v>15045</v>
      </c>
    </row>
    <row r="10801" spans="1:3" x14ac:dyDescent="0.25">
      <c r="A10801">
        <f t="shared" si="168"/>
        <v>8708608</v>
      </c>
      <c r="B10801" t="s">
        <v>7650</v>
      </c>
      <c r="C10801" t="s">
        <v>14842</v>
      </c>
    </row>
    <row r="10802" spans="1:3" x14ac:dyDescent="0.25">
      <c r="A10802">
        <f t="shared" si="168"/>
        <v>8708608</v>
      </c>
      <c r="B10802" t="s">
        <v>7650</v>
      </c>
      <c r="C10802" t="s">
        <v>15046</v>
      </c>
    </row>
    <row r="10803" spans="1:3" x14ac:dyDescent="0.25">
      <c r="A10803">
        <f t="shared" si="168"/>
        <v>8708608</v>
      </c>
      <c r="B10803" t="s">
        <v>7650</v>
      </c>
      <c r="C10803" t="s">
        <v>15047</v>
      </c>
    </row>
    <row r="10804" spans="1:3" x14ac:dyDescent="0.25">
      <c r="A10804">
        <f t="shared" si="168"/>
        <v>8708608</v>
      </c>
      <c r="B10804" t="s">
        <v>7650</v>
      </c>
      <c r="C10804" t="s">
        <v>15051</v>
      </c>
    </row>
    <row r="10805" spans="1:3" x14ac:dyDescent="0.25">
      <c r="A10805">
        <f t="shared" si="168"/>
        <v>8708608</v>
      </c>
      <c r="B10805" t="s">
        <v>7650</v>
      </c>
      <c r="C10805" t="s">
        <v>15053</v>
      </c>
    </row>
    <row r="10806" spans="1:3" x14ac:dyDescent="0.25">
      <c r="A10806">
        <f t="shared" si="168"/>
        <v>8708608</v>
      </c>
      <c r="B10806" t="s">
        <v>7650</v>
      </c>
      <c r="C10806" t="s">
        <v>15048</v>
      </c>
    </row>
    <row r="10807" spans="1:3" x14ac:dyDescent="0.25">
      <c r="A10807">
        <f t="shared" si="168"/>
        <v>8708608</v>
      </c>
      <c r="B10807" t="s">
        <v>7650</v>
      </c>
      <c r="C10807" t="s">
        <v>15049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14939</v>
      </c>
    </row>
    <row r="10810" spans="1:3" x14ac:dyDescent="0.25">
      <c r="A10810">
        <f t="shared" si="168"/>
        <v>8708609</v>
      </c>
      <c r="B10810" t="s">
        <v>7652</v>
      </c>
      <c r="C10810" t="s">
        <v>15045</v>
      </c>
    </row>
    <row r="10811" spans="1:3" x14ac:dyDescent="0.25">
      <c r="A10811">
        <f t="shared" si="168"/>
        <v>8708609</v>
      </c>
      <c r="B10811" t="s">
        <v>7652</v>
      </c>
      <c r="C10811" t="s">
        <v>15046</v>
      </c>
    </row>
    <row r="10812" spans="1:3" x14ac:dyDescent="0.25">
      <c r="A10812">
        <f t="shared" si="168"/>
        <v>8708609</v>
      </c>
      <c r="B10812" t="s">
        <v>7652</v>
      </c>
      <c r="C10812" t="s">
        <v>14839</v>
      </c>
    </row>
    <row r="10813" spans="1:3" x14ac:dyDescent="0.25">
      <c r="A10813">
        <f t="shared" si="168"/>
        <v>8708609</v>
      </c>
      <c r="B10813" t="s">
        <v>7652</v>
      </c>
      <c r="C10813" t="s">
        <v>15051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14939</v>
      </c>
    </row>
    <row r="10816" spans="1:3" x14ac:dyDescent="0.25">
      <c r="A10816">
        <f t="shared" si="168"/>
        <v>8708610</v>
      </c>
      <c r="B10816" t="s">
        <v>7654</v>
      </c>
      <c r="C10816" t="s">
        <v>14844</v>
      </c>
    </row>
    <row r="10817" spans="1:3" x14ac:dyDescent="0.25">
      <c r="A10817">
        <f t="shared" si="168"/>
        <v>8708610</v>
      </c>
      <c r="B10817" t="s">
        <v>7654</v>
      </c>
      <c r="C10817" t="s">
        <v>14842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14839</v>
      </c>
    </row>
    <row r="10819" spans="1:3" x14ac:dyDescent="0.25">
      <c r="A10819">
        <f t="shared" si="169"/>
        <v>8708610</v>
      </c>
      <c r="B10819" t="s">
        <v>7654</v>
      </c>
      <c r="C10819" t="s">
        <v>15051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15001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14761</v>
      </c>
    </row>
    <row r="10825" spans="1:3" x14ac:dyDescent="0.25">
      <c r="A10825">
        <f t="shared" si="169"/>
        <v>8708617</v>
      </c>
      <c r="B10825" t="s">
        <v>7659</v>
      </c>
      <c r="C10825" t="s">
        <v>15001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14939</v>
      </c>
    </row>
    <row r="10829" spans="1:3" x14ac:dyDescent="0.25">
      <c r="A10829">
        <f t="shared" si="169"/>
        <v>8708620</v>
      </c>
      <c r="B10829" t="s">
        <v>7662</v>
      </c>
      <c r="C10829" t="s">
        <v>14844</v>
      </c>
    </row>
    <row r="10830" spans="1:3" x14ac:dyDescent="0.25">
      <c r="A10830">
        <f t="shared" si="169"/>
        <v>8708620</v>
      </c>
      <c r="B10830" t="s">
        <v>7662</v>
      </c>
      <c r="C10830" t="s">
        <v>15045</v>
      </c>
    </row>
    <row r="10831" spans="1:3" x14ac:dyDescent="0.25">
      <c r="A10831">
        <f t="shared" si="169"/>
        <v>8708620</v>
      </c>
      <c r="B10831" t="s">
        <v>7662</v>
      </c>
      <c r="C10831" t="s">
        <v>14842</v>
      </c>
    </row>
    <row r="10832" spans="1:3" x14ac:dyDescent="0.25">
      <c r="A10832">
        <f t="shared" si="169"/>
        <v>8708620</v>
      </c>
      <c r="B10832" t="s">
        <v>7662</v>
      </c>
      <c r="C10832" t="s">
        <v>15046</v>
      </c>
    </row>
    <row r="10833" spans="1:3" x14ac:dyDescent="0.25">
      <c r="A10833">
        <f t="shared" si="169"/>
        <v>8708620</v>
      </c>
      <c r="B10833" t="s">
        <v>7662</v>
      </c>
      <c r="C10833" t="s">
        <v>14839</v>
      </c>
    </row>
    <row r="10834" spans="1:3" x14ac:dyDescent="0.25">
      <c r="A10834">
        <f t="shared" si="169"/>
        <v>8708620</v>
      </c>
      <c r="B10834" t="s">
        <v>7662</v>
      </c>
      <c r="C10834" t="s">
        <v>15047</v>
      </c>
    </row>
    <row r="10835" spans="1:3" x14ac:dyDescent="0.25">
      <c r="A10835">
        <f t="shared" si="169"/>
        <v>8708620</v>
      </c>
      <c r="B10835" t="s">
        <v>7662</v>
      </c>
      <c r="C10835" t="s">
        <v>15051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14842</v>
      </c>
    </row>
    <row r="10838" spans="1:3" x14ac:dyDescent="0.25">
      <c r="A10838">
        <f t="shared" si="169"/>
        <v>8708625</v>
      </c>
      <c r="B10838" t="s">
        <v>7664</v>
      </c>
      <c r="C10838" t="s">
        <v>15046</v>
      </c>
    </row>
    <row r="10839" spans="1:3" x14ac:dyDescent="0.25">
      <c r="A10839">
        <f t="shared" si="169"/>
        <v>8708625</v>
      </c>
      <c r="B10839" t="s">
        <v>7664</v>
      </c>
      <c r="C10839" t="s">
        <v>14840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14842</v>
      </c>
    </row>
    <row r="10842" spans="1:3" x14ac:dyDescent="0.25">
      <c r="A10842">
        <f t="shared" si="169"/>
        <v>8708628</v>
      </c>
      <c r="B10842" t="s">
        <v>7666</v>
      </c>
      <c r="C10842" t="s">
        <v>15046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14761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14761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14939</v>
      </c>
    </row>
    <row r="10850" spans="1:3" x14ac:dyDescent="0.25">
      <c r="A10850">
        <f t="shared" si="169"/>
        <v>8708634</v>
      </c>
      <c r="B10850" t="s">
        <v>7674</v>
      </c>
      <c r="C10850" t="s">
        <v>15045</v>
      </c>
    </row>
    <row r="10851" spans="1:3" x14ac:dyDescent="0.25">
      <c r="A10851">
        <f t="shared" si="169"/>
        <v>8708634</v>
      </c>
      <c r="B10851" t="s">
        <v>7674</v>
      </c>
      <c r="C10851" t="s">
        <v>14840</v>
      </c>
    </row>
    <row r="10852" spans="1:3" x14ac:dyDescent="0.25">
      <c r="A10852">
        <f t="shared" si="169"/>
        <v>8708634</v>
      </c>
      <c r="B10852" t="s">
        <v>7674</v>
      </c>
      <c r="C10852" t="s">
        <v>15051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14939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14761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14761</v>
      </c>
    </row>
    <row r="10860" spans="1:3" x14ac:dyDescent="0.25">
      <c r="A10860">
        <f t="shared" si="169"/>
        <v>8708639</v>
      </c>
      <c r="B10860" t="s">
        <v>7682</v>
      </c>
      <c r="C10860" t="s">
        <v>14939</v>
      </c>
    </row>
    <row r="10861" spans="1:3" x14ac:dyDescent="0.25">
      <c r="A10861">
        <f t="shared" si="169"/>
        <v>8708639</v>
      </c>
      <c r="B10861" t="s">
        <v>7682</v>
      </c>
      <c r="C10861" t="s">
        <v>14842</v>
      </c>
    </row>
    <row r="10862" spans="1:3" x14ac:dyDescent="0.25">
      <c r="A10862">
        <f t="shared" si="169"/>
        <v>8708639</v>
      </c>
      <c r="B10862" t="s">
        <v>7682</v>
      </c>
      <c r="C10862" t="s">
        <v>14840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15046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14842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14939</v>
      </c>
    </row>
    <row r="10870" spans="1:3" x14ac:dyDescent="0.25">
      <c r="A10870">
        <f t="shared" si="169"/>
        <v>8708657</v>
      </c>
      <c r="B10870" t="s">
        <v>7690</v>
      </c>
      <c r="C10870" t="s">
        <v>15046</v>
      </c>
    </row>
    <row r="10871" spans="1:3" x14ac:dyDescent="0.25">
      <c r="A10871">
        <f t="shared" si="169"/>
        <v>8708657</v>
      </c>
      <c r="B10871" t="s">
        <v>7690</v>
      </c>
      <c r="C10871" t="s">
        <v>15051</v>
      </c>
    </row>
    <row r="10872" spans="1:3" x14ac:dyDescent="0.25">
      <c r="A10872">
        <f t="shared" si="169"/>
        <v>8708657</v>
      </c>
      <c r="B10872" t="s">
        <v>7690</v>
      </c>
      <c r="C10872" t="s">
        <v>15048</v>
      </c>
    </row>
    <row r="10873" spans="1:3" x14ac:dyDescent="0.25">
      <c r="A10873">
        <f t="shared" si="169"/>
        <v>8708774</v>
      </c>
      <c r="B10873" t="s">
        <v>14755</v>
      </c>
      <c r="C10873" t="s">
        <v>14756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14761</v>
      </c>
    </row>
    <row r="10876" spans="1:3" x14ac:dyDescent="0.25">
      <c r="A10876">
        <f t="shared" si="169"/>
        <v>8708815</v>
      </c>
      <c r="B10876" t="s">
        <v>7692</v>
      </c>
      <c r="C10876" t="s">
        <v>14844</v>
      </c>
    </row>
    <row r="10877" spans="1:3" x14ac:dyDescent="0.25">
      <c r="A10877">
        <f t="shared" si="169"/>
        <v>8708815</v>
      </c>
      <c r="B10877" t="s">
        <v>7692</v>
      </c>
      <c r="C10877" t="s">
        <v>14842</v>
      </c>
    </row>
    <row r="10878" spans="1:3" x14ac:dyDescent="0.25">
      <c r="A10878">
        <f t="shared" si="169"/>
        <v>8708815</v>
      </c>
      <c r="B10878" t="s">
        <v>7692</v>
      </c>
      <c r="C10878" t="s">
        <v>14839</v>
      </c>
    </row>
    <row r="10879" spans="1:3" x14ac:dyDescent="0.25">
      <c r="A10879">
        <f t="shared" si="169"/>
        <v>8708815</v>
      </c>
      <c r="B10879" t="s">
        <v>7692</v>
      </c>
      <c r="C10879" t="s">
        <v>14840</v>
      </c>
    </row>
    <row r="10880" spans="1:3" x14ac:dyDescent="0.25">
      <c r="A10880">
        <f t="shared" si="169"/>
        <v>8708815</v>
      </c>
      <c r="B10880" t="s">
        <v>7692</v>
      </c>
      <c r="C10880" t="s">
        <v>15047</v>
      </c>
    </row>
    <row r="10881" spans="1:3" x14ac:dyDescent="0.25">
      <c r="A10881">
        <f t="shared" si="169"/>
        <v>8708815</v>
      </c>
      <c r="B10881" t="s">
        <v>7692</v>
      </c>
      <c r="C10881" t="s">
        <v>15051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14761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14939</v>
      </c>
    </row>
    <row r="10886" spans="1:3" x14ac:dyDescent="0.25">
      <c r="A10886">
        <f t="shared" si="170"/>
        <v>8708899</v>
      </c>
      <c r="B10886" t="s">
        <v>7696</v>
      </c>
      <c r="C10886" t="s">
        <v>14842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14867</v>
      </c>
    </row>
    <row r="10889" spans="1:3" x14ac:dyDescent="0.25">
      <c r="A10889">
        <f t="shared" si="170"/>
        <v>8708900</v>
      </c>
      <c r="B10889" t="s">
        <v>7698</v>
      </c>
      <c r="C10889" t="s">
        <v>14868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14867</v>
      </c>
    </row>
    <row r="10893" spans="1:3" x14ac:dyDescent="0.25">
      <c r="A10893">
        <f t="shared" si="170"/>
        <v>8708901</v>
      </c>
      <c r="B10893" t="s">
        <v>7701</v>
      </c>
      <c r="C10893" t="s">
        <v>14868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14939</v>
      </c>
    </row>
    <row r="10896" spans="1:3" x14ac:dyDescent="0.25">
      <c r="A10896">
        <f t="shared" si="170"/>
        <v>8708907</v>
      </c>
      <c r="B10896" t="s">
        <v>7703</v>
      </c>
      <c r="C10896" t="s">
        <v>14842</v>
      </c>
    </row>
    <row r="10897" spans="1:3" x14ac:dyDescent="0.25">
      <c r="A10897">
        <f t="shared" si="170"/>
        <v>8708907</v>
      </c>
      <c r="B10897" t="s">
        <v>7703</v>
      </c>
      <c r="C10897" t="s">
        <v>14840</v>
      </c>
    </row>
    <row r="10898" spans="1:3" x14ac:dyDescent="0.25">
      <c r="A10898">
        <f t="shared" si="170"/>
        <v>8708907</v>
      </c>
      <c r="B10898" t="s">
        <v>7703</v>
      </c>
      <c r="C10898" t="s">
        <v>15054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14761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15055</v>
      </c>
    </row>
    <row r="10904" spans="1:3" x14ac:dyDescent="0.25">
      <c r="A10904">
        <f t="shared" si="170"/>
        <v>8709698</v>
      </c>
      <c r="B10904" t="s">
        <v>7709</v>
      </c>
      <c r="C10904" t="s">
        <v>14770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15056</v>
      </c>
    </row>
    <row r="10909" spans="1:3" x14ac:dyDescent="0.25">
      <c r="A10909">
        <f t="shared" si="170"/>
        <v>8711047</v>
      </c>
      <c r="B10909" t="s">
        <v>7714</v>
      </c>
      <c r="C10909" t="s">
        <v>14853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15056</v>
      </c>
    </row>
    <row r="10912" spans="1:3" x14ac:dyDescent="0.25">
      <c r="A10912">
        <f t="shared" si="170"/>
        <v>8711048</v>
      </c>
      <c r="B10912" t="s">
        <v>7716</v>
      </c>
      <c r="C10912" t="s">
        <v>14853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14761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15057</v>
      </c>
    </row>
    <row r="10917" spans="1:3" x14ac:dyDescent="0.25">
      <c r="A10917">
        <f t="shared" si="170"/>
        <v>8711105</v>
      </c>
      <c r="B10917" t="s">
        <v>7720</v>
      </c>
      <c r="C10917" t="s">
        <v>14853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14761</v>
      </c>
    </row>
    <row r="10920" spans="1:3" x14ac:dyDescent="0.25">
      <c r="A10920">
        <f t="shared" si="170"/>
        <v>8711700</v>
      </c>
      <c r="B10920" t="s">
        <v>7722</v>
      </c>
      <c r="C10920" t="s">
        <v>15056</v>
      </c>
    </row>
    <row r="10921" spans="1:3" x14ac:dyDescent="0.25">
      <c r="A10921">
        <f t="shared" si="170"/>
        <v>8711700</v>
      </c>
      <c r="B10921" t="s">
        <v>7722</v>
      </c>
      <c r="C10921" t="s">
        <v>14853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14761</v>
      </c>
    </row>
    <row r="10924" spans="1:3" x14ac:dyDescent="0.25">
      <c r="A10924">
        <f t="shared" si="170"/>
        <v>8711701</v>
      </c>
      <c r="B10924" t="s">
        <v>7724</v>
      </c>
      <c r="C10924" t="s">
        <v>15056</v>
      </c>
    </row>
    <row r="10925" spans="1:3" x14ac:dyDescent="0.25">
      <c r="A10925">
        <f t="shared" si="170"/>
        <v>8711701</v>
      </c>
      <c r="B10925" t="s">
        <v>7724</v>
      </c>
      <c r="C10925" t="s">
        <v>14853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14761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15057</v>
      </c>
    </row>
    <row r="10931" spans="1:3" x14ac:dyDescent="0.25">
      <c r="A10931">
        <f t="shared" si="170"/>
        <v>8711704</v>
      </c>
      <c r="B10931" t="s">
        <v>7729</v>
      </c>
      <c r="C10931" t="s">
        <v>14853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15057</v>
      </c>
    </row>
    <row r="10934" spans="1:3" x14ac:dyDescent="0.25">
      <c r="A10934">
        <f t="shared" si="170"/>
        <v>8711706</v>
      </c>
      <c r="B10934" t="s">
        <v>7731</v>
      </c>
      <c r="C10934" t="s">
        <v>14853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15057</v>
      </c>
    </row>
    <row r="10938" spans="1:3" x14ac:dyDescent="0.25">
      <c r="A10938">
        <f t="shared" si="170"/>
        <v>8711707</v>
      </c>
      <c r="B10938" t="s">
        <v>7734</v>
      </c>
      <c r="C10938" t="s">
        <v>14853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14761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14761</v>
      </c>
    </row>
    <row r="10945" spans="1:3" x14ac:dyDescent="0.25">
      <c r="A10945">
        <f t="shared" si="170"/>
        <v>8717033</v>
      </c>
      <c r="B10945" t="s">
        <v>7741</v>
      </c>
      <c r="C10945" t="s">
        <v>14934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14930</v>
      </c>
    </row>
    <row r="10947" spans="1:3" x14ac:dyDescent="0.25">
      <c r="A10947">
        <f t="shared" si="171"/>
        <v>8717033</v>
      </c>
      <c r="B10947" t="s">
        <v>7741</v>
      </c>
      <c r="C10947" t="s">
        <v>14931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14797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14770</v>
      </c>
    </row>
    <row r="10960" spans="1:3" x14ac:dyDescent="0.25">
      <c r="A10960">
        <f t="shared" si="171"/>
        <v>8857005</v>
      </c>
      <c r="B10960" t="s">
        <v>7756</v>
      </c>
      <c r="C10960" t="s">
        <v>15058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14761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14797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14797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15059</v>
      </c>
    </row>
    <row r="11042" spans="1:3" x14ac:dyDescent="0.25">
      <c r="A11042">
        <f t="shared" si="172"/>
        <v>9003001</v>
      </c>
      <c r="B11042" t="s">
        <v>7872</v>
      </c>
      <c r="C11042" t="s">
        <v>15060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14900</v>
      </c>
    </row>
    <row r="11045" spans="1:3" x14ac:dyDescent="0.25">
      <c r="A11045">
        <f t="shared" si="172"/>
        <v>9003002</v>
      </c>
      <c r="B11045" t="s">
        <v>7874</v>
      </c>
      <c r="C11045" t="s">
        <v>15059</v>
      </c>
    </row>
    <row r="11046" spans="1:3" x14ac:dyDescent="0.25">
      <c r="A11046">
        <f t="shared" si="172"/>
        <v>9003002</v>
      </c>
      <c r="B11046" t="s">
        <v>7874</v>
      </c>
      <c r="C11046" t="s">
        <v>15060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15059</v>
      </c>
    </row>
    <row r="11049" spans="1:3" x14ac:dyDescent="0.25">
      <c r="A11049">
        <f t="shared" si="172"/>
        <v>9003003</v>
      </c>
      <c r="B11049" t="s">
        <v>7876</v>
      </c>
      <c r="C11049" t="s">
        <v>15060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15059</v>
      </c>
    </row>
    <row r="11053" spans="1:3" x14ac:dyDescent="0.25">
      <c r="A11053">
        <f t="shared" si="172"/>
        <v>9003004</v>
      </c>
      <c r="B11053" t="s">
        <v>7879</v>
      </c>
      <c r="C11053" t="s">
        <v>15060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15059</v>
      </c>
    </row>
    <row r="11057" spans="1:3" x14ac:dyDescent="0.25">
      <c r="A11057">
        <f t="shared" si="172"/>
        <v>9003005</v>
      </c>
      <c r="B11057" t="s">
        <v>7882</v>
      </c>
      <c r="C11057" t="s">
        <v>15060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14761</v>
      </c>
    </row>
    <row r="11060" spans="1:3" x14ac:dyDescent="0.25">
      <c r="A11060">
        <f t="shared" si="172"/>
        <v>9003006</v>
      </c>
      <c r="B11060" t="s">
        <v>7884</v>
      </c>
      <c r="C11060" t="s">
        <v>14767</v>
      </c>
    </row>
    <row r="11061" spans="1:3" x14ac:dyDescent="0.25">
      <c r="A11061">
        <f t="shared" si="172"/>
        <v>9003006</v>
      </c>
      <c r="B11061" t="s">
        <v>7884</v>
      </c>
      <c r="C11061" t="s">
        <v>15061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14761</v>
      </c>
    </row>
    <row r="11064" spans="1:3" x14ac:dyDescent="0.25">
      <c r="A11064">
        <f t="shared" si="172"/>
        <v>9003007</v>
      </c>
      <c r="B11064" t="s">
        <v>7886</v>
      </c>
      <c r="C11064" t="s">
        <v>14900</v>
      </c>
    </row>
    <row r="11065" spans="1:3" x14ac:dyDescent="0.25">
      <c r="A11065">
        <f t="shared" si="172"/>
        <v>9003007</v>
      </c>
      <c r="B11065" t="s">
        <v>7886</v>
      </c>
      <c r="C11065" t="s">
        <v>15059</v>
      </c>
    </row>
    <row r="11066" spans="1:3" x14ac:dyDescent="0.25">
      <c r="A11066">
        <f t="shared" si="172"/>
        <v>9003007</v>
      </c>
      <c r="B11066" t="s">
        <v>7886</v>
      </c>
      <c r="C11066" t="s">
        <v>15060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14761</v>
      </c>
    </row>
    <row r="11069" spans="1:3" x14ac:dyDescent="0.25">
      <c r="A11069">
        <f t="shared" si="172"/>
        <v>9003008</v>
      </c>
      <c r="B11069" t="s">
        <v>7888</v>
      </c>
      <c r="C11069" t="s">
        <v>14900</v>
      </c>
    </row>
    <row r="11070" spans="1:3" x14ac:dyDescent="0.25">
      <c r="A11070">
        <f t="shared" si="172"/>
        <v>9003008</v>
      </c>
      <c r="B11070" t="s">
        <v>7888</v>
      </c>
      <c r="C11070" t="s">
        <v>15059</v>
      </c>
    </row>
    <row r="11071" spans="1:3" x14ac:dyDescent="0.25">
      <c r="A11071">
        <f t="shared" si="172"/>
        <v>9003008</v>
      </c>
      <c r="B11071" t="s">
        <v>7888</v>
      </c>
      <c r="C11071" t="s">
        <v>15060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14761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14900</v>
      </c>
    </row>
    <row r="11075" spans="1:3" x14ac:dyDescent="0.25">
      <c r="A11075">
        <f t="shared" si="173"/>
        <v>9003009</v>
      </c>
      <c r="B11075" t="s">
        <v>7890</v>
      </c>
      <c r="C11075" t="s">
        <v>15059</v>
      </c>
    </row>
    <row r="11076" spans="1:3" x14ac:dyDescent="0.25">
      <c r="A11076">
        <f t="shared" si="173"/>
        <v>9003009</v>
      </c>
      <c r="B11076" t="s">
        <v>7890</v>
      </c>
      <c r="C11076" t="s">
        <v>15060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15059</v>
      </c>
    </row>
    <row r="11079" spans="1:3" x14ac:dyDescent="0.25">
      <c r="A11079">
        <f t="shared" si="173"/>
        <v>9003010</v>
      </c>
      <c r="B11079" t="s">
        <v>7892</v>
      </c>
      <c r="C11079" t="s">
        <v>15060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15059</v>
      </c>
    </row>
    <row r="11082" spans="1:3" x14ac:dyDescent="0.25">
      <c r="A11082">
        <f t="shared" si="173"/>
        <v>9003011</v>
      </c>
      <c r="B11082" t="s">
        <v>7894</v>
      </c>
      <c r="C11082" t="s">
        <v>15060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15059</v>
      </c>
    </row>
    <row r="11085" spans="1:3" x14ac:dyDescent="0.25">
      <c r="A11085">
        <f t="shared" si="173"/>
        <v>9003012</v>
      </c>
      <c r="B11085" t="s">
        <v>7896</v>
      </c>
      <c r="C11085" t="s">
        <v>15060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15059</v>
      </c>
    </row>
    <row r="11089" spans="1:3" x14ac:dyDescent="0.25">
      <c r="A11089">
        <f t="shared" si="173"/>
        <v>9003013</v>
      </c>
      <c r="B11089" t="s">
        <v>7899</v>
      </c>
      <c r="C11089" t="s">
        <v>15060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15059</v>
      </c>
    </row>
    <row r="11092" spans="1:3" x14ac:dyDescent="0.25">
      <c r="A11092">
        <f t="shared" si="173"/>
        <v>9003014</v>
      </c>
      <c r="B11092" t="s">
        <v>7901</v>
      </c>
      <c r="C11092" t="s">
        <v>15060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15059</v>
      </c>
    </row>
    <row r="11096" spans="1:3" x14ac:dyDescent="0.25">
      <c r="A11096">
        <f t="shared" si="173"/>
        <v>9003015</v>
      </c>
      <c r="B11096" t="s">
        <v>7904</v>
      </c>
      <c r="C11096" t="s">
        <v>15060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15059</v>
      </c>
    </row>
    <row r="11099" spans="1:3" x14ac:dyDescent="0.25">
      <c r="A11099">
        <f t="shared" si="173"/>
        <v>9003016</v>
      </c>
      <c r="B11099" t="s">
        <v>7906</v>
      </c>
      <c r="C11099" t="s">
        <v>15060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15059</v>
      </c>
    </row>
    <row r="11105" spans="1:3" x14ac:dyDescent="0.25">
      <c r="A11105">
        <f t="shared" si="173"/>
        <v>9003019</v>
      </c>
      <c r="B11105" t="s">
        <v>7913</v>
      </c>
      <c r="C11105" t="s">
        <v>15060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14840</v>
      </c>
    </row>
    <row r="11108" spans="1:3" x14ac:dyDescent="0.25">
      <c r="A11108">
        <f t="shared" si="173"/>
        <v>9003020</v>
      </c>
      <c r="B11108" t="s">
        <v>7915</v>
      </c>
      <c r="C11108" t="s">
        <v>14845</v>
      </c>
    </row>
    <row r="11109" spans="1:3" x14ac:dyDescent="0.25">
      <c r="A11109">
        <f t="shared" si="173"/>
        <v>9003020</v>
      </c>
      <c r="B11109" t="s">
        <v>7915</v>
      </c>
      <c r="C11109" t="s">
        <v>15059</v>
      </c>
    </row>
    <row r="11110" spans="1:3" x14ac:dyDescent="0.25">
      <c r="A11110">
        <f t="shared" si="173"/>
        <v>9003020</v>
      </c>
      <c r="B11110" t="s">
        <v>7915</v>
      </c>
      <c r="C11110" t="s">
        <v>15060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15059</v>
      </c>
    </row>
    <row r="11113" spans="1:3" x14ac:dyDescent="0.25">
      <c r="A11113">
        <f t="shared" si="173"/>
        <v>9003021</v>
      </c>
      <c r="B11113" t="s">
        <v>7917</v>
      </c>
      <c r="C11113" t="s">
        <v>15060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15059</v>
      </c>
    </row>
    <row r="11117" spans="1:3" x14ac:dyDescent="0.25">
      <c r="A11117">
        <f t="shared" si="173"/>
        <v>9003022</v>
      </c>
      <c r="B11117" t="s">
        <v>7920</v>
      </c>
      <c r="C11117" t="s">
        <v>15060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14900</v>
      </c>
    </row>
    <row r="11120" spans="1:3" x14ac:dyDescent="0.25">
      <c r="A11120">
        <f t="shared" si="173"/>
        <v>9003023</v>
      </c>
      <c r="B11120" t="s">
        <v>7922</v>
      </c>
      <c r="C11120" t="s">
        <v>15059</v>
      </c>
    </row>
    <row r="11121" spans="1:3" x14ac:dyDescent="0.25">
      <c r="A11121">
        <f t="shared" si="173"/>
        <v>9003023</v>
      </c>
      <c r="B11121" t="s">
        <v>7922</v>
      </c>
      <c r="C11121" t="s">
        <v>15060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14761</v>
      </c>
    </row>
    <row r="11124" spans="1:3" x14ac:dyDescent="0.25">
      <c r="A11124">
        <f t="shared" si="173"/>
        <v>9003024</v>
      </c>
      <c r="B11124" t="s">
        <v>7924</v>
      </c>
      <c r="C11124" t="s">
        <v>14900</v>
      </c>
    </row>
    <row r="11125" spans="1:3" x14ac:dyDescent="0.25">
      <c r="A11125">
        <f t="shared" si="173"/>
        <v>9003024</v>
      </c>
      <c r="B11125" t="s">
        <v>7924</v>
      </c>
      <c r="C11125" t="s">
        <v>15059</v>
      </c>
    </row>
    <row r="11126" spans="1:3" x14ac:dyDescent="0.25">
      <c r="A11126">
        <f t="shared" si="173"/>
        <v>9003024</v>
      </c>
      <c r="B11126" t="s">
        <v>7924</v>
      </c>
      <c r="C11126" t="s">
        <v>15060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15060</v>
      </c>
    </row>
    <row r="11130" spans="1:3" x14ac:dyDescent="0.25">
      <c r="A11130">
        <f t="shared" si="173"/>
        <v>9003025</v>
      </c>
      <c r="B11130" t="s">
        <v>7926</v>
      </c>
      <c r="C11130" t="s">
        <v>15061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14933</v>
      </c>
    </row>
    <row r="11133" spans="1:3" x14ac:dyDescent="0.25">
      <c r="A11133">
        <f t="shared" si="173"/>
        <v>9003026</v>
      </c>
      <c r="B11133" t="s">
        <v>7928</v>
      </c>
      <c r="C11133" t="s">
        <v>14934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14939</v>
      </c>
    </row>
    <row r="11136" spans="1:3" x14ac:dyDescent="0.25">
      <c r="A11136">
        <f t="shared" si="173"/>
        <v>9003090</v>
      </c>
      <c r="B11136" t="s">
        <v>7930</v>
      </c>
      <c r="C11136" t="s">
        <v>14842</v>
      </c>
    </row>
    <row r="11137" spans="1:3" x14ac:dyDescent="0.25">
      <c r="A11137">
        <f t="shared" si="173"/>
        <v>9003090</v>
      </c>
      <c r="B11137" t="s">
        <v>7930</v>
      </c>
      <c r="C11137" t="s">
        <v>14952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14933</v>
      </c>
    </row>
    <row r="11140" spans="1:3" x14ac:dyDescent="0.25">
      <c r="A11140">
        <f t="shared" si="174"/>
        <v>9003100</v>
      </c>
      <c r="B11140" t="s">
        <v>7932</v>
      </c>
      <c r="C11140" t="s">
        <v>14935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14933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14761</v>
      </c>
    </row>
    <row r="11145" spans="1:3" x14ac:dyDescent="0.25">
      <c r="A11145">
        <f t="shared" si="174"/>
        <v>9003417</v>
      </c>
      <c r="B11145" t="s">
        <v>7936</v>
      </c>
      <c r="C11145" t="s">
        <v>14767</v>
      </c>
    </row>
    <row r="11146" spans="1:3" x14ac:dyDescent="0.25">
      <c r="A11146">
        <f t="shared" si="174"/>
        <v>9003417</v>
      </c>
      <c r="B11146" t="s">
        <v>7936</v>
      </c>
      <c r="C11146" t="s">
        <v>15061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14767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14813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15062</v>
      </c>
    </row>
    <row r="11164" spans="1:3" x14ac:dyDescent="0.25">
      <c r="A11164">
        <f t="shared" si="174"/>
        <v>9003981</v>
      </c>
      <c r="B11164" t="s">
        <v>7958</v>
      </c>
      <c r="C11164" t="s">
        <v>15060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14767</v>
      </c>
    </row>
    <row r="11168" spans="1:3" x14ac:dyDescent="0.25">
      <c r="A11168">
        <f t="shared" si="174"/>
        <v>9003985</v>
      </c>
      <c r="B11168" t="s">
        <v>7961</v>
      </c>
      <c r="C11168" t="s">
        <v>15061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14767</v>
      </c>
    </row>
    <row r="11172" spans="1:3" x14ac:dyDescent="0.25">
      <c r="A11172">
        <f t="shared" si="174"/>
        <v>900398501</v>
      </c>
      <c r="B11172" t="s">
        <v>7964</v>
      </c>
      <c r="C11172" t="s">
        <v>15061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14767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15062</v>
      </c>
    </row>
    <row r="11179" spans="1:3" x14ac:dyDescent="0.25">
      <c r="A11179">
        <f t="shared" si="174"/>
        <v>9003986</v>
      </c>
      <c r="B11179" t="s">
        <v>7970</v>
      </c>
      <c r="C11179" t="s">
        <v>15060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14761</v>
      </c>
    </row>
    <row r="11182" spans="1:3" x14ac:dyDescent="0.25">
      <c r="A11182">
        <f t="shared" si="174"/>
        <v>9003988</v>
      </c>
      <c r="B11182" t="s">
        <v>7972</v>
      </c>
      <c r="C11182" t="s">
        <v>15062</v>
      </c>
    </row>
    <row r="11183" spans="1:3" x14ac:dyDescent="0.25">
      <c r="A11183">
        <f t="shared" si="174"/>
        <v>9003988</v>
      </c>
      <c r="B11183" t="s">
        <v>7972</v>
      </c>
      <c r="C11183" t="s">
        <v>15060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14767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14767</v>
      </c>
    </row>
    <row r="11191" spans="1:3" x14ac:dyDescent="0.25">
      <c r="A11191">
        <f t="shared" si="174"/>
        <v>900697601</v>
      </c>
      <c r="B11191" t="s">
        <v>7981</v>
      </c>
      <c r="C11191" t="s">
        <v>15061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14797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14797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14797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14811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14782</v>
      </c>
    </row>
    <row r="11224" spans="1:3" x14ac:dyDescent="0.25">
      <c r="A11224">
        <f t="shared" si="175"/>
        <v>9999022</v>
      </c>
      <c r="B11224" t="s">
        <v>8018</v>
      </c>
      <c r="C11224" t="s">
        <v>15063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15064</v>
      </c>
    </row>
    <row r="11227" spans="1:3" x14ac:dyDescent="0.25">
      <c r="A11227">
        <f t="shared" si="175"/>
        <v>9999025</v>
      </c>
      <c r="B11227" t="s">
        <v>8020</v>
      </c>
      <c r="C11227" t="s">
        <v>15065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14997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15064</v>
      </c>
    </row>
    <row r="11234" spans="1:3" x14ac:dyDescent="0.25">
      <c r="A11234">
        <f t="shared" si="175"/>
        <v>9999050</v>
      </c>
      <c r="B11234" t="s">
        <v>8026</v>
      </c>
      <c r="C11234" t="s">
        <v>15065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15064</v>
      </c>
    </row>
    <row r="11238" spans="1:3" x14ac:dyDescent="0.25">
      <c r="A11238">
        <f t="shared" si="175"/>
        <v>9999075</v>
      </c>
      <c r="B11238" t="s">
        <v>8029</v>
      </c>
      <c r="C11238" t="s">
        <v>15065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14797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14797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14788</v>
      </c>
    </row>
    <row r="11315" spans="1:3" x14ac:dyDescent="0.25">
      <c r="A11315" t="str">
        <f t="shared" si="176"/>
        <v/>
      </c>
      <c r="B11315" t="s">
        <v>8173</v>
      </c>
      <c r="C11315" t="s">
        <v>15066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14788</v>
      </c>
    </row>
    <row r="11318" spans="1:3" x14ac:dyDescent="0.25">
      <c r="A11318" t="str">
        <f t="shared" si="176"/>
        <v/>
      </c>
      <c r="B11318" t="s">
        <v>8175</v>
      </c>
      <c r="C11318" t="s">
        <v>15066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14974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14850</v>
      </c>
    </row>
    <row r="11323" spans="1:3" x14ac:dyDescent="0.25">
      <c r="A11323" t="str">
        <f t="shared" si="176"/>
        <v/>
      </c>
      <c r="B11323" t="s">
        <v>8179</v>
      </c>
      <c r="C11323" t="s">
        <v>15067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15068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15069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15070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15071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2023-02-15T20:07:42Z</cp:lastPrinted>
  <dcterms:created xsi:type="dcterms:W3CDTF">2020-05-12T14:02:24Z</dcterms:created>
  <dcterms:modified xsi:type="dcterms:W3CDTF">2023-02-15T20:19:27Z</dcterms:modified>
</cp:coreProperties>
</file>