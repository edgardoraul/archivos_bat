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Opciones!$A$2:$A$6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I4" i="1" l="1"/>
  <c r="I3" i="1"/>
  <c r="I2" i="1"/>
  <c r="A4688" i="2" l="1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4679" i="2" l="1"/>
  <c r="A4680" i="2"/>
  <c r="A4681" i="2"/>
  <c r="A4682" i="2"/>
  <c r="A4683" i="2"/>
  <c r="A4684" i="2"/>
  <c r="A4685" i="2"/>
  <c r="A4686" i="2"/>
  <c r="A4687" i="2"/>
  <c r="A4382" i="2" l="1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4" i="2" l="1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B3" i="15" l="1"/>
  <c r="F2" i="15"/>
  <c r="B2" i="15"/>
  <c r="F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3" i="2" l="1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F4" i="15" l="1"/>
  <c r="B4" i="15"/>
  <c r="D16" i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<sst xmlns="http://schemas.openxmlformats.org/spreadsheetml/2006/main" count="38984" uniqueCount="15148">
  <si>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</si>
  <si>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</si>
  <si>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</si>
  <si>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</si>
  <si>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</si>
  <si>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</si>
  <si>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</si>
  <si>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</si>
  <si>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</si>
  <si>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</si>
  <si>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</si>
  <si>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</si>
  <si>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</si>
  <si>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</si>
  <si>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</si>
  <si>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</si>
  <si>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</si>
  <si>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</si>
  <si>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</si>
  <si>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</si>
  <si>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</si>
  <si>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</si>
  <si>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</si>
  <si>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</si>
  <si>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</si>
  <si>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</si>
  <si>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</si>
  <si>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</si>
  <si>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</si>
  <si>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</si>
  <si>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</si>
  <si>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</si>
  <si>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</si>
  <si>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</si>
  <si>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</si>
  <si>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</si>
  <si>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</si>
  <si>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</si>
  <si>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</si>
  <si>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</si>
  <si>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</si>
  <si>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</si>
  <si>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</si>
  <si>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</si>
  <si>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</si>
  <si>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</si>
  <si>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</si>
  <si>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</si>
  <si>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</si>
  <si>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</si>
  <si>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</si>
  <si>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</si>
  <si>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</si>
  <si>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</si>
  <si>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</si>
  <si>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</si>
  <si>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</si>
  <si>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</si>
  <si>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</si>
  <si>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</si>
  <si>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</si>
  <si>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</si>
  <si>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</si>
  <si>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</si>
  <si>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</si>
  <si>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</si>
  <si>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</si>
  <si>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</si>
  <si>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</si>
  <si>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</si>
  <si>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</si>
  <si>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</si>
  <si>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</si>
  <si>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</si>
  <si>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</si>
  <si>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</si>
  <si>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</si>
  <si>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</si>
  <si>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</si>
  <si>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</si>
  <si>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</si>
  <si>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</si>
  <si>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</si>
  <si>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</si>
  <si>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</si>
  <si>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</si>
  <si>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</si>
  <si>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</si>
  <si>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</si>
  <si>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</si>
  <si>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</si>
  <si>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</si>
  <si>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</si>
  <si>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</si>
  <si>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</si>
  <si>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</si>
  <si>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</si>
  <si>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</si>
  <si>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</si>
  <si>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</si>
  <si>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</si>
  <si>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</si>
  <si>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</si>
  <si>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</si>
  <si>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</si>
  <si>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</si>
  <si>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</si>
  <si>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</si>
  <si>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</si>
  <si>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</si>
  <si>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</si>
  <si>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</si>
  <si>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</si>
  <si>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</si>
  <si>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</si>
  <si>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</si>
  <si>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</si>
  <si>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</si>
  <si>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</si>
  <si>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</si>
  <si>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</si>
  <si>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</si>
  <si>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</si>
  <si>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</si>
  <si>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</si>
  <si>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</si>
  <si>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</si>
  <si>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</si>
  <si>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</si>
  <si>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</si>
  <si>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</si>
  <si>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</si>
  <si>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</si>
  <si>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</si>
  <si>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</si>
  <si>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</si>
  <si>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</si>
  <si>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</si>
  <si>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</si>
  <si>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</si>
  <si>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</si>
  <si>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</si>
  <si>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</si>
  <si>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</si>
  <si>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</si>
  <si>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</si>
  <si>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</si>
  <si>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</si>
  <si>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</si>
  <si>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</si>
  <si>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</si>
  <si>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</si>
  <si>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</si>
  <si>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</si>
  <si>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</si>
  <si>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</si>
  <si>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</si>
  <si>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</si>
  <si>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</si>
  <si>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</si>
  <si>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</si>
  <si>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</si>
  <si>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</si>
  <si>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</si>
  <si>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</si>
  <si>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</si>
  <si>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</si>
  <si>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</si>
  <si>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</si>
  <si>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</si>
  <si>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</si>
  <si>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</si>
  <si>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</si>
  <si>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</si>
  <si>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</si>
  <si>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</si>
  <si>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</si>
  <si>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</si>
  <si>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</si>
  <si>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</si>
  <si>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</si>
  <si>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</si>
  <si>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</si>
  <si>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</si>
  <si>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</si>
  <si>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</si>
  <si>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</si>
  <si>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</si>
  <si>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</si>
  <si>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</si>
  <si>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</si>
  <si>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</si>
  <si>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</si>
  <si>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</si>
  <si>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</si>
  <si>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</si>
  <si>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</si>
  <si>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</si>
  <si>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</si>
  <si>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</si>
  <si>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</si>
  <si>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</si>
  <si>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</si>
  <si>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</si>
  <si>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</si>
  <si>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</si>
  <si>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</si>
  <si>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</si>
  <si>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</si>
  <si>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</si>
  <si>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</si>
  <si>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</si>
  <si>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</si>
  <si>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</si>
  <si>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</si>
  <si>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</si>
  <si>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</si>
  <si>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</si>
  <si>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</si>
  <si>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</si>
  <si>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</si>
  <si>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</si>
  <si>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</si>
  <si>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</si>
  <si>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</si>
  <si>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</si>
  <si>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</si>
  <si>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</si>
  <si>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</si>
  <si>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</si>
  <si>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</si>
  <si>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</si>
  <si>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</si>
  <si>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</si>
  <si>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</si>
  <si>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</si>
  <si>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</si>
  <si>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</si>
  <si>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</si>
  <si>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</si>
  <si>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</si>
  <si>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</si>
  <si>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</si>
  <si>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</si>
  <si>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</si>
  <si>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</si>
  <si>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</si>
  <si>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</si>
  <si>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</si>
  <si>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</si>
  <si>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</si>
  <si>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</si>
  <si>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</si>
  <si>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</si>
  <si>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</si>
  <si>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</si>
  <si>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</si>
  <si>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</si>
  <si>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</si>
  <si>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</si>
  <si>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</si>
  <si>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</si>
  <si>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</si>
  <si>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</si>
  <si>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</si>
  <si>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</si>
  <si>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</si>
  <si>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</si>
  <si>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</si>
  <si>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</si>
  <si>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</si>
  <si>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</si>
  <si>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</si>
  <si>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</si>
  <si>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</si>
  <si>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</si>
  <si>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</si>
  <si>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</si>
  <si>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</si>
  <si>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</si>
  <si>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</si>
  <si>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</si>
  <si>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</si>
  <si>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</si>
  <si>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</si>
  <si>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</si>
  <si>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</si>
  <si>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</si>
  <si>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</si>
  <si>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</si>
  <si>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</si>
  <si>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</si>
  <si>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</si>
  <si>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</si>
  <si>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</si>
  <si>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</si>
  <si>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</si>
  <si>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</si>
  <si>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</si>
  <si>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</si>
  <si>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</si>
  <si>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</si>
  <si>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</si>
  <si>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</si>
  <si>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</si>
  <si>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</si>
  <si>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</si>
  <si>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</si>
  <si>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</si>
  <si>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</si>
  <si>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</si>
  <si>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</si>
  <si>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</si>
  <si>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</si>
  <si>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</si>
  <si>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</si>
  <si>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</si>
  <si>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</si>
  <si>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</si>
  <si>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</si>
  <si>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</si>
  <si>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</si>
  <si>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</si>
  <si>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</si>
  <si>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</si>
  <si>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</si>
  <si>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</si>
  <si>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</si>
  <si>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</si>
  <si>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</si>
  <si>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</si>
  <si>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</si>
  <si>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</si>
  <si>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</si>
  <si>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</si>
  <si>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</si>
  <si>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</si>
  <si>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</si>
  <si>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</si>
  <si>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</si>
  <si>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</si>
  <si>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</si>
  <si>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</si>
  <si>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</si>
  <si>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</si>
  <si>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</si>
  <si>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</si>
  <si>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</si>
  <si>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</si>
  <si>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</si>
  <si>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</si>
  <si>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</si>
  <si>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</si>
  <si>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</si>
  <si>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</si>
  <si>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</si>
  <si>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</si>
  <si>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</si>
  <si>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</si>
  <si>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</si>
  <si>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</si>
  <si>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</si>
  <si>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</si>
  <si>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</si>
  <si>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</si>
  <si>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</si>
  <si>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</si>
  <si>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</si>
  <si>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</si>
  <si>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</si>
  <si>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</si>
  <si>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</si>
  <si>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</si>
  <si>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</si>
  <si>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</si>
  <si>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</si>
  <si>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</si>
  <si>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</si>
  <si>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</si>
  <si>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</si>
  <si>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</si>
  <si>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</si>
  <si>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</si>
  <si>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</si>
  <si>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</si>
  <si>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</si>
  <si>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</si>
  <si>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</si>
  <si>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</si>
  <si>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</si>
  <si>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</si>
  <si>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</si>
  <si>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</si>
  <si>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</si>
  <si>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</si>
  <si>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</si>
  <si>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</si>
  <si>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</si>
  <si>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</si>
  <si>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</si>
  <si>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</si>
  <si>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</si>
  <si>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</si>
  <si>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</si>
  <si>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</si>
  <si>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</si>
  <si>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</si>
  <si>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</si>
  <si>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</si>
  <si>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</si>
  <si>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</si>
  <si>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</si>
  <si>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</si>
  <si>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</si>
  <si>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</si>
  <si>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</si>
  <si>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</si>
  <si>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</si>
  <si>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</si>
  <si>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</si>
  <si>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</si>
  <si>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</si>
  <si>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</si>
  <si>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</si>
  <si>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</si>
  <si>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</si>
  <si>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</si>
  <si>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</si>
  <si>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</si>
  <si>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</si>
  <si>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</si>
  <si>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</si>
  <si>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</si>
  <si>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</si>
  <si>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</si>
  <si>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</si>
  <si>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</si>
  <si>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</si>
  <si>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</si>
  <si>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</si>
  <si>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</si>
  <si>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</si>
  <si>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</si>
  <si>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</si>
  <si>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</si>
  <si>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</si>
  <si>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</si>
  <si>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</si>
  <si>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</si>
  <si>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</si>
  <si>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</si>
  <si>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</si>
  <si>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</si>
  <si>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</si>
  <si>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</si>
  <si>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</si>
  <si>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</si>
  <si>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</si>
  <si>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</si>
  <si>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</si>
  <si>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</si>
  <si>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</si>
  <si>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</si>
  <si>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</si>
  <si>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</si>
  <si>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</si>
  <si>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</si>
  <si>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</si>
  <si>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</si>
  <si>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</si>
  <si>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</si>
  <si>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</si>
  <si>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</si>
  <si>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</si>
  <si>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</si>
  <si>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</si>
  <si>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</si>
  <si>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</si>
  <si>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</si>
  <si>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</si>
  <si>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</si>
  <si>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</si>
  <si>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</si>
  <si>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</si>
  <si>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</si>
  <si>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</si>
  <si>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</si>
  <si>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</si>
  <si>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</si>
  <si>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</si>
  <si>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</si>
  <si>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</si>
  <si>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</si>
  <si>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</si>
  <si>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</si>
  <si>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</si>
  <si>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</si>
  <si>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</si>
  <si>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</si>
  <si>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</si>
  <si>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</si>
  <si>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</si>
  <si>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</si>
  <si>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</si>
  <si>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</si>
  <si>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</si>
  <si>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</si>
  <si>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</si>
  <si>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</si>
  <si>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</si>
  <si>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</si>
  <si>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</si>
  <si>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</si>
  <si>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</si>
  <si>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</si>
  <si>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</si>
  <si>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</si>
  <si>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</si>
  <si>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</si>
  <si>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</si>
  <si>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</si>
  <si>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</si>
  <si>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</si>
  <si>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</si>
  <si>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</si>
  <si>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</si>
  <si>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</si>
  <si>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</si>
  <si>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</si>
  <si>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</si>
  <si>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</si>
  <si>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</si>
  <si>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</si>
  <si>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</si>
  <si>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</si>
  <si>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</si>
  <si>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</si>
  <si>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</si>
  <si>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</si>
  <si>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</si>
  <si>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</si>
  <si>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</si>
  <si>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</si>
  <si>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</si>
  <si>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</si>
  <si>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</si>
  <si>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</si>
  <si>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</si>
  <si>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</si>
  <si>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</si>
  <si>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</si>
  <si>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</si>
  <si>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</si>
  <si>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</si>
  <si>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</si>
  <si>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</si>
  <si>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</si>
  <si>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</si>
  <si>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</si>
  <si>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</si>
  <si>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</si>
  <si>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</si>
  <si>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</si>
  <si>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</si>
  <si>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</si>
  <si>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</si>
  <si>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</si>
  <si>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</si>
  <si>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</si>
  <si>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</si>
  <si>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</si>
  <si>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</si>
  <si>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</si>
  <si>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</si>
  <si>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</si>
  <si>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</si>
  <si>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</si>
  <si>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</si>
  <si>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</si>
  <si>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</si>
  <si>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</si>
  <si>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</si>
  <si>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</si>
  <si>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</si>
  <si>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</si>
  <si>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</si>
  <si>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</si>
  <si>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</si>
  <si>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</si>
  <si>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</si>
  <si>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</si>
  <si>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</si>
  <si>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</si>
  <si>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</si>
  <si>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</si>
  <si>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</si>
  <si>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</si>
  <si>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</si>
  <si>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</si>
  <si>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</si>
  <si>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</si>
  <si>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</si>
  <si>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</si>
  <si>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</si>
  <si>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</si>
  <si>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</si>
  <si>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</si>
  <si>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</si>
  <si>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</si>
  <si>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</si>
  <si>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</si>
  <si>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</si>
  <si>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</si>
  <si>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</si>
  <si>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</si>
  <si>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</si>
  <si>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</si>
  <si>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</si>
  <si>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</si>
  <si>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</si>
  <si>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</si>
  <si>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</si>
  <si>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</si>
  <si>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</si>
  <si>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</si>
  <si>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</si>
  <si>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</si>
  <si>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</si>
  <si>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</si>
  <si>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</si>
  <si>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</si>
  <si>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</si>
  <si>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</si>
  <si>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</si>
  <si>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</si>
  <si>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</si>
  <si>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</si>
  <si>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</si>
  <si>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</si>
  <si>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</si>
  <si>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</si>
  <si>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</si>
  <si>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</si>
  <si>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</si>
  <si>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</si>
  <si>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</si>
  <si>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</si>
  <si>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</si>
  <si>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</si>
  <si>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</si>
  <si>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</si>
  <si>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</si>
  <si>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</si>
  <si>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</si>
  <si>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</si>
  <si>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</si>
  <si>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</si>
  <si>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</si>
  <si>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</si>
  <si>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</si>
  <si>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</si>
  <si>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</si>
  <si>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</si>
  <si>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</si>
  <si>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</si>
  <si>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</si>
  <si>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</si>
  <si>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</si>
  <si>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</si>
  <si>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</si>
  <si>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</si>
  <si>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</si>
  <si>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</si>
  <si>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</si>
  <si>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</si>
  <si>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</si>
  <si>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</si>
  <si>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</si>
  <si>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</si>
  <si>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</si>
  <si>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</si>
  <si>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</si>
  <si>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</si>
  <si>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</si>
  <si>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</si>
  <si>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</si>
  <si>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</si>
  <si>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</si>
  <si>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</si>
  <si>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</si>
  <si>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</si>
  <si>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</si>
  <si>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</si>
  <si>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</si>
  <si>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</si>
  <si>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</si>
  <si>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</si>
  <si>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</si>
  <si>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</si>
  <si>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</si>
  <si>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</si>
  <si>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</si>
  <si>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</si>
  <si>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</si>
  <si>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</si>
  <si>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</si>
  <si>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</si>
  <si>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</si>
  <si>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</si>
  <si>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</si>
  <si>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</si>
  <si>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</si>
  <si>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</si>
  <si>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</si>
  <si>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</si>
  <si>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</si>
  <si>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</si>
  <si>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</si>
  <si>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</si>
  <si>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</si>
  <si>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</si>
  <si>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</si>
  <si>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</si>
  <si>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</si>
  <si>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</si>
  <si>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</si>
  <si>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</si>
  <si>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</si>
  <si>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</si>
  <si>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</si>
  <si>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</si>
  <si>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</si>
  <si>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</si>
  <si>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</si>
  <si>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</si>
  <si>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</si>
  <si>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</si>
  <si>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</si>
  <si>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</si>
  <si>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</si>
  <si>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</si>
  <si>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</si>
  <si>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</si>
  <si>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</si>
  <si>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</si>
  <si>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</si>
  <si>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</si>
  <si>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</si>
  <si>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</si>
  <si>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</si>
  <si>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</si>
  <si>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</si>
  <si>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</si>
  <si>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</si>
  <si>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</si>
  <si>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</si>
  <si>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</si>
  <si>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</si>
  <si>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</si>
  <si>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</si>
  <si>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</si>
  <si>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</si>
  <si>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</si>
  <si>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</si>
  <si>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</si>
  <si>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</si>
  <si>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</si>
  <si>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</si>
  <si>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</si>
  <si>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</si>
  <si>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</si>
  <si>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</si>
  <si>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</si>
  <si>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</si>
  <si>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</si>
  <si>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</si>
  <si>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</si>
  <si>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</si>
  <si>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</si>
  <si>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</si>
  <si>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</si>
  <si>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</si>
  <si>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</si>
  <si>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</si>
  <si>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</si>
  <si>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</si>
  <si>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</si>
  <si>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</si>
  <si>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</si>
  <si>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</si>
  <si>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</si>
  <si>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</si>
  <si>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</si>
  <si>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</si>
  <si>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</si>
  <si>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</si>
  <si>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</si>
  <si>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</si>
  <si>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</si>
  <si>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</si>
  <si>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</si>
  <si>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</si>
  <si>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</si>
  <si>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</si>
  <si>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</si>
  <si>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</si>
  <si>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</si>
  <si>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</si>
  <si>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</si>
  <si>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</si>
  <si>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</si>
  <si>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</si>
  <si>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</si>
  <si>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</si>
  <si>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</si>
  <si>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</si>
  <si>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</si>
  <si>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</si>
  <si>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</si>
  <si>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</si>
  <si>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</si>
  <si>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</si>
  <si>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</si>
  <si>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</si>
  <si>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</si>
  <si>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</si>
  <si>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</si>
  <si>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</si>
  <si>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</si>
  <si>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</si>
  <si>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</si>
  <si>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</si>
  <si>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</si>
  <si>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</si>
  <si>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</si>
  <si>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</si>
  <si>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</si>
  <si>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</si>
  <si>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</si>
  <si>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</si>
  <si>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</si>
  <si>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</si>
  <si>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</si>
  <si>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</si>
  <si>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</si>
  <si>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</si>
  <si>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</si>
  <si>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</si>
  <si>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</si>
  <si>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</si>
  <si>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</si>
  <si>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</si>
  <si>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</si>
  <si>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</si>
  <si>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</si>
  <si>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</si>
  <si>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</si>
  <si>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</si>
  <si>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</si>
  <si>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</si>
  <si>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</si>
  <si>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</si>
  <si>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</si>
  <si>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</si>
  <si>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</si>
  <si>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</si>
  <si>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</si>
  <si>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</si>
  <si>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</si>
  <si>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</si>
  <si>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</si>
  <si>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</si>
  <si>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</si>
  <si>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</si>
  <si>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</si>
  <si>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</si>
  <si>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</si>
  <si>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</si>
  <si>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</si>
  <si>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</si>
  <si>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</si>
  <si>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</si>
  <si>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</si>
  <si>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</si>
  <si>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</si>
  <si>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</si>
  <si>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</si>
  <si>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</si>
  <si>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</si>
  <si>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</si>
  <si>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</si>
  <si>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</si>
  <si>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</si>
  <si>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</si>
  <si>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</si>
  <si>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</si>
  <si>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</si>
  <si>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</si>
  <si>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</si>
  <si>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</si>
  <si>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</si>
  <si>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</si>
  <si>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</si>
  <si>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</si>
  <si>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</si>
  <si>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</si>
  <si>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</si>
  <si>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</si>
  <si>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</si>
  <si>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</si>
  <si>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</si>
  <si>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</si>
  <si>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</si>
  <si>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</si>
  <si>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</si>
  <si>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</si>
  <si>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</si>
  <si>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</si>
  <si>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</si>
  <si>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</si>
  <si>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</si>
  <si>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</si>
  <si>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</si>
  <si>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</si>
  <si>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</si>
  <si>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</si>
  <si>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</si>
  <si>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</si>
  <si>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</si>
  <si>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</si>
  <si>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</si>
  <si>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</si>
  <si>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</si>
  <si>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</si>
  <si>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</si>
  <si>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</si>
  <si>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</si>
  <si>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</si>
  <si>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</si>
  <si>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</si>
  <si>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</si>
  <si>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</si>
  <si>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</si>
  <si>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</si>
  <si>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</si>
  <si>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</si>
  <si>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</si>
  <si>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</si>
  <si>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</si>
  <si>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</si>
  <si>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</si>
  <si>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</si>
  <si>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</si>
  <si>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</si>
  <si>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</si>
  <si>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</si>
  <si>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</si>
  <si>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</si>
  <si>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</si>
  <si>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</si>
  <si>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</si>
  <si>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</si>
  <si>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</si>
  <si>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</si>
  <si>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</si>
  <si>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</si>
  <si>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</si>
  <si>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</si>
  <si>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</si>
  <si>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</si>
  <si>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</si>
  <si>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</si>
  <si>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</si>
  <si>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</si>
  <si>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</si>
  <si>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</si>
  <si>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</si>
  <si>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</si>
  <si>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</si>
  <si>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</si>
  <si>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</si>
  <si>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</si>
  <si>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</si>
  <si>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</si>
  <si>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</si>
  <si>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</si>
  <si>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</si>
  <si>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</si>
  <si>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</si>
  <si>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</si>
  <si>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</si>
  <si>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</si>
  <si>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</si>
  <si>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</si>
  <si>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</si>
  <si>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</si>
  <si>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</si>
  <si>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</si>
  <si>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</si>
  <si>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</si>
  <si>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</si>
  <si>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</si>
  <si>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</si>
  <si>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</si>
  <si>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</si>
  <si>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</si>
  <si>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</si>
  <si>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</si>
  <si>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</si>
  <si>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</si>
  <si>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</si>
  <si>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</si>
  <si>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</si>
  <si>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</si>
  <si>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</si>
  <si>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</si>
  <si>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</si>
  <si>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</si>
  <si>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</si>
  <si>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</si>
  <si>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</si>
  <si>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</si>
  <si>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</si>
  <si>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</si>
  <si>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</si>
  <si>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</si>
  <si>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</si>
  <si>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</si>
  <si>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</si>
  <si>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</si>
  <si>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</si>
  <si>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</si>
  <si>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</si>
  <si>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</si>
  <si>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</si>
  <si>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</si>
  <si>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</si>
  <si>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</si>
  <si>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</si>
  <si>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</si>
  <si>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</si>
  <si>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</si>
  <si>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</si>
  <si>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</si>
  <si>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</si>
  <si>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</si>
  <si>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</si>
  <si>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</si>
  <si>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</si>
  <si>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</si>
  <si>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</si>
  <si>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</si>
  <si>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</si>
  <si>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</si>
  <si>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</si>
  <si>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</si>
  <si>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</si>
  <si>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</si>
  <si>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</si>
  <si>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</si>
  <si>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</si>
  <si>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</si>
  <si>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</si>
  <si>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</si>
  <si>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</si>
  <si>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</si>
  <si>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</si>
  <si>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</si>
  <si>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</si>
  <si>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</si>
  <si>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</si>
  <si>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</si>
  <si>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</si>
  <si>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</si>
  <si>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</si>
  <si>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</si>
  <si>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</si>
  <si>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</si>
  <si>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</si>
  <si>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</si>
  <si>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</si>
  <si>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</si>
  <si>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</si>
  <si>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</si>
  <si>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</si>
  <si>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</si>
  <si>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</si>
  <si>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</si>
  <si>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</si>
  <si>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</si>
  <si>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</si>
  <si>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</si>
  <si>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</si>
  <si>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</si>
  <si>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</si>
  <si>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</si>
  <si>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</si>
  <si>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</si>
  <si>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</si>
  <si>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</si>
  <si>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</si>
  <si>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</si>
  <si>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</si>
  <si>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</si>
  <si>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</si>
  <si>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</si>
  <si>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</si>
  <si>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</si>
  <si>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</si>
  <si>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</si>
  <si>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</si>
  <si>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</si>
  <si>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</si>
  <si>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</si>
  <si>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</si>
  <si>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</si>
  <si>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</si>
  <si>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</si>
  <si>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</si>
  <si>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</si>
  <si>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</si>
  <si>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</si>
  <si>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</si>
  <si>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</si>
  <si>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</si>
  <si>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</si>
  <si>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</si>
  <si>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</si>
  <si>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</si>
  <si>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</si>
  <si>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</si>
  <si>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</si>
  <si>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</si>
  <si>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</si>
  <si>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</si>
  <si>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</si>
  <si>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</si>
  <si>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</si>
  <si>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</si>
  <si>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</si>
  <si>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</si>
  <si>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</si>
  <si>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</si>
  <si>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</si>
  <si>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</si>
  <si>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</si>
  <si>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</si>
  <si>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</si>
  <si>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</si>
  <si>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</si>
  <si>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</si>
  <si>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</si>
  <si>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</si>
  <si>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</si>
  <si>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</si>
  <si>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</si>
  <si>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</si>
  <si>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</si>
  <si>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</si>
  <si>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</si>
  <si>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</si>
  <si>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</si>
  <si>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</si>
  <si>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</si>
  <si>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</si>
  <si>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</si>
  <si>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</si>
  <si>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</si>
  <si>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</si>
  <si>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</si>
  <si>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</si>
  <si>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</si>
  <si>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</si>
  <si>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</si>
  <si>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</si>
  <si>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</si>
  <si>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</si>
  <si>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</si>
  <si>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</si>
  <si>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</si>
  <si>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</si>
  <si>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</si>
  <si>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</si>
  <si>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</si>
  <si>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</si>
  <si>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</si>
  <si>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</si>
  <si>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</si>
  <si>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</si>
  <si>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</si>
  <si>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</si>
  <si>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</si>
  <si>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</si>
  <si>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</si>
  <si>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</si>
  <si>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</si>
  <si>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</si>
  <si>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</si>
  <si>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</si>
  <si>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</si>
  <si>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</si>
  <si>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</si>
  <si>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</si>
  <si>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</si>
  <si>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</si>
  <si>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</si>
  <si>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</si>
  <si>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</si>
  <si>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</si>
  <si>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</si>
  <si>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</si>
  <si>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</si>
  <si>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</si>
  <si>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</si>
  <si>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</si>
  <si>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</si>
  <si>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</si>
  <si>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</si>
  <si>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</si>
  <si>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</si>
  <si>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</si>
  <si>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</si>
  <si>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</si>
  <si>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</si>
  <si>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</si>
  <si>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</si>
  <si>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</si>
  <si>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</si>
  <si>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</si>
  <si>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</si>
  <si>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</si>
  <si>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</si>
  <si>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</si>
  <si>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</si>
  <si>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</si>
  <si>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</si>
  <si>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</si>
  <si>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</si>
  <si>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</si>
  <si>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</si>
  <si>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</si>
  <si>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</si>
  <si>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</si>
  <si>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</si>
  <si>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</si>
  <si>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</si>
  <si>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</si>
  <si>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</si>
  <si>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</si>
  <si>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</si>
  <si>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</si>
  <si>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</si>
  <si>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</si>
  <si>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</si>
  <si>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</si>
  <si>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</si>
  <si>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</si>
  <si>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</si>
  <si>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</si>
  <si>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</si>
  <si>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</si>
  <si>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</si>
  <si>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</si>
  <si>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</si>
  <si>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</si>
  <si>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</si>
  <si>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</si>
  <si>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</si>
  <si>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</si>
  <si>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</si>
  <si>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</si>
  <si>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</si>
  <si>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</si>
  <si>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</si>
  <si>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</si>
  <si>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</si>
  <si>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</si>
  <si>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</si>
  <si>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</si>
  <si>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</si>
  <si>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</si>
  <si>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</si>
  <si>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</si>
  <si>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</si>
  <si>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</si>
  <si>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</si>
  <si>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</si>
  <si>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</si>
  <si>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</si>
  <si>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</si>
  <si>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</si>
  <si>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</si>
  <si>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</si>
  <si>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</si>
  <si>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</si>
  <si>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</si>
  <si>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</si>
  <si>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</si>
  <si>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</si>
  <si>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</si>
  <si>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</si>
  <si>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</si>
  <si>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</si>
  <si>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</si>
  <si>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</si>
  <si>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</si>
  <si>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</si>
  <si>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</si>
  <si>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</si>
  <si>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</si>
  <si>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</si>
  <si>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</si>
  <si>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</si>
  <si>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</si>
  <si>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</si>
  <si>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</si>
  <si>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</si>
  <si>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</si>
  <si>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</si>
  <si>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</si>
  <si>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</si>
  <si>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</si>
  <si>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</si>
  <si>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</si>
  <si>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</si>
  <si>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</si>
  <si>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</si>
  <si>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</si>
  <si>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</si>
  <si>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</si>
  <si>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</si>
  <si>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</si>
  <si>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</si>
  <si>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</si>
  <si>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</si>
  <si>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</si>
  <si>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</si>
  <si>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</si>
  <si>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</si>
  <si>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</si>
  <si>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</si>
  <si>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</si>
  <si>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</si>
  <si>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</si>
  <si>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</si>
  <si>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</si>
  <si>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</si>
  <si>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</si>
  <si>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</si>
  <si>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</si>
  <si>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</si>
  <si>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</si>
  <si>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</si>
  <si>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</si>
  <si>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</si>
  <si>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</si>
  <si>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</si>
  <si>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</si>
  <si>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</si>
  <si>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</si>
  <si>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</si>
  <si>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</si>
  <si>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</si>
  <si>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</si>
  <si>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</si>
  <si>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</si>
  <si>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</si>
  <si>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</si>
  <si>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</si>
  <si>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</si>
  <si>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</si>
  <si>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</si>
  <si>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</si>
  <si>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</si>
  <si>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</si>
  <si>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</si>
  <si>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</si>
  <si>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</si>
  <si>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</si>
  <si>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</si>
  <si>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</si>
  <si>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</si>
  <si>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</si>
  <si>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</si>
  <si>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</si>
  <si>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</si>
  <si>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</si>
  <si>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</si>
  <si>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</si>
  <si>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</si>
  <si>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</si>
  <si>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</si>
  <si>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</si>
  <si>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</si>
  <si>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</si>
  <si>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</si>
  <si>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</si>
  <si>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</si>
  <si>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</si>
  <si>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</si>
  <si>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</si>
  <si>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</si>
  <si>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</si>
  <si>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</si>
  <si>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</si>
  <si>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</si>
  <si>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</si>
  <si>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</si>
  <si>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</si>
  <si>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</si>
  <si>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</si>
  <si>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</si>
  <si>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</si>
  <si>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</si>
  <si>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</si>
  <si>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</si>
  <si>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</si>
  <si>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</si>
  <si>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</si>
  <si>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</si>
  <si>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</si>
  <si>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</si>
  <si>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</si>
  <si>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</si>
  <si>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</si>
  <si>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</si>
  <si>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</si>
  <si>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</si>
  <si>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</si>
  <si>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</si>
  <si>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</si>
  <si>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</si>
  <si>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</si>
  <si>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</si>
  <si>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</si>
  <si>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</si>
  <si>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</si>
  <si>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</si>
  <si>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</si>
  <si>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</si>
  <si>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</si>
  <si>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</si>
  <si>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</si>
  <si>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</si>
  <si>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</si>
  <si>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</si>
  <si>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</si>
  <si>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</si>
  <si>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</si>
  <si>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</si>
  <si>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</si>
  <si>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</si>
  <si>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</si>
  <si>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</si>
  <si>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</si>
  <si>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</si>
  <si>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</si>
  <si>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</si>
  <si>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</si>
  <si>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</si>
  <si>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</si>
  <si>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</si>
  <si>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</si>
  <si>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</si>
  <si>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</si>
  <si>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</si>
  <si>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</si>
  <si>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</si>
  <si>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</si>
  <si>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</si>
  <si>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</si>
  <si>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</si>
  <si>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</si>
  <si>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</si>
  <si>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</si>
  <si>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</si>
  <si>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</si>
  <si>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</si>
  <si>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</si>
  <si>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</si>
  <si>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</si>
  <si>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</si>
  <si>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</si>
  <si>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</si>
  <si>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</si>
  <si>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</si>
  <si>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</si>
  <si>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</si>
  <si>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</si>
  <si>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</si>
  <si>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</si>
  <si>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</si>
  <si>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</si>
  <si>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</si>
  <si>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</si>
  <si>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</si>
  <si>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</si>
  <si>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</si>
  <si>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</si>
  <si>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</si>
  <si>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</si>
  <si>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</si>
  <si>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</si>
  <si>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</si>
  <si>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</si>
  <si>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</si>
  <si>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</si>
  <si>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</si>
  <si>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</si>
  <si>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</si>
  <si>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</si>
  <si>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</si>
  <si>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</si>
  <si>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</si>
  <si>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</si>
  <si>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</si>
  <si>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</si>
  <si>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</si>
  <si>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</si>
  <si>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</si>
  <si>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</si>
  <si>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</si>
  <si>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</si>
  <si>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</si>
  <si>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</si>
  <si>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</si>
  <si>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</si>
  <si>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</si>
  <si>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</si>
  <si>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</si>
  <si>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</si>
  <si>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</si>
  <si>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</si>
  <si>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</si>
  <si>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</si>
  <si>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</si>
  <si>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</si>
  <si>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</si>
  <si>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</si>
  <si>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</si>
  <si>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</si>
  <si>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</si>
  <si>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</si>
  <si>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</si>
  <si>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</si>
  <si>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</si>
  <si>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</si>
  <si>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</si>
  <si>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</si>
  <si>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</si>
  <si>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</si>
  <si>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</si>
  <si>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</si>
  <si>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</si>
  <si>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</si>
  <si>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</si>
  <si>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</si>
  <si>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</si>
  <si>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</si>
  <si>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</si>
  <si>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</si>
  <si>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</si>
  <si>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</si>
  <si>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</si>
  <si>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</si>
  <si>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</si>
  <si>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</si>
  <si>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</si>
  <si>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</si>
  <si>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</si>
  <si>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</si>
  <si>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</si>
  <si>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</si>
  <si>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</si>
  <si>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</si>
  <si>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</si>
  <si>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</si>
  <si>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</si>
  <si>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</si>
  <si>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</si>
  <si>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</si>
  <si>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</si>
  <si>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</si>
  <si>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</si>
  <si>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</si>
  <si>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</si>
  <si>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</si>
  <si>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</si>
  <si>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</si>
  <si>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</si>
  <si>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</si>
  <si>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</si>
  <si>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</si>
  <si>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</si>
  <si>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</si>
  <si>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</si>
  <si>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</si>
  <si>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</si>
  <si>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</si>
  <si>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</si>
  <si>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</si>
  <si>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</si>
  <si>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</si>
  <si>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</si>
  <si>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</si>
  <si>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</si>
  <si>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</si>
  <si>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</si>
  <si>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</si>
  <si>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</si>
  <si>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</si>
  <si>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</si>
  <si>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</si>
  <si>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</si>
  <si>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</si>
  <si>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</si>
  <si>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</si>
  <si>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</si>
  <si>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</si>
  <si>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</si>
  <si>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</si>
  <si>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</si>
  <si>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</si>
  <si>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</si>
  <si>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</si>
  <si>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</si>
  <si>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</si>
  <si>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</si>
  <si>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</si>
  <si>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</si>
  <si>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</si>
  <si>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</si>
  <si>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</si>
  <si>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</si>
  <si>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</si>
  <si>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</si>
  <si>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</si>
  <si>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</si>
  <si>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</si>
  <si>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</si>
  <si>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</si>
  <si>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</si>
  <si>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</si>
  <si>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</si>
  <si>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</si>
  <si>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</si>
  <si>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</si>
  <si>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</si>
  <si>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</si>
  <si>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</si>
  <si>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</si>
  <si>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</si>
  <si>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</si>
  <si>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</si>
  <si>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</si>
  <si>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</si>
  <si>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</si>
  <si>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</si>
  <si>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</si>
  <si>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</si>
  <si>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</si>
  <si>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</si>
  <si>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</si>
  <si>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</si>
  <si>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</si>
  <si>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</si>
  <si>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</si>
  <si>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</si>
  <si>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</si>
  <si>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</si>
  <si>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</si>
  <si>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</si>
  <si>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</si>
  <si>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</si>
  <si>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</si>
  <si>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</si>
  <si>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</si>
  <si>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</si>
  <si>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</si>
  <si>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</si>
  <si>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</si>
  <si>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</si>
  <si>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</si>
  <si>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</si>
  <si>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</si>
  <si>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</si>
  <si>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</si>
  <si>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</si>
  <si>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</si>
  <si>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</si>
  <si>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</si>
  <si>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</si>
  <si>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</si>
  <si>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</si>
  <si>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</si>
  <si>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</si>
  <si>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</si>
  <si>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</si>
  <si>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</si>
  <si>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</si>
  <si>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</si>
  <si>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</si>
  <si>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</si>
  <si>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</si>
  <si>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</si>
  <si>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</si>
  <si>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</si>
  <si>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</si>
  <si>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</si>
  <si>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</si>
  <si>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</si>
  <si>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</si>
  <si>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</si>
  <si>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</si>
  <si>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</si>
  <si>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</si>
  <si>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</si>
  <si>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</si>
  <si>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</si>
  <si>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</si>
  <si>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</si>
  <si>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</si>
  <si>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</si>
  <si>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</si>
  <si>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</si>
  <si>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</si>
  <si>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</si>
  <si>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</si>
  <si>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</si>
  <si>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</si>
  <si>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</si>
  <si>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</si>
  <si>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</si>
  <si>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</si>
  <si>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</si>
  <si>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</si>
  <si>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</si>
  <si>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</si>
  <si>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</si>
  <si>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</si>
  <si>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</si>
  <si>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</si>
  <si>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</si>
  <si>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</si>
  <si>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</si>
  <si>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</si>
  <si>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</si>
  <si>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</si>
  <si>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</si>
  <si>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</si>
  <si>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</si>
  <si>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</si>
  <si>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</si>
  <si>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</si>
  <si>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</si>
  <si>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</si>
  <si>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</si>
  <si>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</si>
  <si>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</si>
  <si>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</si>
  <si>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</si>
  <si>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</si>
  <si>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</si>
  <si>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</si>
  <si>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</si>
  <si>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</si>
  <si>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</si>
  <si>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</si>
  <si>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</si>
  <si>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</si>
  <si>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</si>
  <si>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</si>
  <si>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</si>
  <si>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</si>
  <si>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</si>
  <si>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</si>
  <si>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</si>
  <si>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</si>
  <si>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</si>
  <si>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</si>
  <si>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</si>
  <si>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</si>
  <si>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</si>
  <si>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</si>
  <si>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</si>
  <si>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</si>
  <si>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</si>
  <si>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</si>
  <si>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</si>
  <si>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</si>
  <si>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</si>
  <si>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</si>
  <si>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</si>
  <si>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</si>
  <si>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</si>
  <si>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</si>
  <si>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</si>
  <si>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</si>
  <si>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</si>
  <si>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</si>
  <si>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</si>
  <si>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</si>
  <si>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</si>
  <si>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</si>
  <si>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</si>
  <si>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</si>
  <si>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</si>
  <si>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</si>
  <si>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</si>
  <si>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</si>
  <si>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</si>
  <si>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</si>
  <si>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</si>
  <si>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</si>
  <si>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</si>
  <si>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</si>
  <si>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</si>
  <si>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</si>
  <si>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</si>
  <si>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</si>
  <si>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</si>
  <si>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</si>
  <si>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</si>
  <si>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</si>
  <si>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</si>
  <si>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</si>
  <si>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</si>
  <si>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</si>
  <si>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</si>
  <si>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</si>
  <si>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</si>
  <si>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</si>
  <si>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</si>
  <si>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</si>
  <si>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</si>
  <si>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</si>
  <si>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</si>
  <si>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</si>
  <si>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</si>
  <si>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</si>
  <si>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</si>
  <si>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</si>
  <si>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</si>
  <si>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</si>
  <si>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</si>
  <si>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</si>
  <si>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</si>
  <si>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</si>
  <si>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</si>
  <si>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</si>
  <si>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</si>
  <si>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</si>
  <si>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</si>
  <si>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</si>
  <si>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</si>
  <si>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</si>
  <si>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</si>
  <si>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</si>
  <si>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</si>
  <si>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</si>
  <si>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</si>
  <si>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</si>
  <si>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</si>
  <si>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</si>
  <si>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</si>
  <si>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</si>
  <si>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</si>
  <si>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</si>
  <si>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</si>
  <si>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</si>
  <si>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</si>
  <si>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</si>
  <si>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</si>
  <si>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</si>
  <si>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</si>
  <si>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</si>
  <si>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</si>
  <si>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</si>
  <si>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</si>
  <si>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</si>
  <si>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</si>
  <si>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</si>
  <si>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</si>
  <si>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</si>
  <si>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</si>
  <si>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</si>
  <si>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</si>
  <si>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</si>
  <si>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</si>
  <si>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</si>
  <si>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</si>
  <si>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</si>
  <si>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</si>
  <si>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</si>
  <si>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</si>
  <si>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</si>
  <si>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</si>
  <si>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</si>
  <si>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</si>
  <si>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</si>
  <si>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</si>
  <si>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</si>
  <si>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</si>
  <si>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</si>
  <si>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</si>
  <si>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</si>
  <si>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</si>
  <si>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</si>
  <si>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</si>
  <si>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</si>
  <si>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</si>
  <si>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</si>
  <si>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</si>
  <si>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</si>
  <si>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</si>
  <si>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</si>
  <si>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</si>
  <si>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</si>
  <si>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</si>
  <si>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</si>
  <si>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</si>
  <si>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</si>
  <si>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</si>
  <si>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</si>
  <si>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</si>
  <si>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</si>
  <si>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</si>
  <si>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</si>
  <si>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</si>
  <si>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</si>
  <si>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</si>
  <si>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</si>
  <si>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</si>
  <si>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</si>
  <si>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</si>
  <si>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</si>
  <si>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</si>
  <si>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</si>
  <si>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</si>
  <si>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</si>
  <si>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</si>
  <si>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</si>
  <si>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</si>
  <si>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</si>
  <si>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</si>
  <si>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</si>
  <si>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</si>
  <si>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</si>
  <si>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</si>
  <si>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</si>
  <si>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</si>
  <si>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</si>
  <si>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</si>
  <si>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</si>
  <si>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</si>
  <si>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</si>
  <si>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</si>
  <si>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</si>
  <si>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</si>
  <si>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</si>
  <si>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</si>
  <si>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</si>
  <si>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</si>
  <si>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</si>
  <si>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</si>
  <si>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</si>
  <si>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</si>
  <si>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</si>
  <si>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</si>
  <si>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</si>
  <si>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</si>
  <si>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</si>
  <si>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</si>
  <si>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</si>
  <si>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</si>
  <si>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</si>
  <si>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</si>
  <si>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</si>
  <si>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</si>
  <si>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</si>
  <si>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</si>
  <si>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</si>
  <si>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</si>
  <si>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</si>
  <si>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</si>
  <si>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</si>
  <si>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</si>
  <si>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</si>
  <si>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</si>
  <si>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</si>
  <si>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</si>
  <si>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</si>
  <si>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</si>
  <si>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</si>
  <si>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</si>
  <si>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</si>
  <si>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</si>
  <si>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</si>
  <si>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</si>
  <si>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</si>
  <si>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</si>
  <si>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</si>
  <si>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</si>
  <si>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</si>
  <si>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</si>
  <si>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</si>
  <si>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</si>
  <si>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</si>
  <si>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</si>
  <si>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</si>
  <si>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</si>
  <si>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</si>
  <si>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</si>
  <si>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</si>
  <si>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</si>
  <si>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</si>
  <si>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</si>
  <si>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</si>
  <si>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</si>
  <si>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</si>
  <si>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</si>
  <si>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</si>
  <si>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</si>
  <si>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</si>
  <si>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</si>
  <si>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</si>
  <si>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</si>
  <si>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</si>
  <si>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</si>
  <si>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</si>
  <si>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</si>
  <si>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</si>
  <si>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</si>
  <si>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</si>
  <si>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</si>
  <si>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</si>
  <si>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</si>
  <si>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</si>
  <si>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</si>
  <si>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</si>
  <si>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</si>
  <si>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</si>
  <si>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</si>
  <si>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</si>
  <si>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</si>
  <si>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</si>
  <si>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</si>
  <si>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</si>
  <si>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</si>
  <si>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</si>
  <si>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</si>
  <si>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</si>
  <si>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</si>
  <si>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</si>
  <si>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</si>
  <si>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</si>
  <si>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</si>
  <si>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</si>
  <si>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</si>
  <si>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</si>
  <si>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</si>
  <si>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</si>
  <si>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</si>
  <si>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</si>
  <si>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</si>
  <si>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</si>
  <si>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</si>
  <si>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</si>
  <si>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</si>
  <si>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</si>
  <si>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</si>
  <si>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</si>
  <si>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</si>
  <si>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</si>
  <si>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</si>
  <si>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</si>
  <si>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</si>
  <si>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</si>
  <si>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</si>
  <si>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</si>
  <si>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</si>
  <si>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</si>
  <si>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</si>
  <si>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</si>
  <si>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</si>
  <si>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</si>
  <si>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</si>
  <si>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</si>
  <si>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</si>
  <si>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</si>
  <si>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</si>
  <si>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</si>
  <si>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</si>
  <si>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</si>
  <si>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</si>
  <si>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</si>
  <si>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</si>
  <si>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</si>
  <si>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</si>
  <si>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</si>
  <si>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</si>
  <si>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</si>
  <si>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</si>
  <si>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</si>
  <si>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</si>
  <si>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</si>
  <si>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</si>
  <si>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</si>
  <si>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</si>
  <si>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</si>
  <si>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</si>
  <si>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</si>
  <si>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</si>
  <si>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</si>
  <si>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</si>
  <si>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</si>
  <si>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</si>
  <si>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</si>
  <si>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</si>
  <si>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</si>
  <si>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</si>
  <si>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</si>
  <si>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</si>
  <si>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</si>
  <si>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</si>
  <si>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</si>
  <si>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</si>
  <si>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</si>
  <si>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</si>
  <si>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</si>
  <si>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</si>
  <si>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</si>
  <si>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</si>
  <si>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</si>
  <si>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</si>
  <si>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</si>
  <si>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</si>
  <si>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</si>
  <si>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</si>
  <si>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</si>
  <si>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</si>
  <si>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</si>
  <si>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</si>
  <si>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</si>
  <si>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</si>
  <si>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</si>
  <si>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</si>
  <si>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</si>
  <si>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</si>
  <si>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</si>
  <si>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</si>
  <si>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</si>
  <si>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</si>
  <si>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</si>
  <si>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</si>
  <si>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</si>
  <si>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</si>
  <si>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</si>
  <si>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</si>
  <si>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</si>
  <si>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</si>
  <si>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</si>
  <si>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</si>
  <si>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</si>
  <si>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</si>
  <si>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</si>
  <si>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</si>
  <si>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</si>
  <si>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</si>
  <si>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</si>
  <si>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</si>
  <si>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</si>
  <si>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</si>
  <si>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</si>
  <si>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</si>
  <si>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</si>
  <si>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</si>
  <si>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</si>
  <si>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</si>
  <si>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</si>
  <si>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</si>
  <si>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</si>
  <si>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</si>
  <si>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</si>
  <si>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</si>
  <si>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</si>
  <si>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</si>
  <si>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</si>
  <si>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</si>
  <si>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</si>
  <si>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</si>
  <si>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</si>
  <si>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</si>
  <si>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</si>
  <si>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</si>
  <si>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</si>
  <si>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</si>
  <si>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</si>
  <si>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</si>
  <si>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</si>
  <si>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</si>
  <si>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</si>
  <si>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</si>
  <si>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</si>
  <si>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</si>
  <si>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</si>
  <si>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</si>
  <si>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</si>
  <si>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</si>
  <si>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</si>
  <si>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</si>
  <si>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</si>
  <si>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</si>
  <si>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</si>
  <si>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</si>
  <si>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</si>
  <si>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</si>
  <si>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</si>
  <si>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</si>
  <si>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</si>
  <si>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</si>
  <si>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</si>
  <si>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</si>
  <si>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</si>
  <si>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</si>
  <si>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</si>
  <si>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</si>
  <si>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</si>
  <si>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</si>
  <si>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</si>
  <si>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</si>
  <si>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</si>
  <si>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</si>
  <si>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</si>
  <si>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</si>
  <si>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</si>
  <si>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</si>
  <si>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</si>
  <si>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</si>
  <si>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</si>
  <si>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</si>
  <si>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</si>
  <si>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</si>
  <si>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</si>
  <si>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</si>
  <si>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</si>
  <si>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</si>
  <si>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</si>
  <si>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</si>
  <si>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</si>
  <si>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</si>
  <si>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</si>
  <si>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</si>
  <si>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</si>
  <si>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</si>
  <si>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</si>
  <si>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</si>
  <si>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</si>
  <si>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</si>
  <si>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</si>
  <si>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</si>
  <si>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</si>
  <si>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</si>
  <si>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</si>
  <si>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</si>
  <si>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</si>
  <si>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</si>
  <si>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</si>
  <si>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</si>
  <si>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</si>
  <si>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</si>
  <si>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</si>
  <si>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</si>
  <si>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</si>
  <si>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</si>
  <si>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</si>
  <si>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</si>
  <si>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</si>
  <si>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</si>
  <si>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</si>
  <si>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</si>
  <si>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</si>
  <si>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</si>
  <si>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</si>
  <si>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</si>
  <si>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</si>
  <si>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</si>
  <si>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</si>
  <si>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</si>
  <si>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</si>
  <si>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</si>
  <si>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</si>
  <si>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</si>
  <si>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</si>
  <si>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</si>
  <si>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</si>
  <si>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</si>
  <si>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</si>
  <si>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</si>
  <si>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</si>
  <si>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</si>
  <si>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</si>
  <si>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</si>
  <si>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</si>
  <si>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</si>
  <si>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</si>
  <si>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</si>
  <si>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</si>
  <si>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</si>
  <si>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</si>
  <si>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</si>
  <si>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</si>
  <si>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</si>
  <si>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</si>
  <si>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</si>
  <si>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</si>
  <si>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</si>
  <si>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</si>
  <si>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</si>
  <si>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</si>
  <si>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</si>
  <si>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</si>
  <si>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</si>
  <si>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</si>
  <si>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</si>
  <si>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</si>
  <si>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</si>
  <si>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</si>
  <si>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</si>
  <si>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</si>
  <si>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</si>
  <si>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</si>
  <si>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</si>
  <si>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</si>
  <si>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</si>
  <si>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</si>
  <si>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</si>
  <si>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</si>
  <si>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</si>
  <si>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</si>
  <si>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</si>
  <si>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</si>
  <si>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</si>
  <si>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</si>
  <si>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</si>
  <si>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</si>
  <si>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</si>
  <si>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</si>
  <si>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</si>
  <si>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</si>
  <si>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</si>
  <si>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</si>
  <si>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</si>
  <si>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</si>
  <si>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</si>
  <si>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</si>
  <si>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</si>
  <si>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</si>
  <si>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</si>
  <si>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</si>
  <si>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</si>
  <si>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</si>
  <si>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</si>
  <si>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</si>
  <si>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</si>
  <si>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</si>
  <si>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</si>
  <si>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</si>
  <si>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</si>
  <si>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</si>
  <si>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</si>
  <si>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</si>
  <si>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</si>
  <si>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</si>
  <si>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</si>
  <si>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</si>
  <si>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</si>
  <si>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</si>
  <si>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</si>
  <si>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</si>
  <si>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</si>
  <si>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</si>
  <si>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</si>
  <si>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</si>
  <si>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</si>
  <si>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</si>
  <si>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</si>
  <si>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</si>
  <si>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</si>
  <si>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</si>
  <si>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</si>
  <si>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</si>
  <si>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</si>
  <si>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</si>
  <si>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</si>
  <si>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</si>
  <si>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</si>
  <si>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</si>
  <si>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</si>
  <si>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</si>
  <si>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</si>
  <si>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</si>
  <si>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</si>
  <si>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</si>
  <si>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</si>
  <si>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</si>
  <si>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</si>
  <si>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</si>
  <si>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</si>
  <si>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</si>
  <si>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</si>
  <si>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</si>
  <si>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</si>
  <si>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</si>
  <si>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</si>
  <si>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</si>
  <si>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</si>
  <si>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</si>
  <si>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</si>
  <si>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</si>
  <si>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</si>
  <si>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</si>
  <si>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</si>
  <si>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</si>
  <si>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</si>
  <si>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</si>
  <si>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</si>
  <si>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</si>
  <si>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</si>
  <si>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</si>
  <si>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</si>
  <si>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</si>
  <si>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</si>
  <si>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</si>
  <si>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</si>
  <si>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</si>
  <si>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</si>
  <si>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</si>
  <si>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</si>
  <si>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</si>
  <si>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</si>
  <si>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</si>
  <si>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</si>
  <si>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</si>
  <si>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</si>
  <si>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</si>
  <si>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</si>
  <si>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</si>
  <si>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</si>
  <si>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</si>
  <si>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</si>
  <si>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</si>
  <si>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</si>
  <si>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</si>
  <si>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</si>
  <si>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</si>
  <si>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</si>
  <si>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</si>
  <si>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</si>
  <si>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</si>
  <si>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</si>
  <si>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</si>
  <si>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</si>
  <si>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</si>
  <si>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</si>
  <si>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</si>
  <si>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</si>
  <si>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</si>
  <si>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</si>
  <si>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</si>
  <si>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</si>
  <si>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</si>
  <si>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</si>
  <si>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</si>
  <si>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</si>
  <si>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</si>
  <si>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</si>
  <si>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</si>
  <si>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</si>
  <si>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</si>
  <si>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</si>
  <si>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</si>
  <si>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</si>
  <si>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</si>
  <si>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</si>
  <si>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</si>
  <si>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</si>
  <si>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</si>
  <si>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</si>
  <si>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</si>
  <si>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</si>
  <si>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</si>
  <si>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</si>
  <si>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</si>
  <si>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</si>
  <si>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</si>
  <si>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</si>
  <si>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</si>
  <si>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</si>
  <si>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</si>
  <si>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</si>
  <si>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</si>
  <si>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</si>
  <si>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</si>
  <si>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</si>
  <si>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</si>
  <si>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</si>
  <si>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</si>
  <si>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</si>
  <si>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</si>
  <si>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</si>
  <si>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</si>
  <si>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</si>
  <si>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</si>
  <si>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</si>
  <si>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</si>
  <si>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</si>
  <si>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</si>
  <si>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</si>
  <si>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</si>
  <si>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</si>
  <si>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</si>
  <si>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</si>
  <si>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</si>
  <si>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</si>
  <si>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</si>
  <si>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</si>
  <si>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</si>
  <si>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</si>
  <si>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</si>
  <si>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</si>
  <si>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</si>
  <si>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</si>
  <si>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</si>
  <si>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</si>
  <si>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</si>
  <si>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</si>
  <si>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</si>
  <si>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</si>
  <si>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</si>
  <si>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</si>
  <si>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</si>
  <si>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</si>
  <si>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</si>
  <si>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</si>
  <si>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</si>
  <si>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</si>
  <si>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</si>
  <si>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</si>
  <si>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</si>
  <si>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</si>
  <si>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</si>
  <si>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</si>
  <si>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</si>
  <si>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</si>
  <si>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</si>
  <si>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</si>
  <si>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</si>
  <si>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</si>
  <si>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</si>
  <si>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</si>
  <si>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</si>
  <si>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</si>
  <si>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</si>
  <si>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</si>
  <si>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</si>
  <si>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</si>
  <si>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</si>
  <si>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</si>
  <si>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</si>
  <si>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</si>
  <si>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</si>
  <si>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</si>
  <si>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</si>
  <si>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</si>
  <si>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</si>
  <si>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</si>
  <si>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</si>
  <si>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</si>
  <si>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</si>
  <si>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</si>
  <si>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</si>
  <si>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</si>
  <si>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</si>
  <si>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</si>
  <si>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</si>
  <si>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</si>
  <si>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</si>
  <si>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</si>
  <si>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</si>
  <si>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</si>
  <si>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</si>
  <si>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</si>
  <si>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</si>
  <si>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</si>
  <si>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</si>
  <si>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</si>
  <si>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</si>
  <si>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</si>
  <si>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</si>
  <si>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</si>
  <si>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</si>
  <si>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</si>
  <si>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</si>
  <si>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</si>
  <si>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</si>
  <si>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</si>
  <si>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</si>
  <si>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</si>
  <si>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</si>
  <si>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</si>
  <si>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</si>
  <si>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</si>
  <si>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</si>
  <si>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</si>
  <si>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</si>
  <si>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</si>
  <si>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</si>
  <si>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</si>
  <si>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</si>
  <si>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</si>
  <si>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</si>
  <si>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</si>
  <si>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</si>
  <si>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</si>
  <si>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</si>
  <si>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</si>
  <si>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</si>
  <si>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</si>
  <si>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</si>
  <si>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</si>
  <si>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</si>
  <si>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</si>
  <si>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</si>
  <si>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</si>
  <si>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</si>
  <si>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</si>
  <si>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</si>
  <si>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</si>
  <si>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</si>
  <si>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</si>
  <si>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</si>
  <si>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</si>
  <si>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</si>
  <si>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</si>
  <si>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</si>
  <si>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</si>
  <si>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</si>
  <si>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</si>
  <si>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</si>
  <si>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</si>
  <si>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</si>
  <si>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</si>
  <si>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</si>
  <si>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</si>
  <si>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</si>
  <si>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</si>
  <si>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</si>
  <si>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</si>
  <si>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</si>
  <si>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</si>
  <si>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</si>
  <si>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</si>
  <si>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</si>
  <si>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</si>
  <si>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</si>
  <si>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</si>
  <si>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</si>
  <si>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</si>
  <si>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</si>
  <si>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</si>
  <si>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</si>
  <si>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</si>
  <si>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</si>
  <si>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</si>
  <si>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</si>
  <si>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</si>
  <si>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</si>
  <si>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</si>
  <si>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</si>
  <si>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</si>
  <si>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</si>
  <si>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</si>
  <si>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</si>
  <si>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</si>
  <si>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</si>
  <si>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</si>
  <si>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</si>
  <si>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</si>
  <si>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</si>
  <si>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</si>
  <si>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</si>
  <si>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</si>
  <si>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</si>
  <si>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</si>
  <si>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</si>
  <si>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</si>
  <si>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</si>
  <si>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</si>
  <si>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</si>
  <si>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</si>
  <si>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</si>
  <si>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</si>
  <si>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</si>
  <si>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</si>
  <si>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</si>
  <si>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</si>
  <si>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</si>
  <si>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</si>
  <si>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</si>
  <si>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</si>
  <si>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</si>
  <si>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</si>
  <si>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</si>
  <si>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</si>
  <si>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</si>
  <si>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</si>
  <si>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</si>
  <si>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</si>
  <si>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</si>
  <si>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</si>
  <si>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</si>
  <si>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</si>
  <si>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</si>
  <si>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</si>
  <si>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</si>
  <si>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</si>
  <si>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</si>
  <si>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</si>
  <si>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</si>
  <si>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</si>
  <si>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</si>
  <si>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</si>
  <si>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</si>
  <si>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</si>
  <si>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</si>
  <si>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</si>
  <si>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</si>
  <si>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</si>
  <si>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</si>
  <si>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</si>
  <si>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</si>
  <si>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</si>
  <si>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</si>
  <si>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</si>
  <si>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</si>
  <si>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</si>
  <si>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</si>
  <si>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</si>
  <si>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</si>
  <si>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</si>
  <si>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</si>
  <si>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</si>
  <si>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</si>
  <si>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</si>
  <si>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</si>
  <si>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</si>
  <si>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</si>
  <si>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</si>
  <si>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</si>
  <si>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</si>
  <si>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</si>
  <si>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</si>
  <si>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</si>
  <si>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</si>
  <si>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</si>
  <si>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</si>
  <si>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</si>
  <si>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</si>
  <si>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</si>
  <si>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</si>
  <si>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</si>
  <si>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</si>
  <si>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</si>
  <si>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</si>
  <si>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</si>
  <si>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</si>
  <si>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</si>
  <si>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</si>
  <si>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</si>
  <si>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</si>
  <si>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</si>
  <si>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</si>
  <si>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</si>
  <si>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</si>
  <si>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</si>
  <si>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</si>
  <si>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</si>
  <si>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</si>
  <si>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</si>
  <si>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</si>
  <si>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</si>
  <si>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</si>
  <si>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</si>
  <si>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</si>
  <si>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</si>
  <si>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</si>
  <si>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</si>
  <si>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</si>
  <si>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</si>
  <si>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</si>
  <si>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</si>
  <si>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</si>
  <si>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</si>
  <si>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</si>
  <si>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</si>
  <si>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</si>
  <si>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</si>
  <si>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</si>
  <si>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</si>
  <si>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</si>
  <si>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</si>
  <si>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</si>
  <si>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</si>
  <si>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</si>
  <si>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</si>
  <si>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</si>
  <si>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</si>
  <si>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</si>
  <si>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</si>
  <si>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</si>
  <si>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</si>
  <si>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</si>
  <si>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</si>
  <si>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</si>
  <si>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</si>
  <si>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</si>
  <si>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</si>
  <si>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</si>
  <si>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</si>
  <si>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</si>
  <si>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</si>
  <si>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</si>
  <si>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</si>
  <si>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</si>
  <si>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</si>
  <si>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</si>
  <si>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</si>
  <si>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</si>
  <si>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</si>
  <si>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</si>
  <si>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</si>
  <si>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</si>
  <si>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</si>
  <si>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</si>
  <si>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</si>
  <si>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</si>
  <si>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</si>
  <si>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</si>
  <si>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</si>
  <si>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</si>
  <si>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</si>
  <si>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</si>
  <si>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</si>
  <si>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</si>
  <si>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</si>
  <si>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</si>
  <si>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</si>
  <si>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</si>
  <si>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</si>
  <si>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</si>
  <si>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</si>
  <si>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</si>
  <si>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</si>
  <si>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</si>
  <si>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</si>
  <si>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</si>
  <si>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</si>
  <si>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</si>
  <si>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</si>
  <si>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</si>
  <si>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</si>
  <si>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</si>
  <si>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</si>
  <si>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</si>
  <si>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</si>
  <si>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</si>
  <si>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</si>
  <si>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</si>
  <si>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</si>
  <si>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</si>
  <si>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</si>
  <si>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</si>
  <si>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</si>
  <si>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</si>
  <si>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</si>
  <si>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</si>
  <si>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</si>
  <si>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</si>
  <si>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</si>
  <si>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</si>
  <si>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</si>
  <si>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</si>
  <si>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</si>
  <si>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</si>
  <si>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</si>
  <si>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</si>
  <si>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</si>
  <si>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</si>
  <si>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</si>
  <si>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</si>
  <si>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</si>
  <si>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</si>
  <si>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</si>
  <si>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</si>
  <si>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</si>
  <si>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</si>
  <si>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</si>
  <si>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</si>
  <si>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</si>
  <si>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</si>
  <si>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</si>
  <si>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</si>
  <si>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</si>
  <si>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</si>
  <si>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</si>
  <si>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</si>
  <si>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</si>
  <si>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</si>
  <si>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</si>
  <si>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</si>
  <si>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</si>
  <si>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</si>
  <si>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</si>
  <si>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</si>
  <si>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</si>
  <si>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</si>
  <si>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</si>
  <si>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</si>
  <si>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</si>
  <si>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</si>
  <si>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</si>
  <si>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</si>
  <si>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</si>
  <si>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</si>
  <si>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</si>
  <si>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</si>
  <si>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</si>
  <si>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</si>
  <si>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</si>
  <si>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</si>
  <si>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</si>
  <si>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</si>
  <si>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</si>
  <si>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</si>
  <si>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</si>
  <si>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</si>
  <si>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</si>
  <si>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</si>
  <si>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</si>
  <si>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</si>
  <si>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</si>
  <si>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</si>
  <si>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</si>
  <si>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</si>
  <si>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</si>
  <si>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</si>
  <si>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</si>
  <si>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</si>
  <si>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</si>
  <si>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</si>
  <si>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</si>
  <si>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</si>
  <si>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</si>
  <si>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</si>
  <si>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</si>
  <si>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</si>
  <si>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</si>
  <si>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</si>
  <si>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</si>
  <si>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</si>
  <si>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</si>
  <si>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</si>
  <si>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</si>
  <si>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</si>
  <si>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</si>
  <si>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</si>
  <si>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</si>
  <si>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</si>
  <si>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</si>
  <si>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</si>
  <si>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</si>
  <si>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</si>
  <si>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</si>
  <si>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</si>
  <si>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</si>
  <si>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</si>
  <si>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</si>
  <si>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</si>
  <si>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</si>
  <si>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</si>
  <si>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</si>
  <si>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</si>
  <si>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</si>
  <si>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</si>
  <si>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</si>
  <si>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</si>
  <si>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</si>
  <si>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</si>
  <si>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</si>
  <si>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</si>
  <si>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</si>
  <si>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</si>
  <si>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</si>
  <si>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</si>
  <si>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</si>
  <si>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</si>
  <si>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</si>
  <si>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</si>
  <si>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</si>
  <si>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</si>
  <si>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</si>
  <si>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</si>
  <si>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</si>
  <si>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</si>
  <si>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</si>
  <si>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</si>
  <si>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</si>
  <si>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</si>
  <si>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</si>
  <si>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</si>
  <si>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</si>
  <si>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</si>
  <si>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</si>
  <si>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</si>
  <si>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</si>
  <si>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</si>
  <si>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</si>
  <si>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</si>
  <si>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</si>
  <si>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</si>
  <si>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</si>
  <si>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</si>
  <si>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</si>
  <si>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</si>
  <si>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</si>
  <si>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</si>
  <si>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</si>
  <si>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</si>
  <si>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</si>
  <si>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</si>
  <si>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</si>
  <si>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</si>
  <si>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</si>
  <si>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</si>
  <si>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</si>
  <si>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</si>
  <si>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</si>
  <si>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</si>
  <si>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</si>
  <si>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</si>
  <si>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</si>
  <si>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</si>
  <si>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</si>
  <si>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</si>
  <si>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</si>
  <si>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</si>
  <si>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</si>
  <si>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</si>
  <si>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</si>
  <si>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</si>
  <si>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</si>
  <si>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</si>
  <si>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</si>
  <si>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</si>
  <si>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</si>
  <si>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</si>
  <si>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</si>
  <si>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</si>
  <si>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</si>
  <si>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</si>
  <si>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</si>
  <si>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</si>
  <si>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</si>
  <si>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</si>
  <si>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</si>
  <si>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</si>
  <si>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</si>
  <si>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</si>
  <si>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</si>
  <si>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</si>
  <si>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</si>
  <si>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</si>
  <si>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</si>
  <si>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</si>
  <si>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</si>
  <si>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</si>
  <si>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</si>
  <si>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</si>
  <si>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</si>
  <si>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</si>
  <si>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</si>
  <si>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</si>
  <si>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</si>
  <si>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</si>
  <si>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</si>
  <si>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</si>
  <si>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</si>
  <si>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</si>
  <si>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</si>
  <si>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</si>
  <si>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</si>
  <si>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</si>
  <si>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</si>
  <si>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</si>
  <si>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</si>
  <si>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</si>
  <si>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</si>
  <si>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</si>
  <si>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</si>
  <si>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</si>
  <si>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</si>
  <si>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</si>
  <si>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</si>
  <si>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</si>
  <si>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</si>
  <si>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</si>
  <si>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</si>
  <si>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</si>
  <si>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</si>
  <si>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</si>
  <si>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</si>
  <si>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</si>
  <si>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</si>
  <si>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</si>
  <si>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</si>
  <si>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</si>
  <si>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</si>
  <si>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</si>
  <si>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</si>
  <si>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</si>
  <si>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</si>
  <si>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</si>
  <si>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</si>
  <si>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</si>
  <si>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</si>
  <si>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</si>
  <si>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</si>
  <si>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</si>
  <si>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</si>
  <si>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</si>
  <si>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</si>
  <si>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</si>
  <si>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</si>
  <si>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</si>
  <si>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</si>
  <si>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</si>
  <si>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</si>
  <si>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</si>
  <si>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</si>
  <si>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</si>
  <si>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</si>
  <si>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</si>
  <si>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</si>
  <si>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</si>
  <si>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</si>
  <si>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</si>
  <si>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</si>
  <si>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</si>
  <si>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</si>
  <si>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</si>
  <si>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</si>
  <si>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</si>
  <si>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</si>
  <si>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</si>
  <si>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</si>
  <si>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</si>
  <si>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</si>
  <si>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</si>
  <si>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</si>
  <si>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</si>
  <si>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</si>
  <si>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</si>
  <si>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</si>
  <si>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</si>
  <si>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</si>
  <si>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</si>
  <si>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</si>
  <si>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</si>
  <si>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</si>
  <si>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</si>
  <si>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</si>
  <si>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</si>
  <si>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</si>
  <si>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</si>
  <si>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</si>
  <si>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</si>
  <si>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</si>
  <si>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</si>
  <si>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</si>
  <si>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</si>
  <si>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</si>
  <si>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</si>
  <si>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</si>
  <si>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</si>
  <si>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</si>
  <si>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</si>
  <si>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</si>
  <si>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</si>
  <si>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</si>
  <si>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</si>
  <si>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</si>
  <si>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</si>
  <si>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</si>
  <si>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</si>
  <si>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</si>
  <si>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</si>
  <si>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</si>
  <si>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</si>
  <si>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</si>
  <si>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</si>
  <si>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</si>
  <si>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</si>
  <si>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</si>
  <si>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</si>
  <si>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</si>
  <si>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</si>
  <si>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</si>
  <si>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</si>
  <si>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</si>
  <si>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</si>
  <si>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</si>
  <si>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</si>
  <si>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</si>
  <si>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</si>
  <si>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</si>
  <si>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</si>
  <si>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</si>
  <si>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</si>
  <si>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</si>
  <si>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</si>
  <si>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</si>
  <si>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</si>
  <si>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</si>
  <si>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</si>
  <si>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</si>
  <si>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</si>
  <si>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</si>
  <si>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</si>
  <si>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</si>
  <si>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</si>
  <si>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</si>
  <si>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</si>
  <si>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</si>
  <si>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</si>
  <si>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</si>
  <si>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</si>
  <si>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</si>
  <si>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</si>
  <si>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</si>
  <si>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</si>
  <si>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</si>
  <si>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</si>
  <si>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</si>
  <si>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</si>
  <si>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</si>
  <si>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</si>
  <si>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</si>
  <si>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</si>
  <si>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</si>
  <si>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</si>
  <si>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</si>
  <si>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</si>
  <si>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</si>
  <si>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</si>
  <si>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</si>
  <si>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</si>
  <si>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</si>
  <si>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</si>
  <si>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</si>
  <si>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</si>
  <si>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</si>
  <si>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</si>
  <si>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</si>
  <si>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</si>
  <si>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</si>
  <si>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</si>
  <si>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</si>
  <si>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</si>
  <si>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</si>
  <si>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</si>
  <si>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</si>
  <si>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</si>
  <si>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</si>
  <si>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</si>
  <si>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</si>
  <si>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</si>
  <si>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</si>
  <si>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</si>
  <si>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</si>
  <si>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</si>
  <si>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</si>
  <si>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</si>
  <si>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</si>
  <si>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</si>
  <si>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</si>
  <si>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</si>
  <si>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</si>
  <si>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</si>
  <si>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</si>
  <si>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</si>
  <si>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</si>
  <si>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</si>
  <si>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</si>
  <si>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</si>
  <si>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</si>
  <si>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</si>
  <si>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</si>
  <si>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</si>
  <si>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</si>
  <si>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</si>
  <si>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</si>
  <si>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</si>
  <si>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</si>
  <si>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</si>
  <si>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</si>
  <si>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</si>
  <si>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</si>
  <si>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</si>
  <si>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</si>
  <si>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</si>
  <si>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</si>
  <si>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</si>
  <si>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</si>
  <si>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</si>
  <si>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</si>
  <si>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</si>
  <si>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</si>
  <si>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</si>
  <si>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</si>
  <si>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</si>
  <si>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</si>
  <si>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</si>
  <si>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</si>
  <si>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</si>
  <si>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</si>
  <si>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</si>
  <si>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</si>
  <si>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</si>
  <si>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</si>
  <si>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</si>
  <si>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</si>
  <si>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</si>
  <si>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</si>
  <si>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</si>
  <si>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</si>
  <si>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</si>
  <si>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</si>
  <si>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</si>
  <si>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</si>
  <si>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</si>
  <si>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</si>
  <si>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</si>
  <si>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</si>
  <si>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</si>
  <si>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</si>
  <si>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</si>
  <si>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</si>
  <si>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</si>
  <si>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</si>
  <si>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</si>
  <si>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</si>
  <si>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</si>
  <si>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</si>
  <si>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</si>
  <si>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</si>
  <si>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</si>
  <si>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</si>
  <si>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</si>
  <si>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</si>
  <si>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</si>
  <si>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</si>
  <si>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</si>
  <si>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</si>
  <si>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</si>
  <si>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</si>
  <si>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</si>
  <si>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</si>
  <si>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</si>
  <si>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</si>
  <si>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</si>
  <si>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</si>
  <si>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</si>
  <si>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</si>
  <si>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</si>
  <si>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</si>
  <si>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</si>
  <si>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</si>
  <si>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</si>
  <si>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</si>
  <si>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</si>
  <si>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</si>
  <si>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</si>
  <si>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</si>
  <si>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</si>
  <si>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</si>
  <si>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</si>
  <si>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</si>
  <si>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</si>
  <si>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</si>
  <si>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</si>
  <si>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</si>
  <si>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</si>
  <si>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</si>
  <si>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</si>
  <si>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</si>
  <si>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</si>
  <si>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</si>
  <si>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</si>
  <si>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</si>
  <si>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</si>
  <si>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</si>
  <si>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</si>
  <si>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</si>
  <si>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</si>
  <si>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</si>
  <si>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</si>
  <si>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</si>
  <si>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</si>
  <si>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</si>
  <si>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</si>
  <si>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</si>
  <si>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</si>
  <si>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</si>
  <si>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</si>
  <si>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</si>
  <si>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</si>
  <si>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</si>
  <si>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</si>
  <si>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</si>
  <si>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</si>
  <si>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</si>
  <si>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</si>
  <si>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</si>
  <si>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</si>
  <si>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</si>
  <si>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</si>
  <si>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</si>
  <si>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</si>
  <si>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</si>
  <si>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</si>
  <si>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</si>
  <si>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</si>
  <si>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</si>
  <si>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</si>
  <si>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</si>
  <si>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</si>
  <si>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</si>
  <si>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</si>
  <si>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</si>
  <si>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</si>
  <si>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</si>
  <si>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</si>
  <si>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</si>
  <si>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</si>
  <si>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</si>
  <si>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</si>
  <si>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</si>
  <si>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</si>
  <si>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</si>
  <si>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</si>
  <si>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</si>
  <si>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</si>
  <si>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</si>
  <si>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</si>
  <si>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</si>
  <si>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</si>
  <si>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</si>
  <si>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</si>
  <si>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</si>
  <si>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</si>
  <si>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</si>
  <si>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</si>
  <si>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</si>
  <si>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</si>
  <si>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</si>
  <si>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</si>
  <si>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</si>
  <si>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</si>
  <si>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</si>
  <si>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</si>
  <si>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</si>
  <si>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</si>
  <si>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</si>
  <si>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</si>
  <si>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</si>
  <si>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</si>
  <si>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</si>
  <si>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</si>
  <si>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</si>
  <si>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</si>
  <si>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</si>
  <si>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</si>
  <si>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</si>
  <si>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</si>
  <si>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</si>
  <si>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</si>
  <si>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</si>
  <si>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</si>
  <si>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</si>
  <si>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</si>
  <si>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</si>
  <si>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</si>
  <si>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</si>
  <si>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</si>
  <si>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</si>
  <si>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</si>
  <si>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</si>
  <si>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</si>
  <si>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</si>
  <si>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</si>
  <si>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</si>
  <si>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</si>
  <si>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</si>
  <si>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</si>
  <si>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</si>
  <si>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</si>
  <si>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</si>
  <si>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</si>
  <si>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</si>
  <si>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</si>
  <si>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</si>
  <si>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</si>
  <si>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</si>
  <si>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</si>
  <si>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</si>
  <si>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</si>
  <si>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</si>
  <si>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</si>
  <si>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</si>
  <si>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</si>
  <si>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</si>
  <si>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</si>
  <si>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</si>
  <si>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</si>
  <si>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</si>
  <si>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</si>
  <si>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</si>
  <si>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</si>
  <si>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</si>
  <si>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</si>
  <si>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</si>
  <si>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</si>
  <si>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</si>
  <si>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</si>
  <si>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</si>
  <si>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</si>
  <si>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</si>
  <si>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</si>
  <si>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</si>
  <si>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</si>
  <si>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</si>
  <si>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</si>
  <si>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</si>
  <si>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</si>
  <si>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</si>
  <si>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</si>
  <si>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</si>
  <si>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</si>
  <si>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</si>
  <si>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</si>
  <si>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</si>
  <si>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</si>
  <si>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</si>
  <si>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</si>
  <si>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</si>
  <si>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</si>
  <si>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</si>
  <si>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</si>
  <si>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</si>
  <si>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</si>
  <si>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</si>
  <si>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</si>
  <si>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</si>
  <si>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</si>
  <si>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</si>
  <si>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</si>
  <si>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</si>
  <si>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</si>
  <si>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</si>
  <si>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</si>
  <si>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</si>
  <si>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</si>
  <si>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</si>
  <si>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</si>
  <si>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</si>
  <si>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</si>
  <si>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</si>
  <si>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</si>
  <si>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</si>
  <si>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</si>
  <si>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</si>
  <si>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</si>
  <si>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</si>
  <si>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</si>
  <si>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</si>
  <si>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</si>
  <si>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</si>
  <si>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</si>
  <si>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</si>
  <si>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</si>
  <si>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</si>
  <si>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</si>
  <si>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</si>
  <si>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</si>
  <si>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</si>
  <si>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</si>
  <si>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</si>
  <si>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</si>
  <si>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</si>
  <si>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</si>
  <si>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</si>
  <si>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</si>
  <si>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</si>
  <si>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</si>
  <si>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</si>
  <si>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</si>
  <si>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</si>
  <si>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</si>
  <si>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</si>
  <si>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</si>
  <si>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</si>
  <si>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</si>
  <si>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</si>
  <si>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</si>
  <si>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</si>
  <si>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</si>
  <si>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</si>
  <si>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</si>
  <si>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</si>
  <si>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</si>
  <si>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</si>
  <si>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</si>
  <si>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</si>
  <si>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</si>
  <si>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</si>
  <si>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</si>
  <si>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</si>
  <si>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</si>
  <si>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</si>
  <si>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</si>
  <si>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</si>
  <si>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</si>
  <si>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</si>
  <si>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</si>
  <si>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</si>
  <si>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</si>
  <si>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</si>
  <si>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</si>
  <si>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</si>
  <si>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</si>
  <si>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</si>
  <si>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</si>
  <si>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</si>
  <si>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</si>
  <si>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</si>
  <si>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</si>
  <si>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</si>
  <si>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</si>
  <si>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</si>
  <si>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</si>
  <si>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</si>
  <si>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</si>
  <si>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</si>
  <si>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</si>
  <si>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</si>
  <si>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</si>
  <si>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</si>
  <si>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</si>
  <si>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</si>
  <si>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</si>
  <si>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</si>
  <si>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</si>
  <si>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</si>
  <si>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</si>
  <si>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</si>
  <si>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</si>
  <si>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</si>
  <si>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</si>
  <si>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</si>
  <si>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</si>
  <si>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</si>
  <si>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</si>
  <si>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</si>
  <si>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</si>
  <si>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</si>
  <si>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</si>
  <si>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</si>
  <si>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</si>
  <si>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</si>
  <si>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</si>
  <si>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</si>
  <si>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</si>
  <si>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</si>
  <si>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</si>
  <si>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</si>
  <si>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</si>
  <si>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</si>
  <si>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</si>
  <si>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</si>
  <si>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</si>
  <si>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</si>
  <si>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</si>
  <si>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</si>
  <si>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</si>
  <si>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</si>
  <si>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</si>
  <si>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</si>
  <si>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</si>
  <si>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</si>
  <si>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</si>
  <si>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</si>
  <si>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</si>
  <si>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</si>
  <si>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</si>
  <si>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</si>
  <si>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</si>
  <si>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</si>
  <si>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</si>
  <si>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</si>
  <si>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</si>
  <si>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</si>
  <si>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</si>
  <si>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</si>
  <si>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</si>
  <si>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</si>
  <si>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</si>
  <si>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</si>
  <si>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</si>
  <si>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</si>
  <si>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</si>
  <si>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</si>
  <si>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</si>
  <si>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</si>
  <si>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</si>
  <si>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</si>
  <si>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</si>
  <si>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</si>
  <si>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</si>
  <si>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</si>
  <si>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</si>
  <si>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</si>
  <si>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</si>
  <si>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</si>
  <si>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</si>
  <si>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</si>
  <si>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</si>
  <si>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</si>
  <si>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</si>
  <si>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</si>
  <si>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</si>
  <si>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</si>
  <si>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</si>
  <si>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</si>
  <si>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</si>
  <si>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</si>
  <si>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</si>
  <si>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</si>
  <si>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</si>
  <si>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</si>
  <si>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</si>
  <si>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</si>
  <si>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</si>
  <si>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</si>
  <si>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</si>
  <si>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</si>
  <si>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</si>
  <si>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</si>
  <si>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</si>
  <si>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</si>
  <si>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</si>
  <si>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</si>
  <si>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</si>
  <si>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</si>
  <si>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</si>
  <si>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</si>
  <si>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</si>
  <si>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</si>
  <si>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</si>
  <si>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</si>
  <si>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</si>
  <si>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</si>
  <si>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</si>
  <si>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</si>
  <si>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</si>
  <si>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</si>
  <si>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</si>
  <si>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</si>
  <si>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</si>
  <si>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</si>
  <si>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</si>
  <si>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</si>
  <si>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</si>
  <si>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</si>
  <si>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</si>
  <si>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</si>
  <si>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</si>
  <si>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</si>
  <si>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</si>
  <si>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</si>
  <si>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</si>
  <si>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</si>
  <si>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</si>
  <si>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</si>
  <si>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</si>
  <si>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</si>
  <si>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</si>
  <si>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</si>
  <si>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</si>
  <si>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</si>
  <si>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</si>
  <si>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</si>
  <si>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</si>
  <si>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</si>
  <si>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</si>
  <si>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</si>
  <si>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</si>
  <si>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</si>
  <si>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</si>
  <si>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</si>
  <si>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</si>
  <si>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</si>
  <si>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</si>
  <si>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</si>
  <si>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</si>
  <si>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</si>
  <si>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</si>
  <si>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</si>
  <si>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</si>
  <si>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</si>
  <si>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</si>
  <si>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</si>
  <si>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</si>
  <si>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</si>
  <si>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</si>
  <si>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</si>
  <si>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</si>
  <si>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</si>
  <si>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</si>
  <si>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</si>
  <si>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</si>
  <si>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</si>
  <si>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</si>
  <si>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</si>
  <si>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</si>
  <si>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</si>
  <si>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</si>
  <si>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</si>
  <si>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</si>
  <si>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</si>
  <si>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</si>
  <si>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</si>
  <si>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</si>
  <si>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</si>
  <si>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</si>
  <si>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</si>
  <si>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</si>
  <si>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</si>
  <si>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</si>
  <si>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</si>
  <si>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</si>
  <si>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</si>
  <si>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</si>
  <si>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</si>
  <si>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</si>
  <si>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</si>
  <si>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</si>
  <si>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</si>
  <si>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</si>
  <si>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</si>
  <si>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</si>
  <si>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</si>
  <si>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</si>
  <si>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</si>
  <si>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</si>
  <si>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</si>
  <si>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</si>
  <si>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</si>
  <si>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</si>
  <si>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</si>
  <si>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</si>
  <si>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</si>
  <si>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</si>
  <si>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</si>
  <si>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</si>
  <si>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</si>
  <si>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</si>
  <si>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</si>
  <si>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</si>
  <si>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</si>
  <si>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</si>
  <si>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</si>
  <si>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</si>
  <si>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</si>
  <si>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</si>
  <si>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</si>
  <si>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</si>
  <si>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</si>
  <si>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</si>
  <si>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</si>
  <si>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</si>
  <si>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</si>
  <si>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</si>
  <si>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</si>
  <si>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</si>
  <si>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</si>
  <si>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</si>
  <si>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</si>
  <si>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</si>
  <si>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</si>
  <si>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</si>
  <si>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</si>
  <si>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</si>
  <si>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</si>
  <si>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</si>
  <si>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</si>
  <si>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</si>
  <si>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</si>
  <si>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</si>
  <si>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</si>
  <si>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</si>
  <si>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</si>
  <si>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</si>
  <si>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</si>
  <si>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</si>
  <si>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</si>
  <si>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</si>
  <si>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</si>
  <si>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</si>
  <si>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</si>
  <si>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</si>
  <si>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</si>
  <si>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</si>
  <si>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</si>
  <si>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</si>
  <si>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</si>
  <si>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</si>
  <si>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</si>
  <si>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</si>
  <si>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</si>
  <si>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</si>
  <si>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</si>
  <si>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</si>
  <si>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</si>
  <si>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</si>
  <si>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</si>
  <si>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</si>
  <si>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</si>
  <si>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</si>
  <si>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</si>
  <si>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</si>
  <si>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</si>
  <si>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</si>
  <si>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</si>
  <si>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</si>
  <si>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</si>
  <si>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</si>
  <si>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</si>
  <si>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</si>
  <si>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</si>
  <si>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</si>
  <si>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</si>
  <si>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</si>
  <si>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</si>
  <si>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</si>
  <si>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</si>
  <si>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</si>
  <si>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</si>
  <si>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</si>
  <si>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</si>
  <si>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</si>
  <si>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</si>
  <si>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</si>
  <si>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</si>
  <si>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</si>
  <si>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</si>
  <si>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</si>
  <si>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</si>
  <si>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</si>
  <si>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</si>
  <si>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</si>
  <si>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</si>
  <si>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</si>
  <si>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</si>
  <si>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</si>
  <si>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</si>
  <si>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</si>
  <si>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</si>
  <si>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</si>
  <si>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</si>
  <si>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</si>
  <si>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</si>
  <si>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</si>
  <si>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</si>
  <si>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</si>
  <si>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</si>
  <si>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</si>
  <si>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</si>
  <si>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</si>
  <si>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</si>
  <si>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</si>
  <si>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</si>
  <si>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</si>
  <si>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</si>
  <si>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</si>
  <si>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</si>
  <si>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</si>
  <si>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</si>
  <si>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</si>
  <si>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</si>
  <si>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</si>
  <si>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</si>
  <si>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</si>
  <si>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</si>
  <si>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</si>
  <si>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</si>
  <si>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</si>
  <si>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</si>
  <si>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</si>
  <si>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</si>
  <si>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</si>
  <si>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</si>
  <si>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</si>
  <si>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</si>
  <si>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</si>
  <si>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</si>
  <si>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</si>
  <si>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</si>
  <si>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</si>
  <si>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</si>
  <si>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</si>
  <si>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</si>
  <si>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</si>
  <si>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</si>
  <si>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</si>
  <si>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</si>
  <si>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</si>
  <si>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</si>
  <si>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</si>
  <si>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</si>
  <si>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</si>
  <si>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</si>
  <si>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</si>
  <si>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</si>
  <si>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</si>
  <si>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</si>
  <si>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</si>
  <si>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</si>
  <si>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</si>
  <si>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</si>
  <si>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</si>
  <si>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</si>
  <si>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</si>
  <si>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</si>
  <si>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</si>
  <si>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</si>
  <si>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</si>
  <si>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</si>
  <si>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</si>
  <si>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</si>
  <si>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</si>
  <si>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</si>
  <si>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</si>
  <si>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</si>
  <si>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</si>
  <si>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</si>
  <si>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</si>
  <si>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</si>
  <si>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</si>
  <si>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</si>
  <si>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</si>
  <si>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</si>
  <si>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</si>
  <si>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</si>
  <si>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</si>
  <si>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</si>
  <si>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</si>
  <si>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</si>
  <si>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</si>
  <si>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</si>
  <si>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</si>
  <si>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</si>
  <si>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</si>
  <si>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</si>
  <si>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</si>
  <si>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</si>
  <si>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</si>
  <si>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</si>
  <si>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</si>
  <si>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</si>
  <si>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</si>
  <si>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</si>
  <si>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</si>
  <si>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</si>
  <si>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</si>
  <si>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</si>
  <si>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</si>
  <si>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</si>
  <si>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</si>
  <si>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</si>
  <si>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</si>
  <si>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</si>
  <si>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</si>
  <si>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</si>
  <si>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</si>
  <si>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</si>
  <si>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</si>
  <si>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</si>
  <si>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</si>
  <si>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</si>
  <si>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</si>
  <si>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</si>
  <si>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</si>
  <si>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</si>
  <si>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</si>
  <si>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</si>
  <si>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</si>
  <si>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</si>
  <si>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</si>
  <si>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</si>
  <si>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</si>
  <si>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</si>
  <si>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</si>
  <si>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</si>
  <si>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</si>
  <si>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</si>
  <si>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</si>
  <si>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</si>
  <si>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</si>
  <si>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</si>
  <si>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</si>
  <si>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</si>
  <si>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</si>
  <si>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</si>
  <si>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</si>
  <si>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</si>
  <si>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</si>
  <si>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</si>
  <si>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</si>
  <si>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</si>
  <si>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</si>
  <si>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</si>
  <si>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</si>
  <si>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</si>
  <si>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</si>
  <si>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</si>
  <si>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</si>
  <si>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</si>
  <si>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</si>
  <si>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</si>
  <si>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</si>
  <si>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</si>
  <si>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</si>
  <si>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</si>
  <si>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</si>
  <si>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</si>
  <si>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</si>
  <si>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</si>
  <si>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</si>
  <si>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</si>
  <si>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</si>
  <si>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</si>
  <si>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</si>
  <si>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</si>
  <si>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</si>
  <si>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</si>
  <si>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</si>
  <si>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</si>
  <si>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</si>
  <si>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</si>
  <si>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</si>
  <si>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</si>
  <si>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</si>
  <si>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</si>
  <si>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</si>
  <si>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</si>
  <si>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</si>
  <si>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</si>
  <si>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</si>
  <si>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</si>
  <si>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</si>
  <si>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</si>
  <si>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</si>
  <si>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</si>
  <si>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</si>
  <si>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</si>
  <si>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</si>
  <si>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</si>
  <si>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</si>
  <si>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</si>
  <si>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</si>
  <si>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</si>
  <si>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</si>
  <si>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</si>
  <si>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</si>
  <si>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</si>
  <si>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</si>
  <si>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</si>
  <si>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</si>
  <si>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</si>
  <si>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</si>
  <si>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</si>
  <si>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</si>
  <si>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</si>
  <si>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</si>
  <si>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</si>
  <si>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</si>
  <si>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</si>
  <si>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</si>
  <si>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</si>
  <si>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</si>
  <si>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</si>
  <si>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</si>
  <si>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</si>
  <si>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</si>
  <si>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</si>
  <si>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</si>
  <si>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</si>
  <si>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</si>
  <si>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</si>
  <si>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</si>
  <si>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</si>
  <si>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</si>
  <si>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</si>
  <si>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</si>
  <si>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</si>
  <si>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</si>
  <si>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</si>
  <si>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</si>
  <si>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</si>
  <si>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</si>
  <si>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</si>
  <si>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</si>
  <si>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</si>
  <si>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</si>
  <si>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</si>
  <si>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</si>
  <si>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</si>
  <si>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</si>
  <si>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</si>
  <si>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</si>
  <si>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</si>
  <si>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</si>
  <si>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</si>
  <si>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</si>
  <si>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</si>
  <si>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</si>
  <si>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</si>
  <si>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</si>
  <si>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</si>
  <si>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</si>
  <si>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</si>
  <si>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</si>
  <si>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</si>
  <si>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</si>
  <si>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</si>
  <si>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</si>
  <si>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</si>
  <si>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</si>
  <si>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</si>
  <si>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</si>
  <si>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</si>
  <si>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</si>
  <si>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</si>
  <si>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</si>
  <si>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</si>
  <si>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</si>
  <si>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</si>
  <si>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</si>
  <si>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</si>
  <si>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</si>
  <si>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</si>
  <si>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</si>
  <si>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</si>
  <si>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</si>
  <si>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</si>
  <si>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</si>
  <si>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</si>
  <si>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</si>
  <si>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</si>
  <si>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</si>
  <si>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</si>
  <si>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</si>
  <si>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</si>
  <si>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</si>
  <si>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</si>
  <si>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</si>
  <si>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</si>
  <si>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</si>
  <si>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</si>
  <si>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</si>
  <si>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</si>
  <si>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</si>
  <si>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</si>
  <si>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</si>
  <si>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</si>
  <si>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</si>
  <si>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</si>
  <si>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</si>
  <si>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</si>
  <si>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</si>
  <si>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</si>
  <si>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</si>
  <si>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</si>
  <si>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</si>
  <si>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</si>
  <si>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</si>
  <si>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</si>
  <si>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</si>
  <si>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</si>
  <si>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</si>
  <si>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</si>
  <si>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</si>
  <si>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</si>
  <si>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</si>
  <si>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</si>
  <si>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</si>
  <si>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</si>
  <si>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</si>
  <si>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</si>
  <si>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</si>
  <si>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</si>
  <si>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</si>
  <si>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</si>
  <si>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</si>
  <si>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</si>
  <si>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</si>
  <si>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</si>
  <si>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</si>
  <si>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</si>
  <si>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</si>
  <si>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</si>
  <si>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</si>
  <si>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</si>
  <si>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</si>
  <si>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</si>
  <si>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</si>
  <si>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</si>
  <si>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</si>
  <si>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</si>
  <si>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</si>
  <si>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</si>
  <si>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</si>
  <si>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</si>
  <si>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</si>
  <si>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</si>
  <si>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</si>
  <si>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</si>
  <si>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</si>
  <si>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</si>
  <si>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</si>
  <si>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</si>
  <si>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</si>
  <si>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</si>
  <si>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</si>
  <si>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</si>
  <si>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</si>
  <si>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</si>
  <si>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</si>
  <si>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</si>
  <si>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</si>
  <si>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</si>
  <si>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</si>
  <si>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</si>
  <si>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</si>
  <si>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</si>
  <si>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</si>
  <si>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</si>
  <si>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</si>
  <si>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</si>
  <si>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</si>
  <si>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</si>
  <si>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</si>
  <si>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</si>
  <si>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</si>
  <si>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</si>
  <si>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</si>
  <si>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</si>
  <si>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</si>
  <si>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</si>
  <si>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</si>
  <si>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</si>
  <si>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</si>
  <si>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</si>
  <si>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</si>
  <si>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</si>
  <si>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</si>
  <si>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</si>
  <si>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</si>
  <si>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</si>
  <si>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</si>
  <si>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</si>
  <si>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</si>
  <si>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</si>
  <si>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</si>
  <si>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</si>
  <si>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</si>
  <si>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</si>
  <si>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</si>
  <si>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</si>
  <si>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</si>
  <si>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</si>
  <si>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</si>
  <si>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</si>
  <si>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</si>
  <si>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</si>
  <si>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</si>
  <si>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</si>
  <si>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</si>
  <si>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</si>
  <si>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</si>
  <si>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</si>
  <si>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</si>
  <si>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</si>
  <si>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</si>
  <si>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</si>
  <si>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</si>
  <si>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</si>
  <si>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</si>
  <si>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</si>
  <si>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</si>
  <si>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</si>
  <si>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</si>
  <si>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</si>
  <si>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</si>
  <si>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</si>
  <si>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</si>
  <si>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</si>
  <si>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</si>
  <si>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</si>
  <si>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</si>
  <si>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</si>
  <si>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</si>
  <si>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</si>
  <si>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</si>
  <si>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</si>
  <si>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</si>
  <si>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</si>
  <si>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</si>
  <si>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</si>
  <si>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</si>
  <si>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</si>
  <si>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</si>
  <si>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</si>
  <si>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</si>
  <si>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</si>
  <si>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</si>
  <si>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</si>
  <si>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</si>
  <si>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</si>
  <si>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</si>
  <si>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</si>
  <si>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</si>
  <si>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</si>
  <si>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</si>
  <si>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</si>
  <si>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</si>
  <si>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</si>
  <si>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</si>
  <si>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</si>
  <si>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</si>
  <si>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</si>
  <si>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</si>
  <si>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</si>
  <si>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</si>
  <si>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</si>
  <si>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</si>
  <si>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</si>
  <si>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</si>
  <si>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</si>
  <si>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</si>
  <si>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</si>
  <si>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</si>
  <si>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</si>
  <si>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</si>
  <si>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</si>
  <si>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</si>
  <si>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</si>
  <si>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</si>
  <si>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</si>
  <si>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</si>
  <si>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</si>
  <si>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</si>
  <si>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</si>
  <si>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</si>
  <si>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</si>
  <si>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</si>
  <si>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</si>
  <si>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</si>
  <si>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</si>
  <si>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</si>
  <si>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</si>
  <si>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</si>
  <si>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</si>
  <si>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</si>
  <si>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</si>
  <si>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</si>
  <si>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</si>
  <si>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</si>
  <si>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</si>
  <si>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</si>
  <si>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</si>
  <si>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</si>
  <si>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</si>
  <si>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</si>
  <si>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</si>
  <si>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</si>
  <si>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</si>
  <si>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</si>
  <si>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</si>
  <si>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</si>
  <si>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</si>
  <si>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</si>
  <si>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</si>
  <si>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</si>
  <si>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</si>
  <si>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</si>
  <si>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</si>
  <si>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</si>
  <si>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</si>
  <si>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</si>
  <si>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</si>
  <si>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</si>
  <si>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</si>
  <si>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</si>
  <si>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</si>
  <si>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</si>
  <si>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</si>
  <si>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</si>
  <si>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</si>
  <si>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</si>
  <si>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</si>
  <si>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</si>
  <si>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</si>
  <si>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</si>
  <si>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</si>
  <si>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</si>
  <si>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</si>
  <si>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</si>
  <si>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</si>
  <si>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</si>
  <si>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</si>
  <si>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</si>
  <si>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</si>
  <si>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</si>
  <si>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</si>
  <si>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</si>
  <si>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</si>
  <si>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</si>
  <si>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</si>
  <si>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</si>
  <si>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</si>
  <si>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</si>
  <si>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</si>
  <si>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</si>
  <si>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</si>
  <si>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</si>
  <si>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</si>
  <si>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</si>
  <si>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</si>
  <si>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</si>
  <si>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</si>
  <si>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</si>
  <si>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</si>
  <si>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</si>
  <si>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</si>
  <si>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</si>
  <si>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</si>
  <si>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</si>
  <si>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</si>
  <si>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</si>
  <si>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</si>
  <si>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</si>
  <si>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</si>
  <si>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</si>
  <si>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</si>
  <si>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</si>
  <si>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</si>
  <si>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</si>
  <si>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</si>
  <si>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</si>
  <si>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</si>
  <si>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</si>
  <si>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</si>
  <si>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</si>
  <si>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</si>
  <si>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</si>
  <si>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</si>
  <si>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</si>
  <si>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</si>
  <si>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</si>
  <si>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</si>
  <si>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</si>
  <si>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</si>
  <si>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</si>
  <si>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</si>
  <si>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</si>
  <si>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</si>
  <si>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</si>
  <si>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</si>
  <si>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</si>
  <si>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</si>
  <si>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</si>
  <si>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</si>
  <si>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</si>
  <si>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</si>
  <si>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</si>
  <si>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</si>
  <si>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</si>
  <si>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</si>
  <si>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</si>
  <si>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</si>
  <si>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</si>
  <si>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</si>
  <si>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</si>
  <si>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</si>
  <si>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</si>
  <si>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</si>
  <si>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</si>
  <si>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</si>
  <si>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</si>
  <si>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</si>
  <si>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</si>
  <si>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</si>
  <si>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</si>
  <si>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</si>
  <si>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</si>
  <si>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</si>
  <si>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</si>
  <si>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</si>
  <si>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</si>
  <si>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</si>
  <si>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</si>
  <si>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</si>
  <si>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</si>
  <si>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</si>
  <si>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</si>
  <si>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</si>
  <si>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</si>
  <si>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</si>
  <si>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</si>
  <si>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</si>
  <si>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</si>
  <si>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</si>
  <si>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</si>
  <si>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</si>
  <si>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</si>
  <si>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</si>
  <si>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</si>
  <si>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</si>
  <si>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</si>
  <si>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</si>
  <si>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</si>
  <si>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</si>
  <si>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</si>
  <si>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</si>
  <si>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</si>
  <si>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</si>
  <si>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</si>
  <si>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</si>
  <si>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</si>
  <si>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</si>
  <si>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</si>
  <si>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</si>
  <si>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</si>
  <si>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</si>
  <si>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</si>
  <si>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</si>
  <si>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</si>
  <si>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</si>
  <si>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</si>
  <si>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</si>
  <si>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</si>
  <si>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</si>
  <si>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</si>
  <si>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</si>
  <si>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</si>
  <si>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</si>
  <si>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</si>
  <si>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</si>
  <si>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</si>
  <si>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</si>
  <si>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</si>
  <si>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</si>
  <si>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</si>
  <si>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</si>
  <si>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</si>
  <si>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</si>
  <si>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</si>
  <si>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</si>
  <si>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</si>
  <si>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</si>
  <si>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</si>
  <si>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</si>
  <si>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</si>
  <si>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</si>
  <si>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</si>
  <si>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</si>
  <si>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</si>
  <si>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</si>
  <si>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</si>
  <si>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</si>
  <si>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</si>
  <si>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</si>
  <si>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</si>
  <si>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</si>
  <si>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</si>
  <si>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</si>
  <si>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</si>
  <si>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</si>
  <si>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</si>
  <si>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</si>
  <si>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</si>
  <si>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</si>
  <si>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</si>
  <si>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</si>
  <si>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</si>
  <si>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</si>
  <si>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</si>
  <si>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</si>
  <si>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</si>
  <si>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</si>
  <si>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</si>
  <si>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</si>
  <si>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</si>
  <si>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</si>
  <si>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</si>
  <si>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</si>
  <si>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</si>
  <si>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</si>
  <si>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</si>
  <si>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</si>
  <si>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</si>
  <si>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</si>
  <si>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</si>
  <si>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</si>
  <si>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</si>
  <si>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</si>
  <si>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</si>
  <si>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</si>
  <si>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</si>
  <si>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</si>
  <si>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</si>
  <si>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</si>
  <si>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</si>
  <si>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</si>
  <si>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</si>
  <si>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</si>
  <si>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</si>
  <si>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</si>
  <si>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</si>
  <si>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</si>
  <si>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</si>
  <si>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</si>
  <si>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</si>
  <si>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</si>
  <si>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</si>
  <si>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</si>
  <si>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</si>
  <si>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</si>
  <si>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</si>
  <si>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</si>
  <si>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</si>
  <si>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</si>
  <si>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</si>
  <si>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</si>
  <si>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</si>
  <si>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</si>
  <si>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</si>
  <si>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</si>
  <si>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</si>
  <si>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</si>
  <si>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</si>
  <si>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</si>
  <si>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</si>
  <si>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</si>
  <si>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</si>
  <si>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</si>
  <si>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</si>
  <si>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</si>
  <si>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</si>
  <si>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</si>
  <si>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</si>
  <si>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</si>
  <si>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</si>
  <si>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</si>
  <si>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</si>
  <si>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</si>
  <si>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</si>
  <si>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</si>
  <si>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</si>
  <si>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</si>
  <si>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</si>
  <si>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</si>
  <si>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</si>
  <si>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</si>
  <si>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</si>
  <si>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</si>
  <si>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</si>
  <si>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</si>
  <si>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</si>
  <si>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</si>
  <si>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</si>
  <si>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</si>
  <si>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</si>
  <si>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</si>
  <si>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</si>
  <si>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</si>
  <si>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</si>
  <si>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</si>
  <si>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</si>
  <si>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</si>
  <si>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</si>
  <si>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</si>
  <si>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</si>
  <si>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</si>
  <si>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</si>
  <si>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</si>
  <si>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</si>
  <si>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</si>
  <si>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</si>
  <si>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</si>
  <si>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</si>
  <si>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</si>
  <si>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</si>
  <si>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</si>
  <si>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</si>
  <si>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</si>
  <si>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</si>
  <si>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</si>
  <si>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</si>
  <si>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</si>
  <si>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</si>
  <si>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</si>
  <si>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</si>
  <si>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</si>
  <si>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</si>
  <si>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</si>
  <si>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</si>
  <si>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</si>
  <si>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</si>
  <si>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</si>
  <si>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</si>
  <si>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</si>
  <si>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</si>
  <si>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</si>
  <si>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</si>
  <si>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</si>
  <si>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</si>
  <si>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</si>
  <si>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</si>
  <si>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</si>
  <si>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</si>
  <si>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</si>
  <si>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</si>
  <si>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</si>
  <si>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</si>
  <si>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</si>
  <si>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</si>
  <si>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</si>
  <si>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</si>
  <si>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</si>
  <si>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</si>
  <si>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</si>
  <si>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</si>
  <si>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</si>
  <si>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</si>
  <si>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</si>
  <si>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</si>
  <si>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</si>
  <si>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</si>
  <si>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</si>
  <si>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</si>
  <si>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</si>
  <si>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</si>
  <si>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</si>
  <si>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</si>
  <si>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</si>
  <si>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</si>
  <si>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</si>
  <si>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</si>
  <si>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</si>
  <si>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</si>
  <si>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</si>
  <si>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</si>
  <si>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</si>
  <si>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</si>
  <si>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</si>
  <si>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</si>
  <si>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</si>
  <si>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</si>
  <si>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</si>
  <si>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</si>
  <si>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</si>
  <si>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</si>
  <si>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</si>
  <si>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</si>
  <si>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</si>
  <si>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</si>
  <si>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</si>
  <si>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</si>
  <si>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</si>
  <si>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</si>
  <si>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</si>
  <si>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</si>
  <si>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</si>
  <si>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</si>
  <si>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</si>
  <si>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</si>
  <si>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</si>
  <si>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</si>
  <si>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</si>
  <si>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</si>
  <si>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</si>
  <si>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</si>
  <si>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</si>
  <si>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</si>
  <si>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</si>
  <si>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</si>
  <si>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</si>
  <si>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</si>
  <si>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</si>
  <si>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</si>
  <si>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</si>
  <si>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</si>
  <si>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</si>
  <si>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</si>
  <si>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</si>
  <si>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</si>
  <si>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</si>
  <si>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</si>
  <si>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</si>
  <si>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</si>
  <si>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</si>
  <si>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</si>
  <si>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</si>
  <si>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</si>
  <si>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</si>
  <si>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</si>
  <si>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</si>
  <si>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</si>
  <si>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</si>
  <si>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</si>
  <si>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</si>
  <si>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</si>
  <si>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</si>
  <si>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</si>
  <si>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</si>
  <si>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</si>
  <si>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</si>
  <si>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</si>
  <si>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</si>
  <si>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</si>
  <si>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</si>
  <si>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</si>
  <si>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</si>
  <si>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</si>
  <si>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</si>
  <si>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</si>
  <si>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</si>
  <si>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</si>
  <si>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</si>
  <si>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</si>
  <si>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</si>
  <si>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</si>
  <si>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</si>
  <si>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</si>
  <si>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</si>
  <si>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</si>
  <si>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</si>
  <si>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</si>
  <si>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</si>
  <si>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</si>
  <si>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</si>
  <si>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</si>
  <si>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</si>
  <si>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</si>
  <si>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</si>
  <si>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</si>
  <si>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</si>
  <si>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</si>
  <si>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</si>
  <si>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</si>
  <si>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</si>
  <si>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</si>
  <si>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</si>
  <si>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</si>
  <si>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</si>
  <si>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</si>
  <si>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</si>
  <si>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</si>
  <si>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</si>
  <si>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</si>
  <si>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</si>
  <si>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</si>
  <si>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</si>
  <si>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</si>
  <si>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</si>
  <si>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</si>
  <si>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</si>
  <si>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</si>
  <si>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</si>
  <si>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</si>
  <si>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</si>
  <si>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</si>
  <si>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</si>
  <si>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</si>
  <si>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</si>
  <si>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</si>
  <si>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</si>
  <si>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</si>
  <si>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</si>
  <si>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</si>
  <si>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</si>
  <si>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</si>
  <si>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</si>
  <si>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</si>
  <si>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</si>
  <si>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</si>
  <si>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</si>
  <si>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</si>
  <si>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</si>
  <si>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</si>
  <si>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</si>
  <si>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</si>
  <si>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</si>
  <si>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</si>
  <si>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</si>
  <si>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</si>
  <si>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</si>
  <si>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</si>
  <si>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</si>
  <si>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</si>
  <si>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</si>
  <si>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</si>
  <si>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</si>
  <si>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</si>
  <si>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</si>
  <si>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</si>
  <si>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</si>
  <si>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</si>
  <si>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</si>
  <si>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</si>
  <si>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</si>
  <si>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</si>
  <si>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</si>
  <si>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</si>
  <si>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</si>
  <si>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</si>
  <si>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</si>
  <si>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</si>
  <si>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</si>
  <si>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</si>
  <si>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</si>
  <si>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</si>
  <si>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</si>
  <si>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</si>
  <si>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</si>
  <si>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</si>
  <si>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</si>
  <si>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</si>
  <si>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</si>
  <si>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</si>
  <si>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</si>
  <si>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</si>
  <si>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</si>
  <si>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</si>
  <si>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</si>
  <si>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</si>
  <si>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</si>
  <si>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</si>
  <si>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</si>
  <si>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</si>
  <si>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</si>
  <si>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</si>
  <si>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</si>
  <si>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</si>
  <si>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</si>
  <si>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</si>
  <si>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</si>
  <si>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</si>
  <si>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</si>
  <si>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</si>
  <si>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</si>
  <si>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</si>
  <si>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</si>
  <si>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</si>
  <si>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</si>
  <si>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</si>
  <si>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</si>
  <si>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</si>
  <si>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</si>
  <si>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</si>
  <si>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</si>
  <si>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</si>
  <si>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</si>
  <si>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</si>
  <si>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</si>
  <si>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</si>
  <si>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</si>
  <si>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</si>
  <si>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</si>
  <si>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</si>
  <si>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</si>
  <si>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</si>
  <si>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</si>
  <si>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</si>
  <si>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</si>
  <si>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</si>
  <si>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</si>
  <si>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</si>
  <si>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</si>
  <si>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</si>
  <si>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</si>
  <si>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</si>
  <si>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</si>
  <si>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</si>
  <si>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</si>
  <si>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</si>
  <si>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</si>
  <si>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</si>
  <si>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</si>
  <si>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</si>
  <si>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</si>
  <si>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</si>
  <si>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</si>
  <si>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</si>
  <si>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</si>
  <si>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</si>
  <si>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</si>
  <si>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</si>
  <si>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</si>
  <si>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</si>
  <si>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</si>
  <si>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</si>
  <si>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</si>
  <si>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</si>
  <si>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</si>
  <si>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</si>
  <si>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</si>
  <si>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</si>
  <si>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</si>
  <si>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</si>
  <si>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</si>
  <si>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</si>
  <si>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</si>
  <si>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</si>
  <si>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</si>
  <si>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</si>
  <si>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</si>
  <si>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</si>
  <si>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</si>
  <si>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</si>
  <si>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</si>
  <si>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</si>
  <si>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</si>
  <si>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</si>
  <si>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</si>
  <si>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</si>
  <si>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</si>
  <si>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</si>
  <si>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</si>
  <si>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</si>
  <si>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</si>
  <si>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</si>
  <si>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</si>
  <si>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</si>
  <si>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</si>
  <si>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</si>
  <si>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</si>
  <si>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</si>
  <si>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</si>
  <si>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</si>
  <si>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</si>
  <si>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</si>
  <si>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</si>
  <si>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</si>
  <si>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</si>
  <si>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</si>
  <si>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</si>
  <si>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</si>
  <si>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</si>
  <si>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</si>
  <si>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</si>
  <si>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</si>
  <si>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</si>
  <si>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</si>
  <si>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</si>
  <si>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</si>
  <si>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</si>
  <si>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</si>
  <si>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</si>
  <si>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</si>
  <si>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</si>
  <si>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</si>
  <si>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</si>
  <si>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</si>
  <si>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</si>
  <si>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</si>
  <si>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</si>
  <si>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</si>
  <si>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</si>
  <si>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</si>
  <si>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</si>
  <si>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</si>
  <si>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</si>
  <si>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</si>
  <si>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</si>
  <si>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</si>
  <si>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</si>
  <si>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</si>
  <si>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</si>
  <si>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</si>
  <si>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</si>
  <si>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</si>
  <si>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</si>
  <si>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</si>
  <si>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</si>
  <si>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</si>
  <si>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</si>
  <si>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</si>
  <si>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</si>
  <si>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</si>
  <si>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</si>
  <si>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</si>
  <si>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</si>
  <si>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</si>
  <si>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</si>
  <si>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</si>
  <si>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</si>
  <si>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</si>
  <si>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</si>
  <si>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</si>
  <si>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</si>
  <si>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</si>
  <si>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</si>
  <si>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</si>
  <si>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</si>
  <si>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</si>
  <si>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</si>
  <si>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</si>
  <si>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</si>
  <si>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</si>
  <si>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</si>
  <si>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</si>
  <si>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</si>
  <si>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</si>
  <si>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</si>
  <si>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</si>
  <si>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</si>
  <si>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</si>
  <si>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</si>
  <si>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</si>
  <si>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</si>
  <si>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</si>
  <si>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</si>
  <si>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</si>
  <si>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</si>
  <si>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</si>
  <si>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</si>
  <si>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</si>
  <si>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</si>
  <si>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</si>
  <si>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</si>
  <si>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</si>
  <si>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</si>
  <si>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</si>
  <si>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</si>
  <si>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</si>
  <si>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</si>
  <si>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</si>
  <si>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</si>
  <si>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</si>
  <si>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</si>
  <si>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</si>
  <si>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</si>
  <si>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</si>
  <si>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</si>
  <si>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</si>
  <si>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</si>
  <si>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</si>
  <si>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</si>
  <si>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</si>
  <si>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</si>
  <si>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</si>
  <si>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</si>
  <si>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</si>
  <si>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</si>
  <si>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</si>
  <si>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</si>
  <si>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</si>
  <si>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</si>
  <si>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</si>
  <si>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</si>
  <si>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</si>
  <si>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</si>
  <si>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</si>
  <si>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</si>
  <si>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</si>
  <si>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</si>
  <si>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</si>
  <si>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</si>
  <si>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</si>
  <si>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</si>
  <si>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</si>
  <si>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</si>
  <si>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</si>
  <si>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</si>
  <si>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</si>
  <si>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</si>
  <si>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</si>
  <si>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</si>
  <si>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</si>
  <si>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</si>
  <si>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</si>
  <si>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</si>
  <si>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</si>
  <si>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</si>
  <si>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</si>
  <si>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</si>
  <si>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</si>
  <si>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</si>
  <si>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</si>
  <si>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</si>
  <si>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</si>
  <si>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</si>
  <si>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</si>
  <si>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</si>
  <si>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</si>
  <si>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</si>
  <si>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</si>
  <si>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</si>
  <si>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</si>
  <si>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</si>
  <si>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</si>
  <si>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</si>
  <si>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</si>
  <si>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</si>
  <si>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</si>
  <si>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</si>
  <si>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</si>
  <si>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</si>
  <si>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</si>
  <si>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</si>
  <si>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</si>
  <si>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</si>
  <si>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</si>
  <si>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</si>
  <si>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</si>
  <si>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</si>
  <si>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</si>
  <si>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</si>
  <si>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</si>
  <si>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</si>
  <si>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</si>
  <si>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</si>
  <si>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</si>
  <si>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</si>
  <si>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</si>
  <si>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</si>
  <si>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</si>
  <si>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</si>
  <si>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</si>
  <si>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</si>
  <si>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</si>
  <si>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</si>
  <si>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</si>
  <si>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</si>
  <si>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</si>
  <si>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</si>
  <si>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</si>
  <si>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</si>
  <si>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</si>
  <si>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</si>
  <si>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</si>
  <si>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</si>
  <si>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</si>
  <si>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</si>
  <si>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</si>
  <si>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</si>
  <si>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</si>
  <si>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</si>
  <si>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</si>
  <si>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</si>
  <si>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</si>
  <si>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</si>
  <si>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</si>
  <si>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</si>
  <si>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</si>
  <si>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</si>
  <si>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</si>
  <si>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</si>
  <si>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</si>
  <si>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</si>
  <si>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</si>
  <si>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</si>
  <si>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</si>
  <si>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</si>
  <si>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</si>
  <si>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</si>
  <si>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</si>
  <si>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</si>
  <si>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</si>
  <si>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</si>
  <si>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</si>
  <si>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</si>
  <si>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</si>
  <si>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</si>
  <si>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</si>
  <si>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</si>
  <si>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</si>
  <si>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</si>
  <si>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</si>
  <si>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</si>
  <si>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</si>
  <si>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</si>
  <si>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</si>
  <si>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</si>
  <si>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</si>
  <si>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</si>
  <si>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</si>
  <si>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</si>
  <si>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</si>
  <si>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</si>
  <si>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</si>
  <si>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</si>
  <si>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</si>
  <si>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</si>
  <si>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</si>
  <si>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</si>
  <si>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</si>
  <si>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</si>
  <si>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</si>
  <si>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</si>
  <si>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</si>
  <si>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</si>
  <si>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</si>
  <si>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</si>
  <si>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</si>
  <si>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</si>
  <si>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</si>
  <si>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</si>
  <si>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</si>
  <si>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</si>
  <si>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</si>
  <si>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</si>
  <si>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</si>
  <si>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</si>
  <si>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</si>
  <si>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</si>
  <si>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</si>
  <si>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</si>
  <si>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</si>
  <si>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</si>
  <si>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</si>
  <si>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</si>
  <si>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</si>
  <si>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</si>
  <si>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</si>
  <si>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</si>
  <si>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</si>
  <si>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</si>
  <si>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</si>
  <si>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</si>
  <si>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</si>
  <si>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</si>
  <si>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</si>
  <si>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</si>
  <si>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</si>
  <si>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</si>
  <si>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</si>
  <si>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</si>
  <si>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</si>
  <si>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</si>
  <si>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</si>
  <si>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</si>
  <si>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</si>
  <si>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</si>
  <si>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</si>
  <si>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</si>
  <si>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</si>
  <si>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</si>
  <si>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</si>
  <si>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</si>
  <si>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</si>
  <si>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</si>
  <si>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</si>
  <si>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</si>
  <si>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</si>
  <si>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</si>
  <si>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</si>
  <si>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</si>
  <si>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</si>
  <si>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</si>
  <si>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</si>
  <si>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</si>
  <si>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</si>
  <si>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</si>
  <si>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</si>
  <si>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</si>
  <si>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</si>
  <si>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</si>
  <si>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</si>
  <si>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</si>
  <si>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</si>
  <si>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</si>
  <si>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</si>
  <si>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</si>
  <si>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</si>
  <si>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</si>
  <si>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</si>
  <si>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</si>
  <si>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</si>
  <si>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</si>
  <si>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</si>
  <si>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</si>
  <si>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</si>
  <si>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</si>
  <si>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</si>
  <si>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</si>
  <si>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</si>
  <si>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</si>
  <si>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</si>
  <si>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</si>
  <si>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</si>
  <si>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</si>
  <si>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</si>
  <si>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</si>
  <si>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</si>
  <si>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</si>
  <si>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</si>
  <si>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</si>
  <si>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</si>
  <si>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</si>
  <si>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</si>
  <si>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</si>
  <si>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</si>
  <si>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</si>
  <si>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</si>
  <si>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</si>
  <si>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</si>
  <si>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</si>
  <si>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</si>
  <si>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</si>
  <si>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</si>
  <si>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</si>
  <si>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</si>
  <si>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</si>
  <si>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</si>
  <si>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</si>
  <si>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</si>
  <si>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</si>
  <si>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</si>
  <si>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</si>
  <si>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</si>
  <si>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</si>
  <si>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</si>
  <si>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</si>
  <si>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</si>
  <si>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</si>
  <si>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</si>
  <si>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</si>
  <si>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</si>
  <si>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</si>
  <si>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</si>
  <si>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</si>
  <si>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</si>
  <si>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</si>
  <si>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</si>
  <si>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</si>
  <si>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</si>
  <si>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</si>
  <si>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</si>
  <si>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</si>
  <si>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</si>
  <si>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</si>
  <si>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</si>
  <si>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</si>
  <si>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</si>
  <si>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</si>
  <si>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</si>
  <si>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</si>
  <si>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</si>
  <si>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</si>
  <si>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</si>
  <si>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</si>
  <si>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</si>
  <si>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</si>
  <si>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</si>
  <si>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</si>
  <si>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</si>
  <si>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</si>
  <si>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</si>
  <si>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</si>
  <si>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</si>
  <si>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</si>
  <si>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</si>
  <si>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</si>
  <si>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</si>
  <si>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</si>
  <si>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</si>
  <si>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</si>
  <si>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</si>
  <si>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</si>
  <si>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</si>
  <si>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</si>
  <si>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</si>
  <si>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</si>
  <si>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</si>
  <si>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</si>
  <si>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</si>
  <si>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</si>
  <si>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</si>
  <si>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</si>
  <si>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</si>
  <si>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</si>
  <si>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</si>
  <si>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</si>
  <si>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</si>
  <si>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</si>
  <si>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</si>
  <si>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</si>
  <si>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</si>
  <si>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</si>
  <si>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</si>
  <si>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</si>
  <si>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</si>
  <si>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</si>
  <si>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</si>
  <si>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</si>
  <si>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</si>
  <si>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</si>
  <si>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</si>
  <si>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</si>
  <si>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</si>
  <si>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</si>
  <si>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</si>
  <si>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</si>
  <si>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</si>
  <si>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</si>
  <si>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</si>
  <si>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</si>
  <si>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</si>
  <si>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</si>
  <si>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</si>
  <si>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</si>
  <si>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</si>
  <si>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</si>
  <si>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</si>
  <si>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</si>
  <si>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</si>
  <si>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</si>
  <si>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</si>
  <si>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</si>
  <si>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</si>
  <si>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</si>
  <si>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</si>
  <si>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</si>
  <si>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</si>
  <si>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</si>
  <si>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</si>
  <si>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</si>
  <si>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</si>
  <si>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</si>
  <si>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</si>
  <si>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</si>
  <si>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</si>
  <si>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</si>
  <si>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</si>
  <si>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</si>
  <si>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</si>
  <si>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</si>
  <si>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</si>
  <si>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</si>
  <si>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</si>
  <si>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</si>
  <si>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</si>
  <si>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</si>
  <si>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</si>
  <si>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</si>
  <si>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</si>
  <si>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</si>
  <si>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</si>
  <si>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</si>
  <si>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</si>
  <si>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</si>
  <si>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</si>
  <si>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</si>
  <si>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</si>
  <si>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</si>
  <si>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</si>
  <si>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</si>
  <si>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</si>
  <si>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</si>
  <si>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</si>
  <si>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</si>
  <si>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</si>
  <si>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</si>
  <si>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</si>
  <si>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</si>
  <si>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</si>
  <si>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</si>
  <si>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</si>
  <si>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</si>
  <si>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</si>
  <si>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</si>
  <si>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</si>
  <si>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</si>
  <si>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</si>
  <si>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</si>
  <si>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</si>
  <si>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</si>
  <si>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</si>
  <si>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</si>
  <si>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</si>
  <si>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</si>
  <si>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</si>
  <si>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</si>
  <si>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</si>
  <si>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</si>
  <si>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</si>
  <si>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</si>
  <si>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</si>
  <si>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</si>
  <si>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</si>
  <si>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</si>
  <si>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</si>
  <si>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</si>
  <si>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</si>
  <si>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</si>
  <si>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</si>
  <si>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</si>
  <si>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</si>
  <si>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</si>
  <si>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</si>
  <si>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</si>
  <si>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</si>
  <si>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</si>
  <si>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</si>
  <si>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</si>
  <si>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</si>
  <si>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</si>
  <si>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</si>
  <si>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</si>
  <si>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</si>
  <si>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</si>
  <si>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</si>
  <si>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</si>
  <si>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</si>
  <si>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</si>
  <si>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</si>
  <si>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</si>
  <si>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</si>
  <si>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</si>
  <si>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</si>
  <si>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</si>
  <si>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</si>
  <si>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</si>
  <si>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</si>
  <si>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</si>
  <si>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</si>
  <si>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</si>
  <si>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</si>
  <si>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</si>
  <si>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</si>
  <si>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</si>
  <si>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</si>
  <si>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</si>
  <si>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</si>
  <si>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</si>
  <si>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</si>
  <si>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</si>
  <si>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</si>
  <si>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</si>
  <si>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</si>
  <si>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</si>
  <si>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</si>
  <si>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</si>
  <si>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</si>
  <si>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</si>
  <si>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</si>
  <si>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</si>
  <si>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</si>
  <si>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</si>
  <si>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</si>
  <si>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</si>
  <si>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</si>
  <si>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</si>
  <si>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</si>
  <si>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</si>
  <si>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</si>
  <si>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</si>
  <si>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</si>
  <si>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</si>
  <si>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</si>
  <si>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</si>
  <si>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</si>
  <si>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</si>
  <si>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</si>
  <si>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</si>
  <si>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</si>
  <si>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</si>
  <si>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</si>
  <si>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</si>
  <si>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</si>
  <si>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</si>
  <si>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</si>
  <si>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</si>
  <si>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</si>
  <si>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</si>
  <si>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</si>
  <si>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</si>
  <si>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</si>
  <si>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</si>
  <si>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</si>
  <si>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</si>
  <si>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</si>
  <si>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</si>
  <si>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</si>
  <si>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</si>
  <si>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</si>
  <si>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</si>
  <si>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</si>
  <si>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</si>
  <si>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</si>
  <si>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</si>
  <si>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</si>
  <si>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</si>
  <si>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</si>
  <si>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</si>
  <si>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</si>
  <si>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</si>
  <si>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</si>
  <si>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</si>
  <si>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</si>
  <si>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</si>
  <si>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</si>
  <si>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</si>
  <si>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</si>
  <si>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</si>
  <si>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</si>
  <si>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</si>
  <si>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</si>
  <si>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</si>
  <si>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</si>
  <si>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</si>
  <si>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</si>
  <si>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</si>
  <si>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</si>
  <si>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</si>
  <si>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</si>
  <si>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</si>
  <si>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</si>
  <si>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</si>
  <si>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</si>
  <si>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</si>
  <si>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</si>
  <si>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</si>
  <si>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</si>
  <si>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</si>
  <si>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</si>
  <si>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</si>
  <si>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</si>
  <si>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</si>
  <si>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</si>
  <si>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</si>
  <si>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</si>
  <si>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</si>
  <si>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</si>
  <si>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</si>
  <si>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</si>
  <si>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</si>
  <si>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</si>
  <si>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</si>
  <si>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</si>
  <si>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</si>
  <si>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</si>
  <si>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</si>
  <si>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</si>
  <si>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</si>
  <si>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</si>
  <si>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</si>
  <si>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</si>
  <si>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</si>
  <si>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</si>
  <si>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</si>
  <si>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</si>
  <si>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</si>
  <si>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</si>
  <si>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</si>
  <si>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</si>
  <si>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</si>
  <si>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</si>
  <si>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</si>
  <si>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</si>
  <si>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</si>
  <si>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</si>
  <si>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</si>
  <si>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</si>
  <si>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</si>
  <si>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</si>
  <si>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</si>
  <si>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</si>
  <si>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</si>
  <si>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</si>
  <si>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</si>
  <si>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</si>
  <si>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</si>
  <si>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</si>
  <si>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</si>
  <si>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</si>
  <si>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</si>
  <si>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</si>
  <si>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</si>
  <si>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</si>
  <si>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</si>
  <si>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</si>
  <si>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</si>
  <si>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</si>
  <si>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</si>
  <si>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</si>
  <si>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</si>
  <si>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</si>
  <si>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</si>
  <si>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</si>
  <si>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</si>
  <si>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</si>
  <si>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</si>
  <si>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</si>
  <si>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</si>
  <si>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</si>
  <si>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</si>
  <si>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</si>
  <si>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</si>
  <si>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</si>
  <si>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</si>
  <si>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</si>
  <si>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</si>
  <si>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</si>
  <si>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</si>
  <si>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</si>
  <si>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</si>
  <si>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</si>
  <si>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</si>
  <si>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</si>
  <si>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</si>
  <si>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</si>
  <si>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</si>
  <si>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</si>
  <si>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</si>
  <si>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</si>
  <si>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</si>
  <si>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</si>
  <si>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</si>
  <si>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</si>
  <si>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</si>
  <si>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</si>
  <si>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</si>
  <si>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</si>
  <si>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</si>
  <si>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</si>
  <si>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</si>
  <si>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</si>
  <si>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</si>
  <si>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</si>
  <si>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</si>
  <si>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</si>
  <si>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</si>
  <si>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</si>
  <si>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</si>
  <si>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</si>
  <si>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</si>
  <si>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</si>
  <si>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</si>
  <si>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</si>
  <si>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</si>
  <si>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</si>
  <si>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</si>
  <si>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</si>
  <si>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</si>
  <si>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</si>
  <si>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</si>
  <si>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</si>
  <si>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</si>
  <si>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</si>
  <si>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</si>
  <si>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</si>
  <si>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</si>
  <si>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</si>
  <si>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</si>
  <si>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</si>
  <si>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</si>
  <si>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</si>
  <si>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</si>
  <si>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</si>
  <si>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</si>
  <si>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</si>
  <si>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</si>
  <si>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</si>
  <si>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</si>
  <si>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</si>
  <si>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</si>
  <si>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</si>
  <si>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</si>
  <si>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</si>
  <si>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</si>
  <si>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</si>
  <si>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</si>
  <si>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</si>
  <si>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</si>
  <si>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</si>
  <si>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</si>
  <si>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</si>
  <si>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</si>
  <si>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</si>
  <si>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</si>
  <si>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</si>
  <si>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</si>
  <si>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</si>
  <si>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</si>
  <si>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</si>
  <si>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</si>
  <si>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</si>
  <si>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</si>
  <si>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</si>
  <si>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</si>
  <si>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</si>
  <si>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</si>
  <si>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</si>
  <si>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</si>
  <si>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</si>
  <si>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</si>
  <si>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</si>
  <si>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</si>
  <si>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</si>
  <si>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</si>
  <si>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</si>
  <si>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</si>
  <si>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</si>
  <si>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</si>
  <si>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</si>
  <si>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</si>
  <si>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</si>
  <si>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</si>
  <si>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</si>
  <si>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</si>
  <si>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</si>
  <si>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</si>
  <si>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</si>
  <si>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</si>
  <si>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</si>
  <si>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</si>
  <si>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</si>
  <si>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</si>
  <si>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</si>
  <si>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</si>
  <si>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</si>
  <si>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</si>
  <si>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</si>
  <si>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</si>
  <si>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</si>
  <si>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</si>
  <si>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</si>
  <si>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</si>
  <si>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</si>
  <si>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</si>
  <si>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</si>
  <si>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</si>
  <si>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</si>
  <si>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</si>
  <si>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</si>
  <si>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</si>
  <si>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</si>
  <si>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</si>
  <si>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</si>
  <si>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</si>
  <si>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</si>
  <si>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</si>
  <si>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</si>
  <si>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</si>
  <si>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</si>
  <si>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</si>
  <si>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</si>
  <si>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</si>
  <si>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</si>
  <si>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</si>
  <si>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</si>
  <si>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</si>
  <si>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</si>
  <si>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</si>
  <si>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</si>
  <si>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</si>
  <si>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</si>
  <si>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</si>
  <si>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</si>
  <si>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</si>
  <si>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</si>
  <si>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</si>
  <si>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</si>
  <si>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</si>
  <si>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</si>
  <si>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</si>
  <si>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</si>
  <si>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</si>
  <si>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</si>
  <si>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</si>
  <si>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</si>
  <si>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</si>
  <si>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</si>
  <si>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</si>
  <si>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</si>
  <si>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</si>
  <si>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</si>
  <si>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</si>
  <si>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</si>
  <si>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</si>
  <si>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</si>
  <si>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</si>
  <si>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</si>
  <si>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</si>
  <si>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</si>
  <si>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</si>
  <si>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</si>
  <si>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</si>
  <si>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</si>
  <si>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</si>
  <si>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</si>
  <si>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</si>
  <si>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</si>
  <si>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</si>
  <si>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</si>
  <si>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</si>
  <si>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</si>
  <si>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</si>
  <si>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</si>
  <si>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</si>
  <si>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</si>
  <si>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</si>
  <si>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</si>
  <si>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</si>
  <si>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</si>
  <si>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</si>
  <si>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</si>
  <si>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</si>
  <si>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</si>
  <si>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</si>
  <si>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</si>
  <si>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</si>
  <si>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</si>
  <si>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</si>
  <si>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</si>
  <si>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</si>
  <si>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</si>
  <si>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</si>
  <si>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</si>
  <si>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</si>
  <si>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</si>
  <si>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</si>
  <si>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</si>
  <si>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</si>
  <si>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</si>
  <si>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</si>
  <si>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</si>
  <si>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</si>
  <si>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</si>
  <si>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</si>
  <si>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</si>
  <si>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</si>
  <si>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</si>
  <si>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</si>
  <si>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</si>
  <si>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</si>
  <si>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</si>
  <si>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</si>
  <si>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</si>
  <si>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</si>
  <si>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</si>
  <si>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</si>
  <si>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</si>
  <si>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</si>
  <si>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</si>
  <si>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</si>
  <si>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</si>
  <si>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</si>
  <si>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</si>
  <si>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</si>
  <si>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</si>
  <si>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</si>
  <si>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</si>
  <si>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</si>
  <si>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</si>
  <si>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</si>
  <si>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</si>
  <si>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</si>
  <si>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</si>
  <si>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</si>
  <si>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</si>
  <si>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</si>
  <si>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</si>
  <si>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</si>
  <si>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</si>
  <si>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</si>
  <si>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</si>
  <si>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</si>
  <si>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</si>
  <si>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</si>
  <si>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</si>
  <si>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</si>
  <si>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</si>
  <si>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</si>
  <si>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</si>
  <si>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</si>
  <si>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</si>
  <si>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</si>
  <si>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</si>
  <si>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</si>
  <si>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</si>
  <si>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</si>
  <si>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</si>
  <si>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</si>
  <si>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</si>
  <si>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</si>
  <si>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</si>
  <si>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</si>
  <si>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</si>
  <si>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</si>
  <si>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</si>
  <si>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</si>
  <si>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</si>
  <si>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</si>
  <si>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</si>
  <si>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</si>
  <si>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</si>
  <si>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</si>
  <si>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</si>
  <si>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</si>
  <si>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</si>
  <si>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</si>
  <si>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</si>
  <si>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</si>
  <si>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</si>
  <si>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</si>
  <si>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</si>
  <si>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</si>
  <si>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</si>
  <si>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</si>
  <si>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</si>
  <si>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</si>
  <si>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</si>
  <si>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</si>
  <si>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</si>
  <si>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</si>
  <si>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</si>
  <si>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</si>
  <si>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</si>
  <si>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</si>
  <si>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</si>
  <si>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</si>
  <si>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</si>
  <si>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</si>
  <si>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</si>
  <si>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</si>
  <si>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</si>
  <si>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</si>
  <si>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</si>
  <si>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</si>
  <si>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</si>
  <si>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</si>
  <si>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</si>
  <si>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</si>
  <si>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</si>
  <si>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</si>
  <si>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</si>
  <si>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</si>
  <si>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</si>
  <si>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</si>
  <si>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</si>
  <si>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</si>
  <si>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</si>
  <si>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</si>
  <si>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</si>
  <si>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</si>
  <si>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</si>
  <si>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</si>
  <si>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</si>
  <si>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</si>
  <si>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</si>
  <si>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</si>
  <si>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</si>
  <si>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</si>
  <si>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</si>
  <si>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</si>
  <si>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</si>
  <si>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</si>
  <si>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</si>
  <si>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</si>
  <si>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</si>
  <si>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</si>
  <si>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</si>
  <si>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</si>
  <si>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</si>
  <si>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</si>
  <si>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</si>
  <si>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</si>
  <si>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</si>
  <si>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</si>
  <si>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</si>
  <si>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</si>
  <si>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</si>
  <si>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</si>
  <si>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</si>
  <si>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</si>
  <si>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</si>
  <si>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</si>
  <si>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</si>
  <si>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</si>
  <si>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</si>
  <si>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</si>
  <si>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</si>
  <si>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</si>
  <si>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</si>
  <si>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</si>
  <si>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</si>
  <si>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</si>
  <si>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</si>
  <si>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</si>
  <si>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</si>
  <si>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</si>
  <si>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</si>
  <si>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</si>
  <si>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</si>
  <si>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</si>
  <si>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</si>
  <si>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</si>
  <si>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</si>
  <si>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</si>
  <si>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</si>
  <si>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</si>
  <si>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</si>
  <si>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</si>
  <si>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</si>
  <si>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</si>
  <si>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</si>
  <si>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</si>
  <si>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</si>
  <si>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</si>
  <si>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</si>
  <si>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</si>
  <si>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</si>
  <si>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</si>
  <si>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</si>
  <si>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</si>
  <si>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</si>
  <si>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</si>
  <si>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</si>
  <si>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</si>
  <si>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</si>
  <si>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</si>
  <si>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</si>
  <si>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</si>
  <si>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</si>
  <si>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</si>
  <si>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</si>
  <si>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</si>
  <si>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</si>
  <si>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</si>
  <si>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</si>
  <si>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</si>
  <si>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</si>
  <si>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</si>
  <si>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</si>
  <si>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</si>
  <si>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</si>
  <si>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</si>
  <si>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</si>
  <si>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</si>
  <si>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</si>
  <si>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</si>
  <si>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</si>
  <si>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</si>
  <si>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</si>
  <si>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</si>
  <si>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</si>
  <si>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</si>
  <si>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</si>
  <si>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</si>
  <si>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</si>
  <si>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</si>
  <si>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</si>
  <si>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</si>
  <si>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</si>
  <si>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</si>
  <si>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</si>
  <si>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</si>
  <si>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</si>
  <si>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</si>
  <si>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</si>
  <si>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</si>
  <si>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</si>
  <si>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</si>
  <si>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</si>
  <si>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</si>
  <si>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</si>
  <si>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</si>
  <si>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</si>
  <si>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</si>
  <si>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</si>
  <si>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</si>
  <si>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</si>
  <si>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</si>
  <si>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</si>
  <si>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</si>
  <si>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</si>
  <si>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</si>
  <si>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</si>
  <si>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</si>
  <si>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</si>
  <si>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</si>
  <si>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</si>
  <si>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</si>
  <si>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</si>
  <si>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</si>
  <si>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</si>
  <si>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</si>
  <si>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</si>
  <si>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</si>
  <si>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</si>
  <si>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</si>
  <si>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</si>
  <si>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</si>
  <si>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</si>
  <si>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</si>
  <si>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</si>
  <si>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</si>
  <si>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</si>
  <si>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</si>
  <si>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</si>
  <si>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</si>
  <si>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</si>
  <si>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</si>
  <si>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</si>
  <si>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</si>
  <si>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</si>
  <si>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</si>
  <si>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</si>
  <si>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</si>
  <si>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</si>
  <si>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</si>
  <si>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</si>
  <si>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</si>
  <si>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</si>
  <si>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</si>
  <si>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</si>
  <si>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</si>
  <si>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</si>
  <si>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</si>
  <si>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</si>
  <si>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</si>
  <si>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</si>
  <si>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</si>
  <si>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</si>
  <si>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</si>
  <si>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</si>
  <si>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</si>
  <si>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</si>
  <si>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</si>
  <si>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</si>
  <si>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</si>
  <si>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</si>
  <si>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</si>
  <si>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</si>
  <si>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</si>
  <si>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</si>
  <si>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</si>
  <si>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</si>
  <si>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</si>
  <si>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</si>
  <si>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</si>
  <si>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</si>
  <si>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</si>
  <si>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</si>
  <si>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</si>
  <si>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</si>
  <si>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</si>
  <si>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</si>
  <si>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</si>
  <si>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</si>
  <si>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</si>
  <si>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</si>
  <si>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</si>
  <si>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</si>
  <si>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</si>
  <si>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</si>
  <si>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</si>
  <si>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</si>
  <si>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</si>
  <si>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</si>
  <si>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</si>
  <si>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</si>
  <si>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</si>
  <si>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</si>
  <si>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</si>
  <si>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</si>
  <si>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</si>
  <si>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</si>
  <si>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</si>
  <si>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</si>
  <si>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</si>
  <si>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</si>
  <si>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</si>
  <si>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</si>
  <si>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</si>
  <si>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</si>
  <si>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</si>
  <si>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</si>
  <si>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</si>
  <si>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</si>
  <si>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</si>
  <si>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</si>
  <si>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</si>
  <si>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</si>
  <si>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</si>
  <si>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</si>
  <si>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</si>
  <si>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</si>
  <si>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</si>
  <si>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</si>
  <si>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</si>
  <si>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</si>
  <si>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</si>
  <si>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</si>
  <si>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</si>
  <si>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</si>
  <si>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</si>
  <si>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</si>
  <si>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</si>
  <si>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</si>
  <si>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</si>
  <si>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</si>
  <si>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</si>
  <si>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</si>
  <si>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</si>
  <si>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</si>
  <si>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</si>
  <si>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</si>
  <si>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</si>
  <si>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</si>
  <si>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</si>
  <si>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</si>
  <si>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</si>
  <si>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</si>
  <si>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</si>
  <si>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</si>
  <si>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</si>
  <si>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</si>
  <si>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</si>
  <si>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</si>
  <si>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</si>
  <si>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</si>
  <si>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</si>
  <si>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</si>
  <si>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</si>
  <si>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</si>
  <si>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</si>
  <si>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</si>
  <si>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</si>
  <si>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</si>
  <si>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</si>
  <si>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</si>
  <si>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</si>
  <si>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</si>
  <si>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</si>
  <si>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</si>
  <si>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</si>
  <si>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</si>
  <si>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</si>
  <si>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</si>
  <si>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</si>
  <si>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</si>
  <si>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</si>
  <si>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</si>
  <si>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</si>
  <si>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</si>
  <si>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</si>
  <si>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</si>
  <si>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</si>
  <si>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</si>
  <si>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</si>
  <si>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</si>
  <si>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</si>
  <si>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</si>
  <si>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</si>
  <si>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</si>
  <si>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</si>
  <si>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</si>
  <si>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</si>
  <si>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</si>
  <si>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</si>
  <si>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</si>
  <si>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</si>
  <si>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</si>
  <si>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</si>
  <si>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</si>
  <si>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</si>
  <si>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</si>
  <si>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</si>
  <si>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</si>
  <si>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</si>
  <si>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</si>
  <si>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</si>
  <si>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</si>
  <si>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</si>
  <si>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</si>
  <si>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</si>
  <si>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</si>
  <si>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</si>
  <si>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</si>
  <si>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</si>
  <si>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</si>
  <si>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</si>
  <si>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</si>
  <si>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</si>
  <si>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</si>
  <si>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</si>
  <si>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</si>
  <si>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</si>
  <si>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</si>
  <si>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</si>
  <si>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</si>
  <si>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</si>
  <si>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</si>
  <si>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</si>
  <si>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</si>
  <si>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</si>
  <si>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</si>
  <si>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</si>
  <si>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</si>
  <si>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</si>
  <si>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</si>
  <si>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</si>
  <si>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</si>
  <si>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</si>
  <si>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</si>
  <si>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</si>
  <si>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</si>
  <si>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</si>
  <si>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</si>
  <si>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</si>
  <si>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</si>
  <si>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</si>
  <si>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</si>
  <si>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</si>
  <si>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</si>
  <si>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</si>
  <si>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</si>
  <si>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</si>
  <si>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</si>
  <si>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</si>
  <si>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</si>
  <si>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</si>
  <si>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</si>
  <si>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</si>
  <si>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</si>
  <si>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</si>
  <si>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</si>
  <si>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</si>
  <si>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</si>
  <si>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</si>
  <si>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</si>
  <si>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</si>
  <si>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</si>
  <si>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</si>
  <si>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</si>
  <si>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</si>
  <si>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</si>
  <si>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</si>
  <si>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</si>
  <si>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</si>
  <si>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</si>
  <si>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</si>
  <si>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</si>
  <si>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</si>
  <si>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</si>
  <si>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</si>
  <si>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</si>
  <si>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</si>
  <si>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</si>
  <si>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</si>
  <si>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</si>
  <si>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</si>
  <si>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</si>
  <si>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</si>
  <si>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</si>
  <si>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</si>
  <si>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</si>
  <si>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</si>
  <si>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</si>
  <si>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</si>
  <si>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</si>
  <si>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</si>
  <si>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</si>
  <si>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</si>
  <si>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</si>
  <si>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</si>
  <si>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</si>
  <si>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</si>
  <si>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</si>
  <si>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</si>
  <si>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</si>
  <si>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</si>
  <si>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</si>
  <si>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</si>
  <si>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</si>
  <si>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</si>
  <si>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</si>
  <si>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</si>
  <si>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</si>
  <si>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</si>
  <si>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</si>
  <si>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</si>
  <si>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</si>
  <si>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</si>
  <si>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</si>
  <si>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</si>
  <si>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</si>
  <si>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</si>
  <si>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</si>
  <si>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</si>
  <si>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</si>
  <si>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</si>
  <si>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</si>
  <si>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</si>
  <si>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</si>
  <si>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</si>
  <si>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</si>
  <si>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</si>
  <si>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</si>
  <si>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</si>
  <si>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</si>
  <si>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</si>
  <si>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</si>
  <si>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</si>
  <si>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</si>
  <si>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</si>
  <si>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</si>
  <si>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</si>
  <si>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</si>
  <si>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</si>
  <si>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</si>
  <si>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</si>
  <si>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</si>
  <si>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</si>
  <si>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</si>
  <si>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</si>
  <si>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</si>
  <si>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</si>
  <si>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</si>
  <si>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</si>
  <si>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</si>
  <si>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</si>
  <si>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</si>
  <si>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</si>
  <si>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</si>
  <si>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</si>
  <si>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</si>
  <si>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</si>
  <si>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</si>
  <si>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</si>
  <si>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</si>
  <si>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</si>
  <si>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</si>
  <si>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</si>
  <si>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</si>
  <si>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</si>
  <si>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</si>
  <si>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</si>
  <si>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</si>
  <si>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</si>
  <si>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</si>
  <si>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</si>
  <si>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</si>
  <si>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</si>
  <si>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</si>
  <si>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</si>
  <si>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</si>
  <si>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</si>
  <si>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</si>
  <si>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</si>
  <si>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</si>
  <si>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</si>
  <si>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</si>
  <si>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</si>
  <si>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</si>
  <si>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</si>
  <si>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</si>
  <si>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</si>
  <si>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</si>
  <si>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</si>
  <si>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</si>
  <si>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</si>
  <si>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</si>
  <si>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</si>
  <si>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</si>
  <si>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</si>
  <si>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</si>
  <si>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</si>
  <si>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</si>
  <si>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</si>
  <si>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</si>
  <si>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</si>
  <si>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</si>
  <si>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</si>
  <si>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</si>
  <si>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</si>
  <si>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</si>
  <si>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</si>
  <si>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</si>
  <si>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</si>
  <si>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</si>
  <si>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</si>
  <si>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</si>
  <si>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</si>
  <si>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</si>
  <si>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</si>
  <si>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</si>
  <si>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</si>
  <si>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</si>
  <si>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</si>
  <si>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</si>
  <si>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</si>
  <si>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</si>
  <si>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</si>
  <si>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</si>
  <si>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</si>
  <si>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</si>
  <si>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</si>
  <si>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</si>
  <si>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</si>
  <si>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</si>
  <si>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</si>
  <si>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</si>
  <si>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</si>
  <si>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</si>
  <si>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</si>
  <si>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</si>
  <si>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</si>
  <si>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</si>
  <si>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</si>
  <si>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</si>
  <si>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</si>
  <si>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</si>
  <si>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</si>
  <si>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</si>
  <si>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</si>
  <si>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</si>
  <si>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</si>
  <si>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</si>
  <si>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</si>
  <si>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</si>
  <si>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</si>
  <si>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</si>
  <si>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</si>
  <si>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</si>
  <si>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</si>
  <si>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</si>
  <si>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</si>
  <si>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</si>
  <si>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</si>
  <si>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</si>
  <si>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</si>
  <si>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</si>
  <si>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</si>
  <si>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</si>
  <si>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</si>
  <si>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</si>
  <si>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</si>
  <si>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</si>
  <si>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</si>
  <si>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</si>
  <si>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</si>
  <si>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</si>
  <si>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</si>
  <si>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</si>
  <si>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</si>
  <si>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</si>
  <si>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</si>
  <si>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</si>
  <si>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</si>
  <si>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</si>
  <si>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</si>
  <si>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</si>
  <si>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</si>
  <si>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</si>
  <si>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</si>
  <si>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</si>
  <si>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</si>
  <si>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</si>
  <si>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</si>
  <si>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</si>
  <si>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</si>
  <si>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</si>
  <si>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</si>
  <si>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</si>
  <si>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</si>
  <si>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</si>
  <si>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</si>
  <si>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</si>
  <si>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</si>
  <si>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</si>
  <si>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</si>
  <si>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</si>
  <si>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</si>
  <si>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</si>
  <si>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</si>
  <si>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</si>
  <si>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</si>
  <si>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</si>
  <si>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</si>
  <si>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</si>
  <si>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</si>
  <si>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</si>
  <si>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</si>
  <si>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</si>
  <si>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</si>
  <si>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</si>
  <si>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</si>
  <si>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</si>
  <si>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</si>
  <si>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</si>
  <si>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</si>
  <si>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</si>
  <si>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</si>
  <si>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</si>
  <si>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</si>
  <si>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</si>
  <si>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</si>
  <si>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</si>
  <si>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</si>
  <si>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</si>
  <si>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</si>
  <si>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</si>
  <si>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</si>
  <si>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</si>
  <si>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</si>
  <si>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</si>
  <si>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</si>
  <si>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</si>
  <si>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</si>
  <si>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</si>
  <si>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</si>
  <si>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</si>
  <si>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</si>
  <si>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</si>
  <si>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</si>
  <si>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</si>
  <si>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</si>
  <si>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</si>
  <si>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</si>
  <si>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</si>
  <si>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</si>
  <si>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</si>
  <si>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</si>
  <si>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</si>
  <si>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</si>
  <si>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</si>
  <si>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</si>
  <si>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</si>
  <si>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</si>
  <si>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</si>
  <si>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</si>
  <si>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</si>
  <si>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</si>
  <si>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</si>
  <si>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</si>
  <si>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</si>
  <si>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</si>
  <si>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</si>
  <si>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</si>
  <si>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</si>
  <si>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</si>
  <si>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</si>
  <si>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</si>
  <si>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</si>
  <si>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</si>
  <si>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</si>
  <si>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</si>
  <si>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</si>
  <si>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</si>
  <si>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</si>
  <si>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</si>
  <si>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</si>
  <si>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</si>
  <si>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</si>
  <si>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</si>
  <si>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</si>
  <si>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</si>
  <si>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</si>
  <si>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</si>
  <si>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</si>
  <si>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</si>
  <si>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</si>
  <si>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</si>
  <si>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</si>
  <si>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</si>
  <si>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</si>
  <si>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</si>
  <si>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</si>
  <si>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</si>
  <si>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</si>
  <si>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</si>
  <si>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</si>
  <si>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</si>
  <si>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</si>
  <si>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</si>
  <si>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</si>
  <si>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</si>
  <si>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</si>
  <si>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</si>
  <si>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</si>
  <si>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</si>
  <si>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</si>
  <si>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</si>
  <si>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</si>
  <si>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</si>
  <si>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</si>
  <si>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</si>
  <si>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</si>
  <si>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</si>
  <si>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</si>
  <si>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</si>
  <si>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</si>
  <si>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</si>
  <si>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</si>
  <si>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</si>
  <si>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</si>
  <si>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</si>
  <si>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</si>
  <si>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</si>
  <si>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</si>
  <si>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</si>
  <si>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</si>
  <si>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</si>
  <si>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</si>
  <si>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</si>
  <si>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</si>
  <si>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</si>
  <si>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</si>
  <si>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</si>
  <si>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</si>
  <si>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</si>
  <si>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</si>
  <si>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</si>
  <si>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</si>
  <si>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</si>
  <si>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</si>
  <si>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</si>
  <si>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</si>
  <si>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</si>
  <si>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</si>
  <si>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</si>
  <si>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</si>
  <si>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</si>
  <si>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</si>
  <si>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</si>
  <si>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</si>
  <si>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</si>
  <si>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</si>
  <si>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</si>
  <si>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</si>
  <si>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</si>
  <si>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</si>
  <si>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</si>
  <si>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</si>
  <si>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</si>
  <si>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</si>
  <si>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</si>
  <si>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</si>
  <si>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</si>
  <si>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</si>
  <si>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</si>
  <si>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</si>
  <si>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</si>
  <si>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</si>
  <si>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</si>
  <si>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</si>
  <si>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</si>
  <si>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</si>
  <si>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</si>
  <si>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</si>
  <si>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</si>
  <si>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</si>
  <si>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</si>
  <si>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</si>
  <si>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</si>
  <si>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</si>
  <si>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</si>
  <si>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</si>
  <si>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</si>
  <si>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</si>
  <si>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</si>
  <si>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</si>
  <si>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</si>
  <si>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</si>
  <si>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</si>
  <si>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</si>
  <si>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</si>
  <si>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</si>
  <si>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</si>
  <si>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</si>
  <si>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</si>
  <si>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</si>
  <si>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</si>
  <si>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</si>
  <si>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</si>
  <si>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</si>
  <si>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</si>
  <si>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</si>
  <si>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</si>
  <si>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</si>
  <si>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</si>
  <si>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</si>
  <si>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</si>
  <si>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</si>
  <si>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</si>
  <si>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</si>
  <si>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</si>
  <si>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</si>
  <si>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</si>
  <si>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</si>
  <si>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</si>
  <si>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</si>
  <si>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</si>
  <si>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</si>
  <si>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</si>
  <si>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</si>
  <si>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</si>
  <si>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</si>
  <si>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</si>
  <si>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</si>
  <si>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</si>
  <si>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</si>
  <si>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</si>
  <si>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</si>
  <si>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</si>
  <si>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</si>
  <si>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</si>
  <si>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</si>
  <si>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</si>
  <si>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</si>
  <si>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</si>
  <si>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</si>
  <si>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</si>
  <si>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</si>
  <si>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</si>
  <si>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</si>
  <si>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</si>
  <si>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</si>
  <si>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</si>
  <si>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</si>
  <si>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</si>
  <si>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</si>
  <si>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</si>
  <si>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</si>
  <si>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</si>
  <si>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</si>
  <si>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</si>
  <si>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</si>
  <si>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</si>
  <si>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</si>
  <si>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</si>
  <si>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</si>
  <si>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</si>
  <si>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</si>
  <si>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</si>
  <si>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</si>
  <si>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</si>
  <si>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</si>
  <si>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</si>
  <si>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</si>
  <si>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</si>
  <si>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</si>
  <si>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</si>
  <si>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</si>
  <si>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</si>
  <si>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</si>
  <si>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</si>
  <si>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</si>
  <si>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</si>
  <si>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</si>
  <si>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</si>
  <si>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</si>
  <si>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</si>
  <si>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</si>
  <si>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</si>
  <si>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</si>
  <si>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</si>
  <si>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</si>
  <si>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</si>
  <si>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</si>
  <si>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</si>
  <si>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</si>
  <si>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</si>
  <si>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</si>
  <si>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</si>
  <si>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</si>
  <si>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</si>
  <si>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</si>
  <si>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</si>
  <si>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</si>
  <si>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</si>
  <si>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</si>
  <si>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</si>
  <si>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</si>
  <si>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</si>
  <si>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</si>
  <si>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</si>
  <si>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</si>
  <si>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</si>
  <si>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</si>
  <si>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</si>
  <si>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</si>
  <si>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</si>
  <si>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</si>
  <si>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</si>
  <si>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</si>
  <si>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</si>
  <si>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</si>
  <si>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</si>
  <si>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</si>
  <si>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</si>
  <si>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</si>
  <si>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</si>
  <si>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</si>
  <si>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</si>
  <si>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</si>
  <si>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</si>
  <si>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</si>
  <si>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</si>
  <si>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</si>
  <si>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</si>
  <si>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</si>
  <si>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</si>
  <si>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</si>
  <si>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</si>
  <si>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</si>
  <si>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</si>
  <si>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</si>
  <si>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</si>
  <si>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</si>
  <si>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</si>
  <si>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</si>
  <si>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</si>
  <si>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</si>
  <si>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</si>
  <si>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</si>
  <si>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</si>
  <si>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</si>
  <si>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</si>
  <si>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</si>
  <si>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</si>
  <si>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</si>
  <si>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</si>
  <si>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</si>
  <si>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</si>
  <si>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</si>
  <si>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</si>
  <si>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</si>
  <si>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</si>
  <si>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</si>
  <si>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</si>
  <si>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</si>
  <si>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</si>
  <si>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</si>
  <si>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</si>
  <si>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</si>
  <si>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</si>
  <si>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</si>
  <si>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</si>
  <si>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</si>
  <si>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</si>
  <si>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</si>
  <si>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</si>
  <si>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</si>
  <si>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</si>
  <si>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</si>
  <si>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</si>
  <si>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</si>
  <si>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</si>
  <si>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</si>
  <si>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</si>
  <si>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</si>
  <si>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</si>
  <si>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</si>
  <si>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</si>
  <si>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</si>
  <si>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</si>
  <si>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</si>
  <si>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</si>
  <si>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</si>
  <si>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</si>
  <si>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</si>
  <si>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</si>
  <si>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</si>
  <si>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</si>
  <si>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</si>
  <si>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</si>
  <si>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</si>
  <si>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</si>
  <si>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</si>
  <si>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</si>
  <si>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</si>
  <si>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</si>
  <si>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</si>
  <si>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</si>
  <si>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</si>
  <si>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</si>
  <si>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</si>
  <si>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</si>
  <si>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</si>
  <si>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</si>
  <si>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</si>
  <si>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</si>
  <si>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</si>
  <si>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</si>
  <si>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</si>
  <si>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</si>
  <si>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</si>
  <si>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</si>
  <si>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</si>
  <si>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</si>
  <si>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</si>
  <si>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</si>
  <si>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</si>
  <si>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</si>
  <si>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</si>
  <si>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</si>
  <si>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</si>
  <si>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</si>
  <si>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</si>
  <si>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</si>
  <si>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</si>
  <si>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</si>
  <si>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</si>
  <si>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</si>
  <si>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</si>
  <si>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</si>
  <si>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</si>
  <si>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</si>
  <si>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</si>
  <si>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</si>
  <si>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</si>
  <si>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</si>
  <si>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</si>
  <si>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</si>
  <si>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</si>
  <si>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</si>
  <si>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</si>
  <si>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</si>
  <si>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</si>
  <si>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</si>
  <si>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</si>
  <si>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</si>
  <si>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</si>
  <si>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</si>
  <si>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</si>
  <si>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</si>
  <si>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</si>
  <si>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</si>
  <si>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</si>
  <si>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</si>
  <si>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</si>
  <si>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</si>
  <si>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</si>
  <si>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</si>
  <si>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</si>
  <si>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</si>
  <si>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</si>
  <si>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</si>
  <si>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</si>
  <si>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</si>
  <si>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</si>
  <si>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</si>
  <si>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</si>
  <si>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</si>
  <si>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</si>
  <si>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</si>
  <si>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</si>
  <si>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</si>
  <si>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</si>
  <si>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</si>
  <si>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</si>
  <si>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</si>
  <si>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</si>
  <si>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</si>
  <si>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</si>
  <si>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</si>
  <si>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</si>
  <si>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</si>
  <si>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</si>
  <si>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</si>
  <si>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</si>
  <si>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</si>
  <si>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</si>
  <si>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</si>
  <si>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</si>
  <si>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</si>
  <si>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</si>
  <si>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</si>
  <si>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</si>
  <si>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</si>
  <si>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</si>
  <si>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</si>
  <si>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</si>
  <si>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</si>
  <si>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</si>
  <si>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</si>
  <si>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</si>
  <si>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</si>
  <si>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</si>
  <si>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</si>
  <si>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</si>
  <si>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</si>
  <si>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</si>
  <si>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</si>
  <si>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</si>
  <si>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</si>
  <si>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</si>
  <si>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</si>
  <si>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</si>
  <si>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</si>
  <si>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</si>
  <si>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</si>
  <si>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</si>
  <si>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</si>
  <si>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</si>
  <si>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</si>
  <si>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</si>
  <si>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</si>
  <si>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</si>
  <si>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</si>
  <si>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</si>
  <si>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</si>
  <si>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</si>
  <si>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</si>
  <si>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</si>
  <si>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</si>
  <si>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</si>
  <si>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</si>
  <si>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</si>
  <si>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</si>
  <si>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</si>
  <si>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</si>
  <si>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</si>
  <si>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</si>
  <si>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</si>
  <si>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</si>
  <si>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</si>
  <si>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</si>
  <si>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</si>
  <si>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</si>
  <si>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</si>
  <si>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</si>
  <si>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</si>
  <si>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</si>
  <si>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</si>
  <si>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</si>
  <si>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</si>
  <si>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</si>
  <si>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</si>
  <si>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</si>
  <si>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</si>
  <si>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</si>
  <si>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</si>
  <si>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</si>
  <si>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</si>
  <si>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</si>
  <si>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</si>
  <si>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</si>
  <si>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</si>
  <si>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</si>
  <si>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</si>
  <si>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</si>
  <si>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</si>
  <si>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</si>
  <si>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</si>
  <si>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</si>
  <si>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</si>
  <si>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</si>
  <si>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</si>
  <si>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</si>
  <si>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</si>
  <si>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</si>
  <si>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</si>
  <si>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</si>
  <si>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</si>
  <si>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</si>
  <si>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</si>
  <si>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</si>
  <si>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</si>
  <si>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</si>
  <si>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</si>
  <si>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</si>
  <si>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</si>
  <si>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</si>
  <si>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</si>
  <si>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</si>
  <si>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</si>
  <si>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</si>
  <si>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</si>
  <si>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</si>
  <si>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</si>
  <si>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</si>
  <si>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</si>
  <si>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</si>
  <si>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</si>
  <si>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</si>
  <si>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</si>
  <si>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</si>
  <si>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</si>
  <si>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</si>
  <si>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</si>
  <si>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</si>
  <si>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</si>
  <si>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</si>
  <si>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</si>
  <si>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</si>
  <si>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</si>
  <si>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</si>
  <si>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</si>
  <si>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</si>
  <si>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</si>
  <si>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</si>
  <si>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</si>
  <si>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</si>
  <si>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</si>
  <si>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</si>
  <si>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</si>
  <si>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</si>
  <si>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</si>
  <si>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</si>
  <si>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</si>
  <si>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</si>
  <si>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</si>
  <si>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</si>
  <si>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</si>
  <si>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</si>
  <si>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</si>
  <si>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</si>
  <si>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</si>
  <si>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</si>
  <si>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</si>
  <si>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</si>
  <si>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</si>
  <si>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</si>
  <si>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</si>
  <si>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</si>
  <si>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</si>
  <si>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</si>
  <si>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</si>
  <si>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</si>
  <si>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</si>
  <si>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</si>
  <si>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</si>
  <si>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</si>
  <si>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</si>
  <si>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</si>
  <si>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</si>
  <si>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</si>
  <si>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</si>
  <si>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</si>
  <si>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</si>
  <si>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</si>
  <si>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</si>
  <si>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</si>
  <si>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</si>
  <si>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</si>
  <si>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</si>
  <si>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</si>
  <si>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</si>
  <si>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</si>
  <si>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</si>
  <si>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</si>
  <si>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</si>
  <si>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</si>
  <si>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</si>
  <si>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</si>
  <si>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</si>
  <si>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</si>
  <si>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</si>
  <si>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</si>
  <si>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</si>
  <si>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</si>
  <si>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</si>
  <si>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</si>
  <si>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</si>
  <si>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</si>
  <si>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</si>
  <si>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</si>
  <si>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</si>
  <si>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</si>
  <si>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</si>
  <si>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</si>
  <si>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</si>
  <si>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</si>
  <si>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</si>
  <si>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</si>
  <si>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</si>
  <si>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</si>
  <si>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</si>
  <si>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</si>
  <si>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</si>
  <si>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</si>
  <si>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</si>
  <si>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</si>
  <si>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</si>
  <si>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</si>
  <si>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</si>
  <si>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</si>
  <si>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</si>
  <si>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</si>
  <si>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</si>
  <si>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</si>
  <si>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</si>
  <si>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</si>
  <si>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</si>
  <si>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</si>
  <si>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</si>
  <si>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</si>
  <si>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</si>
  <si>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</si>
  <si>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</si>
  <si>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</si>
  <si>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</si>
  <si>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</si>
  <si>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</si>
  <si>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</si>
  <si>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</si>
  <si>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</si>
  <si>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</si>
  <si>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</si>
  <si>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</si>
  <si>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</si>
  <si>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</si>
  <si>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</si>
  <si>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</si>
  <si>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</si>
  <si>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</si>
  <si>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</si>
  <si>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</si>
  <si>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</si>
  <si>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</si>
  <si>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</si>
  <si>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</si>
  <si>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</si>
  <si>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</si>
  <si>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</si>
  <si>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</si>
  <si>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</si>
  <si>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</si>
  <si>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</si>
  <si>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</si>
  <si>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</si>
  <si>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</si>
  <si>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</si>
  <si>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</si>
  <si>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</si>
  <si>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</si>
  <si>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</si>
  <si>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</si>
  <si>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</si>
  <si>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</si>
  <si>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</si>
  <si>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</si>
  <si>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</si>
  <si>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</si>
  <si>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</si>
  <si>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</si>
  <si>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</si>
  <si>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</si>
  <si>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</si>
  <si>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</si>
  <si>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</si>
  <si>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</si>
  <si>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</si>
  <si>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</si>
  <si>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</si>
  <si>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</si>
  <si>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</si>
  <si>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</si>
  <si>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</si>
  <si>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</si>
  <si>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</si>
  <si>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</si>
  <si>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</si>
  <si>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</si>
  <si>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</si>
  <si>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</si>
  <si>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</si>
  <si>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</si>
  <si>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</si>
  <si>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</si>
  <si>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</si>
  <si>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</si>
  <si>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</si>
  <si>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</si>
  <si>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</si>
  <si>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</si>
  <si>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</si>
  <si>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</si>
  <si>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</si>
  <si>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</si>
  <si>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</si>
  <si>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</si>
  <si>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</si>
  <si>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</si>
  <si>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</si>
  <si>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</si>
  <si>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</si>
  <si>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</si>
  <si>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</si>
  <si>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</si>
  <si>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</si>
  <si>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</si>
  <si>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</si>
  <si>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</si>
  <si>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</si>
  <si>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</si>
  <si>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</si>
  <si>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</si>
  <si>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</si>
  <si>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</si>
  <si>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</si>
  <si>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</si>
  <si>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</si>
  <si>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</si>
  <si>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</si>
  <si>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</si>
  <si>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</si>
  <si>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</si>
  <si>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</si>
  <si>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</si>
  <si>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</si>
  <si>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</si>
  <si>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</si>
  <si>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</si>
  <si>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</si>
  <si>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</si>
  <si>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</si>
  <si>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</si>
  <si>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</si>
  <si>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</si>
  <si>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</si>
  <si>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</si>
  <si>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</si>
  <si>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</si>
  <si>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</si>
  <si>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</si>
  <si>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</si>
  <si>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</si>
  <si>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</si>
  <si>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</si>
  <si>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</si>
  <si>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</si>
  <si>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</si>
  <si>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</si>
  <si>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</si>
  <si>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</si>
  <si>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</si>
  <si>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</si>
  <si>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</si>
  <si>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</si>
  <si>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</si>
  <si>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</si>
  <si>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</si>
  <si>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</si>
  <si>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</si>
  <si>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</si>
  <si>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</si>
  <si>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</si>
  <si>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</si>
  <si>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</si>
  <si>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</si>
  <si>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</si>
  <si>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</si>
  <si>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</si>
  <si>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</si>
  <si>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</si>
  <si>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</si>
  <si>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</si>
  <si>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</si>
  <si>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</si>
  <si>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</si>
  <si>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</si>
  <si>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</si>
  <si>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</si>
  <si>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</si>
  <si>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</si>
  <si>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</si>
  <si>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</si>
  <si>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</si>
  <si>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</si>
  <si>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</si>
  <si>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</si>
  <si>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</si>
  <si>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</si>
  <si>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</si>
  <si>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</si>
  <si>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</si>
  <si>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</si>
  <si>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</si>
  <si>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</si>
  <si>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</si>
  <si>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</si>
  <si>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</si>
  <si>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</si>
  <si>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</si>
  <si>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</si>
  <si>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</si>
  <si>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</si>
  <si>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</si>
  <si>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</si>
  <si>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</si>
  <si>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</si>
  <si>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</si>
  <si>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</si>
  <si>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</si>
  <si>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</si>
  <si>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</si>
  <si>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</si>
  <si>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</si>
  <si>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</si>
  <si>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</si>
  <si>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</si>
  <si>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</si>
  <si>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</si>
  <si>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</si>
  <si>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</si>
  <si>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</si>
  <si>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</si>
  <si>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</si>
  <si>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</si>
  <si>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</si>
  <si>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</si>
  <si>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</si>
  <si>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</si>
  <si>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</si>
  <si>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</si>
  <si>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</si>
  <si>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</si>
  <si>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</si>
  <si>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</si>
  <si>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</si>
  <si>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</si>
  <si>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</si>
  <si>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</si>
  <si>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</si>
  <si>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</si>
  <si>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</si>
  <si>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</si>
  <si>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</si>
  <si>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</si>
  <si>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</si>
  <si>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</si>
  <si>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</si>
  <si>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</si>
  <si>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</si>
  <si>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</si>
  <si>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</si>
  <si>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</si>
  <si>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</si>
  <si>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</si>
  <si>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</si>
  <si>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</si>
  <si>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</si>
  <si>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</si>
  <si>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</si>
  <si>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</si>
  <si>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</si>
  <si>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</si>
  <si>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</si>
  <si>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</si>
  <si>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</si>
  <si>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</si>
  <si>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</si>
  <si>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</si>
  <si>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</si>
  <si>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</si>
  <si>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</si>
  <si>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</si>
  <si>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</si>
  <si>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</si>
  <si>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</si>
  <si>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</si>
  <si>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</si>
  <si>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</si>
  <si>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</si>
  <si>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</si>
  <si>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</si>
  <si>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</si>
  <si>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</si>
  <si>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</si>
  <si>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</si>
  <si>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</si>
  <si>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</si>
  <si>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</si>
  <si>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</si>
  <si>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</si>
  <si>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</si>
  <si>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</si>
  <si>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</si>
  <si>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</si>
  <si>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</si>
  <si>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</si>
  <si>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</si>
  <si>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</si>
  <si>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</si>
  <si>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</si>
  <si>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</si>
  <si>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</si>
  <si>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</si>
  <si>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</si>
  <si>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</si>
  <si>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</si>
  <si>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</si>
  <si>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</si>
  <si>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</si>
  <si>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</si>
  <si>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</si>
  <si>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</si>
  <si>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</si>
  <si>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</si>
  <si>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</si>
  <si>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</si>
  <si>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</si>
  <si>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</si>
  <si>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</si>
  <si>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</si>
  <si>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</si>
  <si>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</si>
  <si>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</si>
  <si>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</si>
  <si>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</si>
  <si>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</si>
  <si>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</si>
  <si>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</si>
  <si>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</si>
  <si>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</si>
  <si>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</si>
  <si>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</si>
  <si>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</si>
  <si>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</si>
  <si>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</si>
  <si>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</si>
  <si>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</si>
  <si>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</si>
  <si>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</si>
  <si>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</si>
  <si>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</si>
  <si>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</si>
  <si>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</si>
  <si>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</si>
  <si>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</si>
  <si>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</si>
  <si>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</si>
  <si>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</si>
  <si>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</si>
  <si>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</si>
  <si>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</si>
  <si>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</si>
  <si>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</si>
  <si>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</si>
  <si>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</si>
  <si>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</si>
  <si>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</si>
  <si>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</si>
  <si>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</si>
  <si>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</si>
  <si>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</si>
  <si>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</si>
  <si>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</si>
  <si>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</si>
  <si>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</si>
  <si>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</si>
  <si>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</si>
  <si>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</si>
  <si>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</si>
  <si>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</si>
  <si>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</si>
  <si>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</si>
  <si>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</si>
  <si>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</si>
  <si>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</si>
  <si>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</si>
  <si>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</si>
  <si>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</si>
  <si>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</si>
  <si>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</si>
  <si>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</si>
  <si>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</si>
  <si>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</si>
  <si>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</si>
  <si>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</si>
  <si>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</si>
  <si>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</si>
  <si>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</si>
  <si>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</si>
  <si>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</si>
  <si>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</si>
  <si>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</si>
  <si>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</si>
  <si>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</si>
  <si>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</si>
  <si>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</si>
  <si>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</si>
  <si>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</si>
  <si>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</si>
  <si>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</si>
  <si>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</si>
  <si>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</si>
  <si>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</si>
  <si>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</si>
  <si>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</si>
  <si>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</si>
  <si>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</si>
  <si>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</si>
  <si>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</si>
  <si>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</si>
  <si>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</si>
  <si>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</si>
  <si>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</si>
  <si>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</si>
  <si>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</si>
  <si>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</si>
  <si>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</si>
  <si>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</si>
  <si>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</si>
  <si>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</si>
  <si>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</si>
  <si>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</si>
  <si>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</si>
  <si>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</si>
  <si>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</si>
  <si>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</si>
  <si>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</si>
  <si>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</si>
  <si>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</si>
  <si>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</si>
  <si>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</si>
  <si>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</si>
  <si>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</si>
  <si>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</si>
  <si>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</si>
  <si>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</si>
  <si>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</si>
  <si>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</si>
  <si>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</si>
  <si>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</si>
  <si>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</si>
  <si>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</si>
  <si>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</si>
  <si>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</si>
  <si>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</si>
  <si>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</si>
  <si>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</si>
  <si>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</si>
  <si>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</si>
  <si>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</si>
  <si>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</si>
  <si>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</si>
  <si>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</si>
  <si>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</si>
  <si>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</si>
  <si>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</si>
  <si>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</si>
  <si>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</si>
  <si>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</si>
  <si>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</si>
  <si>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</si>
  <si>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</si>
  <si>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</si>
  <si>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</si>
  <si>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</si>
  <si>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</si>
  <si>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</si>
  <si>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</si>
  <si>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</si>
  <si>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</si>
  <si>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</si>
  <si>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</si>
  <si>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</si>
  <si>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</si>
  <si>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</si>
  <si>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</si>
  <si>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</si>
  <si>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</si>
  <si>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</si>
  <si>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</si>
  <si>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</si>
  <si>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</si>
  <si>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</si>
  <si>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</si>
  <si>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</si>
  <si>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</si>
  <si>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</si>
  <si>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</si>
  <si>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</si>
  <si>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</si>
  <si>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</si>
  <si>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</si>
  <si>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</si>
  <si>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</si>
  <si>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</si>
  <si>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</si>
  <si>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</si>
  <si>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</si>
  <si>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</si>
  <si>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</si>
  <si>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</si>
  <si>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</si>
  <si>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</si>
  <si>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</si>
  <si>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</si>
  <si>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</si>
  <si>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</si>
  <si>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</si>
  <si>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</si>
  <si>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</si>
  <si>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</si>
  <si>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</si>
  <si>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</si>
  <si>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</si>
  <si>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</si>
  <si>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</si>
  <si>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</si>
  <si>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</si>
  <si>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</si>
  <si>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</si>
  <si>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</si>
  <si>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</si>
  <si>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</si>
  <si>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</si>
  <si>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</si>
  <si>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</si>
  <si>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</si>
  <si>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</si>
  <si>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</si>
  <si>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</si>
  <si>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</si>
  <si>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</si>
  <si>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</si>
  <si>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</si>
  <si>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</si>
  <si>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</si>
  <si>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</si>
  <si>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</si>
  <si>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</si>
  <si>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</si>
  <si>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</si>
  <si>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</si>
  <si>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</si>
  <si>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</si>
  <si>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</si>
  <si>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</si>
  <si>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</si>
  <si>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</si>
  <si>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</si>
  <si>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</si>
  <si>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</si>
  <si>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</si>
  <si>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</si>
  <si>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</si>
  <si>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</si>
  <si>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</si>
  <si>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</si>
  <si>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</si>
  <si>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</si>
  <si>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</si>
  <si>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</si>
  <si>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</si>
  <si>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</si>
  <si>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</si>
  <si>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</si>
  <si>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</si>
  <si>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</si>
  <si>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</si>
  <si>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</si>
  <si>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</si>
  <si>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</si>
  <si>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</si>
  <si>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</si>
  <si>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</si>
  <si>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</si>
  <si>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</si>
  <si>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</si>
  <si>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</si>
  <si>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</si>
  <si>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</si>
  <si>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</si>
  <si>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</si>
  <si>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</si>
  <si>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</si>
  <si>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</si>
  <si>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</si>
  <si>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</si>
  <si>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</si>
  <si>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</si>
  <si>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</si>
  <si>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</si>
  <si>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</si>
  <si>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</si>
  <si>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</si>
  <si>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</si>
  <si>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</si>
  <si>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</si>
  <si>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</si>
  <si>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</si>
  <si>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</si>
  <si>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</si>
  <si>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</si>
  <si>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</si>
  <si>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</si>
  <si>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</si>
  <si>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</si>
  <si>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</si>
  <si>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</si>
  <si>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</si>
  <si>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</si>
  <si>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</si>
  <si>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</si>
  <si>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</si>
  <si>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</si>
  <si>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</si>
  <si>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</si>
  <si>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</si>
  <si>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</si>
  <si>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</si>
  <si>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</si>
  <si>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</si>
  <si>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</si>
  <si>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</si>
  <si>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</si>
  <si>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</si>
  <si>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</si>
  <si>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</si>
  <si>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</si>
  <si>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</si>
  <si>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</si>
  <si>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</si>
  <si>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</si>
  <si>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</si>
  <si>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</si>
  <si>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</si>
  <si>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</si>
  <si>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</si>
  <si>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</si>
  <si>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</si>
  <si>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</si>
  <si>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</si>
  <si>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</si>
  <si>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</si>
  <si>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</si>
  <si>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</si>
  <si>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</si>
  <si>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</si>
  <si>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</si>
  <si>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</si>
  <si>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</si>
  <si>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</si>
  <si>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</si>
  <si>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</si>
  <si>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</si>
  <si>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</si>
  <si>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</si>
  <si>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</si>
  <si>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</si>
  <si>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</si>
  <si>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</si>
  <si>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</si>
  <si>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</si>
  <si>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</si>
  <si>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</si>
  <si>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</si>
  <si>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</si>
  <si>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</si>
  <si>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</si>
  <si>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</si>
  <si>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</si>
  <si>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</si>
  <si>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</si>
  <si>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</si>
  <si>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</si>
  <si>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</si>
  <si>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</si>
  <si>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</si>
  <si>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</si>
  <si>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</si>
  <si>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</si>
  <si>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</si>
  <si>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</si>
  <si>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</si>
  <si>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</si>
  <si>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</si>
  <si>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</si>
  <si>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</si>
  <si>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</si>
  <si>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</si>
  <si>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</si>
  <si>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</si>
  <si>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</si>
  <si>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</si>
  <si>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</si>
  <si>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</si>
  <si>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</si>
  <si>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</si>
  <si>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</si>
  <si>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</si>
  <si>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</si>
  <si>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</si>
  <si>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</si>
  <si>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</si>
  <si>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</si>
  <si>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</si>
  <si>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</si>
  <si>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</si>
  <si>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</si>
  <si>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</si>
  <si>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</si>
  <si>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</si>
  <si>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</si>
  <si>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</si>
  <si>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</si>
  <si>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</si>
  <si>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</si>
  <si>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</si>
  <si>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</si>
  <si>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</si>
  <si>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</si>
  <si>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</si>
  <si>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</si>
  <si>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</si>
  <si>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</si>
  <si>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</si>
  <si>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</si>
  <si>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</si>
  <si>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</si>
  <si>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</si>
  <si>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</si>
  <si>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</si>
  <si>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</si>
  <si>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</si>
  <si>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</si>
  <si>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</si>
  <si>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</si>
  <si>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</si>
  <si>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</si>
  <si>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</si>
  <si>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</si>
  <si>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</si>
  <si>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</si>
  <si>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</si>
  <si>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</si>
  <si>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</si>
  <si>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</si>
  <si>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</si>
  <si>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</si>
  <si>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</si>
  <si>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</si>
  <si>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</si>
  <si>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</si>
  <si>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</si>
  <si>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</si>
  <si>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</si>
  <si>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</si>
  <si>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</si>
  <si>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</si>
  <si>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</si>
  <si>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</si>
  <si>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</si>
  <si>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</si>
  <si>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</si>
  <si>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</si>
  <si>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</si>
  <si>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</si>
  <si>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</si>
  <si>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</si>
  <si>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</si>
  <si>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</si>
  <si>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</si>
  <si>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</si>
  <si>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</si>
  <si>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</si>
  <si>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</si>
  <si>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</si>
  <si>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</si>
  <si>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</si>
  <si>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</si>
  <si>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</si>
  <si>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</si>
  <si>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</si>
  <si>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</si>
  <si>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</si>
  <si>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</si>
  <si>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</si>
  <si>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</si>
  <si>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</si>
  <si>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</si>
  <si>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</si>
  <si>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</si>
  <si>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</si>
  <si>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</si>
  <si>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</si>
  <si>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</si>
  <si>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</si>
  <si>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</si>
  <si>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</si>
  <si>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</si>
  <si>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</si>
  <si>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</si>
  <si>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</si>
  <si>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</si>
  <si>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</si>
  <si>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</si>
  <si>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</si>
  <si>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</si>
  <si>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</si>
  <si>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</si>
  <si>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</si>
  <si>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</si>
  <si>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</si>
  <si>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</si>
  <si>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</si>
  <si>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</si>
  <si>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</si>
  <si>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</si>
  <si>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</si>
  <si>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</si>
  <si>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</si>
  <si>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</si>
  <si>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</si>
  <si>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</si>
  <si>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</si>
  <si>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</si>
  <si>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</si>
  <si>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</si>
  <si>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</si>
  <si>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</si>
  <si>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</si>
  <si>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</si>
  <si>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</si>
  <si>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</si>
  <si>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</si>
  <si>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</si>
  <si>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</si>
  <si>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</si>
  <si>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</si>
  <si>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</si>
  <si>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</si>
  <si>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</si>
  <si>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</si>
  <si>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</si>
  <si>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</si>
  <si>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</si>
  <si>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</si>
  <si>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</si>
  <si>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</si>
  <si>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</si>
  <si>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</si>
  <si>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</si>
  <si>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</si>
  <si>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</si>
  <si>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</si>
  <si>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</si>
  <si>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</si>
  <si>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</si>
  <si>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</si>
  <si>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</si>
  <si>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</si>
  <si>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</si>
  <si>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</si>
  <si>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</si>
  <si>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</si>
  <si>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</si>
  <si>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</si>
  <si>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</si>
  <si>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</si>
  <si>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</si>
  <si>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</si>
  <si>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</si>
  <si>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</si>
  <si>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</si>
  <si>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</si>
  <si>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</si>
  <si>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</si>
  <si>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</si>
  <si>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</si>
  <si>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</si>
  <si>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</si>
  <si>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</si>
  <si>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</si>
  <si>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</si>
  <si>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</si>
  <si>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</si>
  <si>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</si>
  <si>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</si>
  <si>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</si>
  <si>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</si>
  <si>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</si>
  <si>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</si>
  <si>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</si>
  <si>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</si>
  <si>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</si>
  <si>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</si>
  <si>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</si>
  <si>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</si>
  <si>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</si>
  <si>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</si>
  <si>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</si>
  <si>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</si>
  <si>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</si>
  <si>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</si>
  <si>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</si>
  <si>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</si>
  <si>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</si>
  <si>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</si>
  <si>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</si>
  <si>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</si>
  <si>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</si>
  <si>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</si>
  <si>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</si>
  <si>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</si>
  <si>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</si>
  <si>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</si>
  <si>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</si>
  <si>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</si>
  <si>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</si>
  <si>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</si>
  <si>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</si>
  <si>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</si>
  <si>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</si>
  <si>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</si>
  <si>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</si>
  <si>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</si>
  <si>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</si>
  <si>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</si>
  <si>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</si>
  <si>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</si>
  <si>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</si>
  <si>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</si>
  <si>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</si>
  <si>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</si>
  <si>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</si>
  <si>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</si>
  <si>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</si>
  <si>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</si>
  <si>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</si>
  <si>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</si>
  <si>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</si>
  <si>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</si>
  <si>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</si>
  <si>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</si>
  <si>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</si>
  <si>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</si>
  <si>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</si>
  <si>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</si>
  <si>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</si>
  <si>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</si>
  <si>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</si>
  <si>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</si>
  <si>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</si>
  <si>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</si>
  <si>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</si>
  <si>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</si>
  <si>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</si>
  <si>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</si>
  <si>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</si>
  <si>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</si>
  <si>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</si>
  <si>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</si>
  <si>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</si>
  <si>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</si>
  <si>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</si>
  <si>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</si>
  <si>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</si>
  <si>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</si>
  <si>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</si>
  <si>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</si>
  <si>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</si>
  <si>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</si>
  <si>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</si>
  <si>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</si>
  <si>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</si>
  <si>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</si>
  <si>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</si>
  <si>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</si>
  <si>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</si>
  <si>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</si>
  <si>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</si>
  <si>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</si>
  <si>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</si>
  <si>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</si>
  <si>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</si>
  <si>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</si>
  <si>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</si>
  <si>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</si>
  <si>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</si>
  <si>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</si>
  <si>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</si>
  <si>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</si>
  <si>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</si>
  <si>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</si>
  <si>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</si>
  <si>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</si>
  <si>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</si>
  <si>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</si>
  <si>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</si>
  <si>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</si>
  <si>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</si>
  <si>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</si>
  <si>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</si>
  <si>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</si>
  <si>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</si>
  <si>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</si>
  <si>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</si>
  <si>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</si>
  <si>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</si>
  <si>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</si>
  <si>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</si>
  <si>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</si>
  <si>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</si>
  <si>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</si>
  <si>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</si>
  <si>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</si>
  <si>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</si>
  <si>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</si>
  <si>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</si>
  <si>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</si>
  <si>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</si>
  <si>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</si>
  <si>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</si>
  <si>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</si>
  <si>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</si>
  <si>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</si>
  <si>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</si>
  <si>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</si>
  <si>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</si>
  <si>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</si>
  <si>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</si>
  <si>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</si>
  <si>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</si>
  <si>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</si>
  <si>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</si>
  <si>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</si>
  <si>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</si>
  <si>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</si>
  <si>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</si>
  <si>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</si>
  <si>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</si>
  <si>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</si>
  <si>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</si>
  <si>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</si>
  <si>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</si>
  <si>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</si>
  <si>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</si>
  <si>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</si>
  <si>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</si>
  <si>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</si>
  <si>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</si>
  <si>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</si>
  <si>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</si>
  <si>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</si>
  <si>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</si>
  <si>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</si>
  <si>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</si>
  <si>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</si>
  <si>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</si>
  <si>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</si>
  <si>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</si>
  <si>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</si>
  <si>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</si>
  <si>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</si>
  <si>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</si>
  <si>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</si>
  <si>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</si>
  <si>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</si>
  <si>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</si>
  <si>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</si>
  <si>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</si>
  <si>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</si>
  <si>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</si>
  <si>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</si>
  <si>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</si>
  <si>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</si>
  <si>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</si>
  <si>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</si>
  <si>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</si>
  <si>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</si>
  <si>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</si>
  <si>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</si>
  <si>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</si>
  <si>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</si>
  <si>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</si>
  <si>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</si>
  <si>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</si>
  <si>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</si>
  <si>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</si>
  <si>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</si>
  <si>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</si>
  <si>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</si>
  <si>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</si>
  <si>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</si>
  <si>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</si>
  <si>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</si>
  <si>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</si>
  <si>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</si>
  <si>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</si>
  <si>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</si>
  <si>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</si>
  <si>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</si>
  <si>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</si>
  <si>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</si>
  <si>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</si>
  <si>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</si>
  <si>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</si>
  <si>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</si>
  <si>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</si>
  <si>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</si>
  <si>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</si>
  <si>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</si>
  <si>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</si>
  <si>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</si>
  <si>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</si>
  <si>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</si>
  <si>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</si>
  <si>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</si>
  <si>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</si>
  <si>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</si>
  <si>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</si>
  <si>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</si>
  <si>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</si>
  <si>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</si>
  <si>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</si>
  <si>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</si>
  <si>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</si>
  <si>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</si>
  <si>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</si>
  <si>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</si>
  <si>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</si>
  <si>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</si>
  <si>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</si>
  <si>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</si>
  <si>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</si>
  <si>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</si>
  <si>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</si>
  <si>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</si>
  <si>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</si>
  <si>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</si>
  <si>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</si>
  <si>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</si>
  <si>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</si>
  <si>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</si>
  <si>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</si>
  <si>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</si>
  <si>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</si>
  <si>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</si>
  <si>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</si>
  <si>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</si>
  <si>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</si>
  <si>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</si>
  <si>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</si>
  <si>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</si>
  <si>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</si>
  <si>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</si>
  <si>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</si>
  <si>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</si>
  <si>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</si>
  <si>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</si>
  <si>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</si>
  <si>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</si>
  <si>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</si>
  <si>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</si>
  <si>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</si>
  <si>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</si>
  <si>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</si>
  <si>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</si>
  <si>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</si>
  <si>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</si>
  <si>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</si>
  <si>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</si>
  <si>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</si>
  <si>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</si>
  <si>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</si>
  <si>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</si>
  <si>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</si>
  <si>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</si>
  <si>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</si>
  <si>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</si>
  <si>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</si>
  <si>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</si>
  <si>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</si>
  <si>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</si>
  <si>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</si>
  <si>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</si>
  <si>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</si>
  <si>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</si>
  <si>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</si>
  <si>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</si>
  <si>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</si>
  <si>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</si>
  <si>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</si>
  <si>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</si>
  <si>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</si>
  <si>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</si>
  <si>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</si>
  <si>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</si>
  <si>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</si>
  <si>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</si>
  <si>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</si>
  <si>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</si>
  <si>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</si>
  <si>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</si>
  <si>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</si>
  <si>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</si>
  <si>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</si>
  <si>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</si>
  <si>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</si>
  <si>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</si>
  <si>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</si>
  <si>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</si>
  <si>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</si>
  <si>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</si>
  <si>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</si>
  <si>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</si>
  <si>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</si>
  <si>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</si>
  <si>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</si>
  <si>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</si>
  <si>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</si>
  <si>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</si>
  <si>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</si>
  <si>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</si>
  <si>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</si>
  <si>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</si>
  <si>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</si>
  <si>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</si>
  <si>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</si>
  <si>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</si>
  <si>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</si>
  <si>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</si>
  <si>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</si>
  <si>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</si>
  <si>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</si>
  <si>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</si>
  <si>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</si>
  <si>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</si>
  <si>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</si>
  <si>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</si>
  <si>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</si>
  <si>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</si>
  <si>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</si>
  <si>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</si>
  <si>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</si>
  <si>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</si>
  <si>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</si>
  <si>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</si>
  <si>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</si>
  <si>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</si>
  <si>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</si>
  <si>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</si>
  <si>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</si>
  <si>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</si>
  <si>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</si>
  <si>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</si>
  <si>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</si>
  <si>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</si>
  <si>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</si>
  <si>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</si>
  <si>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</si>
  <si>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</si>
  <si>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</si>
  <si>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</si>
  <si>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</si>
  <si>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</si>
  <si>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</si>
  <si>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</si>
  <si>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</si>
  <si>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</si>
  <si>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</si>
  <si>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</si>
  <si>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</si>
  <si>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</si>
  <si>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</si>
  <si>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</si>
  <si>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</si>
  <si>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</si>
  <si>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</si>
  <si>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</si>
  <si>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</si>
  <si>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</si>
  <si>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</si>
  <si>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</si>
  <si>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</si>
  <si>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</si>
  <si>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</si>
  <si>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</si>
  <si>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</si>
  <si>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</si>
  <si>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</si>
  <si>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</si>
  <si>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</si>
  <si>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</si>
  <si>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</si>
  <si>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</si>
  <si>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</si>
  <si>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</si>
  <si>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</si>
  <si>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</si>
  <si>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</si>
  <si>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</si>
  <si>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</si>
  <si>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</si>
  <si>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</si>
  <si>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</si>
  <si>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</si>
  <si>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</si>
  <si>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</si>
  <si>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</si>
  <si>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</si>
  <si>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</si>
  <si>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</si>
  <si>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</si>
  <si>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</si>
  <si>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</si>
  <si>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</si>
  <si>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</si>
  <si>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</si>
  <si>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</si>
  <si>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</si>
  <si>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</si>
  <si>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</si>
  <si>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</si>
  <si>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</si>
  <si>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</si>
  <si>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</si>
  <si>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</si>
  <si>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</si>
  <si>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</si>
  <si>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</si>
  <si>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</si>
  <si>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</si>
  <si>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</si>
  <si>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</si>
  <si>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</si>
  <si>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</si>
  <si>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</si>
  <si>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</si>
  <si>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</si>
  <si>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</si>
  <si>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</si>
  <si>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</si>
  <si>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</si>
  <si>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</si>
  <si>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</si>
  <si>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</si>
  <si>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</si>
  <si>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</si>
  <si>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</si>
  <si>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</si>
  <si>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</si>
  <si>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</si>
  <si>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</si>
  <si>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</si>
  <si>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</si>
  <si>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</si>
  <si>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</si>
  <si>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</si>
  <si>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</si>
  <si>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</si>
  <si>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</si>
  <si>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</si>
  <si>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</si>
  <si>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</si>
  <si>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</si>
  <si>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</si>
  <si>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</si>
  <si>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</si>
  <si>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</si>
  <si>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</si>
  <si>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</si>
  <si>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</si>
  <si>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</si>
  <si>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</si>
  <si>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</si>
  <si>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</si>
  <si>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</si>
  <si>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</si>
  <si>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</si>
  <si>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</si>
  <si>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</si>
  <si>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</si>
  <si>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</si>
  <si>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</si>
  <si>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</si>
  <si>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</si>
  <si>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</si>
  <si>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</si>
  <si>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</si>
  <si>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</si>
  <si>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</si>
  <si>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</si>
  <si>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</si>
  <si>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</si>
  <si>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</si>
  <si>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</si>
  <si>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</si>
  <si>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</si>
  <si>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</si>
  <si>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</si>
  <si>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</si>
  <si>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</si>
  <si>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</si>
  <si>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</si>
  <si>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</si>
  <si>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</si>
  <si>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</si>
  <si>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</si>
  <si>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</si>
  <si>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</si>
  <si>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</si>
  <si>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</si>
  <si>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</si>
  <si>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</si>
  <si>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</si>
  <si>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</si>
  <si>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</si>
  <si>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</si>
  <si>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</si>
  <si>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</si>
  <si>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</si>
  <si>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</si>
  <si>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</si>
  <si>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</si>
  <si>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</si>
  <si>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</si>
  <si>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</si>
  <si>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</si>
  <si>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</si>
  <si>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</si>
  <si>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</si>
  <si>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</si>
  <si>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</si>
  <si>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</si>
  <si>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</si>
  <si>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</si>
  <si>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</si>
  <si>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</si>
  <si>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</si>
  <si>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</si>
  <si>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</si>
  <si>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</si>
  <si>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</si>
  <si>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</si>
  <si>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</si>
  <si>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</si>
  <si>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</si>
  <si>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</si>
  <si>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</si>
  <si>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</si>
  <si>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</si>
  <si>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</si>
  <si>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</si>
  <si>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</si>
  <si>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</si>
  <si>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</si>
  <si>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</si>
  <si>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</si>
  <si>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</si>
  <si>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</si>
  <si>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</si>
  <si>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</si>
  <si>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</si>
  <si>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</si>
  <si>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</si>
  <si>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</si>
  <si>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</si>
  <si>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</si>
  <si>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</si>
  <si>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</si>
  <si>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</si>
  <si>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</si>
  <si>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</si>
  <si>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</si>
  <si>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</si>
  <si>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</si>
  <si>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</si>
  <si>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</si>
  <si>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</si>
  <si>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</si>
  <si>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</si>
  <si>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</si>
  <si>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</si>
  <si>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</si>
  <si>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</si>
  <si>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</si>
  <si>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</si>
  <si>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</si>
  <si>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</si>
  <si>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</si>
  <si>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</si>
  <si>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</si>
  <si>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</si>
  <si>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</si>
  <si>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</si>
  <si>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</si>
  <si>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</si>
  <si>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</si>
  <si>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</si>
  <si>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</si>
  <si>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</si>
  <si>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</si>
  <si>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</si>
  <si>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</si>
  <si>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</si>
  <si>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</si>
  <si>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</si>
  <si>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</si>
  <si>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</si>
  <si>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</si>
  <si>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</si>
  <si>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</si>
  <si>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</si>
  <si>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</si>
  <si>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</si>
  <si>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</si>
  <si>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</si>
  <si>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</si>
  <si>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</si>
  <si>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</si>
  <si>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</si>
  <si>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</si>
  <si>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</si>
  <si>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</si>
  <si>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</si>
  <si>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</si>
  <si>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</si>
  <si>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</si>
  <si>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</si>
  <si>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</si>
  <si>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</si>
  <si>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</si>
  <si>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</si>
  <si>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</si>
  <si>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</si>
  <si>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</si>
  <si>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</si>
  <si>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</si>
  <si>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</si>
  <si>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</si>
  <si>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</si>
  <si>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</si>
  <si>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</si>
  <si>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</si>
  <si>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</si>
  <si>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</si>
  <si>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</si>
  <si>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</si>
  <si>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</si>
  <si>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</si>
  <si>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</si>
  <si>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</si>
  <si>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</si>
  <si>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</si>
  <si>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</si>
  <si>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</si>
  <si>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</si>
  <si>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</si>
  <si>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</si>
  <si>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</si>
  <si>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</si>
  <si>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</si>
  <si>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</si>
  <si>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</si>
  <si>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</si>
  <si>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</si>
  <si>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</si>
  <si>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</si>
  <si>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</si>
  <si>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</si>
  <si>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</si>
  <si>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</si>
  <si>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</si>
  <si>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</si>
  <si>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</si>
  <si>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</si>
  <si>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</si>
  <si>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</si>
  <si>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</si>
  <si>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</si>
  <si>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</si>
  <si>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</si>
  <si>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</si>
  <si>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</si>
  <si>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</si>
  <si>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</si>
  <si>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</si>
  <si>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</si>
  <si>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</si>
  <si>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</si>
  <si>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</si>
  <si>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</si>
  <si>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</si>
  <si>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</si>
  <si>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</si>
  <si>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</si>
  <si>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</si>
  <si>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</si>
  <si>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</si>
  <si>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</si>
  <si>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</si>
  <si>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</si>
  <si>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</si>
  <si>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</si>
  <si>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</si>
  <si>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</si>
  <si>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</si>
  <si>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</si>
  <si>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</si>
  <si>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</si>
  <si>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</si>
  <si>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</si>
  <si>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</si>
  <si>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</si>
  <si>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</si>
  <si>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</si>
  <si>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</si>
  <si>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</si>
  <si>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</si>
  <si>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</si>
  <si>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</si>
  <si>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</si>
  <si>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</si>
  <si>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</si>
  <si>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</si>
  <si>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</si>
  <si>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</si>
  <si>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</si>
  <si>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</si>
  <si>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</si>
  <si>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</si>
  <si>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</si>
  <si>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</si>
  <si>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</si>
  <si>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</si>
  <si>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</si>
  <si>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</si>
  <si>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</si>
  <si>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</si>
  <si>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</si>
  <si>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</si>
  <si>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</si>
  <si>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</si>
  <si>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</si>
  <si>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</si>
  <si>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</si>
  <si>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</si>
  <si>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</si>
  <si>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</si>
  <si>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</si>
  <si>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</si>
  <si>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</si>
  <si>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</si>
  <si>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</si>
  <si>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</si>
  <si>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</si>
  <si>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</si>
  <si>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</si>
  <si>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</si>
  <si>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</si>
  <si>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</si>
  <si>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</si>
  <si>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</si>
  <si>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</si>
  <si>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</si>
  <si>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</si>
  <si>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</si>
  <si>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</si>
  <si>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</si>
  <si>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</si>
  <si>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</si>
  <si>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</si>
  <si>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</si>
  <si>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</si>
  <si>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</si>
  <si>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</si>
  <si>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</si>
  <si>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</si>
  <si>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</si>
  <si>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</si>
  <si>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</si>
  <si>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</si>
  <si>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</si>
  <si>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</si>
  <si>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</si>
  <si>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</si>
  <si>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</si>
  <si>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</si>
  <si>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</si>
  <si>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</si>
  <si>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</si>
  <si>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</si>
  <si>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</si>
  <si>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</si>
  <si>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</si>
  <si>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</si>
  <si>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</si>
  <si>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</si>
  <si>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</si>
  <si>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</si>
  <si>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</si>
  <si>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</si>
  <si>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</si>
  <si>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</si>
  <si>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</si>
  <si>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</si>
  <si>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</si>
  <si>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</si>
  <si>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</si>
  <si>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</si>
  <si>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</si>
  <si>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</si>
  <si>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</si>
  <si>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</si>
  <si>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</si>
  <si>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</si>
  <si>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</si>
  <si>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</si>
  <si>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</si>
  <si>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</si>
  <si>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</si>
  <si>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</si>
  <si>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</si>
  <si>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</si>
  <si>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</si>
  <si>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</si>
  <si>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</si>
  <si>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</si>
  <si>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</si>
  <si>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</si>
  <si>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</si>
  <si>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</si>
  <si>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</si>
  <si>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</si>
  <si>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</si>
  <si>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</si>
  <si>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</si>
  <si>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</si>
  <si>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</si>
  <si>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</si>
  <si>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</si>
  <si>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</si>
  <si>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</si>
  <si>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</si>
  <si>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</si>
  <si>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</si>
  <si>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</si>
  <si>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</si>
  <si>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</si>
  <si>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</si>
  <si>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</si>
  <si>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</si>
  <si>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</si>
  <si>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</si>
  <si>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</si>
  <si>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</si>
  <si>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</si>
  <si>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</si>
  <si>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</si>
  <si>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</si>
  <si>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</si>
  <si>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</si>
  <si>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</si>
  <si>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</si>
  <si>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</si>
  <si>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</si>
  <si>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</si>
  <si>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</si>
  <si>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</si>
  <si>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</si>
  <si>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</si>
  <si>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</si>
  <si>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</si>
  <si>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</si>
  <si>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</si>
  <si>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</si>
  <si>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</si>
  <si>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</si>
  <si>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</si>
  <si>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</si>
  <si>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</si>
  <si>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</si>
  <si>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</si>
  <si>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</si>
  <si>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</si>
  <si>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</si>
  <si>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</si>
  <si>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</si>
  <si>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</si>
  <si>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</si>
  <si>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</si>
  <si>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</si>
  <si>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</si>
  <si>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</si>
  <si>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</si>
  <si>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</si>
  <si>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</si>
  <si>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</si>
  <si>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</si>
  <si>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</si>
  <si>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</si>
  <si>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</si>
  <si>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</si>
  <si>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</si>
  <si>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</si>
  <si>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</si>
  <si>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</si>
  <si>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</si>
  <si>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</si>
  <si>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</si>
  <si>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</si>
  <si>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</si>
  <si>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</si>
  <si>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</si>
  <si>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</si>
  <si>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</si>
  <si>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</si>
  <si>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</si>
  <si>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</si>
  <si>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</si>
  <si>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</si>
  <si>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</si>
  <si>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</si>
  <si>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</si>
  <si>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</si>
  <si>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</si>
  <si>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</si>
  <si>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</si>
  <si>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</si>
  <si>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</si>
  <si>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</si>
  <si>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</si>
  <si>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</si>
  <si>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</si>
  <si>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</si>
  <si>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</si>
  <si>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</si>
  <si>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</si>
  <si>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</si>
  <si>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</si>
  <si>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</si>
  <si>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</si>
  <si>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</si>
  <si>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</si>
  <si>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</si>
  <si>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</si>
  <si>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</si>
  <si>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</si>
  <si>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</si>
  <si>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</si>
  <si>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</si>
  <si>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</si>
  <si>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</si>
  <si>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</si>
  <si>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</si>
  <si>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</si>
  <si>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</si>
  <si>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</si>
  <si>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</si>
  <si>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</si>
  <si>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</si>
  <si>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</si>
  <si>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</si>
  <si>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</si>
  <si>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</si>
  <si>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</si>
  <si>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</si>
  <si>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</si>
  <si>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</si>
  <si>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</si>
  <si>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</si>
  <si>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</si>
  <si>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</si>
  <si>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</si>
  <si>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</si>
  <si>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</si>
  <si>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</si>
  <si>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</si>
  <si>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</si>
  <si>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</si>
  <si>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</si>
  <si>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</si>
  <si>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</si>
  <si>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</si>
  <si>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</si>
  <si>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</si>
  <si>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</si>
  <si>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</si>
  <si>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</si>
  <si>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</si>
  <si>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</si>
  <si>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</si>
  <si>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</si>
  <si>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</si>
  <si>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</si>
  <si>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</si>
  <si>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</si>
  <si>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</si>
  <si>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</si>
  <si>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</si>
  <si>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</si>
  <si>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</si>
  <si>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</si>
  <si>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</si>
  <si>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</si>
  <si>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</si>
  <si>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</si>
  <si>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</si>
  <si>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</si>
  <si>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</si>
  <si>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</si>
  <si>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</si>
  <si>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</si>
  <si>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</si>
  <si>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</si>
  <si>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</si>
  <si>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</si>
  <si>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</si>
  <si>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</si>
  <si>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</si>
  <si>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</si>
  <si>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</si>
  <si>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</si>
  <si>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</si>
  <si>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</si>
  <si>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</si>
  <si>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</si>
  <si>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</si>
  <si>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</si>
  <si>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</si>
  <si>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</si>
  <si>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</si>
  <si>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</si>
  <si>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</si>
  <si>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</si>
  <si>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</si>
  <si>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</si>
  <si>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</si>
  <si>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</si>
  <si>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</si>
  <si>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</si>
  <si>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</si>
  <si>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</si>
  <si>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</si>
  <si>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</si>
  <si>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</si>
  <si>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</si>
  <si>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</si>
  <si>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</si>
  <si>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</si>
  <si>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</si>
  <si>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</si>
  <si>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</si>
  <si>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</si>
  <si>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</si>
  <si>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</si>
  <si>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</si>
  <si>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</si>
  <si>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</si>
  <si>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</si>
  <si>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</si>
  <si>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</si>
  <si>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</si>
  <si>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</si>
  <si>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</si>
  <si>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</si>
  <si>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</si>
  <si>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</si>
  <si>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</si>
  <si>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</si>
  <si>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</si>
  <si>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</si>
  <si>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</si>
  <si>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</si>
  <si>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</si>
  <si>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</si>
  <si>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</si>
  <si>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</si>
  <si>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</si>
  <si>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</si>
  <si>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</si>
  <si>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</si>
  <si>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</si>
  <si>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</si>
  <si>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</si>
  <si>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</si>
  <si>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</si>
  <si>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</si>
  <si>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</si>
  <si>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</si>
  <si>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</si>
  <si>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</si>
  <si>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</si>
  <si>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</si>
  <si>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</si>
  <si>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</si>
  <si>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</si>
  <si>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</si>
  <si>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</si>
  <si>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</si>
  <si>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</si>
  <si>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</si>
  <si>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</si>
  <si>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</si>
  <si>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</si>
  <si>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</si>
  <si>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</si>
  <si>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</si>
  <si>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</si>
  <si>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</si>
  <si>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</si>
  <si>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</si>
  <si>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</si>
  <si>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</si>
  <si>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</si>
  <si>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</si>
  <si>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</si>
  <si>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</si>
  <si>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</si>
  <si>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</si>
  <si>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</si>
  <si>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</si>
  <si>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</si>
  <si>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</si>
  <si>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</si>
  <si>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</si>
  <si>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</si>
  <si>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</si>
  <si>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</si>
  <si>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</si>
  <si>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</si>
  <si>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</si>
  <si>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</si>
  <si>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</si>
  <si>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</si>
  <si>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</si>
  <si>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</si>
  <si>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</si>
  <si>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</si>
  <si>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</si>
  <si>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</si>
  <si>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</si>
  <si>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</si>
  <si>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</si>
  <si>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</si>
  <si>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</si>
  <si>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</si>
  <si>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</si>
  <si>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</si>
  <si>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</si>
  <si>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</si>
  <si>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</si>
  <si>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</si>
  <si>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</si>
  <si>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</si>
  <si>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</si>
  <si>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</si>
  <si>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</si>
  <si>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</si>
  <si>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</si>
  <si>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</si>
  <si>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</si>
  <si>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</si>
  <si>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</si>
  <si>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</si>
  <si>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</si>
  <si>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</si>
  <si>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</si>
  <si>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</si>
  <si>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</si>
  <si>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</si>
  <si>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</si>
  <si>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</si>
  <si>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</si>
  <si>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</si>
  <si>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</si>
  <si>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</si>
  <si>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</si>
  <si>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</si>
  <si>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</si>
  <si>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</si>
  <si>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</si>
  <si>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</si>
  <si>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</si>
  <si>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</si>
  <si>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</si>
  <si>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</si>
  <si>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</si>
  <si>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</si>
  <si>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</si>
  <si>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</si>
  <si>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</si>
  <si>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</si>
  <si>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</si>
  <si>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</si>
  <si>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</si>
  <si>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</si>
  <si>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</si>
  <si>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</si>
  <si>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</si>
  <si>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</si>
  <si>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</si>
  <si>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</si>
  <si>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</si>
  <si>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</si>
  <si>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</si>
  <si>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</si>
  <si>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</si>
  <si>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</si>
  <si>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</si>
  <si>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</si>
  <si>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</si>
  <si>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</si>
  <si>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</si>
  <si>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</si>
  <si>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</si>
  <si>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</si>
  <si>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</si>
  <si>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</si>
  <si>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</si>
  <si>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</si>
  <si>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</si>
  <si>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</si>
  <si>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</si>
  <si>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</si>
  <si>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</si>
  <si>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</si>
  <si>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</si>
  <si>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</si>
  <si>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</si>
  <si>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</si>
  <si>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</si>
  <si>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</si>
  <si>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</si>
  <si>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</si>
  <si>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</si>
  <si>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</si>
  <si>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</si>
  <si>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</si>
  <si>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</si>
  <si>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</si>
  <si>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</si>
  <si>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</si>
  <si>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</si>
  <si>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</si>
  <si>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</si>
  <si>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</si>
  <si>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</si>
  <si>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</si>
  <si>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</si>
  <si>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</si>
  <si>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</si>
  <si>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</si>
  <si>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</si>
  <si>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</si>
  <si>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</si>
  <si>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</si>
  <si>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</si>
  <si>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</si>
  <si>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</si>
  <si>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</si>
  <si>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</si>
  <si>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</si>
  <si>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</si>
  <si>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</si>
  <si>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</si>
  <si>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</si>
  <si>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</si>
  <si>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</si>
  <si>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</si>
  <si>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</si>
  <si>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</si>
  <si>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</si>
  <si>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</si>
  <si>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</si>
  <si>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</si>
  <si>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</si>
  <si>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</si>
  <si>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</si>
  <si>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</si>
  <si>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</si>
  <si>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</si>
  <si>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</si>
  <si>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</si>
  <si>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</si>
  <si>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</si>
  <si>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</si>
  <si>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</si>
  <si>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</si>
  <si>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</si>
  <si>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</si>
  <si>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</si>
  <si>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</si>
  <si>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</si>
  <si>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</si>
  <si>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</si>
  <si>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</si>
  <si>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</si>
  <si>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</si>
  <si>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</si>
  <si>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</si>
  <si>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</si>
  <si>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</si>
  <si>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</si>
  <si>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</si>
  <si>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</si>
  <si>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</si>
  <si>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</si>
  <si>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</si>
  <si>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</si>
  <si>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</si>
  <si>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</si>
  <si>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</si>
  <si>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</si>
  <si>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</si>
  <si>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</si>
  <si>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</si>
  <si>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</si>
  <si>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</si>
  <si>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</si>
  <si>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</si>
  <si>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</si>
  <si>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</si>
  <si>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</si>
  <si>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</si>
  <si>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</si>
  <si>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</si>
  <si>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</si>
  <si>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</si>
  <si>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</si>
  <si>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</si>
  <si>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</si>
  <si>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</si>
  <si>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</si>
  <si>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</si>
  <si>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</si>
  <si>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</si>
  <si>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</si>
  <si>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</si>
  <si>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</si>
  <si>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</si>
  <si>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</si>
  <si>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</si>
  <si>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</si>
  <si>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</si>
  <si>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</si>
  <si>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</si>
  <si>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</si>
  <si>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</si>
  <si>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</si>
  <si>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</si>
  <si>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</si>
  <si>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</si>
  <si>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</si>
  <si>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</si>
  <si>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</si>
  <si>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</si>
  <si>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</si>
  <si>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</si>
  <si>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</si>
  <si>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</si>
  <si>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</si>
  <si>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</si>
  <si>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</si>
  <si>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</si>
  <si>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</si>
  <si>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</si>
  <si>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</si>
  <si>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</si>
  <si>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</si>
  <si>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</si>
  <si>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</si>
  <si>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</si>
  <si>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</si>
  <si>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</si>
  <si>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</si>
  <si>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</si>
  <si>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</si>
  <si>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</si>
  <si>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</si>
  <si>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</si>
  <si>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</si>
  <si>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</si>
  <si>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</si>
  <si>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</si>
  <si>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</si>
  <si>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</si>
  <si>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</si>
  <si>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</si>
  <si>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</si>
  <si>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</si>
  <si>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</si>
  <si>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</si>
  <si>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</si>
  <si>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</si>
  <si>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</si>
  <si>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</si>
  <si>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</si>
  <si>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</si>
  <si>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</si>
  <si>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</si>
  <si>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</si>
  <si>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</si>
  <si>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</si>
  <si>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</si>
  <si>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</si>
  <si>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</si>
  <si>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</si>
  <si>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</si>
  <si>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</si>
  <si>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</si>
  <si>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</si>
  <si>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</si>
  <si>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</si>
  <si>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</si>
  <si>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</si>
  <si>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</si>
  <si>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</si>
  <si>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</si>
  <si>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</si>
  <si>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</si>
  <si>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</si>
  <si>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</si>
  <si>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</si>
  <si>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</si>
  <si>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</si>
  <si>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</si>
  <si>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</si>
  <si>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</si>
  <si>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</si>
  <si>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</si>
  <si>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</si>
  <si>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</si>
  <si>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</si>
  <si>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</si>
  <si>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</si>
  <si>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</si>
  <si>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</si>
  <si>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</si>
  <si>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</si>
  <si>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</si>
  <si>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</si>
  <si>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</si>
  <si>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</si>
  <si>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</si>
  <si>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</si>
  <si>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</si>
  <si>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</si>
  <si>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</si>
  <si>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</si>
  <si>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</si>
  <si>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</si>
  <si>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</si>
  <si>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</si>
  <si>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</si>
  <si>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</si>
  <si>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</si>
  <si>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</si>
  <si>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</si>
  <si>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</si>
  <si>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</si>
  <si>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</si>
  <si>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</si>
  <si>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</si>
  <si>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</si>
  <si>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</si>
  <si>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</si>
  <si>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</si>
  <si>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</si>
  <si>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</si>
  <si>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</si>
  <si>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</si>
  <si>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</si>
  <si>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</si>
  <si>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</si>
  <si>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</si>
  <si>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</si>
  <si>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</si>
  <si>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</si>
  <si>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</si>
  <si>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</si>
  <si>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</si>
  <si>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</si>
  <si>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</si>
  <si>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</si>
  <si>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</si>
  <si>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</si>
  <si>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</si>
  <si>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</si>
  <si>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</si>
  <si>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</si>
  <si>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</si>
  <si>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</si>
  <si>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</si>
  <si>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</si>
  <si>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</si>
  <si>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</si>
  <si>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</si>
  <si>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</si>
  <si>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</si>
  <si>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</si>
  <si>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</si>
  <si>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</si>
  <si>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</si>
  <si>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</si>
  <si>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</si>
  <si>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</si>
  <si>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</si>
  <si>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</si>
  <si>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</si>
  <si>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</si>
  <si>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</si>
  <si>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</si>
  <si>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</si>
  <si>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</si>
  <si>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</si>
  <si>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</si>
  <si>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</si>
  <si>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</si>
  <si>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</si>
  <si>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</si>
  <si>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</si>
  <si>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</si>
  <si>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</si>
  <si>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</si>
  <si>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</si>
  <si>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</si>
  <si>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</si>
  <si>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</si>
  <si>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</si>
  <si>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</si>
  <si>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</si>
  <si>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</si>
  <si>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</si>
  <si>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</si>
  <si>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</si>
  <si>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</si>
  <si>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</si>
  <si>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</si>
  <si>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</si>
  <si>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</si>
  <si>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</si>
  <si>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</si>
  <si>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</si>
  <si>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</si>
  <si>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</si>
  <si>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</si>
  <si>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</si>
  <si>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</si>
  <si>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</si>
  <si>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</si>
  <si>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</si>
  <si>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</si>
  <si>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</si>
  <si>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</si>
  <si>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</si>
  <si>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</si>
  <si>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</si>
  <si>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</si>
  <si>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</si>
  <si>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</si>
  <si>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</si>
  <si>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</si>
  <si>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</si>
  <si>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</si>
  <si>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</si>
  <si>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</si>
  <si>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</si>
  <si>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</si>
  <si>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</si>
  <si>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</si>
  <si>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</si>
  <si>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</si>
  <si>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</si>
  <si>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</si>
  <si>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</si>
  <si>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</si>
  <si>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</si>
  <si>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</si>
  <si>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</si>
  <si>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</si>
  <si>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</si>
  <si>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</si>
  <si>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</si>
  <si>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</si>
  <si>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</si>
  <si>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</si>
  <si>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</si>
  <si>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</si>
  <si>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</si>
  <si>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</si>
  <si>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</si>
  <si>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</si>
  <si>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</si>
  <si>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</si>
  <si>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</si>
  <si>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</si>
  <si>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</si>
  <si>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</si>
  <si>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</si>
  <si>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</si>
  <si>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</si>
  <si>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</si>
  <si>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</si>
  <si>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</si>
  <si>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</si>
  <si>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</si>
  <si>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</si>
  <si>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</si>
  <si>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</si>
  <si>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</si>
  <si>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</si>
  <si>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</si>
  <si>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</si>
  <si>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</si>
  <si>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</si>
  <si>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</si>
  <si>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</si>
  <si>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</si>
  <si>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</si>
  <si>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</si>
  <si>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</si>
  <si>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</si>
  <si>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</si>
  <si>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</si>
  <si>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</si>
  <si>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</si>
  <si>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</si>
  <si>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</si>
  <si>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</si>
  <si>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</si>
  <si>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</si>
  <si>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</si>
  <si>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</si>
  <si>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</si>
  <si>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</si>
  <si>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</si>
  <si>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</si>
  <si>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</si>
  <si>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</si>
  <si>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</si>
  <si>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</si>
  <si>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</si>
  <si>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</si>
  <si>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</si>
  <si>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</si>
  <si>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</si>
  <si>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</si>
  <si>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</si>
  <si>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</si>
  <si>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</si>
  <si>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</si>
  <si>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</si>
  <si>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</si>
  <si>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</si>
  <si>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</si>
  <si>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</si>
  <si>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</si>
  <si>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</si>
  <si>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</si>
  <si>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</si>
  <si>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</si>
  <si>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</si>
  <si>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</si>
  <si>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</si>
  <si>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</si>
  <si>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</si>
  <si>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</si>
  <si>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</si>
  <si>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</si>
  <si>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</si>
  <si>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</si>
  <si>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</si>
  <si>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</si>
  <si>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</si>
  <si>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</si>
  <si>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</si>
  <si>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</si>
  <si>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</si>
  <si>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</si>
  <si>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</si>
  <si>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</si>
  <si>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</si>
  <si>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</si>
  <si>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</si>
  <si>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</si>
  <si>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</si>
  <si>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</si>
  <si>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</si>
  <si>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</si>
  <si>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</si>
  <si>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</si>
  <si>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</si>
  <si>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</si>
  <si>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</si>
  <si>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</si>
  <si>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</si>
  <si>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</si>
  <si>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</si>
  <si>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</si>
  <si>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</si>
  <si>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</si>
  <si>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</si>
  <si>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</si>
  <si>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</si>
  <si>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</si>
  <si>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</si>
  <si>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</si>
  <si>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</si>
  <si>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</si>
  <si>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</si>
  <si>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</si>
  <si>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</si>
  <si>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</si>
  <si>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</si>
  <si>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</si>
  <si>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</si>
  <si>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</si>
  <si>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</si>
  <si>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</si>
  <si>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</si>
  <si>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</si>
  <si>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</si>
  <si>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</si>
  <si>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</si>
  <si>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</si>
  <si>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</si>
  <si>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</si>
  <si>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</si>
  <si>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</si>
  <si>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</si>
  <si>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</si>
  <si>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</si>
  <si>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</si>
  <si>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</si>
  <si>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</si>
  <si>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</si>
  <si>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</si>
  <si>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</si>
  <si>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</si>
  <si>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</si>
  <si>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</si>
  <si>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</si>
  <si>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</si>
  <si>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</si>
  <si>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</si>
  <si>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</si>
  <si>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</si>
  <si>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</si>
  <si>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</si>
  <si>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</si>
  <si>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</si>
  <si>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</si>
  <si>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</si>
  <si>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</si>
  <si>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</si>
  <si>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</si>
  <si>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</si>
  <si>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</si>
  <si>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</si>
  <si>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</si>
  <si>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</si>
  <si>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</si>
  <si>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</si>
  <si>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</si>
  <si>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</si>
  <si>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</si>
  <si>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</si>
  <si>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</si>
  <si>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</si>
  <si>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</si>
  <si>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</si>
  <si>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</si>
  <si>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</si>
  <si>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</si>
  <si>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</si>
  <si>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</si>
  <si>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</si>
  <si>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</si>
  <si>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</si>
  <si>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</si>
  <si>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</si>
  <si>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</si>
  <si>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</si>
  <si>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</si>
  <si>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</si>
  <si>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</si>
  <si>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</si>
  <si>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</si>
  <si>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</si>
  <si>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</si>
  <si>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</si>
  <si>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</si>
  <si>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</si>
  <si>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</si>
  <si>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</si>
  <si>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</si>
  <si>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</si>
  <si>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</si>
  <si>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</si>
  <si>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</si>
  <si>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</si>
  <si>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</si>
  <si>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</si>
  <si>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</si>
  <si>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</si>
  <si>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</si>
  <si>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</si>
  <si>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</si>
  <si>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</si>
  <si>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</si>
  <si>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</si>
  <si>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</si>
  <si>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</si>
  <si>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</si>
  <si>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</si>
  <si>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</si>
  <si>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</si>
  <si>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</si>
  <si>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</si>
  <si>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</si>
  <si>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</si>
  <si>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</si>
  <si>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</si>
  <si>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</si>
  <si>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</si>
  <si>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</si>
  <si>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</si>
  <si>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</si>
  <si>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</si>
  <si>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</si>
  <si>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</si>
  <si>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</si>
  <si>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</si>
  <si>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</si>
  <si>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</si>
  <si>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</si>
  <si>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</si>
  <si>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</si>
  <si>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</si>
  <si>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</si>
  <si>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</si>
  <si>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</si>
  <si>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</si>
  <si>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</si>
  <si>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</si>
  <si>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</si>
  <si>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</si>
  <si>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</si>
  <si>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</si>
  <si>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</si>
  <si>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</si>
  <si>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</si>
  <si>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</si>
  <si>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</si>
  <si>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</si>
  <si>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</si>
  <si>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</si>
  <si>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</si>
  <si>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</si>
  <si>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</si>
  <si>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</si>
  <si>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</si>
  <si>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</si>
  <si>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</si>
  <si>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</si>
  <si>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</si>
  <si>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</si>
  <si>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</si>
  <si>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</si>
  <si>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</si>
  <si>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</si>
  <si>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</si>
  <si>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</si>
  <si>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</si>
  <si>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</si>
  <si>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</si>
  <si>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</si>
  <si>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</si>
  <si>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</si>
  <si>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</si>
  <si>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</si>
  <si>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</si>
  <si>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</si>
  <si>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</si>
  <si>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</si>
  <si>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</si>
  <si>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</si>
  <si>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</si>
  <si>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</si>
  <si>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</si>
  <si>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</si>
  <si>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</si>
  <si>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</si>
  <si>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</si>
  <si>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</si>
  <si>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</si>
  <si>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</si>
  <si>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</si>
  <si>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</si>
  <si>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</si>
  <si>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</si>
  <si>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</si>
  <si>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</si>
  <si>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</si>
  <si>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</si>
  <si>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</si>
  <si>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</si>
  <si>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</si>
  <si>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</si>
  <si>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</si>
  <si>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</si>
  <si>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</si>
  <si>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</si>
  <si>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</si>
  <si>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</si>
  <si>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</si>
  <si>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</si>
  <si>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</si>
  <si>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</si>
  <si>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</si>
  <si>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</si>
  <si>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</si>
  <si>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</si>
  <si>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</si>
  <si>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</si>
  <si>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</si>
  <si>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</si>
  <si>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</si>
  <si>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</si>
  <si>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</si>
  <si>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</si>
  <si>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</si>
  <si>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</si>
  <si>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</si>
  <si>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</si>
  <si>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</si>
  <si>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</si>
  <si>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</si>
  <si>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</si>
  <si>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</si>
  <si>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</si>
  <si>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</si>
  <si>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</si>
  <si>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</si>
  <si>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</si>
  <si>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</si>
  <si>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</si>
  <si>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</si>
  <si>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</si>
  <si>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</si>
  <si>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</si>
  <si>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</si>
  <si>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</si>
  <si>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</si>
  <si>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</si>
  <si>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</si>
  <si>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</si>
  <si>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</si>
  <si>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</si>
  <si>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</si>
  <si>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</si>
  <si>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</si>
  <si>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</si>
  <si>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</si>
  <si>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</si>
  <si>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</si>
  <si>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</si>
  <si>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</si>
  <si>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</si>
  <si>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</si>
  <si>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</si>
  <si>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</si>
  <si>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</si>
  <si>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</si>
  <si>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</si>
  <si>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</si>
  <si>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</si>
  <si>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</si>
  <si>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</si>
  <si>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</si>
  <si>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</si>
  <si>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</si>
  <si>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</si>
  <si>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</si>
  <si>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</si>
  <si>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</si>
  <si>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</si>
  <si>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</si>
  <si>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</si>
  <si>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</si>
  <si>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</si>
  <si>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</si>
  <si>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</si>
  <si>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</si>
  <si>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</si>
  <si>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</si>
  <si>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</si>
  <si>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</si>
  <si>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</si>
  <si>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</si>
  <si>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</si>
  <si>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</si>
  <si>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</si>
  <si>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</si>
  <si>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</si>
  <si>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</si>
  <si>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</si>
  <si>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</si>
  <si>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</si>
  <si>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</si>
  <si>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</si>
  <si>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</si>
  <si>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</si>
  <si>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</si>
  <si>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</si>
  <si>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</si>
  <si>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</si>
  <si>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</si>
  <si>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</si>
  <si>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</si>
  <si>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</si>
  <si>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</si>
  <si>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</si>
  <si>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</si>
  <si>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</si>
  <si>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</si>
  <si>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</si>
  <si>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</si>
  <si>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</si>
  <si>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</si>
  <si>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</si>
  <si>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</si>
  <si>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</si>
  <si>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</si>
  <si>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</si>
  <si>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</si>
  <si>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</si>
  <si>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</si>
  <si>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</si>
  <si>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</si>
  <si>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</si>
  <si>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</si>
  <si>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</si>
  <si>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</si>
  <si>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</si>
  <si>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</si>
  <si>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</si>
  <si>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</si>
  <si>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</si>
  <si>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</si>
  <si>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</si>
  <si>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</si>
  <si>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</si>
  <si>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</si>
  <si>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</si>
  <si>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</si>
  <si>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</si>
  <si>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</si>
  <si>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</si>
  <si>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</si>
  <si>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</si>
  <si>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</si>
  <si>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</si>
  <si>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</si>
  <si>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</si>
  <si>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</si>
  <si>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</si>
  <si>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</si>
  <si>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</si>
  <si>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</si>
  <si>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</si>
  <si>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</si>
  <si>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</si>
  <si>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</si>
  <si>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</si>
  <si>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</si>
  <si>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</si>
  <si>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</si>
  <si>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</si>
  <si>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</si>
  <si>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</si>
  <si>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</si>
  <si>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</si>
  <si>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</si>
  <si>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</si>
  <si>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</si>
  <si>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</si>
  <si>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</si>
  <si>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</si>
  <si>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</si>
  <si>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</si>
  <si>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</si>
  <si>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</si>
  <si>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</si>
  <si>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</si>
  <si>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</si>
  <si>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</si>
  <si>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</si>
  <si>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</si>
  <si>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</si>
  <si>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</si>
  <si>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</si>
  <si>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</si>
  <si>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</si>
  <si>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</si>
  <si>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</si>
  <si>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</si>
  <si>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</si>
  <si>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</si>
  <si>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</si>
  <si>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</si>
  <si>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</si>
  <si>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</si>
  <si>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</si>
  <si>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</si>
  <si>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</si>
  <si>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</si>
  <si>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</si>
  <si>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</si>
  <si>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</si>
  <si>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</si>
  <si>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</si>
  <si>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</si>
  <si>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</si>
  <si>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</si>
  <si>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</si>
  <si>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</si>
  <si>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</si>
  <si>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</si>
  <si>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</si>
  <si>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</si>
  <si>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</si>
  <si>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</si>
  <si>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</si>
  <si>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</si>
  <si>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</si>
  <si>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</si>
  <si>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</si>
  <si>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</si>
  <si>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</si>
  <si>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</si>
  <si>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</si>
  <si>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</si>
  <si>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</si>
  <si>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</si>
  <si>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</si>
  <si>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</si>
  <si>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</si>
  <si>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</si>
  <si>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</si>
  <si>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</si>
  <si>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</si>
  <si>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</si>
  <si>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</si>
  <si>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</si>
  <si>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</si>
  <si>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</si>
  <si>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</si>
  <si>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</si>
  <si>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</si>
  <si>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</si>
  <si>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</si>
  <si>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</si>
  <si>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</si>
  <si>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</si>
  <si>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</si>
  <si>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</si>
  <si>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</si>
  <si>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</si>
  <si>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</si>
  <si>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</si>
  <si>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</si>
  <si>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</si>
  <si>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</si>
  <si>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</si>
  <si>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</si>
  <si>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</si>
  <si>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</si>
  <si>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</si>
  <si>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</si>
  <si>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</si>
  <si>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</si>
  <si>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</si>
  <si>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</si>
  <si>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</si>
  <si>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</si>
  <si>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</si>
  <si>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</si>
  <si>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</si>
  <si>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</si>
  <si>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</si>
  <si>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</si>
  <si>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</si>
  <si>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</si>
  <si>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</si>
  <si>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</si>
  <si>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</si>
  <si>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</si>
  <si>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</si>
  <si>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</si>
  <si>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</si>
  <si>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</si>
  <si>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</si>
  <si>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</si>
  <si>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</si>
  <si>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</si>
  <si>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</si>
  <si>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</si>
  <si>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</si>
  <si>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</si>
  <si>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</si>
  <si>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</si>
  <si>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</si>
  <si>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</si>
  <si>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</si>
  <si>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</si>
  <si>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</si>
  <si>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</si>
  <si>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</si>
  <si>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</si>
  <si>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</si>
  <si>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</si>
  <si>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</si>
  <si>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</si>
  <si>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</si>
  <si>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</si>
  <si>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</si>
  <si>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</si>
  <si>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</si>
  <si>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</si>
  <si>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</si>
  <si>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</si>
  <si>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</si>
  <si>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</si>
  <si>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</si>
  <si>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</si>
  <si>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</si>
  <si>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</si>
  <si>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</si>
  <si>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</si>
  <si>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</si>
  <si>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</si>
  <si>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</si>
  <si>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</si>
  <si>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</si>
  <si>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</si>
  <si>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</si>
  <si>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</si>
  <si>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</si>
  <si>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</si>
  <si>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</si>
  <si>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</si>
  <si>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</si>
  <si>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</si>
  <si>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</si>
  <si>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</si>
  <si>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</si>
  <si>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</si>
  <si>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</si>
  <si>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</si>
  <si>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</si>
  <si>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</si>
  <si>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</si>
  <si>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</si>
  <si>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</si>
  <si>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</si>
  <si>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</si>
  <si>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</si>
  <si>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</si>
  <si>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</si>
  <si>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</si>
  <si>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</si>
  <si>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</si>
  <si>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</si>
  <si>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</si>
  <si>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</si>
  <si>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</si>
  <si>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</si>
  <si>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</si>
  <si>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</si>
  <si>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</si>
  <si>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</si>
  <si>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</si>
  <si>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</si>
  <si>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</si>
  <si>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</si>
  <si>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</si>
  <si>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</si>
  <si>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</si>
  <si>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</si>
  <si>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</si>
  <si>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</si>
  <si>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</si>
  <si>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</si>
  <si>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</si>
  <si>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</si>
  <si>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</si>
  <si>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</si>
  <si>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</si>
  <si>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</si>
  <si>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</si>
  <si>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</si>
  <si>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</si>
  <si>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</si>
  <si>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</si>
  <si>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</si>
  <si>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</si>
  <si>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</si>
  <si>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</si>
  <si>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</si>
  <si>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</si>
  <si>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</si>
  <si>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</si>
  <si>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</si>
  <si>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</si>
  <si>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</si>
  <si>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</si>
  <si>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</si>
  <si>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</si>
  <si>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</si>
  <si>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</si>
  <si>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</si>
  <si>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</si>
  <si>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</si>
  <si>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</si>
  <si>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</si>
  <si>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</si>
  <si>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</si>
  <si>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</si>
  <si>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</si>
  <si>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</si>
  <si>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</si>
  <si>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</si>
  <si>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</si>
  <si>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</si>
  <si>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</si>
  <si>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</si>
  <si>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</si>
  <si>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</si>
  <si>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</si>
  <si>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</si>
  <si>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</si>
  <si>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</si>
  <si>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</si>
  <si>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</si>
  <si>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</si>
  <si>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</si>
  <si>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</si>
  <si>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</si>
  <si>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</si>
  <si>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</si>
  <si>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</si>
  <si>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</si>
  <si>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</si>
  <si>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</si>
  <si>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</si>
  <si>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</si>
  <si>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</si>
  <si>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</si>
  <si>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</si>
  <si>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</si>
  <si>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</si>
  <si>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</si>
  <si>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</si>
  <si>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</si>
  <si>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</si>
  <si>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</si>
  <si>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</si>
  <si>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</si>
  <si>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</si>
  <si>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</si>
  <si>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</si>
  <si>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</si>
  <si>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</si>
  <si>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</si>
  <si>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</si>
  <si>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</si>
  <si>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</si>
  <si>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</si>
  <si>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</si>
  <si>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</si>
  <si>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</si>
  <si>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</si>
  <si>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</si>
  <si>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</si>
  <si>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</si>
  <si>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</si>
  <si>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</si>
  <si>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</si>
  <si>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</si>
  <si>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</si>
  <si>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</si>
  <si>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</si>
  <si>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</si>
  <si>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</si>
  <si>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</si>
  <si>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</si>
  <si>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</si>
  <si>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</si>
  <si>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</si>
  <si>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</si>
  <si>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</si>
  <si>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</si>
  <si>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</si>
  <si>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</si>
  <si>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</si>
  <si>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</si>
  <si>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</si>
  <si>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</si>
  <si>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</si>
  <si>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</si>
  <si>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</si>
  <si>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</si>
  <si>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</si>
  <si>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</si>
  <si>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</si>
  <si>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</si>
  <si>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</si>
  <si>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</si>
  <si>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</si>
  <si>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</si>
  <si>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</si>
  <si>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</si>
  <si>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</si>
  <si>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</si>
  <si>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</si>
  <si>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</si>
  <si>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</si>
  <si>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</si>
  <si>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</si>
  <si>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</si>
  <si>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</si>
  <si>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</si>
  <si>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</si>
  <si>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</si>
  <si>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</si>
  <si>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</si>
  <si>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</si>
  <si>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</si>
  <si>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</si>
  <si>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</si>
  <si>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</si>
  <si>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</si>
  <si>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</si>
  <si>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</si>
  <si>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</si>
  <si>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</si>
  <si>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</si>
  <si>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</si>
  <si>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</si>
  <si>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</si>
  <si>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</si>
  <si>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</si>
  <si>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</si>
  <si>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</si>
  <si>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</si>
  <si>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</si>
  <si>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</si>
  <si>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</si>
  <si>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</si>
  <si>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</si>
  <si>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</si>
  <si>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</si>
  <si>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</si>
  <si>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</si>
  <si>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</si>
  <si>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</si>
  <si>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</si>
  <si>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</si>
  <si>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</si>
  <si>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</si>
  <si>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</si>
  <si>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</si>
  <si>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</si>
  <si>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</si>
  <si>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</si>
  <si>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</si>
  <si>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</si>
  <si>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</si>
  <si>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</si>
  <si>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</si>
  <si>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</si>
  <si>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</si>
  <si>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</si>
  <si>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</si>
  <si>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</si>
  <si>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</si>
  <si>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</si>
  <si>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</si>
  <si>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</si>
  <si>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</si>
  <si>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</si>
  <si>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</si>
  <si>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</si>
  <si>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</si>
  <si>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</si>
  <si>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</si>
  <si>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</si>
  <si>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</si>
  <si>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</si>
  <si>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</si>
  <si>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</si>
  <si>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</si>
  <si>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</si>
  <si>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</si>
  <si>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</si>
  <si>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</si>
  <si>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</si>
  <si>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</si>
  <si>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</si>
  <si>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</si>
  <si>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</si>
  <si>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</si>
  <si>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</si>
  <si>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</si>
  <si>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</si>
  <si>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</si>
  <si>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</si>
  <si>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</si>
  <si>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</si>
  <si>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</si>
  <si>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</si>
  <si>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</si>
  <si>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</si>
  <si>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</si>
  <si>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</si>
  <si>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</si>
  <si>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</si>
  <si>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</si>
  <si>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</si>
  <si>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</si>
  <si>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</si>
  <si>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</si>
  <si>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</si>
  <si>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</si>
  <si>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</si>
  <si>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</si>
  <si>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</si>
  <si>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</si>
  <si>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</si>
  <si>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</si>
  <si>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</si>
  <si>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</si>
  <si>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</si>
  <si>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</si>
  <si>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</si>
  <si>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</si>
  <si>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</si>
  <si>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</si>
  <si>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</si>
  <si>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</si>
  <si>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</si>
  <si>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</si>
  <si>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</si>
  <si>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</si>
  <si>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</si>
  <si>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</si>
  <si>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</si>
  <si>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</si>
  <si>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</si>
  <si>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</si>
  <si>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</si>
  <si>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</si>
  <si>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</si>
  <si>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</si>
  <si>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</si>
  <si>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</si>
  <si>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</si>
  <si>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</si>
  <si>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</si>
  <si>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</si>
  <si>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</si>
  <si>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</si>
  <si>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</si>
  <si>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</si>
  <si>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</si>
  <si>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</si>
  <si>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</si>
  <si>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</si>
  <si>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</si>
  <si>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</si>
  <si>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</si>
  <si>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</si>
  <si>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</si>
  <si>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</si>
  <si>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</si>
  <si>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</si>
  <si>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</si>
  <si>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</si>
  <si>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</si>
  <si>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</si>
  <si>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</si>
  <si>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</si>
  <si>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</si>
  <si>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</si>
  <si>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</si>
  <si>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</si>
  <si>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</si>
  <si>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</si>
  <si>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</si>
  <si>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</si>
  <si>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</si>
  <si>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</si>
  <si>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</si>
  <si>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</si>
  <si>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</si>
  <si>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</si>
  <si>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</si>
  <si>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</si>
  <si>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</si>
  <si>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</si>
  <si>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</si>
  <si>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</si>
  <si>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</si>
  <si>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</si>
  <si>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</si>
  <si>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</si>
  <si>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</si>
  <si>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</si>
  <si>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</si>
  <si>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</si>
  <si>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</si>
  <si>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</si>
  <si>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</si>
  <si>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</si>
  <si>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</si>
  <si>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</si>
  <si>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</si>
  <si>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</si>
  <si>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</si>
  <si>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</si>
  <si>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</si>
  <si>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</si>
  <si>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</si>
  <si>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</si>
  <si>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</si>
  <si>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</si>
  <si>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</si>
  <si>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</si>
  <si>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</si>
  <si>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</si>
  <si>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</si>
  <si>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</si>
  <si>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</si>
  <si>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</si>
  <si>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</si>
  <si>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</si>
  <si>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</si>
  <si>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</si>
  <si>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</si>
  <si>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</si>
  <si>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</si>
  <si>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</si>
  <si>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</si>
  <si>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</si>
  <si>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</si>
  <si>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</si>
  <si>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</si>
  <si>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</si>
  <si>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</si>
  <si>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</si>
  <si>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</si>
  <si>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</si>
  <si>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</si>
  <si>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</si>
  <si>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</si>
  <si>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</si>
  <si>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</si>
  <si>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</si>
  <si>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</si>
  <si>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</si>
  <si>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</si>
  <si>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</si>
  <si>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</si>
  <si>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</si>
  <si>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</si>
  <si>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</si>
  <si>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</si>
  <si>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</si>
  <si>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</si>
  <si>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</si>
  <si>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</si>
  <si>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</si>
  <si>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</si>
  <si>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</si>
  <si>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</si>
  <si>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</si>
  <si>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</si>
  <si>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</si>
  <si>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</si>
  <si>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</si>
  <si>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</si>
  <si>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</si>
  <si>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</si>
  <si>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</si>
  <si>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</si>
  <si>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</si>
  <si>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</si>
  <si>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</si>
  <si>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</si>
  <si>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</si>
  <si>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</si>
  <si>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</si>
  <si>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</si>
  <si>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</si>
  <si>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</si>
  <si>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</si>
  <si>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</si>
  <si>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</si>
  <si>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</si>
  <si>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</si>
  <si>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</si>
  <si>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</si>
  <si>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</si>
  <si>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</si>
  <si>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</si>
  <si>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</si>
  <si>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</si>
  <si>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</si>
  <si>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</si>
  <si>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</si>
  <si>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</si>
  <si>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</si>
  <si>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</si>
  <si>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</si>
  <si>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</si>
  <si>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</si>
  <si>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</si>
  <si>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</si>
  <si>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</si>
  <si>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</si>
  <si>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</si>
  <si>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</si>
  <si>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</si>
  <si>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</si>
  <si>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</si>
  <si>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</si>
  <si>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</si>
  <si>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</si>
  <si>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</si>
  <si>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</si>
  <si>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</si>
  <si>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</si>
  <si>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</si>
  <si>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</si>
  <si>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</si>
  <si>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</si>
  <si>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</si>
  <si>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</si>
  <si>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</si>
  <si>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</si>
  <si>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</si>
  <si>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</si>
  <si>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</si>
  <si>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</si>
  <si>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</si>
  <si>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</si>
  <si>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</si>
  <si>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</si>
  <si>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</si>
  <si>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</si>
  <si>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</si>
  <si>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</si>
  <si>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</si>
  <si>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</si>
  <si>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</si>
  <si>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</si>
  <si>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</si>
  <si>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</si>
  <si>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</si>
  <si>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</si>
  <si>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</si>
  <si>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</si>
  <si>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</si>
  <si>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</si>
  <si>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</si>
  <si>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</si>
  <si>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</si>
  <si>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</si>
  <si>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</si>
  <si>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</si>
  <si>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</si>
  <si>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</si>
  <si>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</si>
  <si>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</si>
  <si>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</si>
  <si>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</si>
  <si>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</si>
  <si>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</si>
  <si>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</si>
  <si>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</si>
  <si>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</si>
  <si>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</si>
  <si>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</si>
  <si>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</si>
  <si>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</si>
  <si>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</si>
  <si>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</si>
  <si>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</si>
  <si>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</si>
  <si>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</si>
  <si>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</si>
  <si>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</si>
  <si>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</si>
  <si>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</si>
  <si>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</si>
  <si>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</si>
  <si>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</si>
  <si>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</si>
  <si>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</si>
  <si>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</si>
  <si>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</si>
  <si>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</si>
  <si>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</si>
  <si>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</si>
  <si>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</si>
  <si>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</si>
  <si>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</si>
  <si>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</si>
  <si>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</si>
  <si>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</si>
  <si>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</si>
  <si>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</si>
  <si>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</si>
  <si>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</si>
  <si>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</si>
  <si>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</si>
  <si>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</si>
  <si>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</si>
  <si>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</si>
  <si>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</si>
  <si>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</si>
  <si>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</si>
  <si>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</si>
  <si>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</si>
  <si>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</si>
  <si>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</si>
  <si>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</si>
  <si>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</si>
  <si>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</si>
  <si>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</si>
  <si>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</si>
  <si>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</si>
  <si>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</si>
  <si>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</si>
  <si>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</si>
  <si>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</si>
  <si>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</si>
  <si>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</si>
  <si>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</si>
  <si>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</si>
  <si>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</si>
  <si>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</si>
  <si>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</si>
  <si>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</si>
  <si>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</si>
  <si>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</si>
  <si>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</si>
  <si>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</si>
  <si>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</si>
  <si>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</si>
  <si>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</si>
  <si>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</si>
  <si>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</si>
  <si>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</si>
  <si>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</si>
  <si>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</si>
  <si>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</si>
  <si>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</si>
  <si>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</si>
  <si>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</si>
  <si>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</si>
  <si>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</si>
  <si>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</si>
  <si>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</si>
  <si>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</si>
  <si>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</si>
  <si>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</si>
  <si>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</si>
  <si>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</si>
  <si>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</si>
  <si>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</si>
  <si>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</si>
  <si>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</si>
  <si>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</si>
  <si>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</si>
  <si>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</si>
  <si>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</si>
  <si>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</si>
  <si>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</si>
  <si>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</si>
  <si>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</si>
  <si>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</si>
  <si>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</si>
  <si>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</si>
  <si>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</si>
  <si>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</si>
  <si>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</si>
  <si>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</si>
  <si>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</si>
  <si>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</si>
  <si>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</si>
  <si>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</si>
  <si>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</si>
  <si>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</si>
  <si>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</si>
  <si>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</si>
  <si>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</si>
  <si>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</si>
  <si>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</si>
  <si>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</si>
  <si>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</si>
  <si>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</si>
  <si>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</si>
  <si>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</si>
  <si>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</si>
  <si>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</si>
  <si>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</si>
  <si>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</si>
  <si>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</si>
  <si>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</si>
  <si>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</si>
  <si>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</si>
  <si>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</si>
  <si>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</si>
  <si>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</si>
  <si>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</si>
  <si>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</si>
  <si>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</si>
  <si>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</si>
  <si>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</si>
  <si>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</si>
  <si>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</si>
  <si>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</si>
  <si>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</si>
  <si>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</si>
  <si>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</si>
  <si>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</si>
  <si>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</si>
  <si>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</si>
  <si>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</si>
  <si>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</si>
  <si>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</si>
  <si>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</si>
  <si>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</si>
  <si>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</si>
  <si>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</si>
  <si>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</si>
  <si>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</si>
  <si>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</si>
  <si>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</si>
  <si>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</si>
  <si>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</si>
  <si>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</si>
  <si>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</si>
  <si>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</si>
  <si>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</si>
  <si>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</si>
  <si>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</si>
  <si>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</si>
  <si>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</si>
  <si>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</si>
  <si>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</si>
  <si>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</si>
  <si>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</si>
  <si>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</si>
  <si>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</si>
  <si>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</si>
  <si>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</si>
  <si>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</si>
  <si>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</si>
  <si>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</si>
  <si>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</si>
  <si>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</si>
  <si>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</si>
  <si>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</si>
  <si>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</si>
  <si>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</si>
  <si>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</si>
  <si>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</si>
  <si>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</si>
  <si>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</si>
  <si>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</si>
  <si>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</si>
  <si>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</si>
  <si>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</si>
  <si>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</si>
  <si>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</si>
  <si>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</si>
  <si>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</si>
  <si>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</si>
  <si>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</si>
  <si>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</si>
  <si>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</si>
  <si>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</si>
  <si>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</si>
  <si>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</si>
  <si>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</si>
  <si>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</si>
  <si>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</si>
  <si>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</si>
  <si>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</si>
  <si>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</si>
  <si>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</si>
  <si>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</si>
  <si>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</si>
  <si>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</si>
  <si>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</si>
  <si>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</si>
  <si>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</si>
  <si>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</si>
  <si>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</si>
  <si>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</si>
  <si>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</si>
  <si>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</si>
  <si>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</si>
  <si>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</si>
  <si>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</si>
  <si>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</si>
  <si>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</si>
  <si>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</si>
  <si>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</si>
  <si>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</si>
  <si>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</si>
  <si>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</si>
  <si>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</si>
  <si>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</si>
  <si>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</si>
  <si>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</si>
  <si>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</si>
  <si>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</si>
  <si>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</si>
  <si>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</si>
  <si>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</si>
  <si>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</si>
  <si>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</si>
  <si>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</si>
  <si>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</si>
  <si>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</si>
  <si>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</si>
  <si>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</si>
  <si>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</si>
  <si>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</si>
  <si>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</si>
  <si>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</si>
  <si>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</si>
  <si>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</si>
  <si>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</si>
  <si>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</si>
  <si>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</si>
  <si>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</si>
  <si>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</si>
  <si>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</si>
  <si>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</si>
  <si>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</si>
  <si>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</si>
  <si>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</si>
  <si>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</si>
  <si>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</si>
  <si>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</si>
  <si>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</si>
  <si>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</si>
  <si>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</si>
  <si>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</si>
  <si>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</si>
  <si>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</si>
  <si>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</si>
  <si>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</si>
  <si>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</si>
  <si>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</si>
  <si>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</si>
  <si>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</si>
  <si>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</si>
  <si>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</si>
  <si>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</si>
  <si>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</si>
  <si>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</si>
  <si>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</si>
  <si>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</si>
  <si>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</si>
  <si>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</si>
  <si>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</si>
  <si>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</si>
  <si>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</si>
  <si>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</si>
  <si>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</si>
  <si>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</si>
  <si>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</si>
  <si>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</si>
  <si>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</si>
  <si>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</si>
  <si>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</si>
  <si>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</si>
  <si>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</si>
  <si>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</si>
  <si>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</si>
  <si>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</si>
  <si>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</si>
  <si>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</si>
  <si>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</si>
  <si>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</si>
  <si>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</si>
  <si>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</si>
  <si>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</si>
  <si>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</si>
  <si>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</si>
  <si>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</si>
  <si>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</si>
  <si>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</si>
  <si>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</si>
  <si>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</si>
  <si>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</si>
  <si>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</si>
  <si>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</si>
  <si>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</si>
  <si>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</si>
  <si>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</si>
  <si>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</si>
  <si>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</si>
  <si>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</si>
  <si>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</si>
  <si>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</si>
  <si>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</si>
  <si>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</si>
  <si>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</si>
  <si>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</si>
  <si>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</si>
  <si>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</si>
  <si>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</si>
  <si>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</si>
  <si>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</si>
  <si>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</si>
  <si>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</si>
  <si>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</si>
  <si>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</si>
  <si>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</si>
  <si>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</si>
  <si>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</si>
  <si>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</si>
  <si>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</si>
  <si>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</si>
  <si>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</si>
  <si>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</si>
  <si>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</si>
  <si>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</si>
  <si>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</si>
  <si>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</si>
  <si>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</si>
  <si>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</si>
  <si>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</si>
  <si>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</si>
  <si>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</si>
  <si>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</si>
  <si>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</si>
  <si>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</si>
  <si>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</si>
  <si>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</si>
  <si>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</si>
  <si>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</si>
  <si>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</si>
  <si>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</si>
  <si>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</si>
  <si>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</si>
  <si>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</si>
  <si>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</si>
  <si>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</si>
  <si>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</si>
  <si>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</si>
  <si>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</si>
  <si>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</si>
  <si>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</si>
  <si>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</si>
  <si>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</si>
  <si>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</si>
  <si>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</si>
  <si>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</si>
  <si>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</si>
  <si>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</si>
  <si>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</si>
  <si>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</si>
  <si>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</si>
  <si>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</si>
  <si>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</si>
  <si>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</si>
  <si>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</si>
  <si>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</si>
  <si>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</si>
  <si>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</si>
  <si>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</si>
  <si>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</si>
  <si>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</si>
  <si>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</si>
  <si>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</si>
  <si>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</si>
  <si>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</si>
  <si>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</si>
  <si>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</si>
  <si>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</si>
  <si>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</si>
  <si>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</si>
  <si>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</si>
  <si>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</si>
  <si>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</si>
  <si>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</si>
  <si>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</si>
  <si>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</si>
  <si>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</si>
  <si>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</si>
  <si>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</si>
  <si>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</si>
  <si>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</si>
  <si>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</si>
  <si>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</si>
  <si>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</si>
  <si>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</si>
  <si>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</si>
  <si>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</si>
  <si>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</si>
  <si>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</si>
  <si>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</si>
  <si>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</si>
  <si>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</si>
  <si>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</si>
  <si>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</si>
  <si>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</si>
  <si>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</si>
  <si>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</si>
  <si>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</si>
  <si>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</si>
  <si>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</si>
  <si>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</si>
  <si>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</si>
  <si>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</si>
  <si>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</si>
  <si>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</si>
  <si>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</si>
  <si>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</si>
  <si>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</si>
  <si>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</si>
  <si>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</si>
  <si>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</si>
  <si>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</si>
  <si>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</si>
  <si>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</si>
  <si>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</si>
  <si>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</si>
  <si>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</si>
  <si>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</si>
  <si>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</si>
  <si>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</si>
  <si>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</si>
  <si>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</si>
  <si>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</si>
  <si>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</si>
  <si>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</si>
  <si>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</si>
  <si>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</si>
  <si>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</si>
  <si>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</si>
  <si>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</si>
  <si>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</si>
  <si>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</si>
  <si>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</si>
  <si>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</si>
  <si>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</si>
  <si>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</si>
  <si>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</si>
  <si>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</si>
  <si>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</si>
  <si>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</si>
  <si>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</si>
  <si>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</si>
  <si>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</si>
  <si>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</si>
  <si>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</si>
  <si>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</si>
  <si>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</si>
  <si>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</si>
  <si>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</si>
  <si>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</si>
  <si>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</si>
  <si>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</si>
  <si>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</si>
  <si>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</si>
  <si>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</si>
  <si>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</si>
  <si>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</si>
  <si>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</si>
  <si>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</si>
  <si>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</si>
  <si>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</si>
  <si>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</si>
  <si>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</si>
  <si>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</si>
  <si>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</si>
  <si>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</si>
  <si>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</si>
  <si>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</si>
  <si>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</si>
  <si>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</si>
  <si>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</si>
  <si>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</si>
  <si>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</si>
  <si>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</si>
  <si>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</si>
  <si>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</si>
  <si>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</si>
  <si>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</si>
  <si>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</si>
  <si>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</si>
  <si>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</si>
  <si>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</si>
  <si>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</si>
  <si>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</si>
  <si>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</si>
  <si>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</si>
  <si>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</si>
  <si>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</si>
  <si>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</si>
  <si>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</si>
  <si>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</si>
  <si>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</si>
  <si>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</si>
  <si>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</si>
  <si>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</si>
  <si>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</si>
  <si>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</si>
  <si>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</si>
  <si>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</si>
  <si>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</si>
  <si>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</si>
  <si>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</si>
  <si>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</si>
  <si>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</si>
  <si>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</si>
  <si>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</si>
  <si>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</si>
  <si>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</si>
  <si>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</si>
  <si>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</si>
  <si>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</si>
  <si>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</si>
  <si>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</si>
  <si>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</si>
  <si>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</si>
  <si>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</si>
  <si>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</si>
  <si>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</si>
  <si>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</si>
  <si>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</si>
  <si>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</si>
  <si>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</si>
  <si>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</si>
  <si>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</si>
  <si>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</si>
  <si>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</si>
  <si>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</si>
  <si>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</si>
  <si>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</si>
  <si>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</si>
  <si>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</si>
  <si>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</si>
  <si>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</si>
  <si>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</si>
  <si>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</si>
  <si>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</si>
  <si>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</si>
  <si>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</si>
  <si>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</si>
  <si>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</si>
  <si>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</si>
  <si>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</si>
  <si>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</si>
  <si>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</si>
  <si>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</si>
  <si>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</si>
  <si>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</si>
  <si>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</si>
  <si>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</si>
  <si>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</si>
  <si>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</si>
  <si>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</si>
  <si>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</si>
  <si>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</si>
  <si>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</si>
  <si>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</si>
  <si>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</si>
  <si>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</si>
  <si>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</si>
  <si>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</si>
  <si>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</si>
  <si>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</si>
  <si>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</si>
  <si>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</si>
  <si>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</si>
  <si>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</si>
  <si>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</si>
  <si>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</si>
  <si>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</si>
  <si>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</si>
  <si>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</si>
  <si>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</si>
  <si>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</si>
  <si>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</si>
  <si>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</si>
  <si>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</si>
  <si>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</si>
  <si>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</si>
  <si>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</si>
  <si>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</si>
  <si>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</si>
  <si>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</si>
  <si>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</si>
  <si>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</si>
  <si>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</si>
  <si>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</si>
  <si>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</si>
  <si>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</si>
  <si>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</si>
  <si>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</si>
  <si>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</si>
  <si>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</si>
  <si>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</si>
  <si>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</si>
  <si>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</si>
  <si>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</si>
  <si>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</si>
  <si>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</si>
  <si>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</si>
  <si>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</si>
  <si>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</si>
  <si>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</si>
  <si>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</si>
  <si>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</si>
  <si>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</si>
  <si>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</si>
  <si>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</si>
  <si>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</si>
  <si>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</si>
  <si>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</si>
  <si>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</si>
  <si>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</si>
  <si>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</si>
  <si>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</si>
  <si>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</si>
  <si>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</si>
  <si>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</si>
  <si>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</si>
  <si>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</si>
  <si>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</si>
  <si>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</si>
  <si>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</si>
  <si>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</si>
  <si>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</si>
  <si>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</si>
  <si>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</si>
  <si>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</si>
  <si>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</si>
  <si>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</si>
  <si>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</si>
  <si>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</si>
  <si>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</si>
  <si>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</si>
  <si>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</si>
  <si>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</si>
  <si>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</si>
  <si>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</si>
  <si>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</si>
  <si>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</si>
  <si>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</si>
  <si>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</si>
  <si>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</si>
  <si>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</si>
  <si>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</si>
  <si>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</si>
  <si>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</si>
  <si>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</si>
  <si>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</si>
  <si>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</si>
  <si>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</si>
  <si>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</si>
  <si>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</si>
  <si>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</si>
  <si>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</si>
  <si>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</si>
  <si>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</si>
  <si>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</si>
  <si>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</si>
  <si>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</si>
  <si>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</si>
  <si>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</si>
  <si>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</si>
  <si>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</si>
  <si>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</si>
  <si>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</si>
  <si>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</si>
  <si>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</si>
  <si>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</si>
  <si>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</si>
  <si>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</si>
  <si>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</si>
  <si>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</si>
  <si>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</si>
  <si>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</si>
  <si>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</si>
  <si>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</si>
  <si>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</si>
  <si>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</si>
  <si>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</si>
  <si>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</si>
  <si>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</si>
  <si>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</si>
  <si>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</si>
  <si>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</si>
  <si>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</si>
  <si>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</si>
  <si>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</si>
  <si>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</si>
  <si>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</si>
  <si>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</si>
  <si>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</si>
  <si>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</si>
  <si>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</si>
  <si>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</si>
  <si>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</si>
  <si>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</si>
  <si>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</si>
  <si>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</si>
  <si>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</si>
  <si>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</si>
  <si>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</si>
  <si>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</si>
  <si>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</si>
  <si>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</si>
  <si>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</si>
  <si>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</si>
  <si>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</si>
  <si>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</si>
  <si>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</si>
  <si>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</si>
  <si>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</si>
  <si>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</si>
  <si>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</si>
  <si>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</si>
  <si>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</si>
  <si>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</si>
  <si>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</si>
  <si>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</si>
  <si>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</si>
  <si>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</si>
  <si>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</si>
  <si>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</si>
  <si>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</si>
  <si>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</si>
  <si>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</si>
  <si>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</si>
  <si>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</si>
  <si>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</si>
  <si>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</si>
  <si>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</si>
  <si>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</si>
  <si>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</si>
  <si>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</si>
  <si>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</si>
  <si>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</si>
  <si>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</si>
  <si>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</si>
  <si>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</si>
  <si>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</si>
  <si>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</si>
  <si>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</si>
  <si>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</si>
  <si>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</si>
  <si>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</si>
  <si>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</si>
  <si>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</si>
  <si>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</si>
  <si>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</si>
  <si>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</si>
  <si>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</si>
  <si>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</si>
  <si>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</si>
  <si>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</si>
  <si>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</si>
  <si>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</si>
  <si>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</si>
  <si>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</si>
  <si>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</si>
  <si>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</si>
  <si>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</si>
  <si>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</si>
  <si>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</si>
  <si>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</si>
  <si>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</si>
  <si>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</si>
  <si>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</si>
  <si>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</si>
  <si>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</si>
  <si>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</si>
  <si>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</si>
  <si>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</si>
  <si>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</si>
  <si>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</si>
  <si>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</si>
  <si>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</si>
  <si>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</si>
  <si>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</si>
  <si>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</si>
  <si>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</si>
  <si>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</si>
  <si>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</si>
  <si>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</si>
  <si>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</si>
  <si>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</si>
  <si>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</si>
  <si>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</si>
  <si>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</si>
  <si>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</si>
  <si>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</si>
  <si>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</si>
  <si>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</si>
  <si>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</si>
  <si>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</si>
  <si>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</si>
  <si>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</si>
  <si>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</si>
  <si>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</si>
  <si>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</si>
  <si>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</si>
  <si>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</si>
  <si>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</si>
  <si>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</si>
  <si>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</si>
  <si>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</si>
  <si>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</si>
  <si>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</si>
  <si>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</si>
  <si>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</si>
  <si>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</si>
  <si>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</si>
  <si>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</si>
  <si>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</si>
  <si>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</si>
  <si>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</si>
  <si>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</si>
  <si>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</si>
  <si>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</si>
  <si>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</si>
  <si>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</si>
  <si>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</si>
  <si>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</si>
  <si>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</si>
  <si>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</si>
  <si>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</si>
  <si>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</si>
  <si>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</si>
  <si>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</si>
  <si>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</si>
  <si>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</si>
  <si>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</si>
  <si>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</si>
  <si>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</si>
  <si>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</si>
  <si>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</si>
  <si>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</si>
  <si>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</si>
  <si>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</si>
  <si>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</si>
  <si>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</si>
  <si>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</si>
  <si>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</si>
  <si>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</si>
  <si>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</si>
  <si>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</si>
  <si>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</si>
  <si>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</si>
  <si>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</si>
  <si>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</si>
  <si>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</si>
  <si>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</si>
  <si>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</si>
  <si>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</si>
  <si>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</si>
  <si>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</si>
  <si>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</si>
  <si>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</si>
  <si>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</si>
  <si>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</si>
  <si>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</si>
  <si>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</si>
  <si>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</si>
  <si>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</si>
  <si>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</si>
  <si>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</si>
  <si>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</si>
  <si>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</si>
  <si>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</si>
  <si>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</si>
  <si>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</si>
  <si>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</si>
  <si>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</si>
  <si>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</si>
  <si>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</si>
  <si>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</si>
  <si>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</si>
  <si>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</si>
  <si>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</si>
  <si>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</si>
  <si>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</si>
  <si>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</si>
  <si>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</si>
  <si>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</si>
  <si>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</si>
  <si>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</si>
  <si>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</si>
  <si>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</si>
  <si>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</si>
  <si>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</si>
  <si>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</si>
  <si>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</si>
  <si>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</si>
  <si>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</si>
  <si>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</si>
  <si>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</si>
  <si>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</si>
  <si>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</si>
  <si>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</si>
  <si>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</si>
  <si>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</si>
  <si>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</si>
  <si>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</si>
  <si>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</si>
  <si>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</si>
  <si>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</si>
  <si>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</si>
  <si>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</si>
  <si>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</si>
  <si>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</si>
  <si>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</si>
  <si>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</si>
  <si>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</si>
  <si>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</si>
  <si>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</si>
  <si>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</si>
  <si>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</si>
  <si>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</si>
  <si>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</si>
  <si>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</si>
  <si>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</si>
  <si>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</si>
  <si>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</si>
  <si>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</si>
  <si>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</si>
  <si>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</si>
  <si>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</si>
  <si>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</si>
  <si>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</si>
  <si>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</si>
  <si>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</si>
  <si>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</si>
  <si>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</si>
  <si>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</si>
  <si>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</si>
  <si>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</si>
  <si>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</si>
  <si>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</si>
  <si>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</si>
  <si>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</si>
  <si>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</si>
  <si>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</si>
  <si>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</si>
  <si>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</si>
  <si>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</si>
  <si>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</si>
  <si>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</si>
  <si>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</si>
  <si>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</si>
  <si>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</si>
  <si>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</si>
  <si>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</si>
  <si>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</si>
  <si>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</si>
  <si>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</si>
  <si>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</si>
  <si>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</si>
  <si>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</si>
  <si>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</si>
  <si>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</si>
  <si>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</si>
  <si>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</si>
  <si>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</si>
  <si>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</si>
  <si>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</si>
  <si>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</si>
  <si>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</si>
  <si>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</si>
  <si>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</si>
  <si>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</si>
  <si>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</si>
  <si>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</si>
  <si>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</si>
  <si>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</si>
  <si>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</si>
  <si>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</si>
  <si>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</si>
  <si>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</si>
  <si>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</si>
  <si>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</si>
  <si>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</si>
  <si>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</si>
  <si>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</si>
  <si>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</si>
  <si>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</si>
  <si>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</si>
  <si>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</si>
  <si>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</si>
  <si>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</si>
  <si>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</si>
  <si>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</si>
  <si>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</si>
  <si>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</si>
  <si>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</si>
  <si>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</si>
  <si>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</si>
  <si>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</si>
  <si>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</si>
  <si>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</si>
  <si>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</si>
  <si>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</si>
  <si>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</si>
  <si>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</si>
  <si>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</si>
  <si>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</si>
  <si>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</si>
  <si>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</si>
  <si>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</si>
  <si>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</si>
  <si>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</si>
  <si>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</si>
  <si>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</si>
  <si>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</si>
  <si>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</si>
  <si>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</si>
  <si>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</si>
  <si>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</si>
  <si>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</si>
  <si>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</si>
  <si>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</si>
  <si>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</si>
  <si>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</si>
  <si>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</si>
  <si>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</si>
  <si>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</si>
  <si>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</si>
  <si>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</si>
  <si>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</si>
  <si>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</si>
  <si>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</si>
  <si>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</si>
  <si>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</si>
  <si>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</si>
  <si>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</si>
  <si>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</si>
  <si>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</si>
  <si>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</si>
  <si>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</si>
  <si>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</si>
  <si>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</si>
  <si>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</si>
  <si>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</si>
  <si>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</si>
  <si>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</si>
  <si>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</si>
  <si>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</si>
  <si>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</si>
  <si>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</si>
  <si>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</si>
  <si>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</si>
  <si>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</si>
  <si>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</si>
  <si>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</si>
  <si>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</si>
  <si>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</si>
  <si>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</si>
  <si>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</si>
  <si>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</si>
  <si>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</si>
  <si>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</si>
  <si>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</si>
  <si>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</si>
  <si>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</si>
  <si>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</si>
  <si>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</si>
  <si>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</si>
  <si>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</si>
  <si>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</si>
  <si>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</si>
  <si>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</si>
  <si>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</si>
  <si>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</si>
  <si>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</si>
  <si>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</si>
  <si>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</si>
  <si>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</si>
  <si>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</si>
  <si>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</si>
  <si>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</si>
  <si>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</si>
  <si>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</si>
  <si>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</si>
  <si>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</si>
  <si>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</si>
  <si>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</si>
  <si>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</si>
  <si>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</si>
  <si>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</si>
  <si>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</si>
  <si>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</si>
  <si>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</si>
  <si>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</si>
  <si>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</si>
  <si>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</si>
  <si>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</si>
  <si>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</si>
  <si>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</si>
  <si>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</si>
  <si>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</si>
  <si>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</si>
  <si>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</si>
  <si>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</si>
  <si>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</si>
  <si>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</si>
  <si>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</si>
  <si>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</si>
  <si>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</si>
  <si>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</si>
  <si>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</si>
  <si>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</si>
  <si>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</si>
  <si>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</si>
  <si>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</si>
  <si>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</si>
  <si>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</si>
  <si>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</si>
  <si>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</si>
  <si>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</si>
  <si>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</si>
  <si>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</si>
  <si>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</si>
  <si>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</si>
  <si>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</si>
  <si>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</si>
  <si>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</si>
  <si>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</si>
  <si>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</si>
  <si>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</si>
  <si>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</si>
  <si>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</si>
  <si>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</si>
  <si>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</si>
  <si>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</si>
  <si>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</si>
  <si>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</si>
  <si>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</si>
  <si>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</si>
  <si>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</si>
  <si>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</si>
  <si>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</si>
  <si>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</si>
  <si>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</si>
  <si>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</si>
  <si>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</si>
  <si>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</si>
  <si>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</si>
  <si>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</si>
  <si>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</si>
  <si>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</si>
  <si>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</si>
  <si>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</si>
  <si>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</si>
  <si>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</si>
  <si>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</si>
  <si>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</si>
  <si>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</si>
  <si>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</si>
  <si>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</si>
  <si>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</si>
  <si>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</si>
  <si>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</si>
  <si>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</si>
  <si>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</si>
  <si>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</si>
  <si>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</si>
  <si>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</si>
  <si>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</si>
  <si>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</si>
  <si>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</si>
  <si>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</si>
  <si>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</si>
  <si>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</si>
  <si>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</si>
  <si>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</si>
  <si>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</si>
  <si>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</si>
  <si>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</si>
  <si>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</si>
  <si>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</si>
  <si>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</si>
  <si>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</si>
  <si>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</si>
  <si>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</si>
  <si>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</si>
  <si>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</si>
  <si>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</si>
  <si>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</si>
  <si>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</si>
  <si>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</si>
  <si>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</si>
  <si>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</si>
  <si>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</si>
  <si>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</si>
  <si>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</si>
  <si>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</si>
  <si>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</si>
  <si>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</si>
  <si>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</si>
  <si>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</si>
  <si>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</si>
  <si>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</si>
  <si>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</si>
  <si>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</si>
  <si>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</si>
  <si>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</si>
  <si>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</si>
  <si>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</si>
  <si>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</si>
  <si>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</si>
  <si>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</si>
  <si>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</si>
  <si>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</si>
  <si>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</si>
  <si>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</si>
  <si>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</si>
  <si>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</si>
  <si>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</si>
  <si>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</si>
  <si>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</si>
  <si>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</si>
  <si>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</si>
  <si>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</si>
  <si>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</si>
  <si>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</si>
  <si>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</si>
  <si>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</si>
  <si>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</si>
  <si>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</si>
  <si>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</si>
  <si>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</si>
  <si>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</si>
  <si>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</si>
  <si>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</si>
  <si>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</si>
  <si>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</si>
  <si>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</si>
  <si>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</si>
  <si>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</si>
  <si>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</si>
  <si>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</si>
  <si>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</si>
  <si>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</si>
  <si>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</si>
  <si>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</si>
  <si>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</si>
  <si>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</si>
  <si>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</si>
  <si>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</si>
  <si>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</si>
  <si>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</si>
  <si>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</si>
  <si>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</si>
  <si>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</si>
  <si>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</si>
  <si>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</si>
  <si>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</si>
  <si>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</si>
  <si>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</si>
  <si>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</si>
  <si>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</si>
  <si>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</si>
  <si>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</si>
  <si>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</si>
  <si>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</si>
  <si>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</si>
  <si>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</si>
  <si>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</si>
  <si>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</si>
  <si>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</si>
  <si>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</si>
  <si>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</si>
  <si>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</si>
  <si>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</si>
  <si>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</si>
  <si>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</si>
  <si>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</si>
  <si>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</si>
  <si>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</si>
  <si>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</si>
  <si>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</si>
  <si>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</si>
  <si>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</si>
  <si>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</si>
  <si>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</si>
  <si>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</si>
  <si>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</si>
  <si>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</si>
  <si>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</si>
  <si>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</si>
  <si>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</si>
  <si>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</si>
  <si>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</si>
  <si>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</si>
  <si>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</si>
  <si>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</si>
  <si>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</si>
  <si>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</si>
  <si>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</si>
  <si>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</si>
  <si>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</si>
  <si>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</si>
  <si>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</si>
  <si>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</si>
  <si>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</si>
  <si>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</si>
  <si>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</si>
  <si>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</si>
  <si>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</si>
  <si>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</si>
  <si>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</si>
  <si>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</si>
  <si>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</si>
  <si>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</si>
  <si>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</si>
  <si>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</si>
  <si>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</si>
  <si>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</si>
  <si>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</si>
  <si>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</si>
  <si>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</si>
  <si>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</si>
  <si>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</si>
  <si>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</si>
  <si>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</si>
  <si>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</si>
  <si>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</si>
  <si>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</si>
  <si>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</si>
  <si>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</si>
  <si>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</si>
  <si>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</si>
  <si>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</si>
  <si>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</si>
  <si>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</si>
  <si>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</si>
  <si>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</si>
  <si>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</si>
  <si>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</si>
  <si>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</si>
  <si>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</si>
  <si>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</si>
  <si>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</si>
  <si>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</si>
  <si>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</si>
  <si>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</si>
  <si>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</si>
  <si>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</si>
  <si>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</si>
  <si>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</si>
  <si>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</si>
  <si>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</si>
  <si>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</si>
  <si>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</si>
  <si>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</si>
  <si>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</si>
  <si>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</si>
  <si>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</si>
  <si>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</si>
  <si>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</si>
  <si>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</si>
  <si>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</si>
  <si>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</si>
  <si>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</si>
  <si>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</si>
  <si>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</si>
  <si>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</si>
  <si>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</si>
  <si>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</si>
  <si>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</si>
  <si>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</si>
  <si>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</si>
  <si>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</si>
  <si>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</si>
  <si>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</si>
  <si>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</si>
  <si>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</si>
  <si>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</si>
  <si>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</si>
  <si>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</si>
  <si>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</si>
  <si>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</si>
  <si>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</si>
  <si>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</si>
  <si>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</si>
  <si>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</si>
  <si>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</si>
  <si>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</si>
  <si>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</si>
  <si>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</si>
  <si>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</si>
  <si>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</si>
  <si>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</si>
  <si>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</si>
  <si>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</si>
  <si>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</si>
  <si>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</si>
  <si>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</si>
  <si>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</si>
  <si>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</si>
  <si>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</si>
  <si>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</si>
  <si>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</si>
  <si>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</si>
  <si>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</si>
  <si>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</si>
  <si>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</si>
  <si>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</si>
  <si>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</si>
  <si>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</si>
  <si>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</si>
  <si>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</si>
  <si>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</si>
  <si>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</si>
  <si>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</si>
  <si>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</si>
  <si>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</si>
  <si>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</si>
  <si>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</si>
  <si>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</si>
  <si>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</si>
  <si>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</si>
  <si>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</si>
  <si>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</si>
  <si>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</si>
  <si>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</si>
  <si>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</si>
  <si>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</si>
  <si>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</si>
  <si>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</si>
  <si>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</si>
  <si>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</si>
  <si>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</si>
  <si>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</si>
  <si>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</si>
  <si>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</si>
  <si>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</si>
  <si>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</si>
  <si>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</si>
  <si>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</si>
  <si>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</si>
  <si>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</si>
  <si>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</si>
  <si>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</si>
  <si>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</si>
  <si>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</si>
  <si>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</si>
  <si>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</si>
  <si>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</si>
  <si>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</si>
  <si>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</si>
  <si>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</si>
  <si>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</si>
  <si>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</si>
  <si>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</si>
  <si>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</si>
  <si>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</si>
  <si>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</si>
  <si>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</si>
  <si>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</si>
  <si>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</si>
  <si>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</si>
  <si>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</si>
  <si>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</si>
  <si>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</si>
  <si>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</si>
  <si>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</si>
  <si>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</si>
  <si>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</si>
  <si>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</si>
  <si>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</si>
  <si>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</si>
  <si>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</si>
  <si>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</si>
  <si>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</si>
  <si>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</si>
  <si>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</si>
  <si>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</si>
  <si>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</si>
  <si>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</si>
  <si>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</si>
  <si>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</si>
  <si>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</si>
  <si>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</si>
  <si>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</si>
  <si>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</si>
  <si>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</si>
  <si>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</si>
  <si>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</si>
  <si>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</si>
  <si>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</si>
  <si>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</si>
  <si>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</si>
  <si>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</si>
  <si>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</si>
  <si>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</si>
  <si>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</si>
  <si>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</si>
  <si>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</si>
  <si>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</si>
  <si>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</si>
  <si>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</si>
  <si>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</si>
  <si>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</si>
  <si>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</si>
  <si>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</si>
  <si>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</si>
  <si>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</si>
  <si>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</si>
  <si>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</si>
  <si>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</si>
  <si>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</si>
  <si>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</si>
  <si>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</si>
  <si>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</si>
  <si>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</si>
  <si>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</si>
  <si>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</si>
  <si>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</si>
  <si>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</si>
  <si>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</si>
  <si>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</si>
  <si>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</si>
  <si>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</si>
  <si>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</si>
  <si>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</si>
  <si>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</si>
  <si>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</si>
  <si>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</si>
  <si>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</si>
  <si>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</si>
  <si>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</si>
  <si>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</si>
  <si>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</si>
  <si>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</si>
  <si>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</si>
  <si>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</si>
  <si>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</si>
  <si>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</si>
  <si>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</si>
  <si>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</si>
  <si>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</si>
  <si>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</si>
  <si>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</si>
  <si>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</si>
  <si>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</si>
  <si>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</si>
  <si>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</si>
  <si>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</si>
  <si>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</si>
  <si>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</si>
  <si>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</si>
  <si>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</si>
  <si>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</si>
  <si>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</si>
  <si>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</si>
  <si>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</si>
  <si>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</si>
  <si>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</si>
  <si>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</si>
  <si>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</si>
  <si>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</si>
  <si>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</si>
  <si>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</si>
  <si>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</si>
  <si>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</si>
  <si>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</si>
  <si>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</si>
  <si>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</si>
  <si>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</si>
  <si>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</si>
  <si>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</si>
  <si>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</si>
  <si>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</si>
  <si>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</si>
  <si>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</si>
  <si>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</si>
  <si>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</si>
  <si>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</si>
  <si>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</si>
  <si>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</si>
  <si>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</si>
  <si>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</si>
  <si>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</si>
  <si>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</si>
  <si>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</si>
  <si>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</si>
  <si>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</si>
  <si>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</si>
  <si>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</si>
  <si>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</si>
  <si>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</si>
  <si>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</si>
  <si>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</si>
  <si>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</si>
  <si>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</si>
  <si>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</si>
  <si>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</si>
  <si>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</si>
  <si>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</si>
  <si>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</si>
  <si>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</si>
  <si>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</si>
  <si>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</si>
  <si>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</si>
  <si>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</si>
  <si>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</si>
  <si>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</si>
  <si>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</si>
  <si>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</si>
  <si>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</si>
  <si>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</si>
  <si>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</si>
  <si>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</si>
  <si>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</si>
  <si>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</si>
  <si>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</si>
  <si>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</si>
  <si>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</si>
  <si>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</si>
  <si>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</si>
  <si>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</si>
  <si>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</si>
  <si>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</si>
  <si>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</si>
  <si>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</si>
  <si>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</si>
  <si>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</si>
  <si>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</si>
  <si>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</si>
  <si>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</si>
  <si>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</si>
  <si>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</si>
  <si>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</si>
  <si>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</si>
  <si>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</si>
  <si>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</si>
  <si>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</si>
  <si>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</si>
  <si>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</si>
  <si>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</si>
  <si>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</si>
  <si>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</si>
  <si>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</si>
  <si>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</si>
  <si>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</si>
  <si>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</si>
  <si>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</si>
  <si>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</si>
  <si>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</si>
  <si>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</si>
  <si>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</si>
  <si>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</si>
  <si>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</si>
  <si>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</si>
  <si>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</si>
  <si>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</si>
  <si>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</si>
  <si>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</si>
  <si>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</si>
  <si>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</si>
  <si>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</si>
  <si>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</si>
  <si>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</si>
  <si>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</si>
  <si>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</si>
  <si>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</si>
  <si>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</si>
  <si>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</si>
  <si>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</si>
  <si>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</si>
  <si>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</si>
  <si>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</si>
  <si>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</si>
  <si>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</si>
  <si>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</si>
  <si>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</si>
  <si>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</si>
  <si>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</si>
  <si>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</si>
  <si>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</si>
  <si>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</si>
  <si>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</si>
  <si>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</si>
  <si>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</si>
  <si>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</si>
  <si>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</si>
  <si>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</si>
  <si>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</si>
  <si>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</si>
  <si>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</si>
  <si>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</si>
  <si>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</si>
  <si>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</si>
  <si>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</si>
  <si>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</si>
  <si>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</si>
  <si>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</si>
  <si>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</si>
  <si>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</si>
  <si>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</si>
  <si>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</si>
  <si>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</si>
  <si>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</si>
  <si>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</si>
  <si>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</si>
  <si>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</si>
  <si>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</si>
  <si>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</si>
  <si>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</si>
  <si>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</si>
  <si>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</si>
  <si>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</si>
  <si>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</si>
  <si>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</si>
  <si>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</si>
  <si>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</si>
  <si>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</si>
  <si>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</si>
  <si>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</si>
  <si>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</si>
  <si>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</si>
  <si>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</si>
  <si>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</si>
  <si>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</si>
  <si>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</si>
  <si>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</si>
  <si>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</si>
  <si>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</si>
  <si>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</si>
  <si>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</si>
  <si>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</si>
  <si>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</si>
  <si>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</si>
  <si>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</si>
  <si>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</si>
  <si>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</si>
  <si>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</si>
  <si>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</si>
  <si>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</si>
  <si>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</si>
  <si>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</si>
  <si>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</si>
  <si>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</si>
  <si>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</si>
  <si>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</si>
  <si>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</si>
  <si>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</si>
  <si>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</si>
  <si>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</si>
  <si>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</si>
  <si>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</si>
  <si>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</si>
  <si>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</si>
  <si>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</si>
  <si>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</si>
  <si>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</si>
  <si>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</si>
  <si>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</si>
  <si>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</si>
  <si>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</si>
  <si>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</si>
  <si>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</si>
  <si>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</si>
  <si>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</si>
  <si>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</si>
  <si>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</si>
  <si>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</si>
  <si>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</si>
  <si>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</si>
  <si>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</si>
  <si>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</si>
  <si>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</si>
  <si>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</si>
  <si>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</si>
  <si>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</si>
  <si>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</si>
  <si>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</si>
  <si>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</si>
  <si>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</si>
  <si>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</si>
  <si>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</si>
  <si>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</si>
  <si>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</si>
  <si>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</si>
  <si>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</si>
  <si>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</si>
  <si>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</si>
  <si>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</si>
  <si>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</si>
  <si>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</si>
  <si>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</si>
  <si>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</si>
  <si>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</si>
  <si>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</si>
  <si>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</si>
  <si>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</si>
  <si>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</si>
  <si>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</si>
  <si>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</si>
  <si>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</si>
  <si>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</si>
  <si>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</si>
  <si>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</si>
  <si>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</si>
  <si>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</si>
  <si>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</si>
  <si>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</si>
  <si>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</si>
  <si>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</si>
  <si>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</si>
  <si>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</si>
  <si>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</si>
  <si>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</si>
  <si>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</si>
  <si>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</si>
  <si>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</si>
  <si>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</si>
  <si>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</si>
  <si>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</si>
  <si>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</si>
  <si>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</si>
  <si>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</si>
  <si>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</si>
  <si>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</si>
  <si>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</si>
  <si>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</si>
  <si>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</si>
  <si>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</si>
  <si>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</si>
  <si>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</si>
  <si>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</si>
  <si>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</si>
  <si>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</si>
  <si>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</si>
  <si>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</si>
  <si>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</si>
  <si>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</si>
  <si>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</si>
  <si>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</si>
  <si>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</si>
  <si>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</si>
  <si>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</si>
  <si>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</si>
  <si>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</si>
  <si>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</si>
  <si>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</si>
  <si>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</si>
  <si>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</si>
  <si>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</si>
  <si>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</si>
  <si>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</si>
  <si>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</si>
  <si>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</si>
  <si>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</si>
  <si>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</si>
  <si>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</si>
  <si>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</si>
  <si>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</si>
  <si>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</si>
  <si>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</si>
  <si>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</si>
  <si>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</si>
  <si>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</si>
  <si>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</si>
  <si>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</si>
  <si>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</si>
  <si>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</si>
  <si>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</si>
  <si>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</si>
  <si>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</si>
  <si>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</si>
  <si>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</si>
  <si>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</si>
  <si>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</si>
  <si>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</si>
  <si>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</si>
  <si>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</si>
  <si>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</si>
  <si>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</si>
  <si>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</si>
  <si>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</si>
  <si>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</si>
  <si>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</si>
  <si>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</si>
  <si>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</si>
  <si>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</si>
  <si>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</si>
  <si>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</si>
  <si>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</si>
  <si>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</si>
  <si>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</si>
  <si>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</si>
  <si>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</si>
  <si>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</si>
  <si>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</si>
  <si>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</si>
  <si>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</si>
  <si>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</si>
  <si>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</si>
  <si>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</si>
  <si>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</si>
  <si>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</si>
  <si>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</si>
  <si>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</si>
  <si>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</si>
  <si>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</si>
  <si>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</si>
  <si>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</si>
  <si>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</si>
  <si>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</si>
  <si>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</si>
  <si>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</si>
  <si>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</si>
  <si>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</si>
  <si>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</si>
  <si>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</si>
  <si>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</si>
  <si>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</si>
  <si>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</si>
  <si>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</si>
  <si>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</si>
  <si>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</si>
  <si>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</si>
  <si>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</si>
  <si>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</si>
  <si>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</si>
  <si>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</si>
  <si>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</si>
  <si>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</si>
  <si>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</si>
  <si>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</si>
  <si>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</si>
  <si>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</si>
  <si>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</si>
  <si>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</si>
  <si>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</si>
  <si>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</si>
  <si>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</si>
  <si>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</si>
  <si>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</si>
  <si>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</si>
  <si>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</si>
  <si>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</si>
  <si>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</si>
  <si>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</si>
  <si>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</si>
  <si>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</si>
  <si>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</si>
  <si>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</si>
  <si>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</si>
  <si>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</si>
  <si>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</si>
  <si>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</si>
  <si>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</si>
  <si>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</si>
  <si>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</si>
  <si>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</si>
  <si>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</si>
  <si>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</si>
  <si>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</si>
  <si>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</si>
  <si>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</si>
  <si>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</si>
  <si>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</si>
  <si>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</si>
  <si>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</si>
  <si>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</si>
  <si>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</si>
  <si>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</si>
  <si>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</si>
  <si>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</si>
  <si>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</si>
  <si>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</si>
  <si>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</si>
  <si>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</si>
  <si>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</si>
  <si>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</si>
  <si>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</si>
  <si>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</si>
  <si>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</si>
  <si>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</si>
  <si>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</si>
  <si>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</si>
  <si>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</si>
  <si>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</si>
  <si>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</si>
  <si>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</si>
  <si>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</si>
  <si>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</si>
  <si>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</si>
  <si>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</si>
  <si>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</si>
  <si>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</si>
  <si>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</si>
  <si>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</si>
  <si>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</si>
  <si>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</si>
  <si>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</si>
  <si>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</si>
  <si>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</si>
  <si>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</si>
  <si>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</si>
  <si>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</si>
  <si>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</si>
  <si>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</si>
  <si>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</si>
  <si>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</si>
  <si>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</si>
  <si>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</si>
  <si>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</si>
  <si>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</si>
  <si>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</si>
  <si>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</si>
  <si>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</si>
  <si>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</si>
  <si>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</si>
  <si>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</si>
  <si>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</si>
  <si>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</si>
  <si>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</si>
  <si>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</si>
  <si>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</si>
  <si>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</si>
  <si>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</si>
  <si>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</si>
  <si>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</si>
  <si>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</si>
  <si>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</si>
  <si>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</si>
  <si>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</si>
  <si>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</si>
  <si>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</si>
  <si>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</si>
  <si>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</si>
  <si>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</si>
  <si>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</si>
  <si>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</si>
  <si>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</si>
  <si>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</si>
  <si>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</si>
  <si>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</si>
  <si>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</si>
  <si>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</si>
  <si>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</si>
  <si>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</si>
  <si>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</si>
  <si>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</si>
  <si>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</si>
  <si>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</si>
  <si>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</si>
  <si>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</si>
  <si>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</si>
  <si>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</si>
  <si>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</si>
  <si>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</si>
  <si>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</si>
  <si>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</si>
  <si>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</si>
  <si>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</si>
  <si>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</si>
  <si>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</si>
  <si>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</si>
  <si>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</si>
  <si>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</si>
  <si>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</si>
  <si>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</si>
  <si>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</si>
  <si>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</si>
  <si>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</si>
  <si>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</si>
  <si>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</si>
  <si>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</si>
  <si>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</si>
  <si>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</si>
  <si>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</si>
  <si>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</si>
  <si>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</si>
  <si>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</si>
  <si>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</si>
  <si>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</si>
  <si>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</si>
  <si>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</si>
  <si>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</si>
  <si>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</si>
  <si>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</si>
  <si>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</si>
  <si>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</si>
  <si>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</si>
  <si>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</si>
  <si>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</si>
  <si>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</si>
  <si>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</si>
  <si>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</si>
  <si>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</si>
  <si>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</si>
  <si>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</si>
  <si>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</si>
  <si>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</si>
  <si>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</si>
  <si>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</si>
  <si>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</si>
  <si>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</si>
  <si>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</si>
  <si>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</si>
  <si>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</si>
  <si>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</si>
  <si>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</si>
  <si>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</si>
  <si>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</si>
  <si>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</si>
  <si>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</si>
  <si>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</si>
  <si>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</si>
  <si>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</si>
  <si>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</si>
  <si>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</si>
  <si>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</si>
  <si>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</si>
  <si>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</si>
  <si>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</si>
  <si>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</si>
  <si>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</si>
  <si>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</si>
  <si>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</si>
  <si>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</si>
  <si>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</si>
  <si>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</si>
  <si>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</si>
  <si>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</si>
  <si>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</si>
  <si>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</si>
  <si>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</si>
  <si>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</si>
  <si>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</si>
  <si>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</si>
  <si>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</si>
  <si>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</si>
  <si>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</si>
  <si>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</si>
  <si>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</si>
  <si>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</si>
  <si>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</si>
  <si>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</si>
  <si>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</si>
  <si>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</si>
  <si>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</si>
  <si>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</si>
  <si>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</si>
  <si>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</si>
  <si>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</si>
  <si>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</si>
  <si>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</si>
  <si>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</si>
  <si>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</si>
  <si>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</si>
  <si>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</si>
  <si>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</si>
  <si>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</si>
  <si>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</si>
  <si>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</si>
  <si>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</si>
  <si>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</si>
  <si>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</si>
  <si>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</si>
  <si>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</si>
  <si>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</si>
  <si>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</si>
  <si>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</si>
  <si>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</si>
  <si>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</si>
  <si>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</si>
  <si>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</si>
  <si>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</si>
  <si>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</si>
  <si>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</si>
  <si>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</si>
  <si>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</si>
  <si>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</si>
  <si>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</si>
  <si>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</si>
  <si>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</si>
  <si>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</si>
  <si>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</si>
  <si>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</si>
  <si>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</si>
  <si>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</si>
  <si>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</si>
  <si>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</si>
  <si>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</si>
  <si>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</si>
  <si>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</si>
  <si>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</si>
  <si>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</si>
  <si>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</si>
  <si>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</si>
  <si>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</si>
  <si>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</si>
  <si>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</si>
  <si>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</si>
  <si>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</si>
  <si>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</si>
  <si>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</si>
  <si>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</si>
  <si>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</si>
  <si>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</si>
  <si>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</si>
  <si>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</si>
  <si>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</si>
  <si>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</si>
  <si>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</si>
  <si>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</si>
  <si>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</si>
  <si>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</si>
  <si>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</si>
  <si>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</si>
  <si>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</si>
  <si>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</si>
  <si>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</si>
  <si>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</si>
  <si>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</si>
  <si>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</si>
  <si>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</si>
  <si>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</si>
  <si>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</si>
  <si>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</si>
  <si>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</si>
  <si>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</si>
  <si>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</si>
  <si>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</si>
  <si>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</si>
  <si>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</si>
  <si>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</si>
  <si>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</si>
  <si>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</si>
  <si>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</si>
  <si>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</si>
  <si>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</si>
  <si>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</si>
  <si>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</si>
  <si>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</si>
  <si>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</si>
  <si>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</si>
  <si>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</si>
  <si>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</si>
  <si>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</si>
  <si>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</si>
  <si>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</si>
  <si>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</si>
  <si>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</si>
  <si>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</si>
  <si>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</si>
  <si>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</si>
  <si>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</si>
  <si>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</si>
  <si>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</si>
  <si>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</si>
  <si>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</si>
  <si>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</si>
  <si>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</si>
  <si>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</si>
  <si>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</si>
  <si>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</si>
  <si>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</si>
  <si>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</si>
  <si>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</si>
  <si>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</si>
  <si>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</si>
  <si>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</si>
  <si>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</si>
  <si>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</si>
  <si>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</si>
  <si>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</si>
  <si>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</si>
  <si>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</si>
  <si>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</si>
  <si>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</si>
  <si>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</si>
  <si>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</si>
  <si>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</si>
  <si>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</si>
  <si>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</si>
  <si>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</si>
  <si>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</si>
  <si>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</si>
  <si>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</si>
  <si>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</si>
  <si>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</si>
  <si>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</si>
  <si>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</si>
  <si>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</si>
  <si>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</si>
  <si>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</si>
  <si>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</si>
  <si>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</si>
  <si>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</si>
  <si>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</si>
  <si>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</si>
  <si>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</si>
  <si>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</si>
  <si>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</si>
  <si>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</si>
  <si>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</si>
  <si>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</si>
  <si>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</si>
  <si>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</si>
  <si>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</si>
  <si>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</si>
  <si>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</si>
  <si>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</si>
  <si>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</si>
  <si>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</si>
  <si>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</si>
  <si>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</si>
  <si>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</si>
  <si>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</si>
  <si>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</si>
  <si>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</si>
  <si>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</si>
  <si>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</si>
  <si>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</si>
  <si>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</si>
  <si>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</si>
  <si>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</si>
  <si>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</si>
  <si>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</si>
  <si>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</si>
  <si>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</si>
  <si>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</si>
  <si>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</si>
  <si>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</si>
  <si>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</si>
  <si>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</si>
  <si>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</si>
  <si>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</si>
  <si>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</si>
  <si>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</si>
  <si>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</si>
  <si>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</si>
  <si>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</si>
  <si>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</si>
  <si>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</si>
  <si>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</si>
  <si>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</si>
  <si>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</si>
  <si>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</si>
  <si>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</si>
  <si>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</si>
  <si>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</si>
  <si>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</si>
  <si>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</si>
  <si>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</si>
  <si>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</si>
  <si>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</si>
  <si>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</si>
  <si>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</si>
  <si>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</si>
  <si>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</si>
  <si>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</si>
  <si>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</si>
  <si>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</si>
  <si>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</si>
  <si>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</si>
  <si>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</si>
  <si>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</si>
  <si>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</si>
  <si>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</si>
  <si>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</si>
  <si>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</si>
  <si>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</si>
  <si>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</si>
  <si>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</si>
  <si>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</si>
  <si>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</si>
  <si>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</si>
  <si>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</si>
  <si>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</si>
  <si>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</si>
  <si>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</si>
  <si>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</si>
  <si>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</si>
  <si>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</si>
  <si>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</si>
  <si>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</si>
  <si>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</si>
  <si>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</si>
  <si>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</si>
  <si>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</si>
  <si>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</si>
  <si>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</si>
  <si>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</si>
  <si>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</si>
  <si>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</si>
  <si>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</si>
  <si>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</si>
  <si>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</si>
  <si>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</si>
  <si>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</si>
  <si>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</si>
  <si>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</si>
  <si>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</si>
  <si>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</si>
  <si>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</si>
  <si>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</si>
  <si>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</si>
  <si>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</si>
  <si>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</si>
  <si>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</si>
  <si>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</si>
  <si>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</si>
  <si>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</si>
  <si>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</si>
  <si>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</si>
  <si>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</si>
  <si>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</si>
  <si>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</si>
  <si>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</si>
  <si>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</si>
  <si>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</si>
  <si>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</si>
  <si>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</si>
  <si>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</si>
  <si>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</si>
  <si>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</si>
  <si>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</si>
  <si>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</si>
  <si>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</si>
  <si>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</si>
  <si>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</si>
  <si>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</si>
  <si>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</si>
  <si>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</si>
  <si>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</si>
  <si>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</si>
  <si>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</si>
  <si>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</si>
  <si>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</si>
  <si>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</si>
  <si>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</si>
  <si>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</si>
  <si>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</si>
  <si>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</si>
  <si>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</si>
  <si>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</si>
  <si>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</si>
  <si>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</si>
  <si>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</si>
  <si>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</si>
  <si>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</si>
  <si>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</si>
  <si>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</si>
  <si>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</si>
  <si>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</si>
  <si>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</si>
  <si>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</si>
  <si>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</si>
  <si>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</si>
  <si>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</si>
  <si>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</si>
  <si>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</si>
  <si>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</si>
  <si>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</si>
  <si>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</si>
  <si>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</si>
  <si>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</si>
  <si>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</si>
  <si>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</si>
  <si>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</si>
  <si>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</si>
  <si>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</si>
  <si>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</si>
  <si>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</si>
  <si>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</si>
  <si>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</si>
  <si>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</si>
  <si>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</si>
  <si>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</si>
  <si>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</si>
  <si>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</si>
  <si>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</si>
  <si>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</si>
  <si>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</si>
  <si>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</si>
  <si>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</si>
  <si>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</si>
  <si>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</si>
  <si>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</si>
  <si>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</si>
  <si>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</si>
  <si>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</si>
  <si>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</si>
  <si>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</si>
  <si>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</si>
  <si>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</si>
  <si>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</si>
  <si>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</si>
  <si>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</si>
  <si>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</si>
  <si>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</si>
  <si>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</si>
  <si>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</si>
  <si>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</si>
  <si>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</si>
  <si>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</si>
  <si>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</si>
  <si>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</si>
  <si>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</si>
  <si>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</si>
  <si>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</si>
  <si>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</si>
  <si>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</si>
  <si>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</si>
  <si>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</si>
  <si>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</si>
  <si>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</si>
  <si>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</si>
  <si>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</si>
  <si>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</si>
  <si>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</si>
  <si>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</si>
  <si>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</si>
  <si>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</si>
  <si>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</si>
  <si>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</si>
  <si>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</si>
  <si>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</si>
  <si>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</si>
  <si>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</si>
  <si>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</si>
  <si>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</si>
  <si>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</si>
  <si>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</si>
  <si>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</si>
  <si>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</si>
  <si>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</si>
  <si>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</si>
  <si>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</si>
  <si>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</si>
  <si>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</si>
  <si>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</si>
  <si>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</si>
  <si>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</si>
  <si>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</si>
  <si>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</si>
  <si>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</si>
  <si>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</si>
  <si>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</si>
  <si>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</si>
  <si>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</si>
  <si>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</si>
  <si>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</si>
  <si>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</si>
  <si>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</si>
  <si>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</si>
  <si>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</si>
  <si>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</si>
  <si>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</si>
  <si>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</si>
  <si>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</si>
  <si>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</si>
  <si>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</si>
  <si>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</si>
  <si>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</si>
  <si>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</si>
  <si>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</si>
  <si>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</si>
  <si>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</si>
  <si>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</si>
  <si>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</si>
  <si>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</si>
  <si>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</si>
  <si>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</si>
  <si>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</si>
  <si>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</si>
  <si>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</si>
  <si>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</si>
  <si>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</si>
  <si>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</si>
  <si>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</si>
  <si>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</si>
  <si>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</si>
  <si>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</si>
  <si>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</si>
  <si>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</si>
  <si>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</si>
  <si>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</si>
  <si>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</si>
  <si>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</si>
  <si>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</si>
  <si>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</si>
  <si>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</si>
  <si>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</si>
  <si>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</si>
  <si>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</si>
  <si>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</si>
  <si>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</si>
  <si>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</si>
  <si>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</si>
  <si>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</si>
  <si>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</si>
  <si>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</si>
  <si>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</si>
  <si>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</si>
  <si>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</si>
  <si>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</si>
  <si>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</si>
  <si>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</si>
  <si>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</si>
  <si>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</si>
  <si>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</si>
  <si>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</si>
  <si>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</si>
  <si>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</si>
  <si>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</si>
  <si>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</si>
  <si>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</si>
  <si>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</si>
  <si>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</si>
  <si>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</si>
  <si>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</si>
  <si>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</si>
  <si>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</si>
  <si>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</si>
  <si>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</si>
  <si>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</si>
  <si>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</si>
  <si>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</si>
  <si>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</si>
  <si>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</si>
  <si>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</si>
  <si>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</si>
  <si>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</si>
  <si>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</si>
  <si>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</si>
  <si>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</si>
  <si>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</si>
  <si>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</si>
  <si>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</si>
  <si>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</si>
  <si>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</si>
  <si>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</si>
  <si>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</si>
  <si>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</si>
  <si>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</si>
  <si>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</si>
  <si>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</si>
  <si>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</si>
  <si>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</si>
  <si>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</si>
  <si>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</si>
  <si>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</si>
  <si>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</si>
  <si>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</si>
  <si>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</si>
  <si>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</si>
  <si>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</si>
  <si>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</si>
  <si>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</si>
  <si>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</si>
  <si>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</si>
  <si>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</si>
  <si>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</si>
  <si>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</si>
  <si>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</si>
  <si>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</si>
  <si>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</si>
  <si>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</si>
  <si>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</si>
  <si>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</si>
  <si>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</si>
  <si>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</si>
  <si>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</si>
  <si>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</si>
  <si>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</si>
  <si>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</si>
  <si>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</si>
  <si>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</si>
  <si>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</si>
  <si>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</si>
  <si>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</si>
  <si>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</si>
  <si>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</si>
  <si>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</si>
  <si>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</si>
  <si>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</si>
  <si>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</si>
  <si>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</si>
  <si>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</si>
  <si>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</si>
  <si>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</si>
  <si>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</si>
  <si>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</si>
  <si>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</si>
  <si>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</si>
  <si>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</si>
  <si>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</si>
  <si>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</si>
  <si>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</si>
  <si>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</si>
  <si>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</si>
  <si>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</si>
  <si>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</si>
  <si>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</si>
  <si>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</si>
  <si>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</si>
  <si>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</si>
  <si>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</si>
  <si>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</si>
  <si>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</si>
  <si>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</si>
  <si>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</si>
  <si>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</si>
  <si>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</si>
  <si>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</si>
  <si>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</si>
  <si>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</si>
  <si>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</si>
  <si>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</si>
  <si>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</si>
  <si>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</si>
  <si>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</si>
  <si>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</si>
  <si>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</si>
  <si>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</si>
  <si>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</si>
  <si>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</si>
  <si>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</si>
  <si>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</si>
  <si>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</si>
  <si>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</si>
  <si>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</si>
  <si>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</si>
  <si>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</si>
  <si>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</si>
  <si>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</si>
  <si>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</si>
  <si>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</si>
  <si>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</si>
  <si>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</si>
  <si>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</si>
  <si>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</si>
  <si>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</si>
  <si>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</si>
  <si>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</si>
  <si>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</si>
  <si>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</si>
  <si>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</si>
  <si>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</si>
  <si>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</si>
  <si>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</si>
  <si>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</si>
  <si>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</si>
  <si>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</si>
  <si>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</si>
  <si>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</si>
  <si>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</si>
  <si>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</si>
  <si>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</si>
  <si>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</si>
  <si>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</si>
  <si>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</si>
  <si>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</si>
  <si>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</si>
  <si>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</si>
  <si>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</si>
  <si>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</si>
  <si>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</si>
  <si>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</si>
  <si>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</si>
  <si>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</si>
  <si>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</si>
  <si>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</si>
  <si>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</si>
  <si>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</si>
  <si>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</si>
  <si>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</si>
  <si>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</si>
  <si>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</si>
  <si>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</si>
  <si>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</si>
  <si>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</si>
  <si>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</si>
  <si>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</si>
  <si>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</si>
  <si>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</si>
  <si>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</si>
  <si>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</si>
  <si>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</si>
  <si>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</si>
  <si>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</si>
  <si>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</si>
  <si>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</si>
  <si>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</si>
  <si>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</si>
  <si>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</si>
  <si>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</si>
  <si>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</si>
  <si>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</si>
  <si>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</si>
  <si>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</si>
  <si>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</si>
  <si>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</si>
  <si>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</si>
  <si>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</si>
  <si>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</si>
  <si>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</si>
  <si>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</si>
  <si>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</si>
  <si>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</si>
  <si>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</si>
  <si>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</si>
  <si>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</si>
  <si>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</si>
  <si>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</si>
  <si>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</si>
  <si>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</si>
  <si>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</si>
  <si>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</si>
  <si>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</si>
  <si>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</si>
  <si>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</si>
  <si>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</si>
  <si>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</si>
  <si>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</si>
  <si>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</si>
  <si>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</si>
  <si>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</si>
  <si>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</si>
  <si>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</si>
  <si>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</si>
  <si>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</si>
  <si>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</si>
  <si>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</si>
  <si>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</si>
  <si>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</si>
  <si>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</si>
  <si>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</si>
  <si>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</si>
  <si>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</si>
  <si>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</si>
  <si>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</si>
  <si>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</si>
  <si>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</si>
  <si>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</si>
  <si>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</si>
  <si>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</si>
  <si>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</si>
  <si>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</si>
  <si>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</si>
  <si>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</si>
  <si>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</si>
  <si>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</si>
  <si>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</si>
  <si>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</si>
  <si>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</si>
  <si>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</si>
  <si>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</si>
  <si>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</si>
  <si>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</si>
  <si>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</si>
  <si>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</si>
  <si>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</si>
  <si>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</si>
  <si>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</si>
  <si>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</si>
  <si>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</si>
  <si>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</si>
  <si>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</si>
  <si>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</si>
  <si>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</si>
  <si>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</si>
  <si>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</si>
  <si>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</si>
  <si>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</si>
  <si>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</si>
  <si>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</si>
  <si>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</si>
  <si>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</si>
  <si>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</si>
  <si>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</si>
  <si>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</si>
  <si>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</si>
  <si>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</si>
  <si>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</si>
  <si>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</si>
  <si>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</si>
  <si>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</si>
  <si>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</si>
  <si>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</si>
  <si>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</si>
  <si>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</si>
  <si>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</si>
  <si>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</si>
  <si>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</si>
  <si>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</si>
  <si>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</si>
  <si>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</si>
  <si>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</si>
  <si>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</si>
  <si>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</si>
  <si>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</si>
  <si>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</si>
  <si>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</si>
  <si>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</si>
  <si>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</si>
  <si>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</si>
  <si>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</si>
  <si>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</si>
  <si>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</si>
  <si>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</si>
  <si>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</si>
  <si>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</si>
  <si>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</si>
  <si>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</si>
  <si>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</si>
  <si>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</si>
  <si>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</si>
  <si>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</si>
  <si>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</si>
  <si>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</si>
  <si>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</si>
  <si>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</si>
  <si>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</si>
  <si>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</si>
  <si>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</si>
  <si>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</si>
  <si>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</si>
  <si>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</si>
  <si>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</si>
  <si>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</si>
  <si>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</si>
  <si>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</si>
  <si>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</si>
  <si>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</si>
  <si>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</si>
  <si>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</si>
  <si>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</si>
  <si>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</si>
  <si>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</si>
  <si>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</si>
  <si>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</si>
  <si>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</si>
  <si>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</si>
  <si>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</si>
  <si>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</si>
  <si>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</si>
  <si>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</si>
  <si>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</si>
  <si>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</si>
  <si>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</si>
  <si>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</si>
  <si>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</si>
  <si>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</si>
  <si>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</si>
  <si>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</si>
  <si>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</si>
  <si>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</si>
  <si>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</si>
  <si>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</si>
  <si>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</si>
  <si>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</si>
  <si>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</si>
  <si>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</si>
  <si>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</si>
  <si>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</si>
  <si>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</si>
  <si>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</si>
  <si>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</si>
  <si>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</si>
  <si>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</si>
  <si>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</si>
  <si>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</si>
  <si>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</si>
  <si>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</si>
  <si>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</si>
  <si>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</si>
  <si>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</si>
  <si>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</si>
  <si>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</si>
  <si>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</si>
  <si>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</si>
  <si>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</si>
  <si>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</si>
  <si>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</si>
  <si>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</si>
  <si>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</si>
  <si>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</si>
  <si>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</si>
  <si>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</si>
  <si>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</si>
  <si>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</si>
  <si>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</si>
  <si>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</si>
  <si>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</si>
  <si>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</si>
  <si>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</si>
  <si>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</si>
  <si>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</si>
  <si>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</si>
  <si>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</si>
  <si>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</si>
  <si>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</si>
  <si>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</si>
  <si>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</si>
  <si>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</si>
  <si>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</si>
  <si>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</si>
  <si>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</si>
  <si>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</si>
  <si>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</si>
  <si>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</si>
  <si>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</si>
  <si>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</si>
  <si>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</si>
  <si>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</si>
  <si>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</si>
  <si>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</si>
  <si>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</si>
  <si>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</si>
  <si>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</si>
  <si>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</si>
  <si>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</si>
  <si>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</si>
  <si>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</si>
  <si>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</si>
  <si>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</si>
  <si>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</si>
  <si>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</si>
  <si>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</si>
  <si>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</si>
  <si>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</si>
  <si>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</si>
  <si>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</si>
  <si>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</si>
  <si>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</si>
  <si>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</si>
  <si>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</si>
  <si>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</si>
  <si>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</si>
  <si>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</si>
  <si>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</si>
  <si>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</si>
  <si>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</si>
  <si>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</si>
  <si>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</si>
  <si>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</si>
  <si>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</si>
  <si>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</si>
  <si>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</si>
  <si>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</si>
  <si>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</si>
  <si>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</si>
  <si>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</si>
  <si>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</si>
  <si>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</si>
  <si>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</si>
  <si>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</si>
  <si>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</si>
  <si>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</si>
  <si>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</si>
  <si>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</si>
  <si>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</si>
  <si>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</si>
  <si>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</si>
  <si>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</si>
  <si>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</si>
  <si>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</si>
  <si>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</si>
  <si>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</si>
  <si>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</si>
  <si>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</si>
  <si>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</si>
  <si>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</si>
  <si>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</si>
  <si>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</si>
  <si>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</si>
  <si>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</si>
  <si>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</si>
  <si>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</si>
  <si>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</si>
  <si>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</si>
  <si>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</si>
  <si>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</si>
  <si>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</si>
  <si>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</si>
  <si>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</si>
  <si>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</si>
  <si>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</si>
  <si>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</si>
  <si>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</si>
  <si>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</si>
  <si>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</si>
  <si>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</si>
  <si>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</si>
  <si>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</si>
  <si>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</si>
  <si>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</si>
  <si>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</si>
  <si>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</si>
  <si>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</si>
  <si>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</si>
  <si>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</si>
  <si>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</si>
  <si>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</si>
  <si>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</si>
  <si>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</si>
  <si>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</si>
  <si>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</si>
  <si>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</si>
  <si>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</si>
  <si>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</si>
  <si>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</si>
  <si>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</si>
  <si>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</si>
  <si>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</si>
  <si>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</si>
  <si>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</si>
  <si>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</si>
  <si>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</si>
  <si>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</si>
  <si>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</si>
  <si>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</si>
  <si>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</si>
  <si>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</si>
  <si>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</si>
  <si>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</si>
  <si>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</si>
  <si>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</si>
  <si>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</si>
  <si>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</si>
  <si>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</si>
  <si>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</si>
  <si>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</si>
  <si>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</si>
  <si>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</si>
  <si>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</si>
  <si>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</si>
  <si>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</si>
  <si>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</si>
  <si>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</si>
  <si>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</si>
  <si>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</si>
  <si>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</si>
  <si>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</si>
  <si>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</si>
  <si>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</si>
  <si>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</si>
  <si>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</si>
  <si>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</si>
  <si>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</si>
  <si>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</si>
  <si>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</si>
  <si>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</si>
  <si>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</si>
  <si>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</si>
  <si>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</si>
  <si>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</si>
  <si>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</si>
  <si>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</si>
  <si>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</si>
  <si>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</si>
  <si>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</si>
  <si>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</si>
  <si>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</si>
  <si>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</si>
  <si>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</si>
  <si>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</si>
  <si>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</si>
  <si>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</si>
  <si>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</si>
  <si>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</si>
  <si>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</si>
  <si>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</si>
  <si>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</si>
  <si>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</si>
  <si>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</si>
  <si>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</si>
  <si>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</si>
  <si>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</si>
  <si>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</si>
  <si>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</si>
  <si>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</si>
  <si>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</si>
  <si>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</si>
  <si>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</si>
  <si>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</si>
  <si>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</si>
  <si>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</si>
  <si>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</si>
  <si>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</si>
  <si>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</si>
  <si>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</si>
  <si>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</si>
  <si>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</si>
  <si>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</si>
  <si>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</si>
  <si>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</si>
  <si>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</si>
  <si>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</si>
  <si>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</si>
  <si>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</si>
  <si>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</si>
  <si>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</si>
  <si>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</si>
  <si>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</si>
  <si>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</si>
  <si>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</si>
  <si>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</si>
  <si>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</si>
  <si>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</si>
  <si>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</si>
  <si>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</si>
  <si>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</si>
  <si>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</si>
  <si>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</si>
  <si>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</si>
  <si>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</si>
  <si>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</si>
  <si>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</si>
  <si>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</si>
  <si>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</si>
  <si>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</si>
  <si>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</si>
  <si>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</si>
  <si>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</si>
  <si>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</si>
  <si>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</si>
  <si>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</si>
  <si>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</si>
  <si>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</si>
  <si>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</si>
  <si>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</si>
  <si>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</si>
  <si>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</si>
  <si>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</si>
  <si>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</si>
  <si>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</si>
  <si>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</si>
  <si>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</si>
  <si>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</si>
  <si>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</si>
  <si>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</si>
  <si>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</si>
  <si>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</si>
  <si>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</si>
  <si>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</si>
  <si>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</si>
  <si>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</si>
  <si>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</si>
  <si>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</si>
  <si>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</si>
  <si>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</si>
  <si>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</si>
  <si>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</si>
  <si>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</si>
  <si>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</si>
  <si>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</si>
  <si>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</si>
  <si>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</si>
  <si>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</si>
  <si>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</si>
  <si>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</si>
  <si>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</si>
  <si>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</si>
  <si>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</si>
  <si>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</si>
  <si>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</si>
  <si>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</si>
  <si>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</si>
  <si>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</si>
  <si>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</si>
  <si>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</si>
  <si>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</si>
  <si>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</si>
  <si>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</si>
  <si>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</si>
  <si>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</si>
  <si>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</si>
  <si>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</si>
  <si>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</si>
  <si>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</si>
  <si>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</si>
  <si>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</si>
  <si>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</si>
  <si>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</si>
  <si>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</si>
  <si>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</si>
  <si>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</si>
  <si>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</si>
  <si>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</si>
  <si>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</si>
  <si>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</si>
  <si>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</si>
  <si>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</si>
  <si>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</si>
  <si>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</si>
  <si>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</si>
  <si>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</si>
  <si>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</si>
  <si>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</si>
  <si>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</si>
  <si>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</si>
  <si>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</si>
  <si>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</si>
  <si>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</si>
  <si>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</si>
  <si>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</si>
  <si>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</si>
  <si>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</si>
  <si>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</si>
  <si>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</si>
  <si>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</si>
  <si>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</si>
  <si>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</si>
  <si>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</si>
  <si>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</si>
  <si>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</si>
  <si>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</si>
  <si>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</si>
  <si>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</si>
  <si>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</si>
  <si>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</si>
  <si>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</si>
  <si>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</si>
  <si>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</si>
  <si>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</si>
  <si>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</si>
  <si>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</si>
  <si>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</si>
  <si>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</si>
  <si>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</si>
  <si>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</si>
  <si>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</si>
  <si>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</si>
  <si>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</si>
  <si>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</si>
  <si>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</si>
  <si>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</si>
  <si>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</si>
  <si>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</si>
  <si>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</si>
  <si>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</si>
  <si>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</si>
  <si>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</si>
  <si>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</si>
  <si>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</si>
  <si>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</si>
  <si>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</si>
  <si>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</si>
  <si>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</si>
  <si>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</si>
  <si>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</si>
  <si>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</si>
  <si>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</si>
  <si>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</si>
  <si>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</si>
  <si>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</si>
  <si>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</si>
  <si>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</si>
  <si>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</si>
  <si>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</si>
  <si>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</si>
  <si>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</si>
  <si>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</si>
  <si>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</si>
  <si>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</si>
  <si>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</si>
  <si>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</si>
  <si>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</si>
  <si>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</si>
  <si>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</si>
  <si>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</si>
  <si>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</si>
  <si>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</si>
  <si>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</si>
  <si>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</si>
  <si>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</si>
  <si>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</si>
  <si>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</si>
  <si>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</si>
  <si>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</si>
  <si>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</si>
  <si>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</si>
  <si>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</si>
  <si>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</si>
  <si>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</si>
  <si>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</si>
  <si>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</si>
  <si>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</si>
  <si>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</si>
  <si>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</si>
  <si>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</si>
  <si>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</si>
  <si>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</si>
  <si>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</si>
  <si>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</si>
  <si>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</si>
  <si>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</si>
  <si>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</si>
  <si>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</si>
  <si>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</si>
  <si>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</si>
  <si>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</si>
  <si>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</si>
  <si>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</si>
  <si>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</si>
  <si>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</si>
  <si>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</si>
  <si>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</si>
  <si>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</si>
  <si>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</si>
  <si>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</si>
  <si>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</si>
  <si>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</si>
  <si>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</si>
  <si>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</si>
  <si>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</si>
  <si>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</si>
  <si>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</si>
  <si>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</si>
  <si>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</si>
  <si>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</si>
  <si>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</si>
  <si>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</si>
  <si>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</si>
  <si>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</si>
  <si>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</si>
  <si>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</si>
  <si>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</si>
  <si>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</si>
  <si>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</si>
  <si>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</si>
  <si>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</si>
  <si>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</si>
  <si>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</si>
  <si>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</si>
  <si>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</si>
  <si>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</si>
  <si>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</si>
  <si>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</si>
  <si>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</si>
  <si>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</si>
  <si>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</si>
  <si>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</si>
  <si>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</si>
  <si>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</si>
  <si>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</si>
  <si>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</si>
  <si>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</si>
  <si>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</si>
  <si>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</si>
  <si>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</si>
  <si>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</si>
  <si>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</si>
  <si>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</si>
  <si>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</si>
  <si>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</si>
  <si>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</si>
  <si>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</si>
  <si>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</si>
  <si>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</si>
  <si>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</si>
  <si>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</si>
  <si>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</si>
  <si>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</si>
  <si>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</si>
  <si>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</si>
  <si>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</si>
  <si>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</si>
  <si>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</si>
  <si>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</si>
  <si>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</si>
  <si>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</si>
  <si>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</si>
  <si>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</si>
  <si>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</si>
  <si>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</si>
  <si>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</si>
  <si>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</si>
  <si>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</si>
  <si>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</si>
  <si>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</si>
  <si>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</si>
  <si>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</si>
  <si>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</si>
  <si>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</si>
  <si>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</si>
  <si>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</si>
  <si>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</si>
  <si>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</si>
  <si>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</si>
  <si>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</si>
  <si>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</si>
  <si>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</si>
  <si>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</si>
  <si>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</si>
  <si>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</si>
  <si>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</si>
  <si>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</si>
  <si>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</si>
  <si>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</si>
  <si>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</si>
  <si>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</si>
  <si>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</si>
  <si>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</si>
  <si>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</si>
  <si>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</si>
  <si>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</si>
  <si>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</si>
  <si>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</si>
  <si>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</si>
  <si>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</si>
  <si>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</si>
  <si>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</si>
  <si>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</si>
  <si>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</si>
  <si>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</si>
  <si>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</si>
  <si>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</si>
  <si>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</si>
  <si>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</si>
  <si>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</si>
  <si>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</si>
  <si>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</si>
  <si>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</si>
  <si>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</si>
  <si>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</si>
  <si>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</si>
  <si>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</si>
  <si>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</si>
  <si>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</si>
  <si>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</si>
  <si>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</si>
  <si>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</si>
  <si>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</si>
  <si>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</si>
  <si>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</si>
  <si>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</si>
  <si>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</si>
  <si>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</si>
  <si>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</si>
  <si>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</si>
  <si>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</si>
  <si>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</si>
  <si>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</si>
  <si>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</si>
  <si>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</si>
  <si>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</si>
  <si>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</si>
  <si>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</si>
  <si>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</si>
  <si>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</si>
  <si>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</si>
  <si>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</si>
  <si>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</si>
  <si>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</si>
  <si>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</si>
  <si>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</si>
  <si>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</si>
  <si>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</si>
  <si>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</si>
  <si>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</si>
  <si>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</si>
  <si>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</si>
  <si>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</si>
  <si>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</si>
  <si>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</si>
  <si>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</si>
  <si>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</si>
  <si>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</si>
  <si>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</si>
  <si>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</si>
  <si>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</si>
  <si>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</si>
  <si>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</si>
  <si>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</si>
  <si>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</si>
  <si>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</si>
  <si>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</si>
  <si>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</si>
  <si>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</si>
  <si>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</si>
  <si>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</si>
  <si>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</si>
  <si>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</si>
  <si>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</si>
  <si>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</si>
  <si>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</si>
  <si>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</si>
  <si>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</si>
  <si>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</si>
  <si>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</si>
  <si>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</si>
  <si>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</si>
  <si>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</si>
  <si>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</si>
  <si>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</si>
  <si>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</si>
  <si>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</si>
  <si>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</si>
  <si>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</si>
  <si>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</si>
  <si>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</si>
  <si>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</si>
  <si>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</si>
  <si>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</si>
  <si>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</si>
  <si>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</si>
  <si>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</si>
  <si>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</si>
  <si>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</si>
  <si>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</si>
  <si>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</si>
  <si>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</si>
  <si>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</si>
  <si>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</si>
  <si>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</si>
  <si>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</si>
  <si>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</si>
  <si>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</si>
  <si>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</si>
  <si>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</si>
  <si>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</si>
  <si>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</si>
  <si>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</si>
  <si>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</si>
  <si>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</si>
  <si>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</si>
  <si>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</si>
  <si>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</si>
  <si>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</si>
  <si>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</si>
  <si>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</si>
  <si>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</si>
  <si>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</si>
  <si>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</si>
  <si>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</si>
  <si>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</si>
  <si>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</si>
  <si>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</si>
  <si>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</si>
  <si>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</si>
  <si>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</si>
  <si>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</si>
  <si>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</si>
  <si>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</si>
  <si>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</si>
  <si>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</si>
  <si>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</si>
  <si>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</si>
  <si>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</si>
  <si>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</si>
  <si>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</si>
  <si>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</si>
  <si>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</si>
  <si>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</si>
  <si>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</si>
  <si>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</si>
  <si>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</si>
  <si>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</si>
  <si>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</si>
  <si>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</si>
  <si>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</si>
  <si>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</si>
  <si>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</si>
  <si>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</si>
  <si>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</si>
  <si>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</si>
  <si>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</si>
  <si>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</si>
  <si>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</si>
  <si>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</si>
  <si>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</si>
  <si>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</si>
  <si>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</si>
  <si>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</si>
  <si>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</si>
  <si>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</si>
  <si>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</si>
  <si>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</si>
  <si>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</si>
  <si>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</si>
  <si>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</si>
  <si>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</si>
  <si>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</si>
  <si>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</si>
  <si>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</si>
  <si>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</si>
  <si>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</si>
  <si>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</si>
  <si>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</si>
  <si>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</si>
  <si>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</si>
  <si>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</si>
  <si>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</si>
  <si>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</si>
  <si>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</si>
  <si>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</si>
  <si>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2101026</t>
  </si>
  <si>
    <t>CHOMBA POLO MC VIOLETA NQN</t>
  </si>
  <si>
    <t>2103224</t>
  </si>
  <si>
    <t>REMERA MC COMBATE REQUISA</t>
  </si>
  <si>
    <t>2401029</t>
  </si>
  <si>
    <t>CHALECO SEG VERDE FLUOR NQN T.ESP</t>
  </si>
  <si>
    <t>2401700</t>
  </si>
  <si>
    <t>BANDOLERA C/REFLEX NARANJA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</si>
  <si>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</si>
  <si>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</si>
  <si>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</si>
  <si>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</si>
  <si>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</si>
  <si>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</si>
  <si>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</si>
  <si>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</si>
  <si>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</si>
  <si>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</si>
  <si>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</si>
  <si>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</si>
  <si>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</si>
  <si>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</si>
  <si>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</si>
  <si>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</si>
  <si>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</si>
  <si>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</si>
  <si>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</si>
  <si>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</si>
  <si>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</si>
  <si>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</si>
  <si>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</si>
  <si>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7707718</t>
  </si>
  <si>
    <t>METAL BOTON BOMBEROS 16MM DOR OJAL</t>
  </si>
  <si>
    <t>7709073</t>
  </si>
  <si>
    <t>PECT BORD 3 SOLES SERRETA DOR ALCAIDE MAY BI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</si>
  <si>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</si>
  <si>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</si>
  <si>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</si>
  <si>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</si>
  <si>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</si>
  <si>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</si>
  <si>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</si>
  <si>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</si>
  <si>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</si>
  <si>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</si>
  <si>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</si>
  <si>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</si>
  <si>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</si>
  <si>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</si>
  <si>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</si>
  <si>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</si>
  <si>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</si>
  <si>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</si>
  <si>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</si>
  <si>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</si>
  <si>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</si>
  <si>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</si>
  <si>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</si>
  <si>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</si>
  <si>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</si>
  <si>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</si>
  <si>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</si>
  <si>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</si>
  <si>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</si>
  <si>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</si>
  <si>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</si>
  <si>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</si>
  <si>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</si>
  <si>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</si>
  <si>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</si>
  <si>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</si>
  <si>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</si>
  <si>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</si>
  <si>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</si>
  <si>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</si>
  <si>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</si>
  <si>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</si>
  <si>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</si>
  <si>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</si>
  <si>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</si>
  <si>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</si>
  <si>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</si>
  <si>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</si>
  <si>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</si>
  <si>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</si>
  <si>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</si>
  <si>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</si>
  <si>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</si>
  <si>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</si>
  <si>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</si>
  <si>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</si>
  <si>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</si>
  <si>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</si>
  <si>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</si>
  <si>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</si>
  <si>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</si>
  <si>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</si>
  <si>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</si>
  <si>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</si>
  <si>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</si>
  <si>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</si>
  <si>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</si>
  <si>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</si>
  <si>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</si>
  <si>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ANDESMAR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</si>
</sst>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color theme="0"/>
      </font>
      <fill>
        <patternFill patternType="solid">
          <bgColor rgb="FF007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14293</v>
      </c>
      <c r="B1" s="185" t="s">
        <v>13383</v>
      </c>
      <c r="C1" s="185" t="s">
        <v>13381</v>
      </c>
      <c r="D1" s="186" t="s">
        <v>13403</v>
      </c>
      <c r="E1" s="185" t="s">
        <v>13399</v>
      </c>
      <c r="F1" s="185" t="s">
        <v>7049</v>
      </c>
      <c r="G1" s="185" t="s">
        <v>13400</v>
      </c>
      <c r="H1" s="185" t="s">
        <v>13402</v>
      </c>
      <c r="I1" s="185" t="s">
        <v>13401</v>
      </c>
      <c r="J1" s="185" t="s">
        <v>13404</v>
      </c>
      <c r="K1" s="185" t="s">
        <v>13405</v>
      </c>
      <c r="L1" s="185" t="s">
        <v>13406</v>
      </c>
      <c r="M1" s="185" t="s">
        <v>13407</v>
      </c>
      <c r="N1" s="146" t="s">
        <v>13410</v>
      </c>
      <c r="O1" s="146" t="s">
        <v>13409</v>
      </c>
      <c r="P1" s="146" t="s">
        <v>13408</v>
      </c>
      <c r="Q1" s="112" t="s">
        <v>13384</v>
      </c>
      <c r="R1" s="112" t="s">
        <v>12498</v>
      </c>
      <c r="S1" s="112" t="s">
        <v>12495</v>
      </c>
      <c r="T1" s="112" t="s">
        <v>12494</v>
      </c>
      <c r="U1" s="112" t="s">
        <v>7277</v>
      </c>
      <c r="V1" s="112" t="s">
        <v>13385</v>
      </c>
      <c r="W1" s="179" t="s">
        <v>13191</v>
      </c>
    </row>
    <row r="2" spans="1:23" ht="15.75" thickBot="1" x14ac:dyDescent="0.3">
      <c r="A2" s="190" t="str">
        <f>IF(V2="","",V2)</f>
        <v>ANDESMAR</v>
      </c>
      <c r="B2" s="94" t="s">
        <v>15017</v>
      </c>
      <c r="C2" s="95">
        <v>8708604</v>
      </c>
      <c r="D2" s="92" t="str">
        <f>IFERROR(VLOOKUP(C2,LINCE!$A$2:$C$11997,3,FALSE),"")</f>
        <v>RIÑONERA MZ-RJ-B04 8.5L FRONT-3</v>
      </c>
      <c r="E2" s="93"/>
      <c r="F2" s="94" t="s">
        <v>15018</v>
      </c>
      <c r="G2" s="93">
        <v>5</v>
      </c>
      <c r="H2" s="103">
        <v>20000</v>
      </c>
      <c r="I2" s="103">
        <f>H2*G2</f>
        <v>100000</v>
      </c>
      <c r="J2" s="183"/>
      <c r="K2" s="90" t="s">
        <v>15020</v>
      </c>
      <c r="L2" s="95">
        <v>12345698</v>
      </c>
      <c r="M2" s="90"/>
      <c r="N2" s="90"/>
      <c r="O2" s="183"/>
      <c r="P2" s="183"/>
      <c r="Q2" s="90" t="s">
        <v>15019</v>
      </c>
      <c r="R2" s="169">
        <v>321654987</v>
      </c>
      <c r="S2" s="96">
        <v>5001</v>
      </c>
      <c r="T2" s="96" t="s">
        <v>14139</v>
      </c>
      <c r="U2" s="90" t="s">
        <v>14139</v>
      </c>
      <c r="V2" s="90" t="s">
        <v>15147</v>
      </c>
      <c r="W2" s="111" t="s">
        <v>9790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IFERROR(VLOOKUP(C3,LINCE!$A$2:$C$11997,3,FALSE),"")</f>
        <v>REMERA MC SIN CIERRE NEGRO 3XS/2XL RER</v>
      </c>
      <c r="E3" s="93" t="s">
        <v>7085</v>
      </c>
      <c r="F3" s="94" t="s">
        <v>12750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IFERROR(VLOOKUP(C4,LINCE!$A$2:$C$11997,3,FALSE),"")</f>
        <v>REMERA MC COMBAT AZUL 3XS/2XL</v>
      </c>
      <c r="E4" s="93" t="s">
        <v>7077</v>
      </c>
      <c r="F4" s="94" t="s">
        <v>13161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IFERROR(VLOOKUP(C5,LINCE!$A$2:$C$11997,3,FALSE),"")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IFERROR(VLOOKUP(C6,LINCE!$A$1:$C$11997,3,FALSE),"")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IFERROR(VLOOKUP(C7,LINCE!$A$1:$C$11997,3,FALSE),"")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IFERROR(VLOOKUP(C8,LINCE!$A$1:$C$11997,3,FALSE),"")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IFERROR(VLOOKUP(C9,LINCE!$A$1:$C$11997,3,FALSE),"")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IFERROR(VLOOKUP(C10,LINCE!$A$1:$C$11997,3,FALSE),"")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IFERROR(VLOOKUP(C11,LINCE!$A$1:$C$11997,3,FALSE),"")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IFERROR(VLOOKUP(C12,LINCE!$A$1:$C$11997,3,FALSE),"")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IFERROR(VLOOKUP(C13,LINCE!$A$1:$C$11997,3,FALSE),"")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IFERROR(VLOOKUP(C14,LINCE!$A$1:$C$11997,3,FALSE),"")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IFERROR(VLOOKUP(C15,LINCE!$A$1:$C$11997,3,FALSE),"")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IFERROR(VLOOKUP(C16,LINCE!$A$1:$C$11997,3,FALSE),"")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IFERROR(VLOOKUP(C17,LINCE!$A$1:$C$11997,3,FALSE),"")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IFERROR(VLOOKUP(C18,LINCE!$A$1:$C$11997,3,FALSE),"")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IFERROR(VLOOKUP(C19,LINCE!$A$1:$C$11997,3,FALSE),"")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IFERROR(VLOOKUP(C20,LINCE!$A$1:$C$11997,3,FALSE),"")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IFERROR(VLOOKUP(C21,LINCE!$A$1:$C$11997,3,FALSE),"")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IFERROR(VLOOKUP(C22,LINCE!$A$1:$C$11997,3,FALSE),"")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IFERROR(VLOOKUP(C23,LINCE!$A$1:$C$11997,3,FALSE),"")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IFERROR(VLOOKUP(C24,LINCE!$A$1:$C$11997,3,FALSE),"")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IFERROR(VLOOKUP(C25,LINCE!$A$1:$C$11997,3,FALSE),"")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IFERROR(VLOOKUP(C26,LINCE!$A$1:$C$11997,3,FALSE),"")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IFERROR(VLOOKUP(C27,LINCE!$A$1:$C$11997,3,FALSE),"")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IFERROR(VLOOKUP(C28,LINCE!$A$1:$C$11997,3,FALSE),"")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IFERROR(VLOOKUP(C29,LINCE!$A$1:$C$11997,3,FALSE),"")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IFERROR(VLOOKUP(C30,LINCE!$A$1:$C$11997,3,FALSE),"")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IFERROR(VLOOKUP(C31,LINCE!$A$1:$C$11997,3,FALSE),"")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IFERROR(VLOOKUP(C32,LINCE!$A$1:$C$11997,3,FALSE),"")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IFERROR(VLOOKUP(C33,LINCE!$A$1:$C$11997,3,FALSE),"")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IFERROR(VLOOKUP(C34,LINCE!$A$1:$C$11997,3,FALSE),"")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6764</v>
      </c>
      <c r="C35" s="147"/>
      <c r="D35" s="221" t="s">
        <v>7306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69247E6C-65FB-4E2D-BD6E-E54AEC530523}">
            <xm:f>Opciones!$A$6</xm:f>
            <x14:dxf>
              <font>
                <color theme="0"/>
              </font>
              <fill>
                <patternFill patternType="solid">
                  <bgColor rgb="FF0070C0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13179</v>
      </c>
      <c r="B1" s="196" t="s">
        <v>13246</v>
      </c>
      <c r="C1" s="196" t="s">
        <v>13187</v>
      </c>
      <c r="D1" s="196" t="s">
        <v>13188</v>
      </c>
      <c r="E1" s="196" t="s">
        <v>15021</v>
      </c>
      <c r="F1" s="196" t="s">
        <v>13247</v>
      </c>
    </row>
    <row r="2" spans="1:6" ht="15.75" x14ac:dyDescent="0.25">
      <c r="A2" s="197">
        <v>2101555</v>
      </c>
      <c r="B2" s="197" t="str">
        <f>VLOOKUP(A2,LINCE!$A$2:$G$9999, 3, FALSE)</f>
        <v>REMERA MC SIN CIERRE NEGRO 3XS/2XL RER</v>
      </c>
      <c r="C2" s="197" t="s">
        <v>12750</v>
      </c>
      <c r="D2" s="197" t="s">
        <v>7085</v>
      </c>
      <c r="E2" s="197">
        <v>6</v>
      </c>
      <c r="F2" s="197" t="str">
        <f>VLOOKUP(A2,LINCE!$A$2:$G$9999, 4, FALSE)</f>
        <v>04. 4TO PISO</v>
      </c>
    </row>
    <row r="3" spans="1:6" ht="15.75" x14ac:dyDescent="0.25">
      <c r="A3" s="198">
        <v>2103050</v>
      </c>
      <c r="B3" s="198" t="str">
        <f>VLOOKUP(A3,LINCE!$A$2:$G$9999, 3, FALSE)</f>
        <v>REMERA MC COMBAT AZUL 3XS/2XL</v>
      </c>
      <c r="C3" s="198" t="s">
        <v>13161</v>
      </c>
      <c r="D3" s="198" t="s">
        <v>7077</v>
      </c>
      <c r="E3" s="198">
        <v>8</v>
      </c>
      <c r="F3" s="198" t="str">
        <f>VLOOKUP(A3,LINCE!$A$2:$G$9999, 4, FALSE)</f>
        <v>04. 4TO PISO</v>
      </c>
    </row>
    <row r="4" spans="1:6" ht="15.75" x14ac:dyDescent="0.25">
      <c r="A4" s="197">
        <v>8708604</v>
      </c>
      <c r="B4" s="197" t="str">
        <f>VLOOKUP(A4,LINCE!$A$2:$G$9999, 3, FALSE)</f>
        <v>RIÑONERA MZ-RJ-B04 8.5L FRONT-3</v>
      </c>
      <c r="C4" s="197" t="s">
        <v>15018</v>
      </c>
      <c r="D4" s="197"/>
      <c r="E4" s="197">
        <v>5</v>
      </c>
      <c r="F4" s="197" t="str">
        <f>VLOOKUP(A4,LINCE!$A$2:$G$9999, 4, FALSE)</f>
        <v>06. 2DO PISO</v>
      </c>
    </row>
    <row r="5" spans="1:6" ht="18.75" x14ac:dyDescent="0.3">
      <c r="A5" s="195"/>
      <c r="B5" s="195"/>
      <c r="C5" s="195"/>
      <c r="D5" s="220" t="s">
        <v>15022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28" t="s">
        <v>13162</v>
      </c>
      <c r="B2" s="229"/>
      <c r="C2" s="229"/>
      <c r="D2" s="229"/>
      <c r="E2" s="229"/>
      <c r="F2" s="229"/>
      <c r="G2" s="229"/>
      <c r="H2" s="229"/>
      <c r="I2" s="22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0" t="s">
        <v>13163</v>
      </c>
      <c r="B4" s="231"/>
      <c r="C4" s="231"/>
      <c r="D4" s="231"/>
      <c r="E4" s="231"/>
      <c r="F4" s="152"/>
      <c r="G4" s="236" t="s">
        <v>13164</v>
      </c>
      <c r="H4" s="237"/>
      <c r="I4" s="164">
        <f ca="1">TODAY()</f>
        <v>46175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32" t="s">
        <v>13165</v>
      </c>
      <c r="B6" s="229"/>
      <c r="C6" s="229"/>
      <c r="D6" s="229"/>
      <c r="E6" s="229"/>
      <c r="F6" s="229"/>
      <c r="G6" s="232" t="s">
        <v>13166</v>
      </c>
      <c r="H6" s="229"/>
      <c r="I6" s="233"/>
    </row>
    <row r="7" spans="1:9" ht="15" customHeight="1" x14ac:dyDescent="0.25">
      <c r="A7" s="226" t="s">
        <v>13167</v>
      </c>
      <c r="B7" s="227"/>
      <c r="C7" s="227"/>
      <c r="D7" s="227"/>
      <c r="E7" s="238" t="str">
        <f>Datos!B4 &amp; " "</f>
        <v xml:space="preserve">RERDA S.A. </v>
      </c>
      <c r="F7" s="239"/>
      <c r="G7" s="226" t="s">
        <v>13167</v>
      </c>
      <c r="H7" s="227"/>
      <c r="I7" s="234"/>
    </row>
    <row r="8" spans="1:9" ht="15" customHeight="1" x14ac:dyDescent="0.25">
      <c r="A8" s="224" t="s">
        <v>13168</v>
      </c>
      <c r="B8" s="225"/>
      <c r="C8" s="225"/>
      <c r="D8" s="225"/>
      <c r="E8" s="240"/>
      <c r="F8" s="241"/>
      <c r="G8" s="224" t="s">
        <v>13168</v>
      </c>
      <c r="H8" s="225"/>
      <c r="I8" s="235"/>
    </row>
    <row r="9" spans="1:9" ht="15" customHeight="1" x14ac:dyDescent="0.25">
      <c r="A9" s="226" t="s">
        <v>13169</v>
      </c>
      <c r="B9" s="227"/>
      <c r="C9" s="227"/>
      <c r="D9" s="227"/>
      <c r="E9" s="238" t="str">
        <f>Datos!B6 &amp; " " &amp; Datos!B7 &amp; " "</f>
        <v xml:space="preserve">San Martín 1665 </v>
      </c>
      <c r="F9" s="239"/>
      <c r="G9" s="226" t="s">
        <v>13169</v>
      </c>
      <c r="H9" s="227"/>
      <c r="I9" s="222"/>
    </row>
    <row r="10" spans="1:9" ht="15" customHeight="1" x14ac:dyDescent="0.25">
      <c r="A10" s="224" t="s">
        <v>13170</v>
      </c>
      <c r="B10" s="225"/>
      <c r="C10" s="225"/>
      <c r="D10" s="225"/>
      <c r="E10" s="240"/>
      <c r="F10" s="241"/>
      <c r="G10" s="224" t="s">
        <v>13170</v>
      </c>
      <c r="H10" s="225"/>
      <c r="I10" s="223"/>
    </row>
    <row r="11" spans="1:9" ht="18.75" x14ac:dyDescent="0.25">
      <c r="A11" s="226" t="s">
        <v>13185</v>
      </c>
      <c r="B11" s="227"/>
      <c r="C11" s="227"/>
      <c r="D11" s="227"/>
      <c r="E11" s="242" t="str">
        <f>Datos!B8 &amp; " "</f>
        <v xml:space="preserve">Mendoza </v>
      </c>
      <c r="F11" s="243"/>
      <c r="G11" s="226" t="s">
        <v>13185</v>
      </c>
      <c r="H11" s="227"/>
      <c r="I11" s="159"/>
    </row>
    <row r="12" spans="1:9" ht="15.75" x14ac:dyDescent="0.25">
      <c r="A12" s="224" t="s">
        <v>13186</v>
      </c>
      <c r="B12" s="225"/>
      <c r="C12" s="225"/>
      <c r="D12" s="225"/>
      <c r="E12" s="244" t="str">
        <f>Datos!B5 &amp; " "</f>
        <v xml:space="preserve">30535195869 </v>
      </c>
      <c r="F12" s="245"/>
      <c r="G12" s="224" t="s">
        <v>13186</v>
      </c>
      <c r="H12" s="225"/>
      <c r="I12" s="170"/>
    </row>
    <row r="13" spans="1:9" ht="19.5" customHeight="1" x14ac:dyDescent="0.25">
      <c r="A13" s="226" t="s">
        <v>13171</v>
      </c>
      <c r="B13" s="227"/>
      <c r="C13" s="227"/>
      <c r="D13" s="227"/>
      <c r="E13" s="238" t="str">
        <f>Datos!B9 &amp; " "</f>
        <v xml:space="preserve">Mendoza </v>
      </c>
      <c r="F13" s="239"/>
      <c r="G13" s="226" t="s">
        <v>13171</v>
      </c>
      <c r="H13" s="227"/>
      <c r="I13" s="250"/>
    </row>
    <row r="14" spans="1:9" ht="15" customHeight="1" x14ac:dyDescent="0.25">
      <c r="A14" s="224" t="s">
        <v>13172</v>
      </c>
      <c r="B14" s="225"/>
      <c r="C14" s="225"/>
      <c r="D14" s="225"/>
      <c r="E14" s="240"/>
      <c r="F14" s="241"/>
      <c r="G14" s="224" t="s">
        <v>13172</v>
      </c>
      <c r="H14" s="225"/>
      <c r="I14" s="251"/>
    </row>
    <row r="15" spans="1:9" ht="15" customHeight="1" x14ac:dyDescent="0.25">
      <c r="A15" s="226" t="s">
        <v>13173</v>
      </c>
      <c r="B15" s="227"/>
      <c r="C15" s="227"/>
      <c r="D15" s="227"/>
      <c r="E15" s="238" t="s">
        <v>13174</v>
      </c>
      <c r="F15" s="239"/>
      <c r="G15" s="226" t="s">
        <v>13173</v>
      </c>
      <c r="H15" s="227"/>
      <c r="I15" s="239" t="str">
        <f>+E15</f>
        <v xml:space="preserve">Argentina </v>
      </c>
    </row>
    <row r="16" spans="1:9" ht="15" customHeight="1" x14ac:dyDescent="0.25">
      <c r="A16" s="224" t="s">
        <v>13175</v>
      </c>
      <c r="B16" s="225"/>
      <c r="C16" s="225"/>
      <c r="D16" s="225"/>
      <c r="E16" s="240"/>
      <c r="F16" s="241"/>
      <c r="G16" s="224" t="s">
        <v>13175</v>
      </c>
      <c r="H16" s="225"/>
      <c r="I16" s="241"/>
    </row>
    <row r="17" spans="1:9" ht="20.100000000000001" customHeight="1" x14ac:dyDescent="0.25">
      <c r="A17" s="226" t="s">
        <v>13176</v>
      </c>
      <c r="B17" s="227"/>
      <c r="C17" s="227"/>
      <c r="D17" s="227"/>
      <c r="E17" s="252" t="str">
        <f>Datos!B12 &amp; " "</f>
        <v xml:space="preserve">0261-4256567 | +549 2615117948 </v>
      </c>
      <c r="F17" s="253"/>
      <c r="G17" s="226" t="s">
        <v>13176</v>
      </c>
      <c r="H17" s="227"/>
      <c r="I17" s="256"/>
    </row>
    <row r="18" spans="1:9" ht="20.100000000000001" customHeight="1" x14ac:dyDescent="0.25">
      <c r="A18" s="224" t="s">
        <v>13177</v>
      </c>
      <c r="B18" s="225"/>
      <c r="C18" s="225"/>
      <c r="D18" s="225"/>
      <c r="E18" s="254"/>
      <c r="F18" s="255"/>
      <c r="G18" s="224" t="s">
        <v>13177</v>
      </c>
      <c r="H18" s="225"/>
      <c r="I18" s="25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13178</v>
      </c>
      <c r="B20" s="160" t="s">
        <v>13179</v>
      </c>
      <c r="C20" s="160" t="s">
        <v>13187</v>
      </c>
      <c r="D20" s="160" t="s">
        <v>13188</v>
      </c>
      <c r="E20" s="249" t="s">
        <v>13180</v>
      </c>
      <c r="F20" s="249"/>
      <c r="G20" s="249"/>
      <c r="H20" s="160" t="s">
        <v>13396</v>
      </c>
      <c r="I20" s="160" t="s">
        <v>13397</v>
      </c>
    </row>
    <row r="21" spans="1:9" x14ac:dyDescent="0.25">
      <c r="A21" s="171"/>
      <c r="B21" s="171"/>
      <c r="C21" s="175"/>
      <c r="D21" s="175"/>
      <c r="E21" s="246" t="str">
        <f>IFERROR(VLOOKUP(B21,LINCE!$A$1:$F$11997,3,FALSE),"")</f>
        <v/>
      </c>
      <c r="F21" s="247"/>
      <c r="G21" s="248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46" t="str">
        <f>IFERROR(VLOOKUP(B22,LINCE!$A$1:$F$11997,3,FALSE),"")</f>
        <v/>
      </c>
      <c r="F22" s="247"/>
      <c r="G22" s="248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46" t="str">
        <f>IFERROR(VLOOKUP(B23,LINCE!$A$1:$F$11997,3,FALSE),"")</f>
        <v/>
      </c>
      <c r="F23" s="247"/>
      <c r="G23" s="248"/>
      <c r="H23" s="174"/>
      <c r="I23" s="161"/>
    </row>
    <row r="24" spans="1:9" x14ac:dyDescent="0.25">
      <c r="A24" s="172"/>
      <c r="B24" s="172"/>
      <c r="C24" s="176"/>
      <c r="D24" s="176"/>
      <c r="E24" s="246" t="str">
        <f>IFERROR(VLOOKUP(B24,LINCE!$A$1:$F$11997,3,FALSE),"")</f>
        <v/>
      </c>
      <c r="F24" s="247"/>
      <c r="G24" s="248"/>
      <c r="H24" s="174"/>
      <c r="I24" s="161"/>
    </row>
    <row r="25" spans="1:9" x14ac:dyDescent="0.25">
      <c r="A25" s="172"/>
      <c r="B25" s="172"/>
      <c r="C25" s="176"/>
      <c r="D25" s="176"/>
      <c r="E25" s="246" t="str">
        <f>IFERROR(VLOOKUP(B25,LINCE!$A$1:$F$11997,3,FALSE),"")</f>
        <v/>
      </c>
      <c r="F25" s="247"/>
      <c r="G25" s="248"/>
      <c r="H25" s="174"/>
      <c r="I25" s="161"/>
    </row>
    <row r="26" spans="1:9" x14ac:dyDescent="0.25">
      <c r="A26" s="172"/>
      <c r="B26" s="172"/>
      <c r="C26" s="176"/>
      <c r="D26" s="176"/>
      <c r="E26" s="246" t="str">
        <f>IFERROR(VLOOKUP(B26,LINCE!$A$1:$F$11997,3,FALSE),"")</f>
        <v/>
      </c>
      <c r="F26" s="247"/>
      <c r="G26" s="248"/>
      <c r="H26" s="174"/>
      <c r="I26" s="161"/>
    </row>
    <row r="27" spans="1:9" x14ac:dyDescent="0.25">
      <c r="A27" s="172"/>
      <c r="B27" s="172"/>
      <c r="C27" s="176"/>
      <c r="D27" s="176"/>
      <c r="E27" s="246" t="str">
        <f>IFERROR(VLOOKUP(B27,LINCE!$A$1:$F$11997,3,FALSE),"")</f>
        <v/>
      </c>
      <c r="F27" s="247"/>
      <c r="G27" s="248"/>
      <c r="H27" s="174"/>
      <c r="I27" s="161"/>
    </row>
    <row r="28" spans="1:9" x14ac:dyDescent="0.25">
      <c r="A28" s="172"/>
      <c r="B28" s="172"/>
      <c r="C28" s="176"/>
      <c r="D28" s="176"/>
      <c r="E28" s="246" t="str">
        <f>IFERROR(VLOOKUP(B28,LINCE!$A$1:$F$11997,3,FALSE),"")</f>
        <v/>
      </c>
      <c r="F28" s="247"/>
      <c r="G28" s="248"/>
      <c r="H28" s="174"/>
      <c r="I28" s="161"/>
    </row>
    <row r="29" spans="1:9" x14ac:dyDescent="0.25">
      <c r="A29" s="172"/>
      <c r="B29" s="172"/>
      <c r="C29" s="176"/>
      <c r="D29" s="176"/>
      <c r="E29" s="246" t="str">
        <f>IFERROR(VLOOKUP(B29,LINCE!$A$1:$F$11997,3,FALSE),"")</f>
        <v/>
      </c>
      <c r="F29" s="247"/>
      <c r="G29" s="248"/>
      <c r="H29" s="174"/>
      <c r="I29" s="161"/>
    </row>
    <row r="30" spans="1:9" x14ac:dyDescent="0.25">
      <c r="A30" s="172"/>
      <c r="B30" s="172"/>
      <c r="C30" s="176"/>
      <c r="D30" s="176"/>
      <c r="E30" s="246" t="str">
        <f>IFERROR(VLOOKUP(B30,LINCE!$A$1:$F$11997,3,FALSE),"")</f>
        <v/>
      </c>
      <c r="F30" s="247"/>
      <c r="G30" s="248"/>
      <c r="H30" s="174"/>
      <c r="I30" s="161"/>
    </row>
    <row r="31" spans="1:9" x14ac:dyDescent="0.25">
      <c r="A31" s="172"/>
      <c r="B31" s="172"/>
      <c r="C31" s="176"/>
      <c r="D31" s="176"/>
      <c r="E31" s="246" t="str">
        <f>IFERROR(VLOOKUP(B31,LINCE!$A$1:$F$11997,3,FALSE),"")</f>
        <v/>
      </c>
      <c r="F31" s="247"/>
      <c r="G31" s="248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46" t="str">
        <f>IFERROR(VLOOKUP(B32,LINCE!$A$1:$F$11997,3,FALSE),"")</f>
        <v/>
      </c>
      <c r="F32" s="247"/>
      <c r="G32" s="248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46" t="str">
        <f>IFERROR(VLOOKUP(B33,LINCE!$A$1:$F$11997,3,FALSE),"")</f>
        <v/>
      </c>
      <c r="F33" s="247"/>
      <c r="G33" s="248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46" t="str">
        <f>IFERROR(VLOOKUP(B34,LINCE!$A$1:$F$11997,3,FALSE),"")</f>
        <v/>
      </c>
      <c r="F34" s="247"/>
      <c r="G34" s="248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46" t="str">
        <f>IFERROR(VLOOKUP(B35,LINCE!$A$1:$F$11997,3,FALSE),"")</f>
        <v/>
      </c>
      <c r="F35" s="247"/>
      <c r="G35" s="248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46" t="str">
        <f>IFERROR(VLOOKUP(B36,LINCE!$A$1:$F$11997,3,FALSE),"")</f>
        <v/>
      </c>
      <c r="F36" s="247"/>
      <c r="G36" s="248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46" t="str">
        <f>IFERROR(VLOOKUP(B37,LINCE!$A$1:$F$11997,3,FALSE),"")</f>
        <v/>
      </c>
      <c r="F37" s="247"/>
      <c r="G37" s="248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46" t="str">
        <f>IFERROR(VLOOKUP(B38,LINCE!$A$1:$F$11997,3,FALSE),"")</f>
        <v/>
      </c>
      <c r="F38" s="247"/>
      <c r="G38" s="248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46" t="str">
        <f>IFERROR(VLOOKUP(B39,LINCE!$A$1:$F$11997,3,FALSE),"")</f>
        <v/>
      </c>
      <c r="F39" s="247"/>
      <c r="G39" s="248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46" t="str">
        <f>IFERROR(VLOOKUP(B40,LINCE!$A$1:$F$11997,3,FALSE),"")</f>
        <v/>
      </c>
      <c r="F40" s="247"/>
      <c r="G40" s="248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46" t="str">
        <f>IFERROR(VLOOKUP(B41,LINCE!$A$1:$F$11997,3,FALSE),"")</f>
        <v/>
      </c>
      <c r="F41" s="247"/>
      <c r="G41" s="248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46" t="str">
        <f>IFERROR(VLOOKUP(B42,LINCE!$A$1:$F$11997,3,FALSE),"")</f>
        <v/>
      </c>
      <c r="F42" s="247"/>
      <c r="G42" s="248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46" t="str">
        <f>IFERROR(VLOOKUP(B43,LINCE!$A$1:$F$11997,3,FALSE),"")</f>
        <v/>
      </c>
      <c r="F43" s="247"/>
      <c r="G43" s="248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46" t="str">
        <f>IFERROR(VLOOKUP(B44,LINCE!$A$1:$F$11997,3,FALSE),"")</f>
        <v/>
      </c>
      <c r="F44" s="247"/>
      <c r="G44" s="248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46" t="str">
        <f>IFERROR(VLOOKUP(B45,LINCE!$A$1:$F$11997,3,FALSE),"")</f>
        <v/>
      </c>
      <c r="F45" s="247"/>
      <c r="G45" s="248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46" t="str">
        <f>IFERROR(VLOOKUP(B46,LINCE!$A$1:$F$11997,3,FALSE),"")</f>
        <v/>
      </c>
      <c r="F46" s="247"/>
      <c r="G46" s="248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46" t="str">
        <f>IFERROR(VLOOKUP(B47,LINCE!$A$1:$F$11997,3,FALSE),"")</f>
        <v/>
      </c>
      <c r="F47" s="247"/>
      <c r="G47" s="248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46" t="str">
        <f>IFERROR(VLOOKUP(B48,LINCE!$A$1:$F$11997,3,FALSE),"")</f>
        <v/>
      </c>
      <c r="F48" s="247"/>
      <c r="G48" s="248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46" t="str">
        <f>IFERROR(VLOOKUP(B49,LINCE!$A$1:$F$11997,3,FALSE),"")</f>
        <v/>
      </c>
      <c r="F49" s="247"/>
      <c r="G49" s="248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13181</v>
      </c>
      <c r="C50" s="167"/>
      <c r="D50" s="167"/>
      <c r="E50" s="162"/>
      <c r="F50" s="156"/>
      <c r="G50" s="156"/>
      <c r="H50" s="163" t="s">
        <v>13398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58"/>
      <c r="B52" s="258"/>
      <c r="C52" s="258"/>
      <c r="D52" s="258"/>
      <c r="E52" s="258"/>
      <c r="F52" s="158"/>
      <c r="G52" s="158"/>
      <c r="H52" s="158"/>
      <c r="I52" s="158"/>
    </row>
    <row r="53" spans="1:9" ht="30" customHeight="1" x14ac:dyDescent="0.3">
      <c r="A53" s="258" t="s">
        <v>13182</v>
      </c>
      <c r="B53" s="258"/>
      <c r="C53" s="258"/>
      <c r="D53" s="258"/>
      <c r="E53" s="258"/>
      <c r="F53" s="260"/>
      <c r="G53" s="260"/>
      <c r="H53" s="260"/>
      <c r="I53" s="260"/>
    </row>
    <row r="54" spans="1:9" ht="30" customHeight="1" x14ac:dyDescent="0.3">
      <c r="A54" s="258" t="s">
        <v>13183</v>
      </c>
      <c r="B54" s="258"/>
      <c r="C54" s="258"/>
      <c r="D54" s="258"/>
      <c r="E54" s="258"/>
      <c r="F54" s="259"/>
      <c r="G54" s="259"/>
      <c r="H54" s="259"/>
      <c r="I54" s="259"/>
    </row>
    <row r="55" spans="1:9" ht="30" customHeight="1" x14ac:dyDescent="0.3">
      <c r="A55" s="258" t="s">
        <v>13184</v>
      </c>
      <c r="B55" s="258"/>
      <c r="C55" s="258"/>
      <c r="D55" s="258"/>
      <c r="E55" s="258"/>
      <c r="F55" s="259"/>
      <c r="G55" s="259"/>
      <c r="H55" s="259"/>
      <c r="I55" s="259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6" t="s">
        <v>12477</v>
      </c>
      <c r="B2" s="279" t="str">
        <f>+Datos!B4</f>
        <v>RERDA S.A.</v>
      </c>
      <c r="C2" s="280"/>
      <c r="D2" s="280"/>
      <c r="E2" s="280"/>
      <c r="F2" s="280"/>
      <c r="G2" s="280"/>
      <c r="H2" s="280"/>
      <c r="I2" s="4"/>
      <c r="J2" s="4"/>
      <c r="K2" s="4"/>
      <c r="L2" s="4"/>
      <c r="M2" s="4"/>
      <c r="N2" s="4"/>
      <c r="O2" s="5"/>
      <c r="P2" s="281"/>
      <c r="Q2" s="282"/>
      <c r="R2" s="282"/>
      <c r="S2" s="282"/>
      <c r="T2" s="282"/>
      <c r="U2" s="283"/>
    </row>
    <row r="3" spans="1:21" ht="14.1" customHeight="1" x14ac:dyDescent="0.25">
      <c r="A3" s="277"/>
      <c r="B3" s="290" t="str">
        <f>+Datos!B6</f>
        <v>San Martín</v>
      </c>
      <c r="C3" s="291"/>
      <c r="D3" s="291"/>
      <c r="E3" s="291"/>
      <c r="F3" s="291"/>
      <c r="G3" s="291">
        <f>+Datos!B7</f>
        <v>1665</v>
      </c>
      <c r="H3" s="291"/>
      <c r="I3" s="291"/>
      <c r="J3" s="6"/>
      <c r="K3" s="7"/>
      <c r="L3" s="8"/>
      <c r="M3" s="292" t="str">
        <f>+Datos!B8</f>
        <v>Mendoza</v>
      </c>
      <c r="N3" s="292"/>
      <c r="O3" s="293"/>
      <c r="P3" s="284"/>
      <c r="Q3" s="285"/>
      <c r="R3" s="285"/>
      <c r="S3" s="285"/>
      <c r="T3" s="285"/>
      <c r="U3" s="286"/>
    </row>
    <row r="4" spans="1:21" ht="14.1" customHeight="1" x14ac:dyDescent="0.25">
      <c r="A4" s="277"/>
      <c r="B4" s="294" t="str">
        <f>+Datos!B9</f>
        <v>Mendoza</v>
      </c>
      <c r="C4" s="292"/>
      <c r="D4" s="292"/>
      <c r="E4" s="292"/>
      <c r="F4" s="292"/>
      <c r="G4" s="292">
        <f>+Datos!B10</f>
        <v>5500</v>
      </c>
      <c r="H4" s="292"/>
      <c r="I4" s="292"/>
      <c r="J4" s="6"/>
      <c r="K4" s="6"/>
      <c r="L4" s="6"/>
      <c r="M4" s="6"/>
      <c r="N4" s="6"/>
      <c r="O4" s="9"/>
      <c r="P4" s="284"/>
      <c r="Q4" s="285"/>
      <c r="R4" s="285"/>
      <c r="S4" s="285"/>
      <c r="T4" s="285"/>
      <c r="U4" s="286"/>
    </row>
    <row r="5" spans="1:21" ht="14.1" customHeight="1" x14ac:dyDescent="0.25">
      <c r="A5" s="277"/>
      <c r="B5" s="295" t="str">
        <f>+Datos!B11</f>
        <v>ventas@rerda.com</v>
      </c>
      <c r="C5" s="296"/>
      <c r="D5" s="296"/>
      <c r="E5" s="296"/>
      <c r="F5" s="296"/>
      <c r="G5" s="296"/>
      <c r="H5" s="296"/>
      <c r="I5" s="10"/>
      <c r="J5" s="10"/>
      <c r="K5" s="11" t="s">
        <v>12478</v>
      </c>
      <c r="L5" s="297">
        <f>+Datos!B5</f>
        <v>30535195869</v>
      </c>
      <c r="M5" s="297"/>
      <c r="N5" s="297"/>
      <c r="O5" s="298"/>
      <c r="P5" s="284"/>
      <c r="Q5" s="285"/>
      <c r="R5" s="285"/>
      <c r="S5" s="285"/>
      <c r="T5" s="285"/>
      <c r="U5" s="286"/>
    </row>
    <row r="6" spans="1:21" ht="14.1" customHeight="1" x14ac:dyDescent="0.25">
      <c r="A6" s="278"/>
      <c r="B6" s="261" t="str">
        <f>+Datos!B12</f>
        <v>0261-4256567 | +549 2615117948</v>
      </c>
      <c r="C6" s="262"/>
      <c r="D6" s="262"/>
      <c r="E6" s="262"/>
      <c r="F6" s="262"/>
      <c r="G6" s="262"/>
      <c r="H6" s="262"/>
      <c r="I6" s="12"/>
      <c r="J6" s="12"/>
      <c r="K6" s="13" t="s">
        <v>12479</v>
      </c>
      <c r="L6" s="263">
        <f>+Datos!B3</f>
        <v>20355</v>
      </c>
      <c r="M6" s="263"/>
      <c r="N6" s="263"/>
      <c r="O6" s="264"/>
      <c r="P6" s="287"/>
      <c r="Q6" s="288"/>
      <c r="R6" s="288"/>
      <c r="S6" s="288"/>
      <c r="T6" s="288"/>
      <c r="U6" s="289"/>
    </row>
    <row r="7" spans="1:21" ht="14.1" customHeight="1" x14ac:dyDescent="0.25">
      <c r="A7" s="14"/>
      <c r="B7" s="265" t="s">
        <v>12480</v>
      </c>
      <c r="C7" s="265"/>
      <c r="D7" s="266" t="str">
        <f>IF(Planilla!W2="","¿…?",Planilla!W2)</f>
        <v>ELENA</v>
      </c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15"/>
    </row>
    <row r="8" spans="1:21" ht="14.1" customHeight="1" x14ac:dyDescent="0.25">
      <c r="A8" s="267" t="s">
        <v>12481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</row>
    <row r="9" spans="1:21" ht="14.1" customHeight="1" x14ac:dyDescent="0.25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</row>
    <row r="10" spans="1:21" ht="14.1" customHeight="1" x14ac:dyDescent="0.25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9" t="s">
        <v>12482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9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1" t="s">
        <v>12483</v>
      </c>
      <c r="M15" s="301"/>
      <c r="N15" s="301"/>
      <c r="O15" s="301"/>
      <c r="P15" s="302"/>
      <c r="Q15" s="303"/>
      <c r="R15" s="303"/>
      <c r="S15" s="303"/>
      <c r="T15" s="303"/>
      <c r="U15" s="25"/>
    </row>
    <row r="16" spans="1:21" ht="18.95" customHeight="1" x14ac:dyDescent="0.25">
      <c r="A16" s="299"/>
      <c r="B16" s="28"/>
      <c r="C16" s="304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15"/>
    </row>
    <row r="17" spans="1:21" ht="18.95" customHeight="1" x14ac:dyDescent="0.25">
      <c r="A17" s="299"/>
      <c r="B17" s="28"/>
      <c r="C17" s="305"/>
      <c r="D17" s="305"/>
      <c r="E17" s="305"/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5"/>
      <c r="S17" s="305"/>
      <c r="T17" s="305"/>
      <c r="U17" s="15"/>
    </row>
    <row r="18" spans="1:21" ht="14.1" customHeight="1" x14ac:dyDescent="0.25">
      <c r="A18" s="299"/>
      <c r="B18" s="22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15"/>
    </row>
    <row r="19" spans="1:21" ht="14.1" customHeight="1" x14ac:dyDescent="0.25">
      <c r="A19" s="299"/>
      <c r="B19" s="22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15"/>
    </row>
    <row r="20" spans="1:21" ht="14.1" customHeight="1" x14ac:dyDescent="0.25">
      <c r="A20" s="299"/>
      <c r="B20" s="22"/>
      <c r="C20" s="306"/>
      <c r="D20" s="306"/>
      <c r="E20" s="306"/>
      <c r="F20" s="306"/>
      <c r="G20" s="306"/>
      <c r="H20" s="306"/>
      <c r="I20" s="306"/>
      <c r="J20" s="306"/>
      <c r="K20" s="306"/>
      <c r="L20" s="306"/>
      <c r="M20" s="306"/>
      <c r="N20" s="306"/>
      <c r="O20" s="306"/>
      <c r="P20" s="306"/>
      <c r="Q20" s="306"/>
      <c r="R20" s="306"/>
      <c r="S20" s="306"/>
      <c r="T20" s="306"/>
      <c r="U20" s="15"/>
    </row>
    <row r="21" spans="1:21" ht="14.1" customHeight="1" x14ac:dyDescent="0.25">
      <c r="A21" s="299"/>
      <c r="B21" s="29"/>
      <c r="C21" s="307" t="s">
        <v>12484</v>
      </c>
      <c r="D21" s="307"/>
      <c r="E21" s="308"/>
      <c r="F21" s="309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15"/>
    </row>
    <row r="22" spans="1:21" ht="14.1" customHeight="1" x14ac:dyDescent="0.25">
      <c r="A22" s="299"/>
      <c r="B22" s="29"/>
      <c r="C22" s="307"/>
      <c r="D22" s="307"/>
      <c r="E22" s="309"/>
      <c r="F22" s="309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15"/>
    </row>
    <row r="23" spans="1:21" ht="14.1" customHeight="1" x14ac:dyDescent="0.25">
      <c r="A23" s="299"/>
      <c r="B23" s="30"/>
      <c r="C23" s="311" t="s">
        <v>14139</v>
      </c>
      <c r="D23" s="311"/>
      <c r="E23" s="311"/>
      <c r="F23" s="311"/>
      <c r="G23" s="311"/>
      <c r="H23" s="311"/>
      <c r="I23" s="311"/>
      <c r="J23" s="311"/>
      <c r="K23" s="31"/>
      <c r="L23" s="312" t="s">
        <v>12485</v>
      </c>
      <c r="M23" s="312"/>
      <c r="N23" s="312"/>
      <c r="O23" s="312"/>
      <c r="P23" s="313"/>
      <c r="Q23" s="313"/>
      <c r="R23" s="313"/>
      <c r="S23" s="313"/>
      <c r="T23" s="313"/>
      <c r="U23" s="15"/>
    </row>
    <row r="24" spans="1:21" ht="14.1" customHeight="1" x14ac:dyDescent="0.25">
      <c r="A24" s="299"/>
      <c r="B24" s="30"/>
      <c r="C24" s="311"/>
      <c r="D24" s="311"/>
      <c r="E24" s="311"/>
      <c r="F24" s="311"/>
      <c r="G24" s="311"/>
      <c r="H24" s="311"/>
      <c r="I24" s="311"/>
      <c r="J24" s="311"/>
      <c r="K24" s="31"/>
      <c r="L24" s="312"/>
      <c r="M24" s="312"/>
      <c r="N24" s="312"/>
      <c r="O24" s="312"/>
      <c r="P24" s="313"/>
      <c r="Q24" s="313"/>
      <c r="R24" s="313"/>
      <c r="S24" s="313"/>
      <c r="T24" s="313"/>
      <c r="U24" s="15"/>
    </row>
    <row r="25" spans="1:21" ht="14.1" customHeight="1" thickBot="1" x14ac:dyDescent="0.3">
      <c r="A25" s="300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12477</v>
      </c>
      <c r="B2" s="40"/>
      <c r="C2" s="361" t="str">
        <f>+Datos!B4</f>
        <v>RERDA S.A.</v>
      </c>
      <c r="D2" s="362"/>
      <c r="E2" s="362"/>
      <c r="F2" s="362"/>
      <c r="G2" s="362"/>
      <c r="H2" s="362"/>
      <c r="I2" s="362"/>
      <c r="J2" s="41"/>
      <c r="K2" s="41"/>
      <c r="L2" s="41"/>
      <c r="M2" s="41"/>
      <c r="N2" s="41"/>
      <c r="O2" s="41"/>
      <c r="P2" s="42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192"/>
      <c r="L3" s="104"/>
      <c r="M3" s="193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192"/>
      <c r="L4" s="192"/>
      <c r="M4" s="192"/>
      <c r="N4" s="192"/>
      <c r="O4" s="192"/>
      <c r="P4" s="44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5"/>
      <c r="K5" s="45"/>
      <c r="L5" s="46" t="s">
        <v>12478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7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48"/>
      <c r="K6" s="48"/>
      <c r="L6" s="49" t="s">
        <v>12479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0"/>
      <c r="B7" s="51"/>
      <c r="C7" s="347" t="s">
        <v>12480</v>
      </c>
      <c r="D7" s="347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52"/>
    </row>
    <row r="8" spans="1:22" ht="14.1" customHeight="1" x14ac:dyDescent="0.25">
      <c r="A8" s="349" t="s">
        <v>12500</v>
      </c>
      <c r="B8" s="350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0"/>
      <c r="Q8" s="350"/>
      <c r="R8" s="350"/>
      <c r="S8" s="350"/>
      <c r="T8" s="350"/>
      <c r="U8" s="350"/>
      <c r="V8" s="351"/>
    </row>
    <row r="9" spans="1:22" ht="14.1" customHeight="1" x14ac:dyDescent="0.25">
      <c r="A9" s="352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4"/>
    </row>
    <row r="10" spans="1:22" ht="14.1" customHeight="1" x14ac:dyDescent="0.25">
      <c r="A10" s="355"/>
      <c r="B10" s="356"/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7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14" t="s">
        <v>12501</v>
      </c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215"/>
      <c r="O12" s="59"/>
      <c r="P12" s="326" t="s">
        <v>12502</v>
      </c>
      <c r="Q12" s="326"/>
      <c r="R12" s="326"/>
      <c r="S12" s="326"/>
      <c r="T12" s="326"/>
      <c r="U12" s="326"/>
      <c r="V12" s="208"/>
    </row>
    <row r="13" spans="1:22" ht="14.1" customHeight="1" x14ac:dyDescent="0.25">
      <c r="A13" s="216"/>
      <c r="B13" s="199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200"/>
      <c r="O13" s="59"/>
      <c r="P13" s="326"/>
      <c r="Q13" s="326"/>
      <c r="R13" s="326"/>
      <c r="S13" s="326"/>
      <c r="T13" s="326"/>
      <c r="U13" s="326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27" t="s">
        <v>12482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28"/>
      <c r="B16" s="201"/>
      <c r="C16" s="330" t="s">
        <v>15017</v>
      </c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334" t="s">
        <v>12483</v>
      </c>
      <c r="P16" s="334"/>
      <c r="Q16" s="334"/>
      <c r="R16" s="335">
        <v>12345698</v>
      </c>
      <c r="S16" s="336"/>
      <c r="T16" s="336"/>
      <c r="U16" s="337"/>
      <c r="V16" s="205"/>
    </row>
    <row r="17" spans="1:22" ht="14.1" customHeight="1" x14ac:dyDescent="0.25">
      <c r="A17" s="328"/>
      <c r="B17" s="201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28"/>
      <c r="B18" s="201"/>
      <c r="C18" s="338" t="s">
        <v>12503</v>
      </c>
      <c r="D18" s="339"/>
      <c r="E18" s="339"/>
      <c r="F18" s="319" t="str">
        <f>VLOOKUP(S18,Sucursales!A:B,2,FALSE)</f>
        <v>CORDOBA 1</v>
      </c>
      <c r="G18" s="319"/>
      <c r="H18" s="319"/>
      <c r="I18" s="319"/>
      <c r="J18" s="319"/>
      <c r="K18" s="319"/>
      <c r="L18" s="319"/>
      <c r="M18" s="319"/>
      <c r="N18" s="69"/>
      <c r="O18" s="340" t="s">
        <v>7308</v>
      </c>
      <c r="P18" s="340"/>
      <c r="Q18" s="340"/>
      <c r="R18" s="340"/>
      <c r="S18" s="341" t="s">
        <v>9467</v>
      </c>
      <c r="T18" s="341"/>
      <c r="U18" s="342"/>
      <c r="V18" s="205"/>
    </row>
    <row r="19" spans="1:22" ht="14.1" customHeight="1" x14ac:dyDescent="0.25">
      <c r="A19" s="328"/>
      <c r="B19" s="201"/>
      <c r="C19" s="343" t="s">
        <v>12504</v>
      </c>
      <c r="D19" s="344"/>
      <c r="E19" s="344"/>
      <c r="F19" s="319"/>
      <c r="G19" s="319"/>
      <c r="H19" s="319"/>
      <c r="I19" s="319"/>
      <c r="J19" s="319"/>
      <c r="K19" s="319"/>
      <c r="L19" s="319"/>
      <c r="M19" s="319"/>
      <c r="N19" s="194"/>
      <c r="O19" s="340"/>
      <c r="P19" s="340"/>
      <c r="Q19" s="340"/>
      <c r="R19" s="340"/>
      <c r="S19" s="341"/>
      <c r="T19" s="341"/>
      <c r="U19" s="342"/>
      <c r="V19" s="205"/>
    </row>
    <row r="20" spans="1:22" ht="14.1" customHeight="1" x14ac:dyDescent="0.25">
      <c r="A20" s="328"/>
      <c r="B20" s="201"/>
      <c r="C20" s="345" t="str">
        <f>VLOOKUP(S18,Sucursales!A:G,6,FALSE)</f>
        <v>X5001ZAA</v>
      </c>
      <c r="D20" s="346"/>
      <c r="E20" s="346"/>
      <c r="F20" s="346"/>
      <c r="G20" s="104"/>
      <c r="H20" s="316" t="str">
        <f>VLOOKUP(S18,Sucursales!A:H,7,FALSE)</f>
        <v>CORDOBA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205"/>
    </row>
    <row r="21" spans="1:22" ht="14.1" customHeight="1" x14ac:dyDescent="0.25">
      <c r="A21" s="328"/>
      <c r="B21" s="201"/>
      <c r="C21" s="318" t="str">
        <f>VLOOKUP(S18,Sucursales!A:H,8,FALSE)</f>
        <v>CORDOBA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28"/>
      <c r="B22" s="201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12505</v>
      </c>
      <c r="O22" s="322"/>
      <c r="P22" s="322"/>
      <c r="Q22" s="322"/>
      <c r="R22" s="323">
        <v>321654987</v>
      </c>
      <c r="S22" s="324"/>
      <c r="T22" s="324"/>
      <c r="U22" s="325"/>
      <c r="V22" s="205"/>
    </row>
    <row r="23" spans="1:22" ht="14.1" customHeight="1" thickBot="1" x14ac:dyDescent="0.3">
      <c r="A23" s="329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12477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12506</v>
      </c>
      <c r="I2" s="410"/>
      <c r="J2" s="410"/>
      <c r="K2" s="410"/>
      <c r="L2" s="410"/>
      <c r="M2" s="410"/>
      <c r="N2" s="410"/>
      <c r="O2" s="410"/>
      <c r="P2" s="411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192"/>
      <c r="L3" s="104"/>
      <c r="M3" s="193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192"/>
      <c r="L4" s="192"/>
      <c r="M4" s="192"/>
      <c r="N4" s="192"/>
      <c r="O4" s="192"/>
      <c r="P4" s="44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5"/>
      <c r="K5" s="45"/>
      <c r="L5" s="46" t="s">
        <v>12478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7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48"/>
      <c r="K6" s="48"/>
      <c r="L6" s="49" t="s">
        <v>12479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0"/>
      <c r="B7" s="51"/>
      <c r="C7" s="347" t="s">
        <v>12480</v>
      </c>
      <c r="D7" s="347"/>
      <c r="E7" s="266" t="str">
        <f>IF(Planilla!W2="","¿…?",Planilla!W2)</f>
        <v>ELENA</v>
      </c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52"/>
    </row>
    <row r="8" spans="1:22" ht="14.1" customHeight="1" x14ac:dyDescent="0.25">
      <c r="A8" s="399" t="s">
        <v>12507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85" t="s">
        <v>12508</v>
      </c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6"/>
      <c r="O12" s="59"/>
      <c r="P12" s="389" t="s">
        <v>12502</v>
      </c>
      <c r="Q12" s="389"/>
      <c r="R12" s="389"/>
      <c r="S12" s="389"/>
      <c r="T12" s="389"/>
      <c r="U12" s="389"/>
      <c r="V12" s="212"/>
    </row>
    <row r="13" spans="1:22" ht="14.1" customHeight="1" x14ac:dyDescent="0.25">
      <c r="A13" s="219"/>
      <c r="B13" s="209"/>
      <c r="C13" s="387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8"/>
      <c r="O13" s="59"/>
      <c r="P13" s="389"/>
      <c r="Q13" s="389"/>
      <c r="R13" s="389"/>
      <c r="S13" s="389"/>
      <c r="T13" s="389"/>
      <c r="U13" s="389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90" t="s">
        <v>12482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391"/>
      <c r="B16" s="210"/>
      <c r="C16" s="393" t="s">
        <v>15017</v>
      </c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4" t="s">
        <v>12483</v>
      </c>
      <c r="P16" s="334"/>
      <c r="Q16" s="334"/>
      <c r="R16" s="397">
        <v>12345698</v>
      </c>
      <c r="S16" s="336"/>
      <c r="T16" s="336"/>
      <c r="U16" s="337"/>
      <c r="V16" s="68"/>
    </row>
    <row r="17" spans="1:22" ht="14.1" customHeight="1" x14ac:dyDescent="0.25">
      <c r="A17" s="391"/>
      <c r="B17" s="210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391"/>
      <c r="B18" s="210"/>
      <c r="C18" s="318" t="s">
        <v>12509</v>
      </c>
      <c r="D18" s="319"/>
      <c r="E18" s="319"/>
      <c r="F18" s="319" t="str">
        <f>VLOOKUP(S18,Sucursales!A:B,2,FALSE)</f>
        <v>CORDOBA 1</v>
      </c>
      <c r="G18" s="319"/>
      <c r="H18" s="319"/>
      <c r="I18" s="319"/>
      <c r="J18" s="319"/>
      <c r="K18" s="319"/>
      <c r="L18" s="319"/>
      <c r="M18" s="319"/>
      <c r="N18" s="69"/>
      <c r="O18" s="340" t="s">
        <v>7308</v>
      </c>
      <c r="P18" s="340"/>
      <c r="Q18" s="340"/>
      <c r="R18" s="340"/>
      <c r="S18" s="341" t="s">
        <v>9467</v>
      </c>
      <c r="T18" s="341"/>
      <c r="U18" s="342"/>
      <c r="V18" s="68"/>
    </row>
    <row r="19" spans="1:22" ht="14.1" customHeight="1" x14ac:dyDescent="0.25">
      <c r="A19" s="391"/>
      <c r="B19" s="210"/>
      <c r="C19" s="318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194"/>
      <c r="O19" s="340"/>
      <c r="P19" s="340"/>
      <c r="Q19" s="340"/>
      <c r="R19" s="340"/>
      <c r="S19" s="341"/>
      <c r="T19" s="341"/>
      <c r="U19" s="342"/>
      <c r="V19" s="68"/>
    </row>
    <row r="20" spans="1:22" ht="14.1" customHeight="1" x14ac:dyDescent="0.25">
      <c r="A20" s="391"/>
      <c r="B20" s="210"/>
      <c r="C20" s="345" t="str">
        <f>VLOOKUP(S18,Sucursales!A:G,6,FALSE)</f>
        <v>X5001ZAA</v>
      </c>
      <c r="D20" s="346"/>
      <c r="E20" s="346"/>
      <c r="F20" s="346"/>
      <c r="G20" s="104"/>
      <c r="H20" s="316" t="str">
        <f>VLOOKUP(S18,Sucursales!A:H,7,FALSE)</f>
        <v>CORDOBA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68"/>
    </row>
    <row r="21" spans="1:22" ht="14.1" customHeight="1" x14ac:dyDescent="0.25">
      <c r="A21" s="391"/>
      <c r="B21" s="210"/>
      <c r="C21" s="318" t="str">
        <f>VLOOKUP(S18,Sucursales!A:H,8,FALSE)</f>
        <v>CORDOBA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391"/>
      <c r="B22" s="210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12505</v>
      </c>
      <c r="O22" s="322"/>
      <c r="P22" s="322"/>
      <c r="Q22" s="322"/>
      <c r="R22" s="398">
        <v>321654987</v>
      </c>
      <c r="S22" s="324"/>
      <c r="T22" s="324"/>
      <c r="U22" s="325"/>
      <c r="V22" s="68"/>
    </row>
    <row r="23" spans="1:22" ht="14.1" customHeight="1" thickBot="1" x14ac:dyDescent="0.3">
      <c r="A23" s="392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13"/>
      <c r="B7" s="114"/>
      <c r="C7" s="348" t="s">
        <v>12480</v>
      </c>
      <c r="D7" s="348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115"/>
    </row>
    <row r="8" spans="1:22" ht="14.1" customHeight="1" x14ac:dyDescent="0.25">
      <c r="A8" s="441" t="s">
        <v>12746</v>
      </c>
      <c r="B8" s="442"/>
      <c r="C8" s="442"/>
      <c r="D8" s="442"/>
      <c r="E8" s="442"/>
      <c r="F8" s="442"/>
      <c r="G8" s="442"/>
      <c r="H8" s="442"/>
      <c r="I8" s="442"/>
      <c r="J8" s="442"/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3"/>
    </row>
    <row r="9" spans="1:22" ht="14.1" customHeight="1" x14ac:dyDescent="0.25">
      <c r="A9" s="444"/>
      <c r="B9" s="445"/>
      <c r="C9" s="445"/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6"/>
    </row>
    <row r="10" spans="1:22" ht="14.1" customHeight="1" x14ac:dyDescent="0.25">
      <c r="A10" s="447"/>
      <c r="B10" s="448"/>
      <c r="C10" s="448"/>
      <c r="D10" s="448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V10" s="449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135"/>
      <c r="P12" s="451"/>
      <c r="Q12" s="451"/>
      <c r="R12" s="451"/>
      <c r="S12" s="451"/>
      <c r="T12" s="451"/>
      <c r="U12" s="451"/>
      <c r="V12" s="134"/>
    </row>
    <row r="13" spans="1:22" ht="4.5" customHeight="1" x14ac:dyDescent="0.25">
      <c r="A13" s="138"/>
      <c r="B13" s="136"/>
      <c r="C13" s="450"/>
      <c r="D13" s="450"/>
      <c r="E13" s="450"/>
      <c r="F13" s="450"/>
      <c r="G13" s="450"/>
      <c r="H13" s="450"/>
      <c r="I13" s="450"/>
      <c r="J13" s="450"/>
      <c r="K13" s="450"/>
      <c r="L13" s="450"/>
      <c r="M13" s="450"/>
      <c r="N13" s="450"/>
      <c r="O13" s="135"/>
      <c r="P13" s="451"/>
      <c r="Q13" s="451"/>
      <c r="R13" s="451"/>
      <c r="S13" s="451"/>
      <c r="T13" s="451"/>
      <c r="U13" s="451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9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30"/>
      <c r="B16" s="143"/>
      <c r="C16" s="432" t="s">
        <v>14140</v>
      </c>
      <c r="D16" s="433"/>
      <c r="E16" s="433"/>
      <c r="F16" s="433"/>
      <c r="G16" s="433"/>
      <c r="H16" s="433"/>
      <c r="I16" s="433"/>
      <c r="J16" s="433"/>
      <c r="K16" s="433"/>
      <c r="L16" s="433"/>
      <c r="M16" s="433"/>
      <c r="N16" s="433"/>
      <c r="O16" s="434" t="s">
        <v>12483</v>
      </c>
      <c r="P16" s="434"/>
      <c r="Q16" s="434"/>
      <c r="R16" s="435">
        <v>26987789</v>
      </c>
      <c r="S16" s="436"/>
      <c r="T16" s="436"/>
      <c r="U16" s="437"/>
      <c r="V16" s="139"/>
    </row>
    <row r="17" spans="1:22" ht="14.1" customHeight="1" x14ac:dyDescent="0.25">
      <c r="A17" s="430"/>
      <c r="B17" s="143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30"/>
      <c r="B18" s="143"/>
      <c r="C18" s="438" t="s">
        <v>12745</v>
      </c>
      <c r="D18" s="439"/>
      <c r="E18" s="439"/>
      <c r="F18" s="440">
        <f ca="1">TODAY()</f>
        <v>46175</v>
      </c>
      <c r="G18" s="439"/>
      <c r="H18" s="439"/>
      <c r="I18" s="439"/>
      <c r="J18" s="439"/>
      <c r="K18" s="439"/>
      <c r="L18" s="439"/>
      <c r="M18" s="439"/>
      <c r="N18" s="127"/>
      <c r="O18" s="413"/>
      <c r="P18" s="413"/>
      <c r="Q18" s="413"/>
      <c r="R18" s="413"/>
      <c r="S18" s="414"/>
      <c r="T18" s="414"/>
      <c r="U18" s="415"/>
      <c r="V18" s="139"/>
    </row>
    <row r="19" spans="1:22" ht="14.1" customHeight="1" x14ac:dyDescent="0.25">
      <c r="A19" s="430"/>
      <c r="B19" s="143"/>
      <c r="C19" s="438"/>
      <c r="D19" s="439"/>
      <c r="E19" s="439"/>
      <c r="F19" s="439"/>
      <c r="G19" s="439"/>
      <c r="H19" s="439"/>
      <c r="I19" s="439"/>
      <c r="J19" s="439"/>
      <c r="K19" s="439"/>
      <c r="L19" s="439"/>
      <c r="M19" s="439"/>
      <c r="N19" s="130"/>
      <c r="O19" s="413"/>
      <c r="P19" s="413"/>
      <c r="Q19" s="413"/>
      <c r="R19" s="413"/>
      <c r="S19" s="414"/>
      <c r="T19" s="414"/>
      <c r="U19" s="415"/>
      <c r="V19" s="139"/>
    </row>
    <row r="20" spans="1:22" ht="14.1" customHeight="1" x14ac:dyDescent="0.25">
      <c r="A20" s="430"/>
      <c r="B20" s="143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39"/>
    </row>
    <row r="21" spans="1:22" ht="14.1" customHeight="1" x14ac:dyDescent="0.25">
      <c r="A21" s="430"/>
      <c r="B21" s="143"/>
      <c r="C21" s="438" t="s">
        <v>12744</v>
      </c>
      <c r="D21" s="439"/>
      <c r="E21" s="439"/>
      <c r="F21" s="439"/>
      <c r="G21" s="439"/>
      <c r="H21" s="439"/>
      <c r="I21" s="439"/>
      <c r="J21" s="439"/>
      <c r="K21" s="439"/>
      <c r="L21" s="439"/>
      <c r="M21" s="439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30"/>
      <c r="B22" s="143"/>
      <c r="C22" s="452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12" t="s">
        <v>12505</v>
      </c>
      <c r="O22" s="412"/>
      <c r="P22" s="412"/>
      <c r="Q22" s="412"/>
      <c r="R22" s="323">
        <v>5432165464</v>
      </c>
      <c r="S22" s="324"/>
      <c r="T22" s="324"/>
      <c r="U22" s="325"/>
      <c r="V22" s="139"/>
    </row>
    <row r="23" spans="1:22" ht="14.1" customHeight="1" thickBot="1" x14ac:dyDescent="0.3">
      <c r="A23" s="431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7307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7308</v>
      </c>
      <c r="B3" s="109" t="s">
        <v>7309</v>
      </c>
      <c r="C3" s="109" t="s">
        <v>12511</v>
      </c>
      <c r="D3" s="109" t="s">
        <v>7310</v>
      </c>
      <c r="E3" s="109" t="s">
        <v>7311</v>
      </c>
      <c r="F3" s="109" t="s">
        <v>7276</v>
      </c>
      <c r="G3" s="109" t="s">
        <v>7312</v>
      </c>
      <c r="H3" s="110" t="s">
        <v>7277</v>
      </c>
      <c r="I3" s="109" t="s">
        <v>7309</v>
      </c>
      <c r="J3" s="109" t="s">
        <v>7313</v>
      </c>
      <c r="K3" s="109" t="s">
        <v>12512</v>
      </c>
    </row>
    <row r="4" spans="1:11" s="1" customFormat="1" x14ac:dyDescent="0.25">
      <c r="A4" t="s">
        <v>11212</v>
      </c>
      <c r="B4" t="s">
        <v>11213</v>
      </c>
      <c r="C4" s="88"/>
      <c r="D4" t="s">
        <v>9537</v>
      </c>
      <c r="E4">
        <v>160</v>
      </c>
      <c r="F4" t="s">
        <v>11214</v>
      </c>
      <c r="G4" t="s">
        <v>11213</v>
      </c>
      <c r="H4" t="s">
        <v>11213</v>
      </c>
      <c r="I4" t="s">
        <v>11213</v>
      </c>
      <c r="J4" t="s">
        <v>11214</v>
      </c>
      <c r="K4" t="s">
        <v>12513</v>
      </c>
    </row>
    <row r="5" spans="1:11" s="1" customFormat="1" x14ac:dyDescent="0.25">
      <c r="A5" t="s">
        <v>11215</v>
      </c>
      <c r="B5" t="s">
        <v>11216</v>
      </c>
      <c r="C5" s="88"/>
      <c r="D5" t="s">
        <v>8549</v>
      </c>
      <c r="E5">
        <v>99</v>
      </c>
      <c r="F5" t="s">
        <v>11217</v>
      </c>
      <c r="G5" t="s">
        <v>11216</v>
      </c>
      <c r="H5" t="s">
        <v>11213</v>
      </c>
      <c r="I5" t="s">
        <v>11216</v>
      </c>
      <c r="J5" t="s">
        <v>11217</v>
      </c>
      <c r="K5" t="s">
        <v>9266</v>
      </c>
    </row>
    <row r="6" spans="1:11" s="1" customFormat="1" x14ac:dyDescent="0.25">
      <c r="A6" t="s">
        <v>11218</v>
      </c>
      <c r="B6" t="s">
        <v>11219</v>
      </c>
      <c r="C6" s="88"/>
      <c r="D6" t="s">
        <v>11220</v>
      </c>
      <c r="E6">
        <v>100</v>
      </c>
      <c r="F6" t="s">
        <v>11221</v>
      </c>
      <c r="G6" t="s">
        <v>11219</v>
      </c>
      <c r="H6" t="s">
        <v>11213</v>
      </c>
      <c r="I6" t="s">
        <v>11219</v>
      </c>
      <c r="J6" t="s">
        <v>11221</v>
      </c>
      <c r="K6" t="s">
        <v>12514</v>
      </c>
    </row>
    <row r="7" spans="1:11" s="1" customFormat="1" x14ac:dyDescent="0.25">
      <c r="A7" t="s">
        <v>11222</v>
      </c>
      <c r="B7" t="s">
        <v>11223</v>
      </c>
      <c r="C7" s="88"/>
      <c r="D7" t="s">
        <v>7471</v>
      </c>
      <c r="E7">
        <v>102</v>
      </c>
      <c r="F7" t="s">
        <v>11224</v>
      </c>
      <c r="G7" t="s">
        <v>11223</v>
      </c>
      <c r="H7" t="s">
        <v>11213</v>
      </c>
      <c r="I7" t="s">
        <v>11223</v>
      </c>
      <c r="J7" t="s">
        <v>11224</v>
      </c>
      <c r="K7" t="s">
        <v>11223</v>
      </c>
    </row>
    <row r="8" spans="1:11" s="1" customFormat="1" x14ac:dyDescent="0.25">
      <c r="A8" t="s">
        <v>11225</v>
      </c>
      <c r="B8" t="s">
        <v>11226</v>
      </c>
      <c r="C8" s="88"/>
      <c r="D8" t="s">
        <v>11227</v>
      </c>
      <c r="E8">
        <v>197</v>
      </c>
      <c r="F8" t="s">
        <v>11228</v>
      </c>
      <c r="G8" t="s">
        <v>11226</v>
      </c>
      <c r="H8" t="s">
        <v>11213</v>
      </c>
      <c r="I8" t="s">
        <v>11226</v>
      </c>
      <c r="J8" t="s">
        <v>11228</v>
      </c>
      <c r="K8" t="s">
        <v>11226</v>
      </c>
    </row>
    <row r="9" spans="1:11" s="1" customFormat="1" x14ac:dyDescent="0.25">
      <c r="A9" t="s">
        <v>11229</v>
      </c>
      <c r="B9" t="s">
        <v>11230</v>
      </c>
      <c r="C9" s="88"/>
      <c r="D9" t="s">
        <v>10385</v>
      </c>
      <c r="E9">
        <v>601</v>
      </c>
      <c r="F9" t="s">
        <v>11232</v>
      </c>
      <c r="G9" t="s">
        <v>11231</v>
      </c>
      <c r="H9" t="s">
        <v>11213</v>
      </c>
      <c r="I9" t="s">
        <v>11230</v>
      </c>
      <c r="J9" t="s">
        <v>11232</v>
      </c>
      <c r="K9" t="s">
        <v>11288</v>
      </c>
    </row>
    <row r="10" spans="1:11" s="1" customFormat="1" x14ac:dyDescent="0.25">
      <c r="A10" t="s">
        <v>11233</v>
      </c>
      <c r="B10" t="s">
        <v>11234</v>
      </c>
      <c r="C10" s="88"/>
      <c r="D10" t="s">
        <v>7853</v>
      </c>
      <c r="E10">
        <v>215</v>
      </c>
      <c r="F10" t="s">
        <v>11235</v>
      </c>
      <c r="G10" t="s">
        <v>11234</v>
      </c>
      <c r="H10" t="s">
        <v>11213</v>
      </c>
      <c r="I10" t="s">
        <v>11234</v>
      </c>
      <c r="J10" t="s">
        <v>11235</v>
      </c>
      <c r="K10" t="s">
        <v>11234</v>
      </c>
    </row>
    <row r="11" spans="1:11" s="1" customFormat="1" x14ac:dyDescent="0.25">
      <c r="A11" t="s">
        <v>11236</v>
      </c>
      <c r="B11" t="s">
        <v>11237</v>
      </c>
      <c r="C11" s="88"/>
      <c r="D11" t="s">
        <v>11238</v>
      </c>
      <c r="E11">
        <v>195</v>
      </c>
      <c r="F11" t="s">
        <v>11239</v>
      </c>
      <c r="G11" t="s">
        <v>11237</v>
      </c>
      <c r="H11" t="s">
        <v>11213</v>
      </c>
      <c r="I11" t="s">
        <v>11237</v>
      </c>
      <c r="J11" t="s">
        <v>11239</v>
      </c>
      <c r="K11" t="s">
        <v>11237</v>
      </c>
    </row>
    <row r="12" spans="1:11" s="1" customFormat="1" x14ac:dyDescent="0.25">
      <c r="A12" t="s">
        <v>11240</v>
      </c>
      <c r="B12" t="s">
        <v>11241</v>
      </c>
      <c r="C12" s="88"/>
      <c r="D12" t="s">
        <v>7315</v>
      </c>
      <c r="E12">
        <v>318</v>
      </c>
      <c r="F12" t="s">
        <v>11242</v>
      </c>
      <c r="G12" t="s">
        <v>11241</v>
      </c>
      <c r="H12" t="s">
        <v>11213</v>
      </c>
      <c r="I12" t="s">
        <v>11241</v>
      </c>
      <c r="J12" t="s">
        <v>11242</v>
      </c>
      <c r="K12" t="s">
        <v>12515</v>
      </c>
    </row>
    <row r="13" spans="1:11" s="1" customFormat="1" x14ac:dyDescent="0.25">
      <c r="A13" t="s">
        <v>11243</v>
      </c>
      <c r="B13" t="s">
        <v>11244</v>
      </c>
      <c r="C13" s="88"/>
      <c r="D13" t="s">
        <v>11245</v>
      </c>
      <c r="E13">
        <v>100</v>
      </c>
      <c r="F13" t="s">
        <v>11246</v>
      </c>
      <c r="G13" t="s">
        <v>11244</v>
      </c>
      <c r="H13" t="s">
        <v>11213</v>
      </c>
      <c r="I13" t="s">
        <v>11244</v>
      </c>
      <c r="J13" t="s">
        <v>11246</v>
      </c>
      <c r="K13" t="s">
        <v>11237</v>
      </c>
    </row>
    <row r="14" spans="1:11" s="1" customFormat="1" x14ac:dyDescent="0.25">
      <c r="A14" t="s">
        <v>11247</v>
      </c>
      <c r="B14" t="s">
        <v>11248</v>
      </c>
      <c r="C14" s="88"/>
      <c r="D14" t="s">
        <v>7370</v>
      </c>
      <c r="E14">
        <v>569</v>
      </c>
      <c r="F14" t="s">
        <v>11249</v>
      </c>
      <c r="G14" t="s">
        <v>11248</v>
      </c>
      <c r="H14" t="s">
        <v>11213</v>
      </c>
      <c r="I14" t="s">
        <v>11248</v>
      </c>
      <c r="J14" t="s">
        <v>11249</v>
      </c>
      <c r="K14" t="s">
        <v>11269</v>
      </c>
    </row>
    <row r="15" spans="1:11" s="1" customFormat="1" x14ac:dyDescent="0.25">
      <c r="A15" t="s">
        <v>11250</v>
      </c>
      <c r="B15" t="s">
        <v>11251</v>
      </c>
      <c r="C15" s="88"/>
      <c r="D15" t="s">
        <v>11252</v>
      </c>
      <c r="E15">
        <v>351</v>
      </c>
      <c r="F15" t="s">
        <v>11253</v>
      </c>
      <c r="G15" t="s">
        <v>11251</v>
      </c>
      <c r="H15" t="s">
        <v>11213</v>
      </c>
      <c r="I15" t="s">
        <v>11251</v>
      </c>
      <c r="J15" t="s">
        <v>11253</v>
      </c>
      <c r="K15" t="s">
        <v>9266</v>
      </c>
    </row>
    <row r="16" spans="1:11" s="1" customFormat="1" x14ac:dyDescent="0.25">
      <c r="A16" t="s">
        <v>11254</v>
      </c>
      <c r="B16" t="s">
        <v>11255</v>
      </c>
      <c r="C16" s="88"/>
      <c r="D16" t="s">
        <v>11256</v>
      </c>
      <c r="E16">
        <v>0</v>
      </c>
      <c r="F16" t="s">
        <v>11258</v>
      </c>
      <c r="G16" t="s">
        <v>11257</v>
      </c>
      <c r="H16" t="s">
        <v>11213</v>
      </c>
      <c r="I16" t="s">
        <v>11255</v>
      </c>
      <c r="J16" t="s">
        <v>11258</v>
      </c>
      <c r="K16" t="s">
        <v>9266</v>
      </c>
    </row>
    <row r="17" spans="1:11" s="1" customFormat="1" x14ac:dyDescent="0.25">
      <c r="A17" t="s">
        <v>11259</v>
      </c>
      <c r="B17" t="s">
        <v>11260</v>
      </c>
      <c r="C17" s="88"/>
      <c r="D17" t="s">
        <v>11261</v>
      </c>
      <c r="E17">
        <v>201</v>
      </c>
      <c r="F17" t="s">
        <v>11262</v>
      </c>
      <c r="G17" t="s">
        <v>11260</v>
      </c>
      <c r="H17" t="s">
        <v>11213</v>
      </c>
      <c r="I17" t="s">
        <v>11260</v>
      </c>
      <c r="J17" t="s">
        <v>11262</v>
      </c>
      <c r="K17" t="s">
        <v>11260</v>
      </c>
    </row>
    <row r="18" spans="1:11" s="1" customFormat="1" x14ac:dyDescent="0.25">
      <c r="A18" t="s">
        <v>11263</v>
      </c>
      <c r="B18" t="s">
        <v>8553</v>
      </c>
      <c r="C18" s="88"/>
      <c r="D18" t="s">
        <v>8549</v>
      </c>
      <c r="E18">
        <v>0</v>
      </c>
      <c r="F18" t="s">
        <v>11264</v>
      </c>
      <c r="G18" t="s">
        <v>8553</v>
      </c>
      <c r="H18" t="s">
        <v>11213</v>
      </c>
      <c r="I18" t="s">
        <v>8553</v>
      </c>
      <c r="J18" t="s">
        <v>11264</v>
      </c>
      <c r="K18" t="s">
        <v>12515</v>
      </c>
    </row>
    <row r="19" spans="1:11" s="1" customFormat="1" x14ac:dyDescent="0.25">
      <c r="A19" t="s">
        <v>11265</v>
      </c>
      <c r="B19" t="s">
        <v>11266</v>
      </c>
      <c r="C19" s="88"/>
      <c r="D19" t="s">
        <v>7990</v>
      </c>
      <c r="E19">
        <v>315</v>
      </c>
      <c r="F19" t="s">
        <v>11267</v>
      </c>
      <c r="G19" t="s">
        <v>10667</v>
      </c>
      <c r="H19" t="s">
        <v>11213</v>
      </c>
      <c r="I19" t="s">
        <v>11266</v>
      </c>
      <c r="J19" t="s">
        <v>11267</v>
      </c>
      <c r="K19" t="s">
        <v>12514</v>
      </c>
    </row>
    <row r="20" spans="1:11" s="1" customFormat="1" x14ac:dyDescent="0.25">
      <c r="A20" t="s">
        <v>11268</v>
      </c>
      <c r="B20" t="s">
        <v>11269</v>
      </c>
      <c r="C20" s="88"/>
      <c r="D20" t="s">
        <v>11270</v>
      </c>
      <c r="E20">
        <v>358</v>
      </c>
      <c r="F20" t="s">
        <v>11271</v>
      </c>
      <c r="G20" t="s">
        <v>11269</v>
      </c>
      <c r="H20" t="s">
        <v>11213</v>
      </c>
      <c r="I20" t="s">
        <v>11269</v>
      </c>
      <c r="J20" t="s">
        <v>11271</v>
      </c>
      <c r="K20" t="s">
        <v>11269</v>
      </c>
    </row>
    <row r="21" spans="1:11" s="1" customFormat="1" x14ac:dyDescent="0.25">
      <c r="A21" t="s">
        <v>11272</v>
      </c>
      <c r="B21" t="s">
        <v>11273</v>
      </c>
      <c r="C21" s="88"/>
      <c r="D21" t="s">
        <v>9225</v>
      </c>
      <c r="E21">
        <v>625</v>
      </c>
      <c r="F21" t="s">
        <v>11274</v>
      </c>
      <c r="G21" t="s">
        <v>11273</v>
      </c>
      <c r="H21" t="s">
        <v>11213</v>
      </c>
      <c r="I21" t="s">
        <v>11273</v>
      </c>
      <c r="J21" t="s">
        <v>11274</v>
      </c>
      <c r="K21" t="s">
        <v>12515</v>
      </c>
    </row>
    <row r="22" spans="1:11" s="1" customFormat="1" x14ac:dyDescent="0.25">
      <c r="A22" t="s">
        <v>11275</v>
      </c>
      <c r="B22" t="s">
        <v>11276</v>
      </c>
      <c r="C22" s="88"/>
      <c r="D22" t="s">
        <v>8047</v>
      </c>
      <c r="E22">
        <v>100</v>
      </c>
      <c r="F22" t="s">
        <v>11278</v>
      </c>
      <c r="G22" t="s">
        <v>11277</v>
      </c>
      <c r="H22" t="s">
        <v>11213</v>
      </c>
      <c r="I22" t="s">
        <v>11276</v>
      </c>
      <c r="J22" t="s">
        <v>11278</v>
      </c>
      <c r="K22" t="s">
        <v>9266</v>
      </c>
    </row>
    <row r="23" spans="1:11" s="1" customFormat="1" x14ac:dyDescent="0.25">
      <c r="A23" t="s">
        <v>11279</v>
      </c>
      <c r="B23" t="s">
        <v>7747</v>
      </c>
      <c r="C23" s="88"/>
      <c r="D23" t="s">
        <v>11280</v>
      </c>
      <c r="E23">
        <v>100</v>
      </c>
      <c r="F23" t="s">
        <v>11281</v>
      </c>
      <c r="G23" t="s">
        <v>7747</v>
      </c>
      <c r="H23" t="s">
        <v>11213</v>
      </c>
      <c r="I23" t="s">
        <v>7747</v>
      </c>
      <c r="J23" t="s">
        <v>11281</v>
      </c>
      <c r="K23" t="s">
        <v>7747</v>
      </c>
    </row>
    <row r="24" spans="1:11" s="1" customFormat="1" x14ac:dyDescent="0.25">
      <c r="A24" t="s">
        <v>11282</v>
      </c>
      <c r="B24" t="s">
        <v>11283</v>
      </c>
      <c r="C24" s="88"/>
      <c r="D24" t="s">
        <v>11284</v>
      </c>
      <c r="E24">
        <v>296</v>
      </c>
      <c r="F24" t="s">
        <v>11285</v>
      </c>
      <c r="G24" t="s">
        <v>11283</v>
      </c>
      <c r="H24" t="s">
        <v>11213</v>
      </c>
      <c r="I24" t="s">
        <v>11283</v>
      </c>
      <c r="J24" t="s">
        <v>11285</v>
      </c>
      <c r="K24" t="s">
        <v>11283</v>
      </c>
    </row>
    <row r="25" spans="1:11" s="1" customFormat="1" x14ac:dyDescent="0.25">
      <c r="A25" t="s">
        <v>11286</v>
      </c>
      <c r="B25" t="s">
        <v>11287</v>
      </c>
      <c r="C25" s="88"/>
      <c r="D25" t="s">
        <v>9806</v>
      </c>
      <c r="E25">
        <v>201</v>
      </c>
      <c r="F25" t="s">
        <v>11289</v>
      </c>
      <c r="G25" t="s">
        <v>11288</v>
      </c>
      <c r="H25" t="s">
        <v>11213</v>
      </c>
      <c r="I25" t="s">
        <v>11287</v>
      </c>
      <c r="J25" t="s">
        <v>11289</v>
      </c>
      <c r="K25" t="s">
        <v>11288</v>
      </c>
    </row>
    <row r="26" spans="1:11" s="1" customFormat="1" x14ac:dyDescent="0.25">
      <c r="A26" t="s">
        <v>11290</v>
      </c>
      <c r="B26" t="s">
        <v>11291</v>
      </c>
      <c r="C26" s="88"/>
      <c r="D26" t="s">
        <v>11292</v>
      </c>
      <c r="E26">
        <v>20</v>
      </c>
      <c r="F26" t="s">
        <v>11294</v>
      </c>
      <c r="G26" t="s">
        <v>11293</v>
      </c>
      <c r="H26" t="s">
        <v>11213</v>
      </c>
      <c r="I26" t="s">
        <v>11291</v>
      </c>
      <c r="J26" t="s">
        <v>11294</v>
      </c>
      <c r="K26" t="s">
        <v>12516</v>
      </c>
    </row>
    <row r="27" spans="1:11" s="1" customFormat="1" x14ac:dyDescent="0.25">
      <c r="A27" t="s">
        <v>11295</v>
      </c>
      <c r="B27" t="s">
        <v>9652</v>
      </c>
      <c r="C27" s="88"/>
      <c r="D27" t="s">
        <v>8549</v>
      </c>
      <c r="E27">
        <v>1</v>
      </c>
      <c r="F27" t="s">
        <v>11296</v>
      </c>
      <c r="G27" t="s">
        <v>9652</v>
      </c>
      <c r="H27" t="s">
        <v>11213</v>
      </c>
      <c r="I27" t="s">
        <v>9652</v>
      </c>
      <c r="J27" t="s">
        <v>11296</v>
      </c>
      <c r="K27" t="s">
        <v>9652</v>
      </c>
    </row>
    <row r="28" spans="1:11" s="1" customFormat="1" x14ac:dyDescent="0.25">
      <c r="A28" t="s">
        <v>11297</v>
      </c>
      <c r="B28" t="s">
        <v>11298</v>
      </c>
      <c r="C28" s="88"/>
      <c r="D28" t="s">
        <v>11299</v>
      </c>
      <c r="E28">
        <v>402</v>
      </c>
      <c r="F28" t="s">
        <v>11300</v>
      </c>
      <c r="G28" t="s">
        <v>11298</v>
      </c>
      <c r="H28" t="s">
        <v>11213</v>
      </c>
      <c r="I28" t="s">
        <v>11298</v>
      </c>
      <c r="J28" t="s">
        <v>11300</v>
      </c>
      <c r="K28" t="s">
        <v>12515</v>
      </c>
    </row>
    <row r="29" spans="1:11" s="1" customFormat="1" x14ac:dyDescent="0.25">
      <c r="A29" t="s">
        <v>11301</v>
      </c>
      <c r="B29" t="s">
        <v>11302</v>
      </c>
      <c r="C29" s="88"/>
      <c r="D29" t="s">
        <v>11303</v>
      </c>
      <c r="E29">
        <v>150</v>
      </c>
      <c r="F29" t="s">
        <v>11304</v>
      </c>
      <c r="G29" t="s">
        <v>11302</v>
      </c>
      <c r="H29" t="s">
        <v>11213</v>
      </c>
      <c r="I29" t="s">
        <v>11302</v>
      </c>
      <c r="J29" t="s">
        <v>11304</v>
      </c>
      <c r="K29" t="s">
        <v>12517</v>
      </c>
    </row>
    <row r="30" spans="1:11" s="1" customFormat="1" x14ac:dyDescent="0.25">
      <c r="A30" t="s">
        <v>11305</v>
      </c>
      <c r="B30" t="s">
        <v>11306</v>
      </c>
      <c r="C30" s="88"/>
      <c r="D30" t="s">
        <v>7730</v>
      </c>
      <c r="E30">
        <v>153</v>
      </c>
      <c r="F30" t="s">
        <v>11308</v>
      </c>
      <c r="G30" t="s">
        <v>11307</v>
      </c>
      <c r="H30" t="s">
        <v>11213</v>
      </c>
      <c r="I30" t="s">
        <v>11306</v>
      </c>
      <c r="J30" t="s">
        <v>11308</v>
      </c>
      <c r="K30" t="s">
        <v>12518</v>
      </c>
    </row>
    <row r="31" spans="1:11" s="1" customFormat="1" x14ac:dyDescent="0.25">
      <c r="A31" t="s">
        <v>11309</v>
      </c>
      <c r="B31" t="s">
        <v>11310</v>
      </c>
      <c r="C31" s="88"/>
      <c r="D31" t="s">
        <v>8549</v>
      </c>
      <c r="E31">
        <v>501</v>
      </c>
      <c r="F31" t="s">
        <v>11311</v>
      </c>
      <c r="G31" t="s">
        <v>11310</v>
      </c>
      <c r="H31" t="s">
        <v>11213</v>
      </c>
      <c r="I31" t="s">
        <v>11310</v>
      </c>
      <c r="J31" t="s">
        <v>11311</v>
      </c>
      <c r="K31" t="s">
        <v>9266</v>
      </c>
    </row>
    <row r="32" spans="1:11" s="1" customFormat="1" x14ac:dyDescent="0.25">
      <c r="A32" t="s">
        <v>11312</v>
      </c>
      <c r="B32" t="s">
        <v>11313</v>
      </c>
      <c r="C32" s="88"/>
      <c r="D32" t="s">
        <v>7792</v>
      </c>
      <c r="E32">
        <v>0</v>
      </c>
      <c r="F32" t="s">
        <v>11314</v>
      </c>
      <c r="G32" t="s">
        <v>11313</v>
      </c>
      <c r="H32" t="s">
        <v>11213</v>
      </c>
      <c r="I32" t="s">
        <v>11313</v>
      </c>
      <c r="J32" t="s">
        <v>11314</v>
      </c>
      <c r="K32" t="s">
        <v>11313</v>
      </c>
    </row>
    <row r="33" spans="1:26" s="1" customFormat="1" x14ac:dyDescent="0.25">
      <c r="A33" t="s">
        <v>11315</v>
      </c>
      <c r="B33" t="s">
        <v>11316</v>
      </c>
      <c r="C33" s="88"/>
      <c r="D33" t="s">
        <v>9355</v>
      </c>
      <c r="E33"/>
      <c r="F33" t="s">
        <v>11317</v>
      </c>
      <c r="G33" t="s">
        <v>11316</v>
      </c>
      <c r="H33" t="s">
        <v>11213</v>
      </c>
      <c r="I33" t="s">
        <v>11316</v>
      </c>
      <c r="J33" t="s">
        <v>11317</v>
      </c>
      <c r="K33" t="s">
        <v>12513</v>
      </c>
    </row>
    <row r="34" spans="1:26" s="1" customFormat="1" x14ac:dyDescent="0.25">
      <c r="A34" t="s">
        <v>11318</v>
      </c>
      <c r="B34" t="s">
        <v>11319</v>
      </c>
      <c r="C34" s="88"/>
      <c r="D34" t="s">
        <v>10516</v>
      </c>
      <c r="E34"/>
      <c r="F34" t="s">
        <v>11320</v>
      </c>
      <c r="G34" t="s">
        <v>11319</v>
      </c>
      <c r="H34" t="s">
        <v>11213</v>
      </c>
      <c r="I34" t="s">
        <v>11319</v>
      </c>
      <c r="J34" t="s">
        <v>11320</v>
      </c>
      <c r="K34" t="s">
        <v>11288</v>
      </c>
    </row>
    <row r="35" spans="1:26" s="1" customFormat="1" x14ac:dyDescent="0.25">
      <c r="A35" t="s">
        <v>11321</v>
      </c>
      <c r="B35" t="s">
        <v>11322</v>
      </c>
      <c r="C35" s="88"/>
      <c r="D35" t="s">
        <v>10225</v>
      </c>
      <c r="E35">
        <v>998</v>
      </c>
      <c r="F35" t="s">
        <v>11323</v>
      </c>
      <c r="G35" t="s">
        <v>11213</v>
      </c>
      <c r="H35" t="s">
        <v>11213</v>
      </c>
      <c r="I35" t="s">
        <v>11322</v>
      </c>
      <c r="J35" t="s">
        <v>11323</v>
      </c>
      <c r="K35" t="s">
        <v>12513</v>
      </c>
    </row>
    <row r="36" spans="1:26" s="1" customFormat="1" x14ac:dyDescent="0.25">
      <c r="A36" t="s">
        <v>11324</v>
      </c>
      <c r="B36" t="s">
        <v>11325</v>
      </c>
      <c r="C36" s="88"/>
      <c r="D36" t="s">
        <v>7370</v>
      </c>
      <c r="E36">
        <v>117</v>
      </c>
      <c r="F36" t="s">
        <v>11326</v>
      </c>
      <c r="G36" t="s">
        <v>11325</v>
      </c>
      <c r="H36" t="s">
        <v>11213</v>
      </c>
      <c r="I36" t="s">
        <v>11325</v>
      </c>
      <c r="J36" t="s">
        <v>11326</v>
      </c>
      <c r="K36" t="s">
        <v>11325</v>
      </c>
    </row>
    <row r="37" spans="1:26" s="3" customFormat="1" x14ac:dyDescent="0.25">
      <c r="A37" t="s">
        <v>11327</v>
      </c>
      <c r="B37" t="s">
        <v>11328</v>
      </c>
      <c r="C37" s="88"/>
      <c r="D37" t="s">
        <v>11329</v>
      </c>
      <c r="E37"/>
      <c r="F37" t="s">
        <v>11330</v>
      </c>
      <c r="G37" t="s">
        <v>11328</v>
      </c>
      <c r="H37" t="s">
        <v>11213</v>
      </c>
      <c r="I37" t="s">
        <v>11328</v>
      </c>
      <c r="J37" t="s">
        <v>11330</v>
      </c>
      <c r="K37" t="s">
        <v>7747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11331</v>
      </c>
      <c r="B38" t="s">
        <v>11332</v>
      </c>
      <c r="C38" s="88"/>
      <c r="D38" t="s">
        <v>11333</v>
      </c>
      <c r="E38"/>
      <c r="F38" t="s">
        <v>11335</v>
      </c>
      <c r="G38" t="s">
        <v>11334</v>
      </c>
      <c r="H38" t="s">
        <v>11213</v>
      </c>
      <c r="I38" t="s">
        <v>11332</v>
      </c>
      <c r="J38" t="s">
        <v>11335</v>
      </c>
      <c r="K38" t="s">
        <v>7747</v>
      </c>
    </row>
    <row r="39" spans="1:26" s="1" customFormat="1" x14ac:dyDescent="0.25">
      <c r="A39" t="s">
        <v>11336</v>
      </c>
      <c r="B39" t="s">
        <v>11337</v>
      </c>
      <c r="C39" s="88"/>
      <c r="D39" t="s">
        <v>8963</v>
      </c>
      <c r="E39">
        <v>0</v>
      </c>
      <c r="F39" t="s">
        <v>11338</v>
      </c>
      <c r="G39" t="s">
        <v>11213</v>
      </c>
      <c r="H39" t="s">
        <v>11213</v>
      </c>
      <c r="I39" t="s">
        <v>11337</v>
      </c>
      <c r="J39" t="s">
        <v>11338</v>
      </c>
      <c r="K39" t="s">
        <v>12513</v>
      </c>
    </row>
    <row r="40" spans="1:26" s="1" customFormat="1" x14ac:dyDescent="0.25">
      <c r="A40" t="s">
        <v>11339</v>
      </c>
      <c r="B40" t="s">
        <v>11340</v>
      </c>
      <c r="C40" s="88"/>
      <c r="D40" t="s">
        <v>11341</v>
      </c>
      <c r="E40">
        <v>0</v>
      </c>
      <c r="F40" t="s">
        <v>11342</v>
      </c>
      <c r="G40" t="s">
        <v>11213</v>
      </c>
      <c r="H40" t="s">
        <v>11213</v>
      </c>
      <c r="I40" t="s">
        <v>11340</v>
      </c>
      <c r="J40" t="s">
        <v>11342</v>
      </c>
      <c r="K40" t="s">
        <v>12513</v>
      </c>
    </row>
    <row r="41" spans="1:26" s="1" customFormat="1" x14ac:dyDescent="0.25">
      <c r="A41" t="s">
        <v>11343</v>
      </c>
      <c r="B41" t="s">
        <v>11344</v>
      </c>
      <c r="C41" s="88"/>
      <c r="D41" t="s">
        <v>8088</v>
      </c>
      <c r="E41">
        <v>0</v>
      </c>
      <c r="F41" t="s">
        <v>11345</v>
      </c>
      <c r="G41" t="s">
        <v>11344</v>
      </c>
      <c r="H41" t="s">
        <v>11213</v>
      </c>
      <c r="I41" t="s">
        <v>11344</v>
      </c>
      <c r="J41" t="s">
        <v>11345</v>
      </c>
      <c r="K41" t="s">
        <v>12514</v>
      </c>
    </row>
    <row r="42" spans="1:26" s="1" customFormat="1" x14ac:dyDescent="0.25">
      <c r="A42" t="s">
        <v>11346</v>
      </c>
      <c r="B42" t="s">
        <v>11347</v>
      </c>
      <c r="C42" s="88"/>
      <c r="D42" t="s">
        <v>11348</v>
      </c>
      <c r="E42">
        <v>0</v>
      </c>
      <c r="F42" t="s">
        <v>11349</v>
      </c>
      <c r="G42" t="s">
        <v>11213</v>
      </c>
      <c r="H42" t="s">
        <v>11213</v>
      </c>
      <c r="I42" t="s">
        <v>11347</v>
      </c>
      <c r="J42" t="s">
        <v>11349</v>
      </c>
      <c r="K42" t="s">
        <v>12513</v>
      </c>
    </row>
    <row r="43" spans="1:26" s="1" customFormat="1" x14ac:dyDescent="0.25">
      <c r="A43" t="s">
        <v>7314</v>
      </c>
      <c r="B43" t="s">
        <v>7315</v>
      </c>
      <c r="C43" s="88"/>
      <c r="D43" t="s">
        <v>7316</v>
      </c>
      <c r="E43">
        <v>1951</v>
      </c>
      <c r="F43" t="s">
        <v>7319</v>
      </c>
      <c r="G43" t="s">
        <v>7317</v>
      </c>
      <c r="H43" t="s">
        <v>7318</v>
      </c>
      <c r="I43" t="s">
        <v>7315</v>
      </c>
      <c r="J43" t="s">
        <v>7319</v>
      </c>
      <c r="K43" t="s">
        <v>7317</v>
      </c>
    </row>
    <row r="44" spans="1:26" s="1" customFormat="1" x14ac:dyDescent="0.25">
      <c r="A44" t="s">
        <v>7320</v>
      </c>
      <c r="B44" t="s">
        <v>7321</v>
      </c>
      <c r="C44" s="88"/>
      <c r="D44" t="s">
        <v>7322</v>
      </c>
      <c r="E44">
        <v>1140</v>
      </c>
      <c r="F44" t="s">
        <v>7323</v>
      </c>
      <c r="G44" t="s">
        <v>7321</v>
      </c>
      <c r="H44" t="s">
        <v>7318</v>
      </c>
      <c r="I44" t="s">
        <v>7321</v>
      </c>
      <c r="J44" t="s">
        <v>7323</v>
      </c>
      <c r="K44" t="s">
        <v>7321</v>
      </c>
    </row>
    <row r="45" spans="1:26" s="1" customFormat="1" x14ac:dyDescent="0.25">
      <c r="A45" t="s">
        <v>7324</v>
      </c>
      <c r="B45" t="s">
        <v>7325</v>
      </c>
      <c r="C45" s="88"/>
      <c r="D45" t="s">
        <v>7326</v>
      </c>
      <c r="E45">
        <v>1202</v>
      </c>
      <c r="F45" t="s">
        <v>7327</v>
      </c>
      <c r="G45" t="s">
        <v>7325</v>
      </c>
      <c r="H45" t="s">
        <v>7318</v>
      </c>
      <c r="I45" t="s">
        <v>7325</v>
      </c>
      <c r="J45" t="s">
        <v>7327</v>
      </c>
      <c r="K45" t="s">
        <v>7325</v>
      </c>
    </row>
    <row r="46" spans="1:26" s="1" customFormat="1" x14ac:dyDescent="0.25">
      <c r="A46" t="s">
        <v>7328</v>
      </c>
      <c r="B46" t="s">
        <v>7329</v>
      </c>
      <c r="C46" s="88"/>
      <c r="D46" t="s">
        <v>7330</v>
      </c>
      <c r="E46">
        <v>6001</v>
      </c>
      <c r="F46" t="s">
        <v>7331</v>
      </c>
      <c r="G46" t="s">
        <v>7329</v>
      </c>
      <c r="H46" t="s">
        <v>7318</v>
      </c>
      <c r="I46" t="s">
        <v>7329</v>
      </c>
      <c r="J46" t="s">
        <v>7331</v>
      </c>
      <c r="K46" t="s">
        <v>7396</v>
      </c>
    </row>
    <row r="47" spans="1:26" s="1" customFormat="1" x14ac:dyDescent="0.25">
      <c r="A47" t="s">
        <v>7332</v>
      </c>
      <c r="B47" t="s">
        <v>7333</v>
      </c>
      <c r="C47" s="88"/>
      <c r="D47" t="s">
        <v>7325</v>
      </c>
      <c r="E47">
        <v>3044</v>
      </c>
      <c r="F47" t="s">
        <v>7334</v>
      </c>
      <c r="G47" t="s">
        <v>7333</v>
      </c>
      <c r="H47" t="s">
        <v>7318</v>
      </c>
      <c r="I47" t="s">
        <v>7333</v>
      </c>
      <c r="J47" t="s">
        <v>7334</v>
      </c>
      <c r="K47" t="s">
        <v>7317</v>
      </c>
    </row>
    <row r="48" spans="1:26" s="1" customFormat="1" x14ac:dyDescent="0.25">
      <c r="A48" t="s">
        <v>7335</v>
      </c>
      <c r="B48" t="s">
        <v>7336</v>
      </c>
      <c r="C48" s="88"/>
      <c r="D48" t="s">
        <v>7337</v>
      </c>
      <c r="E48">
        <v>3586</v>
      </c>
      <c r="F48" t="s">
        <v>7338</v>
      </c>
      <c r="G48" t="s">
        <v>7336</v>
      </c>
      <c r="H48" t="s">
        <v>7318</v>
      </c>
      <c r="I48" t="s">
        <v>7336</v>
      </c>
      <c r="J48" t="s">
        <v>7338</v>
      </c>
      <c r="K48" t="s">
        <v>7325</v>
      </c>
    </row>
    <row r="49" spans="1:11" s="1" customFormat="1" x14ac:dyDescent="0.25">
      <c r="A49" t="s">
        <v>7339</v>
      </c>
      <c r="B49" t="s">
        <v>7340</v>
      </c>
      <c r="C49" s="88"/>
      <c r="D49" t="s">
        <v>7318</v>
      </c>
      <c r="E49">
        <v>7479</v>
      </c>
      <c r="F49" t="s">
        <v>7341</v>
      </c>
      <c r="G49" t="s">
        <v>7340</v>
      </c>
      <c r="H49" t="s">
        <v>7318</v>
      </c>
      <c r="I49" t="s">
        <v>7340</v>
      </c>
      <c r="J49" t="s">
        <v>7341</v>
      </c>
      <c r="K49" t="s">
        <v>7317</v>
      </c>
    </row>
    <row r="50" spans="1:11" s="1" customFormat="1" x14ac:dyDescent="0.25">
      <c r="A50" t="s">
        <v>7342</v>
      </c>
      <c r="B50" t="s">
        <v>7343</v>
      </c>
      <c r="C50" s="88"/>
      <c r="D50" t="s">
        <v>7344</v>
      </c>
      <c r="E50">
        <v>9718</v>
      </c>
      <c r="F50" t="s">
        <v>7345</v>
      </c>
      <c r="G50" t="s">
        <v>7343</v>
      </c>
      <c r="H50" t="s">
        <v>7318</v>
      </c>
      <c r="I50" t="s">
        <v>7343</v>
      </c>
      <c r="J50" t="s">
        <v>7345</v>
      </c>
      <c r="K50" t="s">
        <v>12519</v>
      </c>
    </row>
    <row r="51" spans="1:11" s="1" customFormat="1" x14ac:dyDescent="0.25">
      <c r="A51" t="s">
        <v>7346</v>
      </c>
      <c r="B51" t="s">
        <v>7347</v>
      </c>
      <c r="C51" s="88"/>
      <c r="D51" t="s">
        <v>7348</v>
      </c>
      <c r="E51">
        <v>766</v>
      </c>
      <c r="F51" t="s">
        <v>7349</v>
      </c>
      <c r="G51" t="s">
        <v>7347</v>
      </c>
      <c r="H51" t="s">
        <v>7318</v>
      </c>
      <c r="I51" t="s">
        <v>7347</v>
      </c>
      <c r="J51" t="s">
        <v>7349</v>
      </c>
      <c r="K51" t="s">
        <v>7396</v>
      </c>
    </row>
    <row r="52" spans="1:11" s="1" customFormat="1" x14ac:dyDescent="0.25">
      <c r="A52" t="s">
        <v>7350</v>
      </c>
      <c r="B52" t="s">
        <v>7351</v>
      </c>
      <c r="C52" s="88"/>
      <c r="D52" t="s">
        <v>7352</v>
      </c>
      <c r="E52">
        <v>2647</v>
      </c>
      <c r="F52" t="s">
        <v>7354</v>
      </c>
      <c r="G52" t="s">
        <v>7353</v>
      </c>
      <c r="H52" t="s">
        <v>7318</v>
      </c>
      <c r="I52" t="s">
        <v>7351</v>
      </c>
      <c r="J52" t="s">
        <v>7354</v>
      </c>
      <c r="K52" t="s">
        <v>7396</v>
      </c>
    </row>
    <row r="53" spans="1:11" s="1" customFormat="1" x14ac:dyDescent="0.25">
      <c r="A53" t="s">
        <v>7355</v>
      </c>
      <c r="B53" t="s">
        <v>7356</v>
      </c>
      <c r="C53" s="88"/>
      <c r="D53" t="s">
        <v>7330</v>
      </c>
      <c r="E53">
        <v>3745</v>
      </c>
      <c r="F53" t="s">
        <v>7358</v>
      </c>
      <c r="G53" t="s">
        <v>7357</v>
      </c>
      <c r="H53" t="s">
        <v>7318</v>
      </c>
      <c r="I53" t="s">
        <v>7356</v>
      </c>
      <c r="J53" t="s">
        <v>7358</v>
      </c>
      <c r="K53" t="s">
        <v>7396</v>
      </c>
    </row>
    <row r="54" spans="1:11" s="1" customFormat="1" x14ac:dyDescent="0.25">
      <c r="A54" t="s">
        <v>7359</v>
      </c>
      <c r="B54" t="s">
        <v>7360</v>
      </c>
      <c r="C54" s="88"/>
      <c r="D54" t="s">
        <v>7361</v>
      </c>
      <c r="E54">
        <v>14</v>
      </c>
      <c r="F54" t="s">
        <v>7363</v>
      </c>
      <c r="G54" t="s">
        <v>7362</v>
      </c>
      <c r="H54" t="s">
        <v>7318</v>
      </c>
      <c r="I54" t="s">
        <v>7360</v>
      </c>
      <c r="J54" t="s">
        <v>7363</v>
      </c>
      <c r="K54" t="s">
        <v>8562</v>
      </c>
    </row>
    <row r="55" spans="1:11" s="1" customFormat="1" x14ac:dyDescent="0.25">
      <c r="A55" t="s">
        <v>7364</v>
      </c>
      <c r="B55" t="s">
        <v>7365</v>
      </c>
      <c r="C55" s="88"/>
      <c r="D55" t="s">
        <v>7366</v>
      </c>
      <c r="E55">
        <v>2579</v>
      </c>
      <c r="F55" t="s">
        <v>7367</v>
      </c>
      <c r="G55" t="s">
        <v>7365</v>
      </c>
      <c r="H55" t="s">
        <v>7318</v>
      </c>
      <c r="I55" t="s">
        <v>7365</v>
      </c>
      <c r="J55" t="s">
        <v>7367</v>
      </c>
      <c r="K55" t="s">
        <v>7392</v>
      </c>
    </row>
    <row r="56" spans="1:11" s="1" customFormat="1" x14ac:dyDescent="0.25">
      <c r="A56" t="s">
        <v>7368</v>
      </c>
      <c r="B56" t="s">
        <v>7369</v>
      </c>
      <c r="C56" s="88"/>
      <c r="D56" t="s">
        <v>7370</v>
      </c>
      <c r="E56">
        <v>2849</v>
      </c>
      <c r="F56" t="s">
        <v>7371</v>
      </c>
      <c r="G56" t="s">
        <v>7369</v>
      </c>
      <c r="H56" t="s">
        <v>7318</v>
      </c>
      <c r="I56" t="s">
        <v>7369</v>
      </c>
      <c r="J56" t="s">
        <v>7371</v>
      </c>
      <c r="K56" t="s">
        <v>7325</v>
      </c>
    </row>
    <row r="57" spans="1:11" s="1" customFormat="1" x14ac:dyDescent="0.25">
      <c r="A57" t="s">
        <v>7372</v>
      </c>
      <c r="B57" t="s">
        <v>7373</v>
      </c>
      <c r="C57" s="88"/>
      <c r="D57" t="s">
        <v>7374</v>
      </c>
      <c r="E57">
        <v>532</v>
      </c>
      <c r="F57" t="s">
        <v>7375</v>
      </c>
      <c r="G57" t="s">
        <v>7373</v>
      </c>
      <c r="H57" t="s">
        <v>7318</v>
      </c>
      <c r="I57" t="s">
        <v>7373</v>
      </c>
      <c r="J57" t="s">
        <v>7375</v>
      </c>
      <c r="K57" t="s">
        <v>7321</v>
      </c>
    </row>
    <row r="58" spans="1:11" s="1" customFormat="1" x14ac:dyDescent="0.25">
      <c r="A58" t="s">
        <v>7376</v>
      </c>
      <c r="B58" t="s">
        <v>7377</v>
      </c>
      <c r="C58" s="88"/>
      <c r="D58" t="s">
        <v>7378</v>
      </c>
      <c r="E58">
        <v>4041</v>
      </c>
      <c r="F58" t="s">
        <v>7379</v>
      </c>
      <c r="G58" t="s">
        <v>7377</v>
      </c>
      <c r="H58" t="s">
        <v>7318</v>
      </c>
      <c r="I58" t="s">
        <v>7377</v>
      </c>
      <c r="J58" t="s">
        <v>7379</v>
      </c>
      <c r="K58" t="s">
        <v>7317</v>
      </c>
    </row>
    <row r="59" spans="1:11" s="1" customFormat="1" x14ac:dyDescent="0.25">
      <c r="A59" t="s">
        <v>7380</v>
      </c>
      <c r="B59" t="s">
        <v>7381</v>
      </c>
      <c r="C59" s="88"/>
      <c r="D59" t="s">
        <v>7382</v>
      </c>
      <c r="E59">
        <v>2683</v>
      </c>
      <c r="F59" t="s">
        <v>7383</v>
      </c>
      <c r="G59" t="s">
        <v>7381</v>
      </c>
      <c r="H59" t="s">
        <v>7318</v>
      </c>
      <c r="I59" t="s">
        <v>7381</v>
      </c>
      <c r="J59" t="s">
        <v>7383</v>
      </c>
      <c r="K59" t="s">
        <v>7325</v>
      </c>
    </row>
    <row r="60" spans="1:11" s="1" customFormat="1" x14ac:dyDescent="0.25">
      <c r="A60" t="s">
        <v>7384</v>
      </c>
      <c r="B60" t="s">
        <v>7385</v>
      </c>
      <c r="C60" s="88"/>
      <c r="D60" t="s">
        <v>7382</v>
      </c>
      <c r="E60">
        <v>438</v>
      </c>
      <c r="F60" t="s">
        <v>7386</v>
      </c>
      <c r="G60" t="s">
        <v>7369</v>
      </c>
      <c r="H60" t="s">
        <v>7318</v>
      </c>
      <c r="I60" t="s">
        <v>7385</v>
      </c>
      <c r="J60" t="s">
        <v>7386</v>
      </c>
      <c r="K60" t="s">
        <v>7325</v>
      </c>
    </row>
    <row r="61" spans="1:11" s="1" customFormat="1" x14ac:dyDescent="0.25">
      <c r="A61" t="s">
        <v>7387</v>
      </c>
      <c r="B61" t="s">
        <v>7388</v>
      </c>
      <c r="C61" s="88"/>
      <c r="D61" t="s">
        <v>7389</v>
      </c>
      <c r="E61">
        <v>3063</v>
      </c>
      <c r="F61" t="s">
        <v>7390</v>
      </c>
      <c r="G61" t="s">
        <v>7388</v>
      </c>
      <c r="H61" t="s">
        <v>7318</v>
      </c>
      <c r="I61" t="s">
        <v>7388</v>
      </c>
      <c r="J61" t="s">
        <v>7390</v>
      </c>
      <c r="K61" t="s">
        <v>7317</v>
      </c>
    </row>
    <row r="62" spans="1:11" s="1" customFormat="1" x14ac:dyDescent="0.25">
      <c r="A62" t="s">
        <v>7391</v>
      </c>
      <c r="B62" t="s">
        <v>7392</v>
      </c>
      <c r="C62" s="88"/>
      <c r="D62" t="s">
        <v>7393</v>
      </c>
      <c r="E62">
        <v>555</v>
      </c>
      <c r="F62" t="s">
        <v>7394</v>
      </c>
      <c r="G62" t="s">
        <v>7392</v>
      </c>
      <c r="H62" t="s">
        <v>7318</v>
      </c>
      <c r="I62" t="s">
        <v>7392</v>
      </c>
      <c r="J62" t="s">
        <v>7394</v>
      </c>
      <c r="K62" t="s">
        <v>7392</v>
      </c>
    </row>
    <row r="63" spans="1:11" s="1" customFormat="1" x14ac:dyDescent="0.25">
      <c r="A63" t="s">
        <v>7395</v>
      </c>
      <c r="B63" t="s">
        <v>7396</v>
      </c>
      <c r="C63" s="88"/>
      <c r="D63" t="s">
        <v>7397</v>
      </c>
      <c r="E63">
        <v>102</v>
      </c>
      <c r="F63" t="s">
        <v>7398</v>
      </c>
      <c r="G63" t="s">
        <v>7396</v>
      </c>
      <c r="H63" t="s">
        <v>7318</v>
      </c>
      <c r="I63" t="s">
        <v>7396</v>
      </c>
      <c r="J63" t="s">
        <v>7398</v>
      </c>
      <c r="K63" t="s">
        <v>7396</v>
      </c>
    </row>
    <row r="64" spans="1:11" s="1" customFormat="1" x14ac:dyDescent="0.25">
      <c r="A64" t="s">
        <v>7399</v>
      </c>
      <c r="B64" t="s">
        <v>7400</v>
      </c>
      <c r="C64" s="88"/>
      <c r="D64" t="s">
        <v>7401</v>
      </c>
      <c r="E64">
        <v>1398</v>
      </c>
      <c r="F64" t="s">
        <v>7402</v>
      </c>
      <c r="G64" t="s">
        <v>7400</v>
      </c>
      <c r="H64" t="s">
        <v>7318</v>
      </c>
      <c r="I64" t="s">
        <v>7400</v>
      </c>
      <c r="J64" t="s">
        <v>7402</v>
      </c>
      <c r="K64" t="s">
        <v>7400</v>
      </c>
    </row>
    <row r="65" spans="1:11" s="1" customFormat="1" x14ac:dyDescent="0.25">
      <c r="A65" t="s">
        <v>7403</v>
      </c>
      <c r="B65" t="s">
        <v>7404</v>
      </c>
      <c r="C65" s="88"/>
      <c r="D65" t="s">
        <v>7405</v>
      </c>
      <c r="E65">
        <v>1090</v>
      </c>
      <c r="F65" t="s">
        <v>7406</v>
      </c>
      <c r="G65" t="s">
        <v>7404</v>
      </c>
      <c r="H65" t="s">
        <v>7318</v>
      </c>
      <c r="I65" t="s">
        <v>7404</v>
      </c>
      <c r="J65" t="s">
        <v>7406</v>
      </c>
      <c r="K65" t="s">
        <v>7400</v>
      </c>
    </row>
    <row r="66" spans="1:11" s="1" customFormat="1" x14ac:dyDescent="0.25">
      <c r="A66" t="s">
        <v>7407</v>
      </c>
      <c r="B66" t="s">
        <v>7353</v>
      </c>
      <c r="C66" s="88"/>
      <c r="D66" t="s">
        <v>7408</v>
      </c>
      <c r="E66">
        <v>2384</v>
      </c>
      <c r="F66" t="s">
        <v>7409</v>
      </c>
      <c r="G66" t="s">
        <v>7353</v>
      </c>
      <c r="H66" t="s">
        <v>7318</v>
      </c>
      <c r="I66" t="s">
        <v>7353</v>
      </c>
      <c r="J66" t="s">
        <v>7409</v>
      </c>
      <c r="K66" t="s">
        <v>7396</v>
      </c>
    </row>
    <row r="67" spans="1:11" s="1" customFormat="1" x14ac:dyDescent="0.25">
      <c r="A67" t="s">
        <v>7410</v>
      </c>
      <c r="B67" t="s">
        <v>7411</v>
      </c>
      <c r="C67" s="88"/>
      <c r="D67" t="s">
        <v>7412</v>
      </c>
      <c r="E67">
        <v>1008</v>
      </c>
      <c r="F67" t="s">
        <v>7413</v>
      </c>
      <c r="G67" t="s">
        <v>7411</v>
      </c>
      <c r="H67" t="s">
        <v>7318</v>
      </c>
      <c r="I67" t="s">
        <v>7411</v>
      </c>
      <c r="J67" t="s">
        <v>7413</v>
      </c>
      <c r="K67" t="s">
        <v>7411</v>
      </c>
    </row>
    <row r="68" spans="1:11" s="1" customFormat="1" x14ac:dyDescent="0.25">
      <c r="A68" t="s">
        <v>7414</v>
      </c>
      <c r="B68" t="s">
        <v>7415</v>
      </c>
      <c r="C68" s="88"/>
      <c r="D68" t="s">
        <v>13222</v>
      </c>
      <c r="E68">
        <v>5009</v>
      </c>
      <c r="F68" t="s">
        <v>7417</v>
      </c>
      <c r="G68" t="s">
        <v>7416</v>
      </c>
      <c r="H68" t="s">
        <v>7318</v>
      </c>
      <c r="I68" t="s">
        <v>7415</v>
      </c>
      <c r="J68" t="s">
        <v>7417</v>
      </c>
      <c r="K68" t="s">
        <v>7416</v>
      </c>
    </row>
    <row r="69" spans="1:11" s="1" customFormat="1" x14ac:dyDescent="0.25">
      <c r="A69" t="s">
        <v>7418</v>
      </c>
      <c r="B69" t="s">
        <v>7419</v>
      </c>
      <c r="C69" s="88"/>
      <c r="D69" t="s">
        <v>7420</v>
      </c>
      <c r="E69">
        <v>444</v>
      </c>
      <c r="F69" t="s">
        <v>7422</v>
      </c>
      <c r="G69" t="s">
        <v>7421</v>
      </c>
      <c r="H69" t="s">
        <v>7318</v>
      </c>
      <c r="I69" t="s">
        <v>7419</v>
      </c>
      <c r="J69" t="s">
        <v>7422</v>
      </c>
      <c r="K69" t="s">
        <v>7411</v>
      </c>
    </row>
    <row r="70" spans="1:11" s="1" customFormat="1" x14ac:dyDescent="0.25">
      <c r="A70" t="s">
        <v>7423</v>
      </c>
      <c r="B70" t="s">
        <v>7424</v>
      </c>
      <c r="C70" s="88"/>
      <c r="D70" t="s">
        <v>7425</v>
      </c>
      <c r="E70">
        <v>1539</v>
      </c>
      <c r="F70" t="s">
        <v>7426</v>
      </c>
      <c r="G70" t="s">
        <v>7424</v>
      </c>
      <c r="H70" t="s">
        <v>7318</v>
      </c>
      <c r="I70" t="s">
        <v>7424</v>
      </c>
      <c r="J70" t="s">
        <v>7426</v>
      </c>
      <c r="K70" t="s">
        <v>7321</v>
      </c>
    </row>
    <row r="71" spans="1:11" s="1" customFormat="1" x14ac:dyDescent="0.25">
      <c r="A71" t="s">
        <v>7427</v>
      </c>
      <c r="B71" t="s">
        <v>7428</v>
      </c>
      <c r="C71" s="88"/>
      <c r="D71" t="s">
        <v>7429</v>
      </c>
      <c r="E71">
        <v>1722</v>
      </c>
      <c r="F71" t="s">
        <v>7430</v>
      </c>
      <c r="G71" t="s">
        <v>7428</v>
      </c>
      <c r="H71" t="s">
        <v>7318</v>
      </c>
      <c r="I71" t="s">
        <v>7428</v>
      </c>
      <c r="J71" t="s">
        <v>7430</v>
      </c>
      <c r="K71" t="s">
        <v>7861</v>
      </c>
    </row>
    <row r="72" spans="1:11" s="1" customFormat="1" x14ac:dyDescent="0.25">
      <c r="A72" t="s">
        <v>7431</v>
      </c>
      <c r="B72" t="s">
        <v>7432</v>
      </c>
      <c r="C72" s="88"/>
      <c r="D72" t="s">
        <v>7433</v>
      </c>
      <c r="E72">
        <v>1395</v>
      </c>
      <c r="F72" t="s">
        <v>7434</v>
      </c>
      <c r="G72" t="s">
        <v>7432</v>
      </c>
      <c r="H72" t="s">
        <v>7318</v>
      </c>
      <c r="I72" t="s">
        <v>7432</v>
      </c>
      <c r="J72" t="s">
        <v>7434</v>
      </c>
      <c r="K72" t="s">
        <v>8251</v>
      </c>
    </row>
    <row r="73" spans="1:11" s="1" customFormat="1" x14ac:dyDescent="0.25">
      <c r="A73" t="s">
        <v>7435</v>
      </c>
      <c r="B73" t="s">
        <v>7436</v>
      </c>
      <c r="C73" s="88"/>
      <c r="D73" t="s">
        <v>7437</v>
      </c>
      <c r="E73">
        <v>2639</v>
      </c>
      <c r="F73" t="s">
        <v>7438</v>
      </c>
      <c r="G73" t="s">
        <v>7436</v>
      </c>
      <c r="H73" t="s">
        <v>7318</v>
      </c>
      <c r="I73" t="s">
        <v>7436</v>
      </c>
      <c r="J73" t="s">
        <v>7438</v>
      </c>
      <c r="K73" t="s">
        <v>7861</v>
      </c>
    </row>
    <row r="74" spans="1:11" s="1" customFormat="1" x14ac:dyDescent="0.25">
      <c r="A74" t="s">
        <v>7439</v>
      </c>
      <c r="B74" t="s">
        <v>7440</v>
      </c>
      <c r="C74" s="88"/>
      <c r="D74" t="s">
        <v>7441</v>
      </c>
      <c r="E74">
        <v>22</v>
      </c>
      <c r="F74" t="s">
        <v>7442</v>
      </c>
      <c r="G74" t="s">
        <v>7440</v>
      </c>
      <c r="H74" t="s">
        <v>7318</v>
      </c>
      <c r="I74" t="s">
        <v>7440</v>
      </c>
      <c r="J74" t="s">
        <v>7442</v>
      </c>
      <c r="K74" t="s">
        <v>7861</v>
      </c>
    </row>
    <row r="75" spans="1:11" s="1" customFormat="1" x14ac:dyDescent="0.25">
      <c r="A75" t="s">
        <v>7443</v>
      </c>
      <c r="B75" t="s">
        <v>7444</v>
      </c>
      <c r="C75" s="88"/>
      <c r="D75" t="s">
        <v>7445</v>
      </c>
      <c r="E75">
        <v>2882</v>
      </c>
      <c r="F75" t="s">
        <v>7446</v>
      </c>
      <c r="G75" t="s">
        <v>7444</v>
      </c>
      <c r="H75" t="s">
        <v>7318</v>
      </c>
      <c r="I75" t="s">
        <v>7444</v>
      </c>
      <c r="J75" t="s">
        <v>7446</v>
      </c>
      <c r="K75" t="s">
        <v>7321</v>
      </c>
    </row>
    <row r="76" spans="1:11" s="1" customFormat="1" x14ac:dyDescent="0.25">
      <c r="A76" t="s">
        <v>7447</v>
      </c>
      <c r="B76" t="s">
        <v>7448</v>
      </c>
      <c r="C76" s="88"/>
      <c r="D76" t="s">
        <v>7449</v>
      </c>
      <c r="E76">
        <v>1899</v>
      </c>
      <c r="F76" t="s">
        <v>7451</v>
      </c>
      <c r="G76" t="s">
        <v>7450</v>
      </c>
      <c r="H76" t="s">
        <v>7318</v>
      </c>
      <c r="I76" t="s">
        <v>7448</v>
      </c>
      <c r="J76" t="s">
        <v>7451</v>
      </c>
      <c r="K76" t="s">
        <v>7462</v>
      </c>
    </row>
    <row r="77" spans="1:11" s="1" customFormat="1" x14ac:dyDescent="0.25">
      <c r="A77" t="s">
        <v>7452</v>
      </c>
      <c r="B77" t="s">
        <v>7453</v>
      </c>
      <c r="C77" s="88"/>
      <c r="D77" t="s">
        <v>7454</v>
      </c>
      <c r="E77">
        <v>0</v>
      </c>
      <c r="F77" t="s">
        <v>7455</v>
      </c>
      <c r="G77" t="s">
        <v>7453</v>
      </c>
      <c r="H77" t="s">
        <v>7318</v>
      </c>
      <c r="I77" t="s">
        <v>7453</v>
      </c>
      <c r="J77" t="s">
        <v>7455</v>
      </c>
      <c r="K77" t="s">
        <v>7587</v>
      </c>
    </row>
    <row r="78" spans="1:11" s="1" customFormat="1" x14ac:dyDescent="0.25">
      <c r="A78" t="s">
        <v>7456</v>
      </c>
      <c r="B78" t="s">
        <v>7457</v>
      </c>
      <c r="C78" s="88"/>
      <c r="D78" t="s">
        <v>7458</v>
      </c>
      <c r="E78">
        <v>1076</v>
      </c>
      <c r="F78" t="s">
        <v>7460</v>
      </c>
      <c r="G78" t="s">
        <v>7459</v>
      </c>
      <c r="H78" t="s">
        <v>7318</v>
      </c>
      <c r="I78" t="s">
        <v>7457</v>
      </c>
      <c r="J78" t="s">
        <v>7460</v>
      </c>
      <c r="K78" t="s">
        <v>11004</v>
      </c>
    </row>
    <row r="79" spans="1:11" s="1" customFormat="1" x14ac:dyDescent="0.25">
      <c r="A79" t="s">
        <v>7461</v>
      </c>
      <c r="B79" t="s">
        <v>7462</v>
      </c>
      <c r="C79" s="88"/>
      <c r="D79" t="s">
        <v>7463</v>
      </c>
      <c r="E79">
        <v>390</v>
      </c>
      <c r="F79" t="s">
        <v>7464</v>
      </c>
      <c r="G79" t="s">
        <v>7462</v>
      </c>
      <c r="H79" t="s">
        <v>7318</v>
      </c>
      <c r="I79" t="s">
        <v>7462</v>
      </c>
      <c r="J79" t="s">
        <v>7464</v>
      </c>
      <c r="K79" t="s">
        <v>7462</v>
      </c>
    </row>
    <row r="80" spans="1:11" s="1" customFormat="1" x14ac:dyDescent="0.25">
      <c r="A80" t="s">
        <v>7465</v>
      </c>
      <c r="B80" t="s">
        <v>7466</v>
      </c>
      <c r="C80" s="88"/>
      <c r="D80" t="s">
        <v>7467</v>
      </c>
      <c r="E80">
        <v>4751</v>
      </c>
      <c r="F80" t="s">
        <v>7468</v>
      </c>
      <c r="G80" t="s">
        <v>7466</v>
      </c>
      <c r="H80" t="s">
        <v>7318</v>
      </c>
      <c r="I80" t="s">
        <v>7466</v>
      </c>
      <c r="J80" t="s">
        <v>7468</v>
      </c>
      <c r="K80" t="s">
        <v>7466</v>
      </c>
    </row>
    <row r="81" spans="1:11" s="1" customFormat="1" x14ac:dyDescent="0.25">
      <c r="A81" t="s">
        <v>7469</v>
      </c>
      <c r="B81" t="s">
        <v>7470</v>
      </c>
      <c r="C81" s="88"/>
      <c r="D81" t="s">
        <v>7471</v>
      </c>
      <c r="E81">
        <v>4155</v>
      </c>
      <c r="F81" t="s">
        <v>7472</v>
      </c>
      <c r="G81" t="s">
        <v>7470</v>
      </c>
      <c r="H81" t="s">
        <v>7318</v>
      </c>
      <c r="I81" t="s">
        <v>7470</v>
      </c>
      <c r="J81" t="s">
        <v>7472</v>
      </c>
      <c r="K81" t="s">
        <v>12520</v>
      </c>
    </row>
    <row r="82" spans="1:11" s="1" customFormat="1" x14ac:dyDescent="0.25">
      <c r="A82" t="s">
        <v>7473</v>
      </c>
      <c r="B82" t="s">
        <v>7474</v>
      </c>
      <c r="C82" s="88"/>
      <c r="D82" t="s">
        <v>13223</v>
      </c>
      <c r="E82">
        <v>3212</v>
      </c>
      <c r="F82" t="s">
        <v>7475</v>
      </c>
      <c r="G82" t="s">
        <v>7474</v>
      </c>
      <c r="H82" t="s">
        <v>7318</v>
      </c>
      <c r="I82" t="s">
        <v>7474</v>
      </c>
      <c r="J82" t="s">
        <v>7475</v>
      </c>
      <c r="K82" t="s">
        <v>7474</v>
      </c>
    </row>
    <row r="83" spans="1:11" s="1" customFormat="1" x14ac:dyDescent="0.25">
      <c r="A83" t="s">
        <v>7476</v>
      </c>
      <c r="B83" t="s">
        <v>7477</v>
      </c>
      <c r="C83" s="88"/>
      <c r="D83" t="s">
        <v>7478</v>
      </c>
      <c r="E83">
        <v>2317</v>
      </c>
      <c r="F83" t="s">
        <v>7479</v>
      </c>
      <c r="G83" t="s">
        <v>7477</v>
      </c>
      <c r="H83" t="s">
        <v>7318</v>
      </c>
      <c r="I83" t="s">
        <v>7477</v>
      </c>
      <c r="J83" t="s">
        <v>7479</v>
      </c>
      <c r="K83" t="s">
        <v>7489</v>
      </c>
    </row>
    <row r="84" spans="1:11" s="1" customFormat="1" x14ac:dyDescent="0.25">
      <c r="A84" t="s">
        <v>7480</v>
      </c>
      <c r="B84" t="s">
        <v>7481</v>
      </c>
      <c r="C84" s="88"/>
      <c r="D84" t="s">
        <v>7482</v>
      </c>
      <c r="E84">
        <v>6801</v>
      </c>
      <c r="F84" t="s">
        <v>7483</v>
      </c>
      <c r="G84" t="s">
        <v>7481</v>
      </c>
      <c r="H84" t="s">
        <v>7318</v>
      </c>
      <c r="I84" t="s">
        <v>7481</v>
      </c>
      <c r="J84" t="s">
        <v>7483</v>
      </c>
      <c r="K84" t="s">
        <v>12520</v>
      </c>
    </row>
    <row r="85" spans="1:11" s="1" customFormat="1" x14ac:dyDescent="0.25">
      <c r="A85" t="s">
        <v>7484</v>
      </c>
      <c r="B85" t="s">
        <v>7485</v>
      </c>
      <c r="C85" s="88"/>
      <c r="D85" t="s">
        <v>7486</v>
      </c>
      <c r="E85">
        <v>2204</v>
      </c>
      <c r="F85" t="s">
        <v>7487</v>
      </c>
      <c r="G85" t="s">
        <v>7485</v>
      </c>
      <c r="H85" t="s">
        <v>7318</v>
      </c>
      <c r="I85" t="s">
        <v>7485</v>
      </c>
      <c r="J85" t="s">
        <v>7487</v>
      </c>
      <c r="K85" t="s">
        <v>11004</v>
      </c>
    </row>
    <row r="86" spans="1:11" s="1" customFormat="1" x14ac:dyDescent="0.25">
      <c r="A86" t="s">
        <v>7488</v>
      </c>
      <c r="B86" t="s">
        <v>7489</v>
      </c>
      <c r="C86" s="88"/>
      <c r="D86" t="s">
        <v>7490</v>
      </c>
      <c r="E86">
        <v>2055</v>
      </c>
      <c r="F86" t="s">
        <v>7492</v>
      </c>
      <c r="G86" t="s">
        <v>7491</v>
      </c>
      <c r="H86" t="s">
        <v>7318</v>
      </c>
      <c r="I86" t="s">
        <v>7489</v>
      </c>
      <c r="J86" t="s">
        <v>7492</v>
      </c>
      <c r="K86" t="s">
        <v>7489</v>
      </c>
    </row>
    <row r="87" spans="1:11" s="1" customFormat="1" x14ac:dyDescent="0.25">
      <c r="A87" t="s">
        <v>7493</v>
      </c>
      <c r="B87" t="s">
        <v>7494</v>
      </c>
      <c r="C87" s="88"/>
      <c r="D87" t="s">
        <v>7495</v>
      </c>
      <c r="E87">
        <v>2407</v>
      </c>
      <c r="F87" t="s">
        <v>7497</v>
      </c>
      <c r="G87" t="s">
        <v>7496</v>
      </c>
      <c r="H87" t="s">
        <v>7318</v>
      </c>
      <c r="I87" t="s">
        <v>7494</v>
      </c>
      <c r="J87" t="s">
        <v>7497</v>
      </c>
      <c r="K87" t="s">
        <v>12520</v>
      </c>
    </row>
    <row r="88" spans="1:11" s="1" customFormat="1" x14ac:dyDescent="0.25">
      <c r="A88" t="s">
        <v>7498</v>
      </c>
      <c r="B88" t="s">
        <v>7499</v>
      </c>
      <c r="C88" s="88"/>
      <c r="D88" t="s">
        <v>7482</v>
      </c>
      <c r="E88">
        <v>691</v>
      </c>
      <c r="F88" t="s">
        <v>7500</v>
      </c>
      <c r="G88" t="s">
        <v>7499</v>
      </c>
      <c r="H88" t="s">
        <v>7318</v>
      </c>
      <c r="I88" t="s">
        <v>7499</v>
      </c>
      <c r="J88" t="s">
        <v>7500</v>
      </c>
      <c r="K88" t="s">
        <v>12520</v>
      </c>
    </row>
    <row r="89" spans="1:11" s="1" customFormat="1" x14ac:dyDescent="0.25">
      <c r="A89" t="s">
        <v>7501</v>
      </c>
      <c r="B89" t="s">
        <v>7502</v>
      </c>
      <c r="C89" s="88"/>
      <c r="D89" t="s">
        <v>7478</v>
      </c>
      <c r="E89">
        <v>6133</v>
      </c>
      <c r="F89" t="s">
        <v>7503</v>
      </c>
      <c r="G89" t="s">
        <v>7502</v>
      </c>
      <c r="H89" t="s">
        <v>7318</v>
      </c>
      <c r="I89" t="s">
        <v>7502</v>
      </c>
      <c r="J89" t="s">
        <v>7503</v>
      </c>
      <c r="K89" t="s">
        <v>7489</v>
      </c>
    </row>
    <row r="90" spans="1:11" s="1" customFormat="1" x14ac:dyDescent="0.25">
      <c r="A90" t="s">
        <v>7504</v>
      </c>
      <c r="B90" t="s">
        <v>7505</v>
      </c>
      <c r="C90" s="88"/>
      <c r="D90" t="s">
        <v>7506</v>
      </c>
      <c r="E90">
        <v>3171</v>
      </c>
      <c r="F90" t="s">
        <v>7507</v>
      </c>
      <c r="G90" t="s">
        <v>7505</v>
      </c>
      <c r="H90" t="s">
        <v>7318</v>
      </c>
      <c r="I90" t="s">
        <v>7505</v>
      </c>
      <c r="J90" t="s">
        <v>7507</v>
      </c>
      <c r="K90" t="s">
        <v>12520</v>
      </c>
    </row>
    <row r="91" spans="1:11" s="1" customFormat="1" x14ac:dyDescent="0.25">
      <c r="A91" t="s">
        <v>7508</v>
      </c>
      <c r="B91" t="s">
        <v>7509</v>
      </c>
      <c r="C91" s="88"/>
      <c r="D91" t="s">
        <v>7510</v>
      </c>
      <c r="E91">
        <v>3035</v>
      </c>
      <c r="F91" t="s">
        <v>7511</v>
      </c>
      <c r="G91" t="s">
        <v>7509</v>
      </c>
      <c r="H91" t="s">
        <v>7318</v>
      </c>
      <c r="I91" t="s">
        <v>7509</v>
      </c>
      <c r="J91" t="s">
        <v>7511</v>
      </c>
      <c r="K91" t="s">
        <v>12520</v>
      </c>
    </row>
    <row r="92" spans="1:11" s="1" customFormat="1" x14ac:dyDescent="0.25">
      <c r="A92" t="s">
        <v>7512</v>
      </c>
      <c r="B92" t="s">
        <v>7513</v>
      </c>
      <c r="C92" s="88"/>
      <c r="D92" t="s">
        <v>7514</v>
      </c>
      <c r="E92">
        <v>13</v>
      </c>
      <c r="F92" t="s">
        <v>7515</v>
      </c>
      <c r="G92" t="s">
        <v>7496</v>
      </c>
      <c r="H92" t="s">
        <v>7318</v>
      </c>
      <c r="I92" t="s">
        <v>7513</v>
      </c>
      <c r="J92" t="s">
        <v>7515</v>
      </c>
      <c r="K92" t="s">
        <v>12520</v>
      </c>
    </row>
    <row r="93" spans="1:11" s="1" customFormat="1" x14ac:dyDescent="0.25">
      <c r="A93" t="s">
        <v>7516</v>
      </c>
      <c r="B93" t="s">
        <v>7517</v>
      </c>
      <c r="C93" s="88"/>
      <c r="D93" t="s">
        <v>7518</v>
      </c>
      <c r="E93">
        <v>3394</v>
      </c>
      <c r="F93" t="s">
        <v>7519</v>
      </c>
      <c r="G93" t="s">
        <v>7517</v>
      </c>
      <c r="H93" t="s">
        <v>7318</v>
      </c>
      <c r="I93" t="s">
        <v>7517</v>
      </c>
      <c r="J93" t="s">
        <v>7519</v>
      </c>
      <c r="K93" t="s">
        <v>8569</v>
      </c>
    </row>
    <row r="94" spans="1:11" s="1" customFormat="1" x14ac:dyDescent="0.25">
      <c r="A94" t="s">
        <v>7520</v>
      </c>
      <c r="B94" t="s">
        <v>7521</v>
      </c>
      <c r="C94" s="88"/>
      <c r="D94" t="s">
        <v>7522</v>
      </c>
      <c r="E94">
        <v>664</v>
      </c>
      <c r="F94" t="s">
        <v>7523</v>
      </c>
      <c r="G94" t="s">
        <v>7521</v>
      </c>
      <c r="H94" t="s">
        <v>7318</v>
      </c>
      <c r="I94" t="s">
        <v>7521</v>
      </c>
      <c r="J94" t="s">
        <v>7523</v>
      </c>
      <c r="K94" t="s">
        <v>7489</v>
      </c>
    </row>
    <row r="95" spans="1:11" s="1" customFormat="1" x14ac:dyDescent="0.25">
      <c r="A95" t="s">
        <v>7524</v>
      </c>
      <c r="B95" t="s">
        <v>7525</v>
      </c>
      <c r="C95" s="88"/>
      <c r="D95" t="s">
        <v>7526</v>
      </c>
      <c r="E95">
        <v>3395</v>
      </c>
      <c r="F95" t="s">
        <v>7527</v>
      </c>
      <c r="G95" t="s">
        <v>7525</v>
      </c>
      <c r="H95" t="s">
        <v>7318</v>
      </c>
      <c r="I95" t="s">
        <v>7525</v>
      </c>
      <c r="J95" t="s">
        <v>7527</v>
      </c>
      <c r="K95" t="s">
        <v>11004</v>
      </c>
    </row>
    <row r="96" spans="1:11" s="1" customFormat="1" x14ac:dyDescent="0.25">
      <c r="A96" t="s">
        <v>7528</v>
      </c>
      <c r="B96" t="s">
        <v>7529</v>
      </c>
      <c r="C96" s="88"/>
      <c r="D96" t="s">
        <v>7530</v>
      </c>
      <c r="E96">
        <v>2498</v>
      </c>
      <c r="F96" t="s">
        <v>7531</v>
      </c>
      <c r="G96" t="s">
        <v>7529</v>
      </c>
      <c r="H96" t="s">
        <v>7318</v>
      </c>
      <c r="I96" t="s">
        <v>7529</v>
      </c>
      <c r="J96" t="s">
        <v>7531</v>
      </c>
      <c r="K96" t="s">
        <v>8562</v>
      </c>
    </row>
    <row r="97" spans="1:26" s="1" customFormat="1" x14ac:dyDescent="0.25">
      <c r="A97" t="s">
        <v>7532</v>
      </c>
      <c r="B97" t="s">
        <v>7533</v>
      </c>
      <c r="C97" s="88"/>
      <c r="D97" t="s">
        <v>7449</v>
      </c>
      <c r="E97">
        <v>3317</v>
      </c>
      <c r="F97" t="s">
        <v>7534</v>
      </c>
      <c r="G97" t="s">
        <v>7448</v>
      </c>
      <c r="H97" t="s">
        <v>7318</v>
      </c>
      <c r="I97" t="s">
        <v>7533</v>
      </c>
      <c r="J97" t="s">
        <v>7534</v>
      </c>
      <c r="K97" t="s">
        <v>7462</v>
      </c>
    </row>
    <row r="98" spans="1:26" s="1" customFormat="1" x14ac:dyDescent="0.25">
      <c r="A98" t="s">
        <v>7535</v>
      </c>
      <c r="B98" t="s">
        <v>7536</v>
      </c>
      <c r="C98" s="88"/>
      <c r="D98" t="s">
        <v>7537</v>
      </c>
      <c r="E98">
        <v>1638</v>
      </c>
      <c r="F98" t="s">
        <v>7539</v>
      </c>
      <c r="G98" t="s">
        <v>7538</v>
      </c>
      <c r="H98" t="s">
        <v>7318</v>
      </c>
      <c r="I98" t="s">
        <v>7536</v>
      </c>
      <c r="J98" t="s">
        <v>7539</v>
      </c>
      <c r="K98" t="s">
        <v>7489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7540</v>
      </c>
      <c r="B99" t="s">
        <v>7541</v>
      </c>
      <c r="C99" s="88"/>
      <c r="D99" t="s">
        <v>7542</v>
      </c>
      <c r="E99">
        <v>10</v>
      </c>
      <c r="F99" t="s">
        <v>7543</v>
      </c>
      <c r="G99" t="s">
        <v>7509</v>
      </c>
      <c r="H99" t="s">
        <v>7318</v>
      </c>
      <c r="I99" t="s">
        <v>7541</v>
      </c>
      <c r="J99" t="s">
        <v>7543</v>
      </c>
      <c r="K99" t="s">
        <v>12520</v>
      </c>
    </row>
    <row r="100" spans="1:26" s="1" customFormat="1" x14ac:dyDescent="0.25">
      <c r="A100" t="s">
        <v>7544</v>
      </c>
      <c r="B100" t="s">
        <v>7545</v>
      </c>
      <c r="C100" s="88"/>
      <c r="D100" t="s">
        <v>7546</v>
      </c>
      <c r="E100">
        <v>635</v>
      </c>
      <c r="F100" t="s">
        <v>7547</v>
      </c>
      <c r="G100" t="s">
        <v>13228</v>
      </c>
      <c r="H100" t="s">
        <v>7318</v>
      </c>
      <c r="I100" t="s">
        <v>7545</v>
      </c>
      <c r="J100" t="s">
        <v>7547</v>
      </c>
      <c r="K100" t="s">
        <v>7462</v>
      </c>
    </row>
    <row r="101" spans="1:26" s="1" customFormat="1" x14ac:dyDescent="0.25">
      <c r="A101" t="s">
        <v>7548</v>
      </c>
      <c r="B101" t="s">
        <v>7549</v>
      </c>
      <c r="C101" s="88"/>
      <c r="D101" t="s">
        <v>7550</v>
      </c>
      <c r="E101">
        <v>6185</v>
      </c>
      <c r="F101" t="s">
        <v>7551</v>
      </c>
      <c r="G101" t="s">
        <v>7549</v>
      </c>
      <c r="H101" t="s">
        <v>7318</v>
      </c>
      <c r="I101" t="s">
        <v>7549</v>
      </c>
      <c r="J101" t="s">
        <v>7551</v>
      </c>
      <c r="K101" t="s">
        <v>7462</v>
      </c>
    </row>
    <row r="102" spans="1:26" s="1" customFormat="1" x14ac:dyDescent="0.25">
      <c r="A102" t="s">
        <v>7552</v>
      </c>
      <c r="B102" t="s">
        <v>7553</v>
      </c>
      <c r="C102" s="88"/>
      <c r="D102" t="s">
        <v>7554</v>
      </c>
      <c r="E102">
        <v>1471</v>
      </c>
      <c r="F102" t="s">
        <v>7555</v>
      </c>
      <c r="G102" t="s">
        <v>7491</v>
      </c>
      <c r="H102" t="s">
        <v>7318</v>
      </c>
      <c r="I102" t="s">
        <v>7553</v>
      </c>
      <c r="J102" t="s">
        <v>7555</v>
      </c>
      <c r="K102" t="s">
        <v>7489</v>
      </c>
    </row>
    <row r="103" spans="1:26" s="1" customFormat="1" x14ac:dyDescent="0.25">
      <c r="A103" t="s">
        <v>7556</v>
      </c>
      <c r="B103" t="s">
        <v>7557</v>
      </c>
      <c r="C103" s="88"/>
      <c r="D103" t="s">
        <v>7558</v>
      </c>
      <c r="E103">
        <v>379</v>
      </c>
      <c r="F103" t="s">
        <v>7560</v>
      </c>
      <c r="G103" t="s">
        <v>7559</v>
      </c>
      <c r="H103" t="s">
        <v>7318</v>
      </c>
      <c r="I103" t="s">
        <v>7557</v>
      </c>
      <c r="J103" t="s">
        <v>7560</v>
      </c>
      <c r="K103" t="s">
        <v>8562</v>
      </c>
    </row>
    <row r="104" spans="1:26" s="1" customFormat="1" x14ac:dyDescent="0.25">
      <c r="A104" t="s">
        <v>7561</v>
      </c>
      <c r="B104" t="s">
        <v>7562</v>
      </c>
      <c r="C104" s="88"/>
      <c r="D104" t="s">
        <v>7563</v>
      </c>
      <c r="E104">
        <v>45</v>
      </c>
      <c r="F104" t="s">
        <v>7564</v>
      </c>
      <c r="G104" t="s">
        <v>7562</v>
      </c>
      <c r="H104" t="s">
        <v>7318</v>
      </c>
      <c r="I104" t="s">
        <v>7562</v>
      </c>
      <c r="J104" t="s">
        <v>7564</v>
      </c>
      <c r="K104" t="s">
        <v>8569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7565</v>
      </c>
      <c r="B105" t="s">
        <v>7566</v>
      </c>
      <c r="C105" s="88"/>
      <c r="D105" t="s">
        <v>7567</v>
      </c>
      <c r="E105">
        <v>4115</v>
      </c>
      <c r="F105" t="s">
        <v>7568</v>
      </c>
      <c r="G105" t="s">
        <v>7566</v>
      </c>
      <c r="H105" t="s">
        <v>7318</v>
      </c>
      <c r="I105" t="s">
        <v>7566</v>
      </c>
      <c r="J105" t="s">
        <v>7568</v>
      </c>
      <c r="K105" t="s">
        <v>8562</v>
      </c>
    </row>
    <row r="106" spans="1:26" s="1" customFormat="1" x14ac:dyDescent="0.25">
      <c r="A106" t="s">
        <v>7569</v>
      </c>
      <c r="B106" t="s">
        <v>7570</v>
      </c>
      <c r="C106" s="88"/>
      <c r="D106" t="s">
        <v>7571</v>
      </c>
      <c r="E106">
        <v>6006</v>
      </c>
      <c r="F106" t="s">
        <v>7573</v>
      </c>
      <c r="G106" t="s">
        <v>7572</v>
      </c>
      <c r="H106" t="s">
        <v>7318</v>
      </c>
      <c r="I106" t="s">
        <v>7570</v>
      </c>
      <c r="J106" t="s">
        <v>7573</v>
      </c>
      <c r="K106" t="s">
        <v>12520</v>
      </c>
    </row>
    <row r="107" spans="1:26" s="1" customFormat="1" x14ac:dyDescent="0.25">
      <c r="A107" t="s">
        <v>7574</v>
      </c>
      <c r="B107" t="s">
        <v>7575</v>
      </c>
      <c r="C107" s="88"/>
      <c r="D107" t="s">
        <v>7576</v>
      </c>
      <c r="E107">
        <v>2009</v>
      </c>
      <c r="F107" t="s">
        <v>7577</v>
      </c>
      <c r="G107" t="s">
        <v>7575</v>
      </c>
      <c r="H107" t="s">
        <v>7318</v>
      </c>
      <c r="I107" t="s">
        <v>7575</v>
      </c>
      <c r="J107" t="s">
        <v>7577</v>
      </c>
      <c r="K107" t="s">
        <v>7466</v>
      </c>
    </row>
    <row r="108" spans="1:26" s="1" customFormat="1" x14ac:dyDescent="0.25">
      <c r="A108" t="s">
        <v>7578</v>
      </c>
      <c r="B108" t="s">
        <v>7579</v>
      </c>
      <c r="C108" s="88"/>
      <c r="D108" t="s">
        <v>7580</v>
      </c>
      <c r="E108">
        <v>1071</v>
      </c>
      <c r="F108" t="s">
        <v>7581</v>
      </c>
      <c r="G108" t="s">
        <v>7579</v>
      </c>
      <c r="H108" t="s">
        <v>7318</v>
      </c>
      <c r="I108" t="s">
        <v>7579</v>
      </c>
      <c r="J108" t="s">
        <v>7581</v>
      </c>
      <c r="K108" t="s">
        <v>12520</v>
      </c>
    </row>
    <row r="109" spans="1:26" s="1" customFormat="1" x14ac:dyDescent="0.25">
      <c r="A109" t="s">
        <v>7582</v>
      </c>
      <c r="B109" t="s">
        <v>7583</v>
      </c>
      <c r="C109" s="88"/>
      <c r="D109" t="s">
        <v>7584</v>
      </c>
      <c r="E109">
        <v>983</v>
      </c>
      <c r="F109" t="s">
        <v>7585</v>
      </c>
      <c r="G109" t="s">
        <v>7583</v>
      </c>
      <c r="H109" t="s">
        <v>7318</v>
      </c>
      <c r="I109" t="s">
        <v>7583</v>
      </c>
      <c r="J109" t="s">
        <v>7585</v>
      </c>
      <c r="K109" t="s">
        <v>11004</v>
      </c>
    </row>
    <row r="110" spans="1:26" s="1" customFormat="1" x14ac:dyDescent="0.25">
      <c r="A110" t="s">
        <v>7586</v>
      </c>
      <c r="B110" t="s">
        <v>7587</v>
      </c>
      <c r="C110" s="88"/>
      <c r="D110" t="s">
        <v>7588</v>
      </c>
      <c r="E110">
        <v>198</v>
      </c>
      <c r="F110" t="s">
        <v>7589</v>
      </c>
      <c r="G110" t="s">
        <v>7587</v>
      </c>
      <c r="H110" t="s">
        <v>7318</v>
      </c>
      <c r="I110" t="s">
        <v>7587</v>
      </c>
      <c r="J110" t="s">
        <v>7589</v>
      </c>
      <c r="K110" t="s">
        <v>7587</v>
      </c>
    </row>
    <row r="111" spans="1:26" s="1" customFormat="1" x14ac:dyDescent="0.25">
      <c r="A111" t="s">
        <v>7590</v>
      </c>
      <c r="B111" t="s">
        <v>7591</v>
      </c>
      <c r="C111" s="88"/>
      <c r="D111" t="s">
        <v>7592</v>
      </c>
      <c r="E111">
        <v>50</v>
      </c>
      <c r="F111" t="s">
        <v>7593</v>
      </c>
      <c r="G111" t="s">
        <v>7591</v>
      </c>
      <c r="H111" t="s">
        <v>7318</v>
      </c>
      <c r="I111" t="s">
        <v>7591</v>
      </c>
      <c r="J111" t="s">
        <v>7593</v>
      </c>
      <c r="K111" t="s">
        <v>11004</v>
      </c>
    </row>
    <row r="112" spans="1:26" s="1" customFormat="1" x14ac:dyDescent="0.25">
      <c r="A112" t="s">
        <v>7594</v>
      </c>
      <c r="B112" t="s">
        <v>7595</v>
      </c>
      <c r="C112" s="88"/>
      <c r="D112" t="s">
        <v>7596</v>
      </c>
      <c r="E112">
        <v>4491</v>
      </c>
      <c r="F112" t="s">
        <v>7597</v>
      </c>
      <c r="G112" t="s">
        <v>7595</v>
      </c>
      <c r="H112" t="s">
        <v>7318</v>
      </c>
      <c r="I112" t="s">
        <v>7595</v>
      </c>
      <c r="J112" t="s">
        <v>7597</v>
      </c>
      <c r="K112" t="s">
        <v>12520</v>
      </c>
    </row>
    <row r="113" spans="1:26" s="1" customFormat="1" x14ac:dyDescent="0.25">
      <c r="A113" t="s">
        <v>7598</v>
      </c>
      <c r="B113" t="s">
        <v>7599</v>
      </c>
      <c r="C113" s="88"/>
      <c r="D113" t="s">
        <v>7600</v>
      </c>
      <c r="E113">
        <v>5443</v>
      </c>
      <c r="F113" t="s">
        <v>7602</v>
      </c>
      <c r="G113" t="s">
        <v>7601</v>
      </c>
      <c r="H113" t="s">
        <v>7318</v>
      </c>
      <c r="I113" t="s">
        <v>7599</v>
      </c>
      <c r="J113" t="s">
        <v>7602</v>
      </c>
      <c r="K113" t="s">
        <v>7466</v>
      </c>
    </row>
    <row r="114" spans="1:26" s="1" customFormat="1" x14ac:dyDescent="0.25">
      <c r="A114" t="s">
        <v>7603</v>
      </c>
      <c r="B114" t="s">
        <v>7604</v>
      </c>
      <c r="C114" s="88"/>
      <c r="D114" t="s">
        <v>7563</v>
      </c>
      <c r="E114">
        <v>1620</v>
      </c>
      <c r="F114" t="s">
        <v>7605</v>
      </c>
      <c r="G114" t="s">
        <v>7604</v>
      </c>
      <c r="H114" t="s">
        <v>7318</v>
      </c>
      <c r="I114" t="s">
        <v>7604</v>
      </c>
      <c r="J114" t="s">
        <v>7605</v>
      </c>
      <c r="K114" t="s">
        <v>8569</v>
      </c>
    </row>
    <row r="115" spans="1:26" s="3" customFormat="1" x14ac:dyDescent="0.25">
      <c r="A115" t="s">
        <v>7606</v>
      </c>
      <c r="B115" t="s">
        <v>7607</v>
      </c>
      <c r="C115" s="88"/>
      <c r="D115" t="s">
        <v>7608</v>
      </c>
      <c r="E115">
        <v>1453</v>
      </c>
      <c r="F115" t="s">
        <v>7609</v>
      </c>
      <c r="G115" t="s">
        <v>7607</v>
      </c>
      <c r="H115" t="s">
        <v>7318</v>
      </c>
      <c r="I115" t="s">
        <v>7607</v>
      </c>
      <c r="J115" t="s">
        <v>7609</v>
      </c>
      <c r="K115" t="s">
        <v>11004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7610</v>
      </c>
      <c r="B116" t="s">
        <v>7611</v>
      </c>
      <c r="C116" s="88"/>
      <c r="D116" t="s">
        <v>7318</v>
      </c>
      <c r="E116">
        <v>1758</v>
      </c>
      <c r="F116" t="s">
        <v>7612</v>
      </c>
      <c r="G116" t="s">
        <v>7611</v>
      </c>
      <c r="H116" t="s">
        <v>7318</v>
      </c>
      <c r="I116" t="s">
        <v>7611</v>
      </c>
      <c r="J116" t="s">
        <v>7612</v>
      </c>
      <c r="K116" t="s">
        <v>12521</v>
      </c>
    </row>
    <row r="117" spans="1:26" s="1" customFormat="1" x14ac:dyDescent="0.25">
      <c r="A117" t="s">
        <v>7613</v>
      </c>
      <c r="B117" t="s">
        <v>7614</v>
      </c>
      <c r="C117" s="88"/>
      <c r="D117" t="s">
        <v>7325</v>
      </c>
      <c r="E117">
        <v>448</v>
      </c>
      <c r="F117" t="s">
        <v>7615</v>
      </c>
      <c r="G117" t="s">
        <v>7614</v>
      </c>
      <c r="H117" t="s">
        <v>7318</v>
      </c>
      <c r="I117" t="s">
        <v>7614</v>
      </c>
      <c r="J117" t="s">
        <v>7615</v>
      </c>
      <c r="K117" t="s">
        <v>12521</v>
      </c>
    </row>
    <row r="118" spans="1:26" s="1" customFormat="1" x14ac:dyDescent="0.25">
      <c r="A118" t="s">
        <v>7616</v>
      </c>
      <c r="B118" t="s">
        <v>7617</v>
      </c>
      <c r="C118" s="88"/>
      <c r="D118" t="s">
        <v>7618</v>
      </c>
      <c r="E118">
        <v>3156</v>
      </c>
      <c r="F118" t="s">
        <v>7619</v>
      </c>
      <c r="G118" t="s">
        <v>7517</v>
      </c>
      <c r="H118" t="s">
        <v>7318</v>
      </c>
      <c r="I118" t="s">
        <v>7617</v>
      </c>
      <c r="J118" t="s">
        <v>7619</v>
      </c>
      <c r="K118" t="s">
        <v>8569</v>
      </c>
    </row>
    <row r="119" spans="1:26" s="1" customFormat="1" x14ac:dyDescent="0.25">
      <c r="A119" t="s">
        <v>7620</v>
      </c>
      <c r="B119" t="s">
        <v>7621</v>
      </c>
      <c r="C119" s="88"/>
      <c r="D119" t="s">
        <v>7622</v>
      </c>
      <c r="E119">
        <v>721</v>
      </c>
      <c r="F119" t="s">
        <v>7623</v>
      </c>
      <c r="G119" t="s">
        <v>7621</v>
      </c>
      <c r="H119" t="s">
        <v>7318</v>
      </c>
      <c r="I119" t="s">
        <v>7621</v>
      </c>
      <c r="J119" t="s">
        <v>7623</v>
      </c>
      <c r="K119" t="s">
        <v>7466</v>
      </c>
    </row>
    <row r="120" spans="1:26" s="1" customFormat="1" x14ac:dyDescent="0.25">
      <c r="A120" t="s">
        <v>7624</v>
      </c>
      <c r="B120" t="s">
        <v>7625</v>
      </c>
      <c r="C120" s="88"/>
      <c r="D120" t="s">
        <v>7626</v>
      </c>
      <c r="E120">
        <v>0</v>
      </c>
      <c r="F120" t="s">
        <v>7627</v>
      </c>
      <c r="G120" t="s">
        <v>7513</v>
      </c>
      <c r="H120" t="s">
        <v>7318</v>
      </c>
      <c r="I120" t="s">
        <v>7625</v>
      </c>
      <c r="J120" t="s">
        <v>7627</v>
      </c>
      <c r="K120" t="s">
        <v>12520</v>
      </c>
    </row>
    <row r="121" spans="1:26" s="1" customFormat="1" x14ac:dyDescent="0.25">
      <c r="A121" t="s">
        <v>7628</v>
      </c>
      <c r="B121" t="s">
        <v>7629</v>
      </c>
      <c r="C121" s="88"/>
      <c r="D121" t="s">
        <v>7630</v>
      </c>
      <c r="E121">
        <v>6385</v>
      </c>
      <c r="F121" t="s">
        <v>7631</v>
      </c>
      <c r="G121" t="s">
        <v>7474</v>
      </c>
      <c r="H121" t="s">
        <v>7318</v>
      </c>
      <c r="I121" t="s">
        <v>7629</v>
      </c>
      <c r="J121" t="s">
        <v>7631</v>
      </c>
      <c r="K121" t="s">
        <v>7474</v>
      </c>
    </row>
    <row r="122" spans="1:26" s="1" customFormat="1" x14ac:dyDescent="0.25">
      <c r="A122" t="s">
        <v>7632</v>
      </c>
      <c r="B122" t="s">
        <v>7633</v>
      </c>
      <c r="C122" s="88"/>
      <c r="D122" t="s">
        <v>7634</v>
      </c>
      <c r="E122">
        <v>4826</v>
      </c>
      <c r="F122" t="s">
        <v>7635</v>
      </c>
      <c r="G122" t="s">
        <v>7633</v>
      </c>
      <c r="H122" t="s">
        <v>7318</v>
      </c>
      <c r="I122" t="s">
        <v>7633</v>
      </c>
      <c r="J122" t="s">
        <v>7635</v>
      </c>
      <c r="K122" t="s">
        <v>12519</v>
      </c>
    </row>
    <row r="123" spans="1:26" s="1" customFormat="1" x14ac:dyDescent="0.25">
      <c r="A123" t="s">
        <v>7636</v>
      </c>
      <c r="B123" t="s">
        <v>7637</v>
      </c>
      <c r="C123" s="88"/>
      <c r="D123" t="s">
        <v>7638</v>
      </c>
      <c r="E123">
        <v>484</v>
      </c>
      <c r="F123" t="s">
        <v>7639</v>
      </c>
      <c r="G123" t="s">
        <v>7637</v>
      </c>
      <c r="H123" t="s">
        <v>7318</v>
      </c>
      <c r="I123" t="s">
        <v>7637</v>
      </c>
      <c r="J123" t="s">
        <v>7639</v>
      </c>
      <c r="K123" t="s">
        <v>8572</v>
      </c>
    </row>
    <row r="124" spans="1:26" s="1" customFormat="1" x14ac:dyDescent="0.25">
      <c r="A124" t="s">
        <v>7640</v>
      </c>
      <c r="B124" t="s">
        <v>7641</v>
      </c>
      <c r="C124" s="88"/>
      <c r="D124" t="s">
        <v>7642</v>
      </c>
      <c r="E124">
        <v>12580</v>
      </c>
      <c r="F124" t="s">
        <v>7643</v>
      </c>
      <c r="G124" t="s">
        <v>7641</v>
      </c>
      <c r="H124" t="s">
        <v>7318</v>
      </c>
      <c r="I124" t="s">
        <v>7641</v>
      </c>
      <c r="J124" t="s">
        <v>7643</v>
      </c>
      <c r="K124" t="s">
        <v>12519</v>
      </c>
    </row>
    <row r="125" spans="1:26" s="1" customFormat="1" x14ac:dyDescent="0.25">
      <c r="A125" t="s">
        <v>7644</v>
      </c>
      <c r="B125" t="s">
        <v>7645</v>
      </c>
      <c r="C125" s="88"/>
      <c r="D125" t="s">
        <v>7646</v>
      </c>
      <c r="E125">
        <v>6595</v>
      </c>
      <c r="F125" t="s">
        <v>7648</v>
      </c>
      <c r="G125" t="s">
        <v>7647</v>
      </c>
      <c r="H125" t="s">
        <v>7318</v>
      </c>
      <c r="I125" t="s">
        <v>7645</v>
      </c>
      <c r="J125" t="s">
        <v>7648</v>
      </c>
      <c r="K125" t="s">
        <v>12519</v>
      </c>
    </row>
    <row r="126" spans="1:26" s="1" customFormat="1" x14ac:dyDescent="0.25">
      <c r="A126" t="s">
        <v>7649</v>
      </c>
      <c r="B126" t="s">
        <v>7445</v>
      </c>
      <c r="C126" s="88"/>
      <c r="D126" t="s">
        <v>7650</v>
      </c>
      <c r="E126">
        <v>728</v>
      </c>
      <c r="F126" t="s">
        <v>7651</v>
      </c>
      <c r="G126" t="s">
        <v>7445</v>
      </c>
      <c r="H126" t="s">
        <v>7318</v>
      </c>
      <c r="I126" t="s">
        <v>7445</v>
      </c>
      <c r="J126" t="s">
        <v>7651</v>
      </c>
      <c r="K126" t="s">
        <v>7445</v>
      </c>
    </row>
    <row r="127" spans="1:26" s="1" customFormat="1" x14ac:dyDescent="0.25">
      <c r="A127" t="s">
        <v>7652</v>
      </c>
      <c r="B127" t="s">
        <v>7653</v>
      </c>
      <c r="C127" s="88"/>
      <c r="D127" t="s">
        <v>7654</v>
      </c>
      <c r="E127">
        <v>2670</v>
      </c>
      <c r="F127" t="s">
        <v>7655</v>
      </c>
      <c r="G127" t="s">
        <v>7653</v>
      </c>
      <c r="H127" t="s">
        <v>7318</v>
      </c>
      <c r="I127" t="s">
        <v>7653</v>
      </c>
      <c r="J127" t="s">
        <v>7655</v>
      </c>
      <c r="K127" t="s">
        <v>7660</v>
      </c>
    </row>
    <row r="128" spans="1:26" s="1" customFormat="1" x14ac:dyDescent="0.25">
      <c r="A128" t="s">
        <v>7656</v>
      </c>
      <c r="B128" t="s">
        <v>7657</v>
      </c>
      <c r="C128" s="88"/>
      <c r="D128" t="s">
        <v>7642</v>
      </c>
      <c r="E128">
        <v>16380</v>
      </c>
      <c r="F128" t="s">
        <v>7658</v>
      </c>
      <c r="G128" t="s">
        <v>7657</v>
      </c>
      <c r="H128" t="s">
        <v>7318</v>
      </c>
      <c r="I128" t="s">
        <v>7657</v>
      </c>
      <c r="J128" t="s">
        <v>7658</v>
      </c>
      <c r="K128" t="s">
        <v>8572</v>
      </c>
    </row>
    <row r="129" spans="1:11" s="1" customFormat="1" x14ac:dyDescent="0.25">
      <c r="A129" t="s">
        <v>7659</v>
      </c>
      <c r="B129" t="s">
        <v>7660</v>
      </c>
      <c r="C129" s="88"/>
      <c r="D129" t="s">
        <v>7326</v>
      </c>
      <c r="E129">
        <v>556</v>
      </c>
      <c r="F129" t="s">
        <v>7661</v>
      </c>
      <c r="G129" t="s">
        <v>7660</v>
      </c>
      <c r="H129" t="s">
        <v>7318</v>
      </c>
      <c r="I129" t="s">
        <v>7660</v>
      </c>
      <c r="J129" t="s">
        <v>7661</v>
      </c>
      <c r="K129" t="s">
        <v>7660</v>
      </c>
    </row>
    <row r="130" spans="1:11" s="1" customFormat="1" x14ac:dyDescent="0.25">
      <c r="A130" t="s">
        <v>7662</v>
      </c>
      <c r="B130" t="s">
        <v>7663</v>
      </c>
      <c r="C130" s="88"/>
      <c r="D130" t="s">
        <v>7664</v>
      </c>
      <c r="E130">
        <v>2402</v>
      </c>
      <c r="F130" t="s">
        <v>7665</v>
      </c>
      <c r="G130" t="s">
        <v>7663</v>
      </c>
      <c r="H130" t="s">
        <v>7318</v>
      </c>
      <c r="I130" t="s">
        <v>7663</v>
      </c>
      <c r="J130" t="s">
        <v>7665</v>
      </c>
      <c r="K130" t="s">
        <v>7663</v>
      </c>
    </row>
    <row r="131" spans="1:11" s="1" customFormat="1" x14ac:dyDescent="0.25">
      <c r="A131" t="s">
        <v>7666</v>
      </c>
      <c r="B131" t="s">
        <v>7667</v>
      </c>
      <c r="C131" s="88"/>
      <c r="D131" t="s">
        <v>7642</v>
      </c>
      <c r="E131">
        <v>14178</v>
      </c>
      <c r="F131" t="s">
        <v>7668</v>
      </c>
      <c r="G131" t="s">
        <v>7667</v>
      </c>
      <c r="H131" t="s">
        <v>7318</v>
      </c>
      <c r="I131" t="s">
        <v>7667</v>
      </c>
      <c r="J131" t="s">
        <v>7668</v>
      </c>
      <c r="K131" t="s">
        <v>12520</v>
      </c>
    </row>
    <row r="132" spans="1:11" s="1" customFormat="1" x14ac:dyDescent="0.25">
      <c r="A132" t="s">
        <v>7669</v>
      </c>
      <c r="B132" t="s">
        <v>7670</v>
      </c>
      <c r="C132" s="88"/>
      <c r="D132" t="s">
        <v>13224</v>
      </c>
      <c r="E132">
        <v>1846</v>
      </c>
      <c r="F132" t="s">
        <v>7671</v>
      </c>
      <c r="G132" t="s">
        <v>7670</v>
      </c>
      <c r="H132" t="s">
        <v>7318</v>
      </c>
      <c r="I132" t="s">
        <v>7670</v>
      </c>
      <c r="J132" t="s">
        <v>7671</v>
      </c>
      <c r="K132" t="s">
        <v>12519</v>
      </c>
    </row>
    <row r="133" spans="1:11" s="1" customFormat="1" x14ac:dyDescent="0.25">
      <c r="A133" t="s">
        <v>7672</v>
      </c>
      <c r="B133" t="s">
        <v>7673</v>
      </c>
      <c r="C133" s="88"/>
      <c r="D133" t="s">
        <v>7674</v>
      </c>
      <c r="E133">
        <v>202</v>
      </c>
      <c r="F133" t="s">
        <v>7675</v>
      </c>
      <c r="G133" t="s">
        <v>7673</v>
      </c>
      <c r="H133" t="s">
        <v>7318</v>
      </c>
      <c r="I133" t="s">
        <v>7673</v>
      </c>
      <c r="J133" t="s">
        <v>7675</v>
      </c>
      <c r="K133" t="s">
        <v>7660</v>
      </c>
    </row>
    <row r="134" spans="1:11" s="1" customFormat="1" x14ac:dyDescent="0.25">
      <c r="A134" t="s">
        <v>7676</v>
      </c>
      <c r="B134" t="s">
        <v>7677</v>
      </c>
      <c r="C134" s="88"/>
      <c r="D134" t="s">
        <v>7678</v>
      </c>
      <c r="E134">
        <v>6121</v>
      </c>
      <c r="F134" t="s">
        <v>7679</v>
      </c>
      <c r="G134" t="s">
        <v>7677</v>
      </c>
      <c r="H134" t="s">
        <v>7318</v>
      </c>
      <c r="I134" t="s">
        <v>7677</v>
      </c>
      <c r="J134" t="s">
        <v>7679</v>
      </c>
      <c r="K134" t="s">
        <v>12519</v>
      </c>
    </row>
    <row r="135" spans="1:11" s="1" customFormat="1" x14ac:dyDescent="0.25">
      <c r="A135" t="s">
        <v>7680</v>
      </c>
      <c r="B135" t="s">
        <v>7681</v>
      </c>
      <c r="C135" s="88"/>
      <c r="D135" t="s">
        <v>7682</v>
      </c>
      <c r="E135">
        <v>52</v>
      </c>
      <c r="F135" t="s">
        <v>7683</v>
      </c>
      <c r="G135" t="s">
        <v>7681</v>
      </c>
      <c r="H135" t="s">
        <v>7318</v>
      </c>
      <c r="I135" t="s">
        <v>7681</v>
      </c>
      <c r="J135" t="s">
        <v>7683</v>
      </c>
      <c r="K135" t="s">
        <v>7663</v>
      </c>
    </row>
    <row r="136" spans="1:11" s="1" customFormat="1" x14ac:dyDescent="0.25">
      <c r="A136" t="s">
        <v>7684</v>
      </c>
      <c r="B136" t="s">
        <v>7685</v>
      </c>
      <c r="C136" s="88"/>
      <c r="D136" t="s">
        <v>7686</v>
      </c>
      <c r="E136">
        <v>2052</v>
      </c>
      <c r="F136" t="s">
        <v>7687</v>
      </c>
      <c r="G136" t="s">
        <v>7685</v>
      </c>
      <c r="H136" t="s">
        <v>7318</v>
      </c>
      <c r="I136" t="s">
        <v>7685</v>
      </c>
      <c r="J136" t="s">
        <v>7687</v>
      </c>
      <c r="K136" t="s">
        <v>7663</v>
      </c>
    </row>
    <row r="137" spans="1:11" s="1" customFormat="1" x14ac:dyDescent="0.25">
      <c r="A137" t="s">
        <v>7688</v>
      </c>
      <c r="B137" t="s">
        <v>7689</v>
      </c>
      <c r="C137" s="88"/>
      <c r="D137" t="s">
        <v>7690</v>
      </c>
      <c r="E137">
        <v>507</v>
      </c>
      <c r="F137" t="s">
        <v>7691</v>
      </c>
      <c r="G137" t="s">
        <v>7689</v>
      </c>
      <c r="H137" t="s">
        <v>7318</v>
      </c>
      <c r="I137" t="s">
        <v>7689</v>
      </c>
      <c r="J137" t="s">
        <v>7691</v>
      </c>
      <c r="K137" t="s">
        <v>7660</v>
      </c>
    </row>
    <row r="138" spans="1:11" s="1" customFormat="1" x14ac:dyDescent="0.25">
      <c r="A138" t="s">
        <v>7692</v>
      </c>
      <c r="B138" t="s">
        <v>7693</v>
      </c>
      <c r="C138" s="88"/>
      <c r="D138" t="s">
        <v>7694</v>
      </c>
      <c r="E138">
        <v>456</v>
      </c>
      <c r="F138" t="s">
        <v>7695</v>
      </c>
      <c r="G138" t="s">
        <v>7693</v>
      </c>
      <c r="H138" t="s">
        <v>7318</v>
      </c>
      <c r="I138" t="s">
        <v>7693</v>
      </c>
      <c r="J138" t="s">
        <v>7695</v>
      </c>
      <c r="K138" t="s">
        <v>7693</v>
      </c>
    </row>
    <row r="139" spans="1:11" s="1" customFormat="1" x14ac:dyDescent="0.25">
      <c r="A139" t="s">
        <v>7696</v>
      </c>
      <c r="B139" t="s">
        <v>7697</v>
      </c>
      <c r="C139" s="88"/>
      <c r="D139" t="s">
        <v>7698</v>
      </c>
      <c r="E139">
        <v>915</v>
      </c>
      <c r="F139" t="s">
        <v>7699</v>
      </c>
      <c r="G139" t="s">
        <v>7693</v>
      </c>
      <c r="H139" t="s">
        <v>7318</v>
      </c>
      <c r="I139" t="s">
        <v>7697</v>
      </c>
      <c r="J139" t="s">
        <v>7699</v>
      </c>
      <c r="K139" t="s">
        <v>7693</v>
      </c>
    </row>
    <row r="140" spans="1:11" s="1" customFormat="1" x14ac:dyDescent="0.25">
      <c r="A140" t="s">
        <v>7700</v>
      </c>
      <c r="B140" t="s">
        <v>7701</v>
      </c>
      <c r="C140" s="88"/>
      <c r="D140" t="s">
        <v>7702</v>
      </c>
      <c r="E140">
        <v>443</v>
      </c>
      <c r="F140" t="s">
        <v>7703</v>
      </c>
      <c r="G140" t="s">
        <v>7693</v>
      </c>
      <c r="H140" t="s">
        <v>7318</v>
      </c>
      <c r="I140" t="s">
        <v>7701</v>
      </c>
      <c r="J140" t="s">
        <v>7703</v>
      </c>
      <c r="K140" t="s">
        <v>7693</v>
      </c>
    </row>
    <row r="141" spans="1:11" s="1" customFormat="1" x14ac:dyDescent="0.25">
      <c r="A141" t="s">
        <v>7704</v>
      </c>
      <c r="B141" t="s">
        <v>7705</v>
      </c>
      <c r="C141" s="88"/>
      <c r="D141" t="s">
        <v>7706</v>
      </c>
      <c r="E141">
        <v>1871</v>
      </c>
      <c r="F141" t="s">
        <v>7707</v>
      </c>
      <c r="G141" t="s">
        <v>7693</v>
      </c>
      <c r="H141" t="s">
        <v>7318</v>
      </c>
      <c r="I141" t="s">
        <v>7705</v>
      </c>
      <c r="J141" t="s">
        <v>7707</v>
      </c>
      <c r="K141" t="s">
        <v>7693</v>
      </c>
    </row>
    <row r="142" spans="1:11" s="1" customFormat="1" x14ac:dyDescent="0.25">
      <c r="A142" t="s">
        <v>7708</v>
      </c>
      <c r="B142" t="s">
        <v>7709</v>
      </c>
      <c r="C142" s="88"/>
      <c r="D142" t="s">
        <v>7710</v>
      </c>
      <c r="E142">
        <v>1921</v>
      </c>
      <c r="F142" t="s">
        <v>7711</v>
      </c>
      <c r="G142" t="s">
        <v>7693</v>
      </c>
      <c r="H142" t="s">
        <v>7318</v>
      </c>
      <c r="I142" t="s">
        <v>7709</v>
      </c>
      <c r="J142" t="s">
        <v>7711</v>
      </c>
      <c r="K142" t="s">
        <v>7693</v>
      </c>
    </row>
    <row r="143" spans="1:11" s="1" customFormat="1" x14ac:dyDescent="0.25">
      <c r="A143" t="s">
        <v>7712</v>
      </c>
      <c r="B143" t="s">
        <v>7713</v>
      </c>
      <c r="C143" s="88"/>
      <c r="D143" t="s">
        <v>7714</v>
      </c>
      <c r="E143">
        <v>1493</v>
      </c>
      <c r="F143" t="s">
        <v>7715</v>
      </c>
      <c r="G143" t="s">
        <v>7693</v>
      </c>
      <c r="H143" t="s">
        <v>7318</v>
      </c>
      <c r="I143" t="s">
        <v>7713</v>
      </c>
      <c r="J143" t="s">
        <v>7715</v>
      </c>
      <c r="K143" t="s">
        <v>7693</v>
      </c>
    </row>
    <row r="144" spans="1:11" s="1" customFormat="1" x14ac:dyDescent="0.25">
      <c r="A144" t="s">
        <v>7716</v>
      </c>
      <c r="B144" t="s">
        <v>7717</v>
      </c>
      <c r="C144" s="88"/>
      <c r="D144" t="s">
        <v>7718</v>
      </c>
      <c r="E144">
        <v>1398</v>
      </c>
      <c r="F144" t="s">
        <v>7719</v>
      </c>
      <c r="G144" t="s">
        <v>7693</v>
      </c>
      <c r="H144" t="s">
        <v>7318</v>
      </c>
      <c r="I144" t="s">
        <v>7717</v>
      </c>
      <c r="J144" t="s">
        <v>7719</v>
      </c>
      <c r="K144" t="s">
        <v>7693</v>
      </c>
    </row>
    <row r="145" spans="1:11" s="1" customFormat="1" x14ac:dyDescent="0.25">
      <c r="A145" t="s">
        <v>7720</v>
      </c>
      <c r="B145" t="s">
        <v>7721</v>
      </c>
      <c r="C145" s="88"/>
      <c r="D145" t="s">
        <v>7722</v>
      </c>
      <c r="E145">
        <v>1422</v>
      </c>
      <c r="F145" t="s">
        <v>7723</v>
      </c>
      <c r="G145" t="s">
        <v>7693</v>
      </c>
      <c r="H145" t="s">
        <v>7318</v>
      </c>
      <c r="I145" t="s">
        <v>7721</v>
      </c>
      <c r="J145" t="s">
        <v>7723</v>
      </c>
      <c r="K145" t="s">
        <v>7693</v>
      </c>
    </row>
    <row r="146" spans="1:11" s="1" customFormat="1" x14ac:dyDescent="0.25">
      <c r="A146" t="s">
        <v>7724</v>
      </c>
      <c r="B146" t="s">
        <v>7725</v>
      </c>
      <c r="C146" s="88"/>
      <c r="D146" t="s">
        <v>7726</v>
      </c>
      <c r="E146">
        <v>4984</v>
      </c>
      <c r="F146" t="s">
        <v>7727</v>
      </c>
      <c r="G146" t="s">
        <v>7725</v>
      </c>
      <c r="H146" t="s">
        <v>7318</v>
      </c>
      <c r="I146" t="s">
        <v>7725</v>
      </c>
      <c r="J146" t="s">
        <v>7727</v>
      </c>
      <c r="K146" t="s">
        <v>8707</v>
      </c>
    </row>
    <row r="147" spans="1:11" s="1" customFormat="1" x14ac:dyDescent="0.25">
      <c r="A147" t="s">
        <v>7728</v>
      </c>
      <c r="B147" t="s">
        <v>7729</v>
      </c>
      <c r="C147" s="88"/>
      <c r="D147" t="s">
        <v>7730</v>
      </c>
      <c r="E147">
        <v>744</v>
      </c>
      <c r="F147" t="s">
        <v>7731</v>
      </c>
      <c r="G147" t="s">
        <v>7729</v>
      </c>
      <c r="H147" t="s">
        <v>7318</v>
      </c>
      <c r="I147" t="s">
        <v>7729</v>
      </c>
      <c r="J147" t="s">
        <v>7731</v>
      </c>
      <c r="K147" t="s">
        <v>7729</v>
      </c>
    </row>
    <row r="148" spans="1:11" s="1" customFormat="1" x14ac:dyDescent="0.25">
      <c r="A148" t="s">
        <v>7732</v>
      </c>
      <c r="B148" t="s">
        <v>7733</v>
      </c>
      <c r="C148" s="88"/>
      <c r="D148" t="s">
        <v>7734</v>
      </c>
      <c r="E148">
        <v>4419</v>
      </c>
      <c r="F148" t="s">
        <v>7735</v>
      </c>
      <c r="G148" t="s">
        <v>7733</v>
      </c>
      <c r="H148" t="s">
        <v>7318</v>
      </c>
      <c r="I148" t="s">
        <v>7733</v>
      </c>
      <c r="J148" t="s">
        <v>7735</v>
      </c>
      <c r="K148" t="s">
        <v>7733</v>
      </c>
    </row>
    <row r="149" spans="1:11" s="1" customFormat="1" x14ac:dyDescent="0.25">
      <c r="A149" t="s">
        <v>7736</v>
      </c>
      <c r="B149" t="s">
        <v>7737</v>
      </c>
      <c r="C149" s="88"/>
      <c r="D149" t="s">
        <v>7738</v>
      </c>
      <c r="E149">
        <v>120</v>
      </c>
      <c r="F149" t="s">
        <v>7739</v>
      </c>
      <c r="G149" t="s">
        <v>7737</v>
      </c>
      <c r="H149" t="s">
        <v>7318</v>
      </c>
      <c r="I149" t="s">
        <v>7737</v>
      </c>
      <c r="J149" t="s">
        <v>7739</v>
      </c>
      <c r="K149" t="s">
        <v>8354</v>
      </c>
    </row>
    <row r="150" spans="1:11" s="1" customFormat="1" x14ac:dyDescent="0.25">
      <c r="A150" t="s">
        <v>7740</v>
      </c>
      <c r="B150" t="s">
        <v>13192</v>
      </c>
      <c r="C150" s="88"/>
      <c r="D150" t="s">
        <v>7315</v>
      </c>
      <c r="E150">
        <v>466</v>
      </c>
      <c r="F150" t="s">
        <v>7741</v>
      </c>
      <c r="G150" t="s">
        <v>13192</v>
      </c>
      <c r="H150" t="s">
        <v>7318</v>
      </c>
      <c r="I150" t="s">
        <v>13192</v>
      </c>
      <c r="J150" t="s">
        <v>7741</v>
      </c>
      <c r="K150" t="s">
        <v>13192</v>
      </c>
    </row>
    <row r="151" spans="1:11" s="1" customFormat="1" x14ac:dyDescent="0.25">
      <c r="A151" t="s">
        <v>7742</v>
      </c>
      <c r="B151" t="s">
        <v>7743</v>
      </c>
      <c r="C151" s="88"/>
      <c r="D151" t="s">
        <v>7401</v>
      </c>
      <c r="E151">
        <v>1611</v>
      </c>
      <c r="F151" t="s">
        <v>7744</v>
      </c>
      <c r="G151" t="s">
        <v>7743</v>
      </c>
      <c r="H151" t="s">
        <v>7318</v>
      </c>
      <c r="I151" t="s">
        <v>7743</v>
      </c>
      <c r="J151" t="s">
        <v>7744</v>
      </c>
      <c r="K151" t="s">
        <v>8333</v>
      </c>
    </row>
    <row r="152" spans="1:11" s="1" customFormat="1" x14ac:dyDescent="0.25">
      <c r="A152" t="s">
        <v>7745</v>
      </c>
      <c r="B152" t="s">
        <v>7746</v>
      </c>
      <c r="C152" s="88"/>
      <c r="D152" t="s">
        <v>7747</v>
      </c>
      <c r="E152">
        <v>210</v>
      </c>
      <c r="F152" t="s">
        <v>7748</v>
      </c>
      <c r="G152" t="s">
        <v>7746</v>
      </c>
      <c r="H152" t="s">
        <v>7318</v>
      </c>
      <c r="I152" t="s">
        <v>7746</v>
      </c>
      <c r="J152" t="s">
        <v>7748</v>
      </c>
      <c r="K152" t="s">
        <v>7746</v>
      </c>
    </row>
    <row r="153" spans="1:11" s="1" customFormat="1" x14ac:dyDescent="0.25">
      <c r="A153" t="s">
        <v>7749</v>
      </c>
      <c r="B153" t="s">
        <v>7750</v>
      </c>
      <c r="C153" s="88"/>
      <c r="D153" t="s">
        <v>7751</v>
      </c>
      <c r="E153">
        <v>211</v>
      </c>
      <c r="F153" t="s">
        <v>7752</v>
      </c>
      <c r="G153" t="s">
        <v>7750</v>
      </c>
      <c r="H153" t="s">
        <v>7318</v>
      </c>
      <c r="I153" t="s">
        <v>7750</v>
      </c>
      <c r="J153" t="s">
        <v>7752</v>
      </c>
      <c r="K153" t="s">
        <v>7750</v>
      </c>
    </row>
    <row r="154" spans="1:11" s="1" customFormat="1" x14ac:dyDescent="0.25">
      <c r="A154" t="s">
        <v>7753</v>
      </c>
      <c r="B154" t="s">
        <v>7754</v>
      </c>
      <c r="C154" s="88"/>
      <c r="D154" t="s">
        <v>7755</v>
      </c>
      <c r="E154">
        <v>1357</v>
      </c>
      <c r="F154" t="s">
        <v>7756</v>
      </c>
      <c r="G154" t="s">
        <v>7754</v>
      </c>
      <c r="H154" t="s">
        <v>7318</v>
      </c>
      <c r="I154" t="s">
        <v>7754</v>
      </c>
      <c r="J154" t="s">
        <v>7756</v>
      </c>
      <c r="K154" t="s">
        <v>7693</v>
      </c>
    </row>
    <row r="155" spans="1:11" s="1" customFormat="1" x14ac:dyDescent="0.25">
      <c r="A155" t="s">
        <v>7757</v>
      </c>
      <c r="B155" t="s">
        <v>7758</v>
      </c>
      <c r="C155" s="88"/>
      <c r="D155" t="s">
        <v>7759</v>
      </c>
      <c r="E155">
        <v>1167</v>
      </c>
      <c r="F155" t="s">
        <v>7761</v>
      </c>
      <c r="G155" t="s">
        <v>7760</v>
      </c>
      <c r="H155" t="s">
        <v>7318</v>
      </c>
      <c r="I155" t="s">
        <v>7758</v>
      </c>
      <c r="J155" t="s">
        <v>7761</v>
      </c>
      <c r="K155" t="s">
        <v>7760</v>
      </c>
    </row>
    <row r="156" spans="1:11" s="1" customFormat="1" x14ac:dyDescent="0.25">
      <c r="A156" t="s">
        <v>7762</v>
      </c>
      <c r="B156" t="s">
        <v>7763</v>
      </c>
      <c r="C156" s="88"/>
      <c r="D156" t="s">
        <v>7318</v>
      </c>
      <c r="E156">
        <v>132</v>
      </c>
      <c r="F156" t="s">
        <v>7764</v>
      </c>
      <c r="G156" t="s">
        <v>7763</v>
      </c>
      <c r="H156" t="s">
        <v>7318</v>
      </c>
      <c r="I156" t="s">
        <v>7763</v>
      </c>
      <c r="J156" t="s">
        <v>7764</v>
      </c>
      <c r="K156" t="s">
        <v>7763</v>
      </c>
    </row>
    <row r="157" spans="1:11" s="1" customFormat="1" x14ac:dyDescent="0.25">
      <c r="A157" t="s">
        <v>7765</v>
      </c>
      <c r="B157" t="s">
        <v>7766</v>
      </c>
      <c r="C157" s="88"/>
      <c r="D157" t="s">
        <v>7767</v>
      </c>
      <c r="E157">
        <v>110</v>
      </c>
      <c r="F157" t="s">
        <v>7768</v>
      </c>
      <c r="G157" t="s">
        <v>7766</v>
      </c>
      <c r="H157" t="s">
        <v>7318</v>
      </c>
      <c r="I157" t="s">
        <v>7766</v>
      </c>
      <c r="J157" t="s">
        <v>7768</v>
      </c>
      <c r="K157" t="s">
        <v>7766</v>
      </c>
    </row>
    <row r="158" spans="1:11" s="1" customFormat="1" x14ac:dyDescent="0.25">
      <c r="A158" t="s">
        <v>7769</v>
      </c>
      <c r="B158" t="s">
        <v>7770</v>
      </c>
      <c r="C158" s="88"/>
      <c r="D158" t="s">
        <v>7770</v>
      </c>
      <c r="E158"/>
      <c r="F158" t="s">
        <v>7772</v>
      </c>
      <c r="G158" t="s">
        <v>7771</v>
      </c>
      <c r="H158" t="s">
        <v>7318</v>
      </c>
      <c r="I158" t="s">
        <v>7770</v>
      </c>
      <c r="J158" t="s">
        <v>7772</v>
      </c>
      <c r="K158" t="s">
        <v>7766</v>
      </c>
    </row>
    <row r="159" spans="1:11" s="1" customFormat="1" x14ac:dyDescent="0.25">
      <c r="A159" t="s">
        <v>7773</v>
      </c>
      <c r="B159" t="s">
        <v>7774</v>
      </c>
      <c r="C159" s="88"/>
      <c r="D159" t="s">
        <v>7370</v>
      </c>
      <c r="E159">
        <v>1191</v>
      </c>
      <c r="F159" t="s">
        <v>7775</v>
      </c>
      <c r="G159" t="s">
        <v>7774</v>
      </c>
      <c r="H159" t="s">
        <v>7318</v>
      </c>
      <c r="I159" t="s">
        <v>7774</v>
      </c>
      <c r="J159" t="s">
        <v>7775</v>
      </c>
      <c r="K159" t="s">
        <v>7774</v>
      </c>
    </row>
    <row r="160" spans="1:11" s="1" customFormat="1" x14ac:dyDescent="0.25">
      <c r="A160" t="s">
        <v>7776</v>
      </c>
      <c r="B160" t="s">
        <v>7777</v>
      </c>
      <c r="C160" s="88"/>
      <c r="D160" t="s">
        <v>7778</v>
      </c>
      <c r="E160">
        <v>632</v>
      </c>
      <c r="F160" t="s">
        <v>7780</v>
      </c>
      <c r="G160" t="s">
        <v>7779</v>
      </c>
      <c r="H160" t="s">
        <v>7318</v>
      </c>
      <c r="I160" t="s">
        <v>7777</v>
      </c>
      <c r="J160" t="s">
        <v>7780</v>
      </c>
      <c r="K160" t="s">
        <v>7779</v>
      </c>
    </row>
    <row r="161" spans="1:11" s="1" customFormat="1" x14ac:dyDescent="0.25">
      <c r="A161" t="s">
        <v>7781</v>
      </c>
      <c r="B161" t="s">
        <v>7782</v>
      </c>
      <c r="C161" s="88"/>
      <c r="D161" t="s">
        <v>7783</v>
      </c>
      <c r="E161">
        <v>86</v>
      </c>
      <c r="F161" t="s">
        <v>7785</v>
      </c>
      <c r="G161" t="s">
        <v>7784</v>
      </c>
      <c r="H161" t="s">
        <v>7318</v>
      </c>
      <c r="I161" t="s">
        <v>7782</v>
      </c>
      <c r="J161" t="s">
        <v>7785</v>
      </c>
      <c r="K161" t="s">
        <v>12522</v>
      </c>
    </row>
    <row r="162" spans="1:11" s="1" customFormat="1" x14ac:dyDescent="0.25">
      <c r="A162" t="s">
        <v>7786</v>
      </c>
      <c r="B162" t="s">
        <v>7787</v>
      </c>
      <c r="C162" s="88"/>
      <c r="D162" t="s">
        <v>7788</v>
      </c>
      <c r="E162">
        <v>260</v>
      </c>
      <c r="F162" t="s">
        <v>7789</v>
      </c>
      <c r="G162" t="s">
        <v>7787</v>
      </c>
      <c r="H162" t="s">
        <v>7318</v>
      </c>
      <c r="I162" t="s">
        <v>7787</v>
      </c>
      <c r="J162" t="s">
        <v>7789</v>
      </c>
      <c r="K162" t="s">
        <v>12523</v>
      </c>
    </row>
    <row r="163" spans="1:11" s="1" customFormat="1" x14ac:dyDescent="0.25">
      <c r="A163" t="s">
        <v>7790</v>
      </c>
      <c r="B163" t="s">
        <v>7791</v>
      </c>
      <c r="C163" s="88"/>
      <c r="D163" t="s">
        <v>7792</v>
      </c>
      <c r="E163">
        <v>562</v>
      </c>
      <c r="F163" t="s">
        <v>7793</v>
      </c>
      <c r="G163" t="s">
        <v>7791</v>
      </c>
      <c r="H163" t="s">
        <v>7318</v>
      </c>
      <c r="I163" t="s">
        <v>7791</v>
      </c>
      <c r="J163" t="s">
        <v>7793</v>
      </c>
      <c r="K163" t="s">
        <v>7760</v>
      </c>
    </row>
    <row r="164" spans="1:11" s="1" customFormat="1" x14ac:dyDescent="0.25">
      <c r="A164" t="s">
        <v>7794</v>
      </c>
      <c r="B164" t="s">
        <v>7795</v>
      </c>
      <c r="C164" s="88"/>
      <c r="D164" t="s">
        <v>7796</v>
      </c>
      <c r="E164">
        <v>899</v>
      </c>
      <c r="F164" t="s">
        <v>7797</v>
      </c>
      <c r="G164" t="s">
        <v>7795</v>
      </c>
      <c r="H164" t="s">
        <v>7318</v>
      </c>
      <c r="I164" t="s">
        <v>7795</v>
      </c>
      <c r="J164" t="s">
        <v>7797</v>
      </c>
      <c r="K164" t="s">
        <v>12524</v>
      </c>
    </row>
    <row r="165" spans="1:11" s="1" customFormat="1" x14ac:dyDescent="0.25">
      <c r="A165" t="s">
        <v>7798</v>
      </c>
      <c r="B165" t="s">
        <v>7799</v>
      </c>
      <c r="C165" s="88"/>
      <c r="D165" t="s">
        <v>7800</v>
      </c>
      <c r="E165">
        <v>564</v>
      </c>
      <c r="F165" t="s">
        <v>7801</v>
      </c>
      <c r="G165" t="s">
        <v>7799</v>
      </c>
      <c r="H165" t="s">
        <v>7318</v>
      </c>
      <c r="I165" t="s">
        <v>7799</v>
      </c>
      <c r="J165" t="s">
        <v>7801</v>
      </c>
      <c r="K165" t="s">
        <v>7799</v>
      </c>
    </row>
    <row r="166" spans="1:11" s="1" customFormat="1" x14ac:dyDescent="0.25">
      <c r="A166" t="s">
        <v>7802</v>
      </c>
      <c r="B166" t="s">
        <v>7803</v>
      </c>
      <c r="C166" s="88"/>
      <c r="D166" t="s">
        <v>7804</v>
      </c>
      <c r="E166">
        <v>969</v>
      </c>
      <c r="F166" t="s">
        <v>7806</v>
      </c>
      <c r="G166" t="s">
        <v>7805</v>
      </c>
      <c r="H166" t="s">
        <v>7318</v>
      </c>
      <c r="I166" t="s">
        <v>7803</v>
      </c>
      <c r="J166" t="s">
        <v>7806</v>
      </c>
      <c r="K166" t="s">
        <v>7805</v>
      </c>
    </row>
    <row r="167" spans="1:11" s="1" customFormat="1" x14ac:dyDescent="0.25">
      <c r="A167" t="s">
        <v>7807</v>
      </c>
      <c r="B167" t="s">
        <v>7808</v>
      </c>
      <c r="C167" s="88"/>
      <c r="D167" t="s">
        <v>7809</v>
      </c>
      <c r="E167">
        <v>132</v>
      </c>
      <c r="F167" t="s">
        <v>7810</v>
      </c>
      <c r="G167" t="s">
        <v>7808</v>
      </c>
      <c r="H167" t="s">
        <v>7318</v>
      </c>
      <c r="I167" t="s">
        <v>7808</v>
      </c>
      <c r="J167" t="s">
        <v>7810</v>
      </c>
      <c r="K167" t="s">
        <v>7808</v>
      </c>
    </row>
    <row r="168" spans="1:11" s="1" customFormat="1" x14ac:dyDescent="0.25">
      <c r="A168" t="s">
        <v>7811</v>
      </c>
      <c r="B168" t="s">
        <v>7812</v>
      </c>
      <c r="C168" s="88"/>
      <c r="D168" t="s">
        <v>7706</v>
      </c>
      <c r="E168">
        <v>5278</v>
      </c>
      <c r="F168" t="s">
        <v>7814</v>
      </c>
      <c r="G168" t="s">
        <v>7813</v>
      </c>
      <c r="H168" t="s">
        <v>7318</v>
      </c>
      <c r="I168" t="s">
        <v>7812</v>
      </c>
      <c r="J168" t="s">
        <v>7814</v>
      </c>
      <c r="K168" t="s">
        <v>7693</v>
      </c>
    </row>
    <row r="169" spans="1:11" s="1" customFormat="1" x14ac:dyDescent="0.25">
      <c r="A169" t="s">
        <v>7815</v>
      </c>
      <c r="B169" t="s">
        <v>7816</v>
      </c>
      <c r="C169" s="88"/>
      <c r="D169" t="s">
        <v>7817</v>
      </c>
      <c r="E169">
        <v>299</v>
      </c>
      <c r="F169" t="s">
        <v>7818</v>
      </c>
      <c r="G169" t="s">
        <v>7816</v>
      </c>
      <c r="H169" t="s">
        <v>7318</v>
      </c>
      <c r="I169" t="s">
        <v>7816</v>
      </c>
      <c r="J169" t="s">
        <v>7818</v>
      </c>
      <c r="K169" t="s">
        <v>7816</v>
      </c>
    </row>
    <row r="170" spans="1:11" s="1" customFormat="1" x14ac:dyDescent="0.25">
      <c r="A170" t="s">
        <v>7819</v>
      </c>
      <c r="B170" t="s">
        <v>7820</v>
      </c>
      <c r="C170" s="88"/>
      <c r="D170" t="s">
        <v>7821</v>
      </c>
      <c r="E170">
        <v>7476</v>
      </c>
      <c r="F170" t="s">
        <v>7822</v>
      </c>
      <c r="G170" t="s">
        <v>7820</v>
      </c>
      <c r="H170" t="s">
        <v>7318</v>
      </c>
      <c r="I170" t="s">
        <v>7820</v>
      </c>
      <c r="J170" t="s">
        <v>7822</v>
      </c>
      <c r="K170" t="s">
        <v>7693</v>
      </c>
    </row>
    <row r="171" spans="1:11" s="1" customFormat="1" x14ac:dyDescent="0.25">
      <c r="A171" t="s">
        <v>7823</v>
      </c>
      <c r="B171" t="s">
        <v>7824</v>
      </c>
      <c r="C171" s="88"/>
      <c r="D171" t="s">
        <v>7825</v>
      </c>
      <c r="E171">
        <v>811</v>
      </c>
      <c r="F171" t="s">
        <v>7826</v>
      </c>
      <c r="G171" t="s">
        <v>7824</v>
      </c>
      <c r="H171" t="s">
        <v>7318</v>
      </c>
      <c r="I171" t="s">
        <v>7824</v>
      </c>
      <c r="J171" t="s">
        <v>7826</v>
      </c>
      <c r="K171" t="s">
        <v>7824</v>
      </c>
    </row>
    <row r="172" spans="1:11" s="1" customFormat="1" x14ac:dyDescent="0.25">
      <c r="A172" t="s">
        <v>7827</v>
      </c>
      <c r="B172" t="s">
        <v>7828</v>
      </c>
      <c r="C172" s="88"/>
      <c r="D172" t="s">
        <v>7608</v>
      </c>
      <c r="E172">
        <v>2097</v>
      </c>
      <c r="F172" t="s">
        <v>7829</v>
      </c>
      <c r="G172" t="s">
        <v>7828</v>
      </c>
      <c r="H172" t="s">
        <v>7318</v>
      </c>
      <c r="I172" t="s">
        <v>7828</v>
      </c>
      <c r="J172" t="s">
        <v>7829</v>
      </c>
      <c r="K172" t="s">
        <v>7828</v>
      </c>
    </row>
    <row r="173" spans="1:11" s="1" customFormat="1" x14ac:dyDescent="0.25">
      <c r="A173" t="s">
        <v>7830</v>
      </c>
      <c r="B173" t="s">
        <v>7831</v>
      </c>
      <c r="C173" s="88"/>
      <c r="D173" t="s">
        <v>7832</v>
      </c>
      <c r="E173">
        <v>878</v>
      </c>
      <c r="F173" t="s">
        <v>7833</v>
      </c>
      <c r="G173" t="s">
        <v>7831</v>
      </c>
      <c r="H173" t="s">
        <v>7318</v>
      </c>
      <c r="I173" t="s">
        <v>7831</v>
      </c>
      <c r="J173" t="s">
        <v>7833</v>
      </c>
      <c r="K173" t="s">
        <v>12525</v>
      </c>
    </row>
    <row r="174" spans="1:11" s="1" customFormat="1" x14ac:dyDescent="0.25">
      <c r="A174" t="s">
        <v>7834</v>
      </c>
      <c r="B174" t="s">
        <v>7835</v>
      </c>
      <c r="C174" s="88"/>
      <c r="D174" t="s">
        <v>7836</v>
      </c>
      <c r="E174">
        <v>2032</v>
      </c>
      <c r="F174" t="s">
        <v>7838</v>
      </c>
      <c r="G174" t="s">
        <v>7837</v>
      </c>
      <c r="H174" t="s">
        <v>7318</v>
      </c>
      <c r="I174" t="s">
        <v>7835</v>
      </c>
      <c r="J174" t="s">
        <v>7838</v>
      </c>
      <c r="K174" t="s">
        <v>7693</v>
      </c>
    </row>
    <row r="175" spans="1:11" s="1" customFormat="1" x14ac:dyDescent="0.25">
      <c r="A175" t="s">
        <v>7839</v>
      </c>
      <c r="B175" t="s">
        <v>7840</v>
      </c>
      <c r="C175" s="88"/>
      <c r="D175" t="s">
        <v>7841</v>
      </c>
      <c r="E175">
        <v>645</v>
      </c>
      <c r="F175" t="s">
        <v>7842</v>
      </c>
      <c r="G175" t="s">
        <v>7840</v>
      </c>
      <c r="H175" t="s">
        <v>7318</v>
      </c>
      <c r="I175" t="s">
        <v>7840</v>
      </c>
      <c r="J175" t="s">
        <v>7842</v>
      </c>
      <c r="K175" t="s">
        <v>7840</v>
      </c>
    </row>
    <row r="176" spans="1:11" s="1" customFormat="1" x14ac:dyDescent="0.25">
      <c r="A176" t="s">
        <v>7843</v>
      </c>
      <c r="B176" t="s">
        <v>7844</v>
      </c>
      <c r="C176" s="88"/>
      <c r="D176" t="s">
        <v>7845</v>
      </c>
      <c r="E176">
        <v>187</v>
      </c>
      <c r="F176" t="s">
        <v>7846</v>
      </c>
      <c r="G176" t="s">
        <v>7844</v>
      </c>
      <c r="H176" t="s">
        <v>7318</v>
      </c>
      <c r="I176" t="s">
        <v>7844</v>
      </c>
      <c r="J176" t="s">
        <v>7846</v>
      </c>
      <c r="K176" t="s">
        <v>7983</v>
      </c>
    </row>
    <row r="177" spans="1:26" s="1" customFormat="1" x14ac:dyDescent="0.25">
      <c r="A177" t="s">
        <v>7847</v>
      </c>
      <c r="B177" t="s">
        <v>7848</v>
      </c>
      <c r="C177" s="88"/>
      <c r="D177" t="s">
        <v>7315</v>
      </c>
      <c r="E177">
        <v>152</v>
      </c>
      <c r="F177" t="s">
        <v>7849</v>
      </c>
      <c r="G177" t="s">
        <v>7848</v>
      </c>
      <c r="H177" t="s">
        <v>7318</v>
      </c>
      <c r="I177" t="s">
        <v>7848</v>
      </c>
      <c r="J177" t="s">
        <v>7849</v>
      </c>
      <c r="K177" t="s">
        <v>7848</v>
      </c>
    </row>
    <row r="178" spans="1:26" s="1" customFormat="1" x14ac:dyDescent="0.25">
      <c r="A178" t="s">
        <v>7850</v>
      </c>
      <c r="B178" t="s">
        <v>7851</v>
      </c>
      <c r="C178" s="88"/>
      <c r="D178" t="s">
        <v>7852</v>
      </c>
      <c r="E178">
        <v>670</v>
      </c>
      <c r="F178" t="s">
        <v>7854</v>
      </c>
      <c r="G178" t="s">
        <v>7853</v>
      </c>
      <c r="H178" t="s">
        <v>7318</v>
      </c>
      <c r="I178" t="s">
        <v>7851</v>
      </c>
      <c r="J178" t="s">
        <v>7854</v>
      </c>
      <c r="K178" t="s">
        <v>7853</v>
      </c>
    </row>
    <row r="179" spans="1:26" s="1" customFormat="1" x14ac:dyDescent="0.25">
      <c r="A179" t="s">
        <v>7855</v>
      </c>
      <c r="B179" t="s">
        <v>7856</v>
      </c>
      <c r="C179" s="88"/>
      <c r="D179" t="s">
        <v>7857</v>
      </c>
      <c r="E179">
        <v>221</v>
      </c>
      <c r="F179" t="s">
        <v>7858</v>
      </c>
      <c r="G179" t="s">
        <v>7856</v>
      </c>
      <c r="H179" t="s">
        <v>7318</v>
      </c>
      <c r="I179" t="s">
        <v>7856</v>
      </c>
      <c r="J179" t="s">
        <v>7858</v>
      </c>
      <c r="K179" t="s">
        <v>7747</v>
      </c>
    </row>
    <row r="180" spans="1:26" s="1" customFormat="1" x14ac:dyDescent="0.25">
      <c r="A180" t="s">
        <v>7859</v>
      </c>
      <c r="B180" t="s">
        <v>7860</v>
      </c>
      <c r="C180" s="88"/>
      <c r="D180" t="s">
        <v>7861</v>
      </c>
      <c r="E180">
        <v>264</v>
      </c>
      <c r="F180" t="s">
        <v>7862</v>
      </c>
      <c r="G180" t="s">
        <v>7860</v>
      </c>
      <c r="H180" t="s">
        <v>7318</v>
      </c>
      <c r="I180" t="s">
        <v>7860</v>
      </c>
      <c r="J180" t="s">
        <v>7862</v>
      </c>
      <c r="K180" t="s">
        <v>8031</v>
      </c>
    </row>
    <row r="181" spans="1:26" s="1" customFormat="1" x14ac:dyDescent="0.25">
      <c r="A181" t="s">
        <v>7863</v>
      </c>
      <c r="B181" t="s">
        <v>13193</v>
      </c>
      <c r="C181" s="88"/>
      <c r="D181" t="s">
        <v>7864</v>
      </c>
      <c r="E181">
        <v>30</v>
      </c>
      <c r="F181" t="s">
        <v>7865</v>
      </c>
      <c r="G181" t="s">
        <v>13193</v>
      </c>
      <c r="H181" t="s">
        <v>7318</v>
      </c>
      <c r="I181" t="s">
        <v>13193</v>
      </c>
      <c r="J181" t="s">
        <v>7865</v>
      </c>
      <c r="K181" t="s">
        <v>7967</v>
      </c>
    </row>
    <row r="182" spans="1:26" s="1" customFormat="1" x14ac:dyDescent="0.25">
      <c r="A182" t="s">
        <v>7866</v>
      </c>
      <c r="B182" t="s">
        <v>7867</v>
      </c>
      <c r="C182" s="88"/>
      <c r="D182" t="s">
        <v>7642</v>
      </c>
      <c r="E182">
        <v>0</v>
      </c>
      <c r="F182" t="s">
        <v>7868</v>
      </c>
      <c r="G182" t="s">
        <v>7867</v>
      </c>
      <c r="H182" t="s">
        <v>7318</v>
      </c>
      <c r="I182" t="s">
        <v>7867</v>
      </c>
      <c r="J182" t="s">
        <v>7868</v>
      </c>
      <c r="K182" t="s">
        <v>8121</v>
      </c>
    </row>
    <row r="183" spans="1:26" s="1" customFormat="1" x14ac:dyDescent="0.25">
      <c r="A183" t="s">
        <v>7869</v>
      </c>
      <c r="B183" t="s">
        <v>7870</v>
      </c>
      <c r="C183" s="88"/>
      <c r="D183" t="s">
        <v>7871</v>
      </c>
      <c r="E183">
        <v>36</v>
      </c>
      <c r="F183" t="s">
        <v>7873</v>
      </c>
      <c r="G183" t="s">
        <v>7872</v>
      </c>
      <c r="H183" t="s">
        <v>7318</v>
      </c>
      <c r="I183" t="s">
        <v>7870</v>
      </c>
      <c r="J183" t="s">
        <v>7873</v>
      </c>
      <c r="K183" t="s">
        <v>7967</v>
      </c>
    </row>
    <row r="184" spans="1:26" s="1" customFormat="1" x14ac:dyDescent="0.25">
      <c r="A184" t="s">
        <v>7874</v>
      </c>
      <c r="B184" t="s">
        <v>7875</v>
      </c>
      <c r="C184" s="88"/>
      <c r="D184" t="s">
        <v>7792</v>
      </c>
      <c r="E184">
        <v>206</v>
      </c>
      <c r="F184" t="s">
        <v>7876</v>
      </c>
      <c r="G184" t="s">
        <v>7875</v>
      </c>
      <c r="H184" t="s">
        <v>7318</v>
      </c>
      <c r="I184" t="s">
        <v>7875</v>
      </c>
      <c r="J184" t="s">
        <v>7876</v>
      </c>
      <c r="K184" t="s">
        <v>12526</v>
      </c>
    </row>
    <row r="185" spans="1:26" s="1" customFormat="1" x14ac:dyDescent="0.25">
      <c r="A185" t="s">
        <v>7877</v>
      </c>
      <c r="B185" t="s">
        <v>7878</v>
      </c>
      <c r="C185" s="88"/>
      <c r="D185" t="s">
        <v>7879</v>
      </c>
      <c r="E185">
        <v>105</v>
      </c>
      <c r="F185" t="s">
        <v>7880</v>
      </c>
      <c r="G185" t="s">
        <v>7878</v>
      </c>
      <c r="H185" t="s">
        <v>7318</v>
      </c>
      <c r="I185" t="s">
        <v>7878</v>
      </c>
      <c r="J185" t="s">
        <v>7880</v>
      </c>
      <c r="K185" t="s">
        <v>7983</v>
      </c>
    </row>
    <row r="186" spans="1:26" s="3" customFormat="1" x14ac:dyDescent="0.25">
      <c r="A186" t="s">
        <v>7881</v>
      </c>
      <c r="B186" t="s">
        <v>7882</v>
      </c>
      <c r="C186" s="88"/>
      <c r="D186" t="s">
        <v>7883</v>
      </c>
      <c r="E186">
        <v>0</v>
      </c>
      <c r="F186" t="s">
        <v>7884</v>
      </c>
      <c r="G186" t="s">
        <v>7882</v>
      </c>
      <c r="H186" t="s">
        <v>7318</v>
      </c>
      <c r="I186" t="s">
        <v>7882</v>
      </c>
      <c r="J186" t="s">
        <v>7884</v>
      </c>
      <c r="K186" t="s">
        <v>8031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7885</v>
      </c>
      <c r="B187" t="s">
        <v>7886</v>
      </c>
      <c r="C187" s="88"/>
      <c r="D187" t="s">
        <v>7887</v>
      </c>
      <c r="E187">
        <v>551</v>
      </c>
      <c r="F187" t="s">
        <v>7889</v>
      </c>
      <c r="G187" t="s">
        <v>7888</v>
      </c>
      <c r="H187" t="s">
        <v>7318</v>
      </c>
      <c r="I187" t="s">
        <v>7886</v>
      </c>
      <c r="J187" t="s">
        <v>7889</v>
      </c>
      <c r="K187" t="s">
        <v>8145</v>
      </c>
    </row>
    <row r="188" spans="1:26" s="1" customFormat="1" x14ac:dyDescent="0.25">
      <c r="A188" t="s">
        <v>7890</v>
      </c>
      <c r="B188" t="s">
        <v>7891</v>
      </c>
      <c r="C188" s="88"/>
      <c r="D188" t="s">
        <v>7845</v>
      </c>
      <c r="E188">
        <v>174</v>
      </c>
      <c r="F188" t="s">
        <v>7892</v>
      </c>
      <c r="G188" t="s">
        <v>7891</v>
      </c>
      <c r="H188" t="s">
        <v>7318</v>
      </c>
      <c r="I188" t="s">
        <v>7891</v>
      </c>
      <c r="J188" t="s">
        <v>7892</v>
      </c>
      <c r="K188" t="s">
        <v>7853</v>
      </c>
    </row>
    <row r="189" spans="1:26" s="1" customFormat="1" x14ac:dyDescent="0.25">
      <c r="A189" t="s">
        <v>7893</v>
      </c>
      <c r="B189" t="s">
        <v>7894</v>
      </c>
      <c r="C189" s="88"/>
      <c r="D189" t="s">
        <v>7895</v>
      </c>
      <c r="E189">
        <v>202</v>
      </c>
      <c r="F189" t="s">
        <v>7896</v>
      </c>
      <c r="G189" t="s">
        <v>7894</v>
      </c>
      <c r="H189" t="s">
        <v>7318</v>
      </c>
      <c r="I189" t="s">
        <v>7894</v>
      </c>
      <c r="J189" t="s">
        <v>7896</v>
      </c>
      <c r="K189" t="s">
        <v>7894</v>
      </c>
    </row>
    <row r="190" spans="1:26" s="1" customFormat="1" x14ac:dyDescent="0.25">
      <c r="A190" t="s">
        <v>7897</v>
      </c>
      <c r="B190" t="s">
        <v>7550</v>
      </c>
      <c r="C190" s="88"/>
      <c r="D190" t="s">
        <v>7608</v>
      </c>
      <c r="E190">
        <v>1101</v>
      </c>
      <c r="F190" t="s">
        <v>7898</v>
      </c>
      <c r="G190" t="s">
        <v>7550</v>
      </c>
      <c r="H190" t="s">
        <v>7318</v>
      </c>
      <c r="I190" t="s">
        <v>7550</v>
      </c>
      <c r="J190" t="s">
        <v>7898</v>
      </c>
      <c r="K190" t="s">
        <v>7550</v>
      </c>
    </row>
    <row r="191" spans="1:26" s="1" customFormat="1" x14ac:dyDescent="0.25">
      <c r="A191" t="s">
        <v>7899</v>
      </c>
      <c r="B191" t="s">
        <v>13194</v>
      </c>
      <c r="C191" s="88"/>
      <c r="D191" t="s">
        <v>7900</v>
      </c>
      <c r="E191">
        <v>317</v>
      </c>
      <c r="F191" t="s">
        <v>7901</v>
      </c>
      <c r="G191" t="s">
        <v>13194</v>
      </c>
      <c r="H191" t="s">
        <v>7318</v>
      </c>
      <c r="I191" t="s">
        <v>13194</v>
      </c>
      <c r="J191" t="s">
        <v>7901</v>
      </c>
      <c r="K191" t="s">
        <v>7983</v>
      </c>
    </row>
    <row r="192" spans="1:26" s="1" customFormat="1" x14ac:dyDescent="0.25">
      <c r="A192" t="s">
        <v>7902</v>
      </c>
      <c r="B192" t="s">
        <v>7903</v>
      </c>
      <c r="C192" s="88"/>
      <c r="D192" t="s">
        <v>7904</v>
      </c>
      <c r="E192">
        <v>253</v>
      </c>
      <c r="F192" t="s">
        <v>7905</v>
      </c>
      <c r="G192" t="s">
        <v>7903</v>
      </c>
      <c r="H192" t="s">
        <v>7318</v>
      </c>
      <c r="I192" t="s">
        <v>7903</v>
      </c>
      <c r="J192" t="s">
        <v>7905</v>
      </c>
      <c r="K192" t="s">
        <v>7903</v>
      </c>
    </row>
    <row r="193" spans="1:26" s="1" customFormat="1" x14ac:dyDescent="0.25">
      <c r="A193" t="s">
        <v>7906</v>
      </c>
      <c r="B193" t="s">
        <v>7907</v>
      </c>
      <c r="C193" s="88"/>
      <c r="D193" t="s">
        <v>7908</v>
      </c>
      <c r="E193">
        <v>0</v>
      </c>
      <c r="F193" t="s">
        <v>7910</v>
      </c>
      <c r="G193" t="s">
        <v>7909</v>
      </c>
      <c r="H193" t="s">
        <v>7318</v>
      </c>
      <c r="I193" t="s">
        <v>7907</v>
      </c>
      <c r="J193" t="s">
        <v>7910</v>
      </c>
      <c r="K193" t="s">
        <v>7361</v>
      </c>
    </row>
    <row r="194" spans="1:26" s="1" customFormat="1" x14ac:dyDescent="0.25">
      <c r="A194" t="s">
        <v>7911</v>
      </c>
      <c r="B194" t="s">
        <v>7912</v>
      </c>
      <c r="C194" s="88"/>
      <c r="D194" t="s">
        <v>7913</v>
      </c>
      <c r="E194">
        <v>251</v>
      </c>
      <c r="F194" t="s">
        <v>7914</v>
      </c>
      <c r="G194" t="s">
        <v>7912</v>
      </c>
      <c r="H194" t="s">
        <v>7318</v>
      </c>
      <c r="I194" t="s">
        <v>7912</v>
      </c>
      <c r="J194" t="s">
        <v>7914</v>
      </c>
      <c r="K194" t="s">
        <v>7912</v>
      </c>
    </row>
    <row r="195" spans="1:26" s="1" customFormat="1" x14ac:dyDescent="0.25">
      <c r="A195" t="s">
        <v>7915</v>
      </c>
      <c r="B195" t="s">
        <v>7916</v>
      </c>
      <c r="C195" s="88"/>
      <c r="D195" t="s">
        <v>7917</v>
      </c>
      <c r="E195">
        <v>621</v>
      </c>
      <c r="F195" t="s">
        <v>7918</v>
      </c>
      <c r="G195" t="s">
        <v>7916</v>
      </c>
      <c r="H195" t="s">
        <v>7318</v>
      </c>
      <c r="I195" t="s">
        <v>7916</v>
      </c>
      <c r="J195" t="s">
        <v>7918</v>
      </c>
      <c r="K195" t="s">
        <v>7916</v>
      </c>
    </row>
    <row r="196" spans="1:26" s="1" customFormat="1" x14ac:dyDescent="0.25">
      <c r="A196" t="s">
        <v>7919</v>
      </c>
      <c r="B196" t="s">
        <v>7817</v>
      </c>
      <c r="C196" s="88"/>
      <c r="D196" t="s">
        <v>7900</v>
      </c>
      <c r="E196">
        <v>57</v>
      </c>
      <c r="F196" t="s">
        <v>7920</v>
      </c>
      <c r="G196" t="s">
        <v>7817</v>
      </c>
      <c r="H196" t="s">
        <v>7318</v>
      </c>
      <c r="I196" t="s">
        <v>7817</v>
      </c>
      <c r="J196" t="s">
        <v>7920</v>
      </c>
      <c r="K196" t="s">
        <v>7817</v>
      </c>
    </row>
    <row r="197" spans="1:26" s="1" customFormat="1" x14ac:dyDescent="0.25">
      <c r="A197" t="s">
        <v>7921</v>
      </c>
      <c r="B197" t="s">
        <v>7922</v>
      </c>
      <c r="C197" s="88"/>
      <c r="D197" t="s">
        <v>7401</v>
      </c>
      <c r="E197">
        <v>7</v>
      </c>
      <c r="F197" t="s">
        <v>7923</v>
      </c>
      <c r="G197" t="s">
        <v>7922</v>
      </c>
      <c r="H197" t="s">
        <v>7318</v>
      </c>
      <c r="I197" t="s">
        <v>7922</v>
      </c>
      <c r="J197" t="s">
        <v>7923</v>
      </c>
      <c r="K197" t="s">
        <v>7922</v>
      </c>
    </row>
    <row r="198" spans="1:26" s="1" customFormat="1" x14ac:dyDescent="0.25">
      <c r="A198" t="s">
        <v>7924</v>
      </c>
      <c r="B198" t="s">
        <v>7925</v>
      </c>
      <c r="C198" s="88"/>
      <c r="D198" t="s">
        <v>7926</v>
      </c>
      <c r="E198">
        <v>0</v>
      </c>
      <c r="F198" t="s">
        <v>7928</v>
      </c>
      <c r="G198" t="s">
        <v>7927</v>
      </c>
      <c r="H198" t="s">
        <v>7318</v>
      </c>
      <c r="I198" t="s">
        <v>7925</v>
      </c>
      <c r="J198" t="s">
        <v>7928</v>
      </c>
      <c r="K198" t="s">
        <v>7983</v>
      </c>
    </row>
    <row r="199" spans="1:26" s="1" customFormat="1" x14ac:dyDescent="0.25">
      <c r="A199" t="s">
        <v>7929</v>
      </c>
      <c r="B199" t="s">
        <v>7930</v>
      </c>
      <c r="C199" s="88"/>
      <c r="D199" t="s">
        <v>7506</v>
      </c>
      <c r="E199">
        <v>0</v>
      </c>
      <c r="F199" t="s">
        <v>7932</v>
      </c>
      <c r="G199" t="s">
        <v>7931</v>
      </c>
      <c r="H199" t="s">
        <v>7318</v>
      </c>
      <c r="I199" t="s">
        <v>7930</v>
      </c>
      <c r="J199" t="s">
        <v>7932</v>
      </c>
      <c r="K199" t="s">
        <v>7974</v>
      </c>
    </row>
    <row r="200" spans="1:26" s="1" customFormat="1" x14ac:dyDescent="0.25">
      <c r="A200" t="s">
        <v>7933</v>
      </c>
      <c r="B200" t="s">
        <v>7934</v>
      </c>
      <c r="C200" s="88"/>
      <c r="D200" t="s">
        <v>7935</v>
      </c>
      <c r="E200">
        <v>245</v>
      </c>
      <c r="F200" t="s">
        <v>7936</v>
      </c>
      <c r="G200" t="s">
        <v>7934</v>
      </c>
      <c r="H200" t="s">
        <v>7318</v>
      </c>
      <c r="I200" t="s">
        <v>7934</v>
      </c>
      <c r="J200" t="s">
        <v>7936</v>
      </c>
      <c r="K200" t="s">
        <v>7848</v>
      </c>
    </row>
    <row r="201" spans="1:26" s="1" customFormat="1" x14ac:dyDescent="0.25">
      <c r="A201" t="s">
        <v>7937</v>
      </c>
      <c r="B201" t="s">
        <v>7938</v>
      </c>
      <c r="C201" s="88"/>
      <c r="D201" t="s">
        <v>7939</v>
      </c>
      <c r="E201">
        <v>0</v>
      </c>
      <c r="F201" t="s">
        <v>7940</v>
      </c>
      <c r="G201" t="s">
        <v>7938</v>
      </c>
      <c r="H201" t="s">
        <v>7318</v>
      </c>
      <c r="I201" t="s">
        <v>7938</v>
      </c>
      <c r="J201" t="s">
        <v>7940</v>
      </c>
      <c r="K201" t="s">
        <v>7437</v>
      </c>
    </row>
    <row r="202" spans="1:26" s="1" customFormat="1" x14ac:dyDescent="0.25">
      <c r="A202" t="s">
        <v>7941</v>
      </c>
      <c r="B202" t="s">
        <v>7942</v>
      </c>
      <c r="C202" s="88"/>
      <c r="D202" t="s">
        <v>7943</v>
      </c>
      <c r="E202">
        <v>633</v>
      </c>
      <c r="F202" t="s">
        <v>7944</v>
      </c>
      <c r="G202" t="s">
        <v>7942</v>
      </c>
      <c r="H202" t="s">
        <v>7318</v>
      </c>
      <c r="I202" t="s">
        <v>7942</v>
      </c>
      <c r="J202" t="s">
        <v>7944</v>
      </c>
      <c r="K202" t="s">
        <v>7361</v>
      </c>
    </row>
    <row r="203" spans="1:26" s="1" customFormat="1" x14ac:dyDescent="0.25">
      <c r="A203" t="s">
        <v>7945</v>
      </c>
      <c r="B203" t="s">
        <v>7946</v>
      </c>
      <c r="C203" s="88"/>
      <c r="D203" t="s">
        <v>7370</v>
      </c>
      <c r="E203">
        <v>129</v>
      </c>
      <c r="F203" t="s">
        <v>7947</v>
      </c>
      <c r="G203" t="s">
        <v>7946</v>
      </c>
      <c r="H203" t="s">
        <v>7318</v>
      </c>
      <c r="I203" t="s">
        <v>7946</v>
      </c>
      <c r="J203" t="s">
        <v>7947</v>
      </c>
      <c r="K203" t="s">
        <v>8031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7948</v>
      </c>
      <c r="B204" t="s">
        <v>7949</v>
      </c>
      <c r="C204" s="88"/>
      <c r="D204" t="s">
        <v>7950</v>
      </c>
      <c r="E204">
        <v>616</v>
      </c>
      <c r="F204" t="s">
        <v>7952</v>
      </c>
      <c r="G204" t="s">
        <v>7951</v>
      </c>
      <c r="H204" t="s">
        <v>7318</v>
      </c>
      <c r="I204" t="s">
        <v>7949</v>
      </c>
      <c r="J204" t="s">
        <v>7952</v>
      </c>
      <c r="K204" t="s">
        <v>7983</v>
      </c>
    </row>
    <row r="205" spans="1:26" s="1" customFormat="1" x14ac:dyDescent="0.25">
      <c r="A205" t="s">
        <v>7953</v>
      </c>
      <c r="B205" t="s">
        <v>7954</v>
      </c>
      <c r="C205" s="88"/>
      <c r="D205" t="s">
        <v>7318</v>
      </c>
      <c r="E205">
        <v>187</v>
      </c>
      <c r="F205" t="s">
        <v>7955</v>
      </c>
      <c r="G205" t="s">
        <v>7954</v>
      </c>
      <c r="H205" t="s">
        <v>7318</v>
      </c>
      <c r="I205" t="s">
        <v>7954</v>
      </c>
      <c r="J205" t="s">
        <v>7955</v>
      </c>
      <c r="K205" t="s">
        <v>7967</v>
      </c>
    </row>
    <row r="206" spans="1:26" s="1" customFormat="1" x14ac:dyDescent="0.25">
      <c r="A206" t="s">
        <v>7956</v>
      </c>
      <c r="B206" t="s">
        <v>7957</v>
      </c>
      <c r="C206" s="88"/>
      <c r="D206" t="s">
        <v>7592</v>
      </c>
      <c r="E206">
        <v>1</v>
      </c>
      <c r="F206" t="s">
        <v>7958</v>
      </c>
      <c r="G206" t="s">
        <v>7957</v>
      </c>
      <c r="H206" t="s">
        <v>7318</v>
      </c>
      <c r="I206" t="s">
        <v>7957</v>
      </c>
      <c r="J206" t="s">
        <v>7958</v>
      </c>
      <c r="K206" t="s">
        <v>7747</v>
      </c>
    </row>
    <row r="207" spans="1:26" s="1" customFormat="1" x14ac:dyDescent="0.25">
      <c r="A207" t="s">
        <v>7959</v>
      </c>
      <c r="B207" t="s">
        <v>7960</v>
      </c>
      <c r="C207" s="88"/>
      <c r="D207" t="s">
        <v>7730</v>
      </c>
      <c r="E207">
        <v>1</v>
      </c>
      <c r="F207" t="s">
        <v>7961</v>
      </c>
      <c r="G207" t="s">
        <v>7960</v>
      </c>
      <c r="H207" t="s">
        <v>7318</v>
      </c>
      <c r="I207" t="s">
        <v>7960</v>
      </c>
      <c r="J207" t="s">
        <v>7961</v>
      </c>
      <c r="K207" t="s">
        <v>8080</v>
      </c>
    </row>
    <row r="208" spans="1:26" s="1" customFormat="1" x14ac:dyDescent="0.25">
      <c r="A208" t="s">
        <v>7962</v>
      </c>
      <c r="B208" t="s">
        <v>7588</v>
      </c>
      <c r="C208" s="88"/>
      <c r="D208" t="s">
        <v>7792</v>
      </c>
      <c r="E208">
        <v>0</v>
      </c>
      <c r="F208" t="s">
        <v>7963</v>
      </c>
      <c r="G208" t="s">
        <v>7588</v>
      </c>
      <c r="H208" t="s">
        <v>7318</v>
      </c>
      <c r="I208" t="s">
        <v>7588</v>
      </c>
      <c r="J208" t="s">
        <v>7963</v>
      </c>
      <c r="K208" t="s">
        <v>7361</v>
      </c>
    </row>
    <row r="209" spans="1:11" s="1" customFormat="1" x14ac:dyDescent="0.25">
      <c r="A209" t="s">
        <v>7964</v>
      </c>
      <c r="B209" t="s">
        <v>7965</v>
      </c>
      <c r="C209" s="88"/>
      <c r="D209" t="s">
        <v>7966</v>
      </c>
      <c r="E209">
        <v>145</v>
      </c>
      <c r="F209" t="s">
        <v>7968</v>
      </c>
      <c r="G209" t="s">
        <v>7967</v>
      </c>
      <c r="H209" t="s">
        <v>7318</v>
      </c>
      <c r="I209" t="s">
        <v>7965</v>
      </c>
      <c r="J209" t="s">
        <v>7968</v>
      </c>
      <c r="K209" t="s">
        <v>7967</v>
      </c>
    </row>
    <row r="210" spans="1:11" s="1" customFormat="1" x14ac:dyDescent="0.25">
      <c r="A210" t="s">
        <v>7969</v>
      </c>
      <c r="B210" t="s">
        <v>7970</v>
      </c>
      <c r="C210" s="88"/>
      <c r="D210" t="s">
        <v>7437</v>
      </c>
      <c r="E210">
        <v>48</v>
      </c>
      <c r="F210" t="s">
        <v>7971</v>
      </c>
      <c r="G210" t="s">
        <v>7970</v>
      </c>
      <c r="H210" t="s">
        <v>7318</v>
      </c>
      <c r="I210" t="s">
        <v>7970</v>
      </c>
      <c r="J210" t="s">
        <v>7971</v>
      </c>
      <c r="K210" t="s">
        <v>7550</v>
      </c>
    </row>
    <row r="211" spans="1:11" s="1" customFormat="1" x14ac:dyDescent="0.25">
      <c r="A211" t="s">
        <v>7972</v>
      </c>
      <c r="B211" t="s">
        <v>7973</v>
      </c>
      <c r="C211" s="88"/>
      <c r="D211" t="s">
        <v>7370</v>
      </c>
      <c r="E211">
        <v>339</v>
      </c>
      <c r="F211" t="s">
        <v>7975</v>
      </c>
      <c r="G211" t="s">
        <v>7974</v>
      </c>
      <c r="H211" t="s">
        <v>7318</v>
      </c>
      <c r="I211" t="s">
        <v>7973</v>
      </c>
      <c r="J211" t="s">
        <v>7975</v>
      </c>
      <c r="K211" t="s">
        <v>7974</v>
      </c>
    </row>
    <row r="212" spans="1:11" s="1" customFormat="1" x14ac:dyDescent="0.25">
      <c r="A212" t="s">
        <v>7976</v>
      </c>
      <c r="B212" t="s">
        <v>7977</v>
      </c>
      <c r="C212" s="88"/>
      <c r="D212" t="s">
        <v>7978</v>
      </c>
      <c r="E212">
        <v>233</v>
      </c>
      <c r="F212" t="s">
        <v>7980</v>
      </c>
      <c r="G212" t="s">
        <v>7979</v>
      </c>
      <c r="H212" t="s">
        <v>7318</v>
      </c>
      <c r="I212" t="s">
        <v>7977</v>
      </c>
      <c r="J212" t="s">
        <v>7980</v>
      </c>
      <c r="K212" t="s">
        <v>7979</v>
      </c>
    </row>
    <row r="213" spans="1:11" s="1" customFormat="1" x14ac:dyDescent="0.25">
      <c r="A213" t="s">
        <v>7981</v>
      </c>
      <c r="B213" t="s">
        <v>7982</v>
      </c>
      <c r="C213" s="88"/>
      <c r="D213" t="s">
        <v>7792</v>
      </c>
      <c r="E213">
        <v>453</v>
      </c>
      <c r="F213" t="s">
        <v>7984</v>
      </c>
      <c r="G213" t="s">
        <v>7983</v>
      </c>
      <c r="H213" t="s">
        <v>7318</v>
      </c>
      <c r="I213" t="s">
        <v>7982</v>
      </c>
      <c r="J213" t="s">
        <v>7984</v>
      </c>
      <c r="K213" t="s">
        <v>7983</v>
      </c>
    </row>
    <row r="214" spans="1:11" s="1" customFormat="1" x14ac:dyDescent="0.25">
      <c r="A214" t="s">
        <v>7985</v>
      </c>
      <c r="B214" t="s">
        <v>7986</v>
      </c>
      <c r="C214" s="88"/>
      <c r="D214" t="s">
        <v>7318</v>
      </c>
      <c r="E214">
        <v>677</v>
      </c>
      <c r="F214" t="s">
        <v>7987</v>
      </c>
      <c r="G214" t="s">
        <v>7986</v>
      </c>
      <c r="H214" t="s">
        <v>7318</v>
      </c>
      <c r="I214" t="s">
        <v>7986</v>
      </c>
      <c r="J214" t="s">
        <v>7987</v>
      </c>
      <c r="K214" t="s">
        <v>7974</v>
      </c>
    </row>
    <row r="215" spans="1:11" s="1" customFormat="1" x14ac:dyDescent="0.25">
      <c r="A215" t="s">
        <v>7988</v>
      </c>
      <c r="B215" t="s">
        <v>7989</v>
      </c>
      <c r="C215" s="88"/>
      <c r="D215" t="s">
        <v>7990</v>
      </c>
      <c r="E215">
        <v>209</v>
      </c>
      <c r="F215" t="s">
        <v>7992</v>
      </c>
      <c r="G215" t="s">
        <v>7991</v>
      </c>
      <c r="H215" t="s">
        <v>7318</v>
      </c>
      <c r="I215" t="s">
        <v>7989</v>
      </c>
      <c r="J215" t="s">
        <v>7992</v>
      </c>
      <c r="K215" t="s">
        <v>7437</v>
      </c>
    </row>
    <row r="216" spans="1:11" s="1" customFormat="1" x14ac:dyDescent="0.25">
      <c r="A216" t="s">
        <v>7993</v>
      </c>
      <c r="B216" t="s">
        <v>7994</v>
      </c>
      <c r="C216" s="88"/>
      <c r="D216" t="s">
        <v>7995</v>
      </c>
      <c r="E216">
        <v>499</v>
      </c>
      <c r="F216" t="s">
        <v>7996</v>
      </c>
      <c r="G216" t="s">
        <v>7994</v>
      </c>
      <c r="H216" t="s">
        <v>7318</v>
      </c>
      <c r="I216" t="s">
        <v>7994</v>
      </c>
      <c r="J216" t="s">
        <v>7996</v>
      </c>
      <c r="K216" t="s">
        <v>7747</v>
      </c>
    </row>
    <row r="217" spans="1:11" s="1" customFormat="1" x14ac:dyDescent="0.25">
      <c r="A217" t="s">
        <v>7997</v>
      </c>
      <c r="B217" t="s">
        <v>7998</v>
      </c>
      <c r="C217" s="88"/>
      <c r="D217" t="s">
        <v>7412</v>
      </c>
      <c r="E217">
        <v>0</v>
      </c>
      <c r="F217" t="s">
        <v>7999</v>
      </c>
      <c r="G217" t="s">
        <v>7998</v>
      </c>
      <c r="H217" t="s">
        <v>7318</v>
      </c>
      <c r="I217" t="s">
        <v>7998</v>
      </c>
      <c r="J217" t="s">
        <v>7999</v>
      </c>
      <c r="K217" t="s">
        <v>8080</v>
      </c>
    </row>
    <row r="218" spans="1:11" s="1" customFormat="1" x14ac:dyDescent="0.25">
      <c r="A218" t="s">
        <v>8000</v>
      </c>
      <c r="B218" t="s">
        <v>8001</v>
      </c>
      <c r="C218" s="88"/>
      <c r="D218" t="s">
        <v>7506</v>
      </c>
      <c r="E218">
        <v>601</v>
      </c>
      <c r="F218" t="s">
        <v>8002</v>
      </c>
      <c r="G218" t="s">
        <v>8001</v>
      </c>
      <c r="H218" t="s">
        <v>7318</v>
      </c>
      <c r="I218" t="s">
        <v>8001</v>
      </c>
      <c r="J218" t="s">
        <v>8002</v>
      </c>
      <c r="K218" t="s">
        <v>8553</v>
      </c>
    </row>
    <row r="219" spans="1:11" s="1" customFormat="1" x14ac:dyDescent="0.25">
      <c r="A219" t="s">
        <v>8003</v>
      </c>
      <c r="B219" t="s">
        <v>8004</v>
      </c>
      <c r="C219" s="88"/>
      <c r="D219" t="s">
        <v>8005</v>
      </c>
      <c r="E219">
        <v>128</v>
      </c>
      <c r="F219" t="s">
        <v>8006</v>
      </c>
      <c r="G219" t="s">
        <v>8004</v>
      </c>
      <c r="H219" t="s">
        <v>7318</v>
      </c>
      <c r="I219" t="s">
        <v>8004</v>
      </c>
      <c r="J219" t="s">
        <v>8006</v>
      </c>
      <c r="K219" t="s">
        <v>8121</v>
      </c>
    </row>
    <row r="220" spans="1:11" s="1" customFormat="1" x14ac:dyDescent="0.25">
      <c r="A220" t="s">
        <v>8007</v>
      </c>
      <c r="B220" t="s">
        <v>8008</v>
      </c>
      <c r="C220" s="88"/>
      <c r="D220" t="s">
        <v>8009</v>
      </c>
      <c r="E220">
        <v>248</v>
      </c>
      <c r="F220" t="s">
        <v>8011</v>
      </c>
      <c r="G220" t="s">
        <v>8010</v>
      </c>
      <c r="H220" t="s">
        <v>7318</v>
      </c>
      <c r="I220" t="s">
        <v>8008</v>
      </c>
      <c r="J220" t="s">
        <v>8011</v>
      </c>
      <c r="K220" t="s">
        <v>8038</v>
      </c>
    </row>
    <row r="221" spans="1:11" s="1" customFormat="1" x14ac:dyDescent="0.25">
      <c r="A221" t="s">
        <v>8012</v>
      </c>
      <c r="B221" t="s">
        <v>8013</v>
      </c>
      <c r="C221" s="88"/>
      <c r="D221" t="s">
        <v>8014</v>
      </c>
      <c r="E221">
        <v>250</v>
      </c>
      <c r="F221" t="s">
        <v>8016</v>
      </c>
      <c r="G221" t="s">
        <v>8015</v>
      </c>
      <c r="H221" t="s">
        <v>7318</v>
      </c>
      <c r="I221" t="s">
        <v>8013</v>
      </c>
      <c r="J221" t="s">
        <v>8016</v>
      </c>
      <c r="K221" t="s">
        <v>8028</v>
      </c>
    </row>
    <row r="222" spans="1:11" s="1" customFormat="1" x14ac:dyDescent="0.25">
      <c r="A222" t="s">
        <v>8017</v>
      </c>
      <c r="B222" t="s">
        <v>8018</v>
      </c>
      <c r="C222" s="88"/>
      <c r="D222" t="s">
        <v>8019</v>
      </c>
      <c r="E222">
        <v>323</v>
      </c>
      <c r="F222" t="s">
        <v>8021</v>
      </c>
      <c r="G222" t="s">
        <v>8020</v>
      </c>
      <c r="H222" t="s">
        <v>7318</v>
      </c>
      <c r="I222" t="s">
        <v>8018</v>
      </c>
      <c r="J222" t="s">
        <v>8021</v>
      </c>
      <c r="K222" t="s">
        <v>8080</v>
      </c>
    </row>
    <row r="223" spans="1:11" s="1" customFormat="1" x14ac:dyDescent="0.25">
      <c r="A223" t="s">
        <v>8022</v>
      </c>
      <c r="B223" t="s">
        <v>8023</v>
      </c>
      <c r="C223" s="88"/>
      <c r="D223" t="s">
        <v>7642</v>
      </c>
      <c r="E223">
        <v>5</v>
      </c>
      <c r="F223" t="s">
        <v>8024</v>
      </c>
      <c r="G223" t="s">
        <v>8023</v>
      </c>
      <c r="H223" t="s">
        <v>7318</v>
      </c>
      <c r="I223" t="s">
        <v>8023</v>
      </c>
      <c r="J223" t="s">
        <v>8024</v>
      </c>
      <c r="K223" t="s">
        <v>8023</v>
      </c>
    </row>
    <row r="224" spans="1:11" s="1" customFormat="1" x14ac:dyDescent="0.25">
      <c r="A224" t="s">
        <v>8025</v>
      </c>
      <c r="B224" t="s">
        <v>8026</v>
      </c>
      <c r="C224" s="88"/>
      <c r="D224" t="s">
        <v>8027</v>
      </c>
      <c r="E224">
        <v>573</v>
      </c>
      <c r="F224" t="s">
        <v>8029</v>
      </c>
      <c r="G224" t="s">
        <v>8028</v>
      </c>
      <c r="H224" t="s">
        <v>7318</v>
      </c>
      <c r="I224" t="s">
        <v>8026</v>
      </c>
      <c r="J224" t="s">
        <v>8029</v>
      </c>
      <c r="K224" t="s">
        <v>8028</v>
      </c>
    </row>
    <row r="225" spans="1:11" s="1" customFormat="1" x14ac:dyDescent="0.25">
      <c r="A225" t="s">
        <v>8030</v>
      </c>
      <c r="B225" t="s">
        <v>8031</v>
      </c>
      <c r="C225" s="88"/>
      <c r="D225" t="s">
        <v>8032</v>
      </c>
      <c r="E225">
        <v>98</v>
      </c>
      <c r="F225" t="s">
        <v>8033</v>
      </c>
      <c r="G225" t="s">
        <v>8031</v>
      </c>
      <c r="H225" t="s">
        <v>7318</v>
      </c>
      <c r="I225" t="s">
        <v>8031</v>
      </c>
      <c r="J225" t="s">
        <v>8033</v>
      </c>
      <c r="K225" t="s">
        <v>8031</v>
      </c>
    </row>
    <row r="226" spans="1:11" s="1" customFormat="1" x14ac:dyDescent="0.25">
      <c r="A226" t="s">
        <v>8034</v>
      </c>
      <c r="B226" t="s">
        <v>8035</v>
      </c>
      <c r="C226" s="88"/>
      <c r="D226" t="s">
        <v>7462</v>
      </c>
      <c r="E226">
        <v>464</v>
      </c>
      <c r="F226" t="s">
        <v>8036</v>
      </c>
      <c r="G226" t="s">
        <v>8035</v>
      </c>
      <c r="H226" t="s">
        <v>7318</v>
      </c>
      <c r="I226" t="s">
        <v>8035</v>
      </c>
      <c r="J226" t="s">
        <v>8036</v>
      </c>
      <c r="K226" t="s">
        <v>12526</v>
      </c>
    </row>
    <row r="227" spans="1:11" s="1" customFormat="1" x14ac:dyDescent="0.25">
      <c r="A227" t="s">
        <v>8037</v>
      </c>
      <c r="B227" t="s">
        <v>8038</v>
      </c>
      <c r="C227" s="88"/>
      <c r="D227" t="s">
        <v>8039</v>
      </c>
      <c r="E227">
        <v>571</v>
      </c>
      <c r="F227" t="s">
        <v>8040</v>
      </c>
      <c r="G227" t="s">
        <v>8038</v>
      </c>
      <c r="H227" t="s">
        <v>7318</v>
      </c>
      <c r="I227" t="s">
        <v>8038</v>
      </c>
      <c r="J227" t="s">
        <v>8040</v>
      </c>
      <c r="K227" t="s">
        <v>8038</v>
      </c>
    </row>
    <row r="228" spans="1:11" s="1" customFormat="1" x14ac:dyDescent="0.25">
      <c r="A228" t="s">
        <v>8041</v>
      </c>
      <c r="B228" t="s">
        <v>8042</v>
      </c>
      <c r="C228" s="88"/>
      <c r="D228" t="s">
        <v>8043</v>
      </c>
      <c r="E228">
        <v>2015</v>
      </c>
      <c r="F228" t="s">
        <v>8044</v>
      </c>
      <c r="G228" t="s">
        <v>8042</v>
      </c>
      <c r="H228" t="s">
        <v>7318</v>
      </c>
      <c r="I228" t="s">
        <v>8042</v>
      </c>
      <c r="J228" t="s">
        <v>8044</v>
      </c>
      <c r="K228" t="s">
        <v>7550</v>
      </c>
    </row>
    <row r="229" spans="1:11" s="1" customFormat="1" x14ac:dyDescent="0.25">
      <c r="A229" t="s">
        <v>8045</v>
      </c>
      <c r="B229" t="s">
        <v>8046</v>
      </c>
      <c r="C229" s="88"/>
      <c r="D229" t="s">
        <v>8047</v>
      </c>
      <c r="E229">
        <v>0</v>
      </c>
      <c r="F229" t="s">
        <v>8048</v>
      </c>
      <c r="G229" t="s">
        <v>8046</v>
      </c>
      <c r="H229" t="s">
        <v>7318</v>
      </c>
      <c r="I229" t="s">
        <v>8046</v>
      </c>
      <c r="J229" t="s">
        <v>8048</v>
      </c>
      <c r="K229" t="s">
        <v>7903</v>
      </c>
    </row>
    <row r="230" spans="1:11" s="1" customFormat="1" x14ac:dyDescent="0.25">
      <c r="A230" t="s">
        <v>8049</v>
      </c>
      <c r="B230" t="s">
        <v>8050</v>
      </c>
      <c r="C230" s="88"/>
      <c r="D230" t="s">
        <v>8051</v>
      </c>
      <c r="E230">
        <v>395</v>
      </c>
      <c r="F230" t="s">
        <v>8052</v>
      </c>
      <c r="G230" t="s">
        <v>8050</v>
      </c>
      <c r="H230" t="s">
        <v>7318</v>
      </c>
      <c r="I230" t="s">
        <v>8050</v>
      </c>
      <c r="J230" t="s">
        <v>8052</v>
      </c>
      <c r="K230" t="s">
        <v>8080</v>
      </c>
    </row>
    <row r="231" spans="1:11" s="1" customFormat="1" x14ac:dyDescent="0.25">
      <c r="A231" t="s">
        <v>8053</v>
      </c>
      <c r="B231" t="s">
        <v>8054</v>
      </c>
      <c r="C231" s="88"/>
      <c r="D231" t="s">
        <v>8055</v>
      </c>
      <c r="E231">
        <v>53</v>
      </c>
      <c r="F231" t="s">
        <v>8056</v>
      </c>
      <c r="G231" t="s">
        <v>8054</v>
      </c>
      <c r="H231" t="s">
        <v>7318</v>
      </c>
      <c r="I231" t="s">
        <v>8054</v>
      </c>
      <c r="J231" t="s">
        <v>8056</v>
      </c>
      <c r="K231" t="s">
        <v>8023</v>
      </c>
    </row>
    <row r="232" spans="1:11" s="1" customFormat="1" x14ac:dyDescent="0.25">
      <c r="A232" t="s">
        <v>8057</v>
      </c>
      <c r="B232" t="s">
        <v>8058</v>
      </c>
      <c r="C232" s="88"/>
      <c r="D232" t="s">
        <v>8059</v>
      </c>
      <c r="E232">
        <v>234</v>
      </c>
      <c r="F232" t="s">
        <v>8061</v>
      </c>
      <c r="G232" t="s">
        <v>8060</v>
      </c>
      <c r="H232" t="s">
        <v>7318</v>
      </c>
      <c r="I232" t="s">
        <v>8058</v>
      </c>
      <c r="J232" t="s">
        <v>8061</v>
      </c>
      <c r="K232" t="s">
        <v>7437</v>
      </c>
    </row>
    <row r="233" spans="1:11" s="1" customFormat="1" x14ac:dyDescent="0.25">
      <c r="A233" t="s">
        <v>8062</v>
      </c>
      <c r="B233" t="s">
        <v>7361</v>
      </c>
      <c r="C233" s="88"/>
      <c r="D233" t="s">
        <v>7664</v>
      </c>
      <c r="E233">
        <v>794</v>
      </c>
      <c r="F233" t="s">
        <v>8063</v>
      </c>
      <c r="G233" t="s">
        <v>7361</v>
      </c>
      <c r="H233" t="s">
        <v>7318</v>
      </c>
      <c r="I233" t="s">
        <v>7361</v>
      </c>
      <c r="J233" t="s">
        <v>8063</v>
      </c>
      <c r="K233" t="s">
        <v>7361</v>
      </c>
    </row>
    <row r="234" spans="1:11" s="1" customFormat="1" x14ac:dyDescent="0.25">
      <c r="A234" t="s">
        <v>8064</v>
      </c>
      <c r="B234" t="s">
        <v>8065</v>
      </c>
      <c r="C234" s="88"/>
      <c r="D234" t="s">
        <v>8066</v>
      </c>
      <c r="E234">
        <v>589</v>
      </c>
      <c r="F234" t="s">
        <v>8067</v>
      </c>
      <c r="G234" t="s">
        <v>8065</v>
      </c>
      <c r="H234" t="s">
        <v>7318</v>
      </c>
      <c r="I234" t="s">
        <v>8065</v>
      </c>
      <c r="J234" t="s">
        <v>8067</v>
      </c>
      <c r="K234" t="s">
        <v>8038</v>
      </c>
    </row>
    <row r="235" spans="1:11" s="1" customFormat="1" x14ac:dyDescent="0.25">
      <c r="A235" t="s">
        <v>8068</v>
      </c>
      <c r="B235" t="s">
        <v>8069</v>
      </c>
      <c r="C235" s="88"/>
      <c r="D235" t="s">
        <v>8070</v>
      </c>
      <c r="E235">
        <v>176</v>
      </c>
      <c r="F235" t="s">
        <v>8071</v>
      </c>
      <c r="G235" t="s">
        <v>8069</v>
      </c>
      <c r="H235" t="s">
        <v>7318</v>
      </c>
      <c r="I235" t="s">
        <v>8069</v>
      </c>
      <c r="J235" t="s">
        <v>8071</v>
      </c>
      <c r="K235" t="s">
        <v>7817</v>
      </c>
    </row>
    <row r="236" spans="1:11" s="1" customFormat="1" x14ac:dyDescent="0.25">
      <c r="A236" t="s">
        <v>8072</v>
      </c>
      <c r="B236" t="s">
        <v>8073</v>
      </c>
      <c r="C236" s="88"/>
      <c r="D236" t="s">
        <v>8074</v>
      </c>
      <c r="E236">
        <v>635</v>
      </c>
      <c r="F236" t="s">
        <v>8075</v>
      </c>
      <c r="G236" t="s">
        <v>8073</v>
      </c>
      <c r="H236" t="s">
        <v>7318</v>
      </c>
      <c r="I236" t="s">
        <v>8073</v>
      </c>
      <c r="J236" t="s">
        <v>8075</v>
      </c>
      <c r="K236" t="s">
        <v>8031</v>
      </c>
    </row>
    <row r="237" spans="1:11" s="1" customFormat="1" x14ac:dyDescent="0.25">
      <c r="A237" t="s">
        <v>8076</v>
      </c>
      <c r="B237" t="s">
        <v>8077</v>
      </c>
      <c r="C237" s="88"/>
      <c r="D237" t="s">
        <v>7608</v>
      </c>
      <c r="E237">
        <v>401</v>
      </c>
      <c r="F237" t="s">
        <v>8078</v>
      </c>
      <c r="G237" t="s">
        <v>8077</v>
      </c>
      <c r="H237" t="s">
        <v>7318</v>
      </c>
      <c r="I237" t="s">
        <v>8077</v>
      </c>
      <c r="J237" t="s">
        <v>8078</v>
      </c>
      <c r="K237" t="s">
        <v>7437</v>
      </c>
    </row>
    <row r="238" spans="1:11" s="1" customFormat="1" x14ac:dyDescent="0.25">
      <c r="A238" t="s">
        <v>8079</v>
      </c>
      <c r="B238" t="s">
        <v>8080</v>
      </c>
      <c r="C238" s="88"/>
      <c r="D238" t="s">
        <v>8081</v>
      </c>
      <c r="E238">
        <v>345</v>
      </c>
      <c r="F238" t="s">
        <v>8082</v>
      </c>
      <c r="G238" t="s">
        <v>8080</v>
      </c>
      <c r="H238" t="s">
        <v>7318</v>
      </c>
      <c r="I238" t="s">
        <v>8080</v>
      </c>
      <c r="J238" t="s">
        <v>8082</v>
      </c>
      <c r="K238" t="s">
        <v>8080</v>
      </c>
    </row>
    <row r="239" spans="1:11" s="1" customFormat="1" x14ac:dyDescent="0.25">
      <c r="A239" t="s">
        <v>8083</v>
      </c>
      <c r="B239" t="s">
        <v>8084</v>
      </c>
      <c r="C239" s="88"/>
      <c r="D239" t="s">
        <v>7315</v>
      </c>
      <c r="E239">
        <v>197</v>
      </c>
      <c r="F239" t="s">
        <v>8085</v>
      </c>
      <c r="G239" t="s">
        <v>8084</v>
      </c>
      <c r="H239" t="s">
        <v>7318</v>
      </c>
      <c r="I239" t="s">
        <v>8084</v>
      </c>
      <c r="J239" t="s">
        <v>8085</v>
      </c>
      <c r="K239" t="s">
        <v>8084</v>
      </c>
    </row>
    <row r="240" spans="1:11" s="1" customFormat="1" x14ac:dyDescent="0.25">
      <c r="A240" t="s">
        <v>8086</v>
      </c>
      <c r="B240" t="s">
        <v>8087</v>
      </c>
      <c r="C240" s="88"/>
      <c r="D240" t="s">
        <v>8088</v>
      </c>
      <c r="E240">
        <v>624</v>
      </c>
      <c r="F240" t="s">
        <v>8089</v>
      </c>
      <c r="G240" t="s">
        <v>8087</v>
      </c>
      <c r="H240" t="s">
        <v>7318</v>
      </c>
      <c r="I240" t="s">
        <v>8087</v>
      </c>
      <c r="J240" t="s">
        <v>8089</v>
      </c>
      <c r="K240" t="s">
        <v>7983</v>
      </c>
    </row>
    <row r="241" spans="1:11" s="1" customFormat="1" x14ac:dyDescent="0.25">
      <c r="A241" t="s">
        <v>8090</v>
      </c>
      <c r="B241" t="s">
        <v>8091</v>
      </c>
      <c r="C241" s="88"/>
      <c r="D241" t="s">
        <v>8092</v>
      </c>
      <c r="E241">
        <v>214</v>
      </c>
      <c r="F241" t="s">
        <v>8093</v>
      </c>
      <c r="G241" t="s">
        <v>8091</v>
      </c>
      <c r="H241" t="s">
        <v>7318</v>
      </c>
      <c r="I241" t="s">
        <v>8091</v>
      </c>
      <c r="J241" t="s">
        <v>8093</v>
      </c>
      <c r="K241" t="s">
        <v>7894</v>
      </c>
    </row>
    <row r="242" spans="1:11" s="1" customFormat="1" x14ac:dyDescent="0.25">
      <c r="A242" t="s">
        <v>8094</v>
      </c>
      <c r="B242" t="s">
        <v>8095</v>
      </c>
      <c r="C242" s="88"/>
      <c r="D242" t="s">
        <v>8096</v>
      </c>
      <c r="E242">
        <v>3</v>
      </c>
      <c r="F242" t="s">
        <v>8097</v>
      </c>
      <c r="G242" t="s">
        <v>8095</v>
      </c>
      <c r="H242" t="s">
        <v>7318</v>
      </c>
      <c r="I242" t="s">
        <v>8095</v>
      </c>
      <c r="J242" t="s">
        <v>8097</v>
      </c>
      <c r="K242" t="s">
        <v>8117</v>
      </c>
    </row>
    <row r="243" spans="1:11" s="1" customFormat="1" x14ac:dyDescent="0.25">
      <c r="A243" t="s">
        <v>8098</v>
      </c>
      <c r="B243" t="s">
        <v>8099</v>
      </c>
      <c r="C243" s="88"/>
      <c r="D243" t="s">
        <v>8100</v>
      </c>
      <c r="E243">
        <v>517</v>
      </c>
      <c r="F243" t="s">
        <v>8101</v>
      </c>
      <c r="G243" t="s">
        <v>8099</v>
      </c>
      <c r="H243" t="s">
        <v>7318</v>
      </c>
      <c r="I243" t="s">
        <v>8099</v>
      </c>
      <c r="J243" t="s">
        <v>8101</v>
      </c>
      <c r="K243" t="s">
        <v>7361</v>
      </c>
    </row>
    <row r="244" spans="1:11" s="1" customFormat="1" x14ac:dyDescent="0.25">
      <c r="A244" t="s">
        <v>8102</v>
      </c>
      <c r="B244" t="s">
        <v>8103</v>
      </c>
      <c r="C244" s="88"/>
      <c r="D244" t="s">
        <v>8104</v>
      </c>
      <c r="E244">
        <v>146</v>
      </c>
      <c r="F244" t="s">
        <v>8105</v>
      </c>
      <c r="G244" t="s">
        <v>8103</v>
      </c>
      <c r="H244" t="s">
        <v>7318</v>
      </c>
      <c r="I244" t="s">
        <v>8103</v>
      </c>
      <c r="J244" t="s">
        <v>8105</v>
      </c>
      <c r="K244" t="s">
        <v>8114</v>
      </c>
    </row>
    <row r="245" spans="1:11" s="1" customFormat="1" x14ac:dyDescent="0.25">
      <c r="A245" t="s">
        <v>8106</v>
      </c>
      <c r="B245" t="s">
        <v>8107</v>
      </c>
      <c r="C245" s="88"/>
      <c r="D245" t="s">
        <v>7747</v>
      </c>
      <c r="E245">
        <v>156</v>
      </c>
      <c r="F245" t="s">
        <v>8108</v>
      </c>
      <c r="G245" t="s">
        <v>8107</v>
      </c>
      <c r="H245" t="s">
        <v>7318</v>
      </c>
      <c r="I245" t="s">
        <v>8107</v>
      </c>
      <c r="J245" t="s">
        <v>8108</v>
      </c>
      <c r="K245" t="s">
        <v>7817</v>
      </c>
    </row>
    <row r="246" spans="1:11" s="1" customFormat="1" x14ac:dyDescent="0.25">
      <c r="A246" t="s">
        <v>8109</v>
      </c>
      <c r="B246" t="s">
        <v>8110</v>
      </c>
      <c r="C246" s="88"/>
      <c r="D246" t="s">
        <v>8111</v>
      </c>
      <c r="E246">
        <v>1340</v>
      </c>
      <c r="F246" t="s">
        <v>8112</v>
      </c>
      <c r="G246" t="s">
        <v>8110</v>
      </c>
      <c r="H246" t="s">
        <v>7318</v>
      </c>
      <c r="I246" t="s">
        <v>8110</v>
      </c>
      <c r="J246" t="s">
        <v>8112</v>
      </c>
      <c r="K246" t="s">
        <v>8031</v>
      </c>
    </row>
    <row r="247" spans="1:11" s="1" customFormat="1" x14ac:dyDescent="0.25">
      <c r="A247" t="s">
        <v>8113</v>
      </c>
      <c r="B247" t="s">
        <v>8114</v>
      </c>
      <c r="C247" s="88"/>
      <c r="D247" t="s">
        <v>8032</v>
      </c>
      <c r="E247">
        <v>597</v>
      </c>
      <c r="F247" t="s">
        <v>8115</v>
      </c>
      <c r="G247" t="s">
        <v>8114</v>
      </c>
      <c r="H247" t="s">
        <v>7318</v>
      </c>
      <c r="I247" t="s">
        <v>8114</v>
      </c>
      <c r="J247" t="s">
        <v>8115</v>
      </c>
      <c r="K247" t="s">
        <v>8114</v>
      </c>
    </row>
    <row r="248" spans="1:11" s="1" customFormat="1" x14ac:dyDescent="0.25">
      <c r="A248" t="s">
        <v>8116</v>
      </c>
      <c r="B248" t="s">
        <v>8117</v>
      </c>
      <c r="C248" s="88"/>
      <c r="D248" t="s">
        <v>8118</v>
      </c>
      <c r="E248">
        <v>5</v>
      </c>
      <c r="F248" t="s">
        <v>8119</v>
      </c>
      <c r="G248" t="s">
        <v>8117</v>
      </c>
      <c r="H248" t="s">
        <v>7318</v>
      </c>
      <c r="I248" t="s">
        <v>8117</v>
      </c>
      <c r="J248" t="s">
        <v>8119</v>
      </c>
      <c r="K248" t="s">
        <v>8117</v>
      </c>
    </row>
    <row r="249" spans="1:11" s="1" customFormat="1" x14ac:dyDescent="0.25">
      <c r="A249" t="s">
        <v>8120</v>
      </c>
      <c r="B249" t="s">
        <v>8121</v>
      </c>
      <c r="C249" s="88"/>
      <c r="D249" t="s">
        <v>7592</v>
      </c>
      <c r="E249">
        <v>86</v>
      </c>
      <c r="F249" t="s">
        <v>8122</v>
      </c>
      <c r="G249" t="s">
        <v>8121</v>
      </c>
      <c r="H249" t="s">
        <v>7318</v>
      </c>
      <c r="I249" t="s">
        <v>8121</v>
      </c>
      <c r="J249" t="s">
        <v>8122</v>
      </c>
      <c r="K249" t="s">
        <v>8121</v>
      </c>
    </row>
    <row r="250" spans="1:11" s="1" customFormat="1" x14ac:dyDescent="0.25">
      <c r="A250" t="s">
        <v>8123</v>
      </c>
      <c r="B250" t="s">
        <v>8124</v>
      </c>
      <c r="C250" s="88"/>
      <c r="D250" t="s">
        <v>8125</v>
      </c>
      <c r="E250">
        <v>501</v>
      </c>
      <c r="F250" t="s">
        <v>8126</v>
      </c>
      <c r="G250" t="s">
        <v>8124</v>
      </c>
      <c r="H250" t="s">
        <v>7318</v>
      </c>
      <c r="I250" t="s">
        <v>8124</v>
      </c>
      <c r="J250" t="s">
        <v>8126</v>
      </c>
      <c r="K250" t="s">
        <v>8124</v>
      </c>
    </row>
    <row r="251" spans="1:11" s="1" customFormat="1" x14ac:dyDescent="0.25">
      <c r="A251" t="s">
        <v>8127</v>
      </c>
      <c r="B251" t="s">
        <v>8128</v>
      </c>
      <c r="C251" s="88"/>
      <c r="D251" t="s">
        <v>7653</v>
      </c>
      <c r="E251">
        <v>0</v>
      </c>
      <c r="F251" t="s">
        <v>8129</v>
      </c>
      <c r="G251" t="s">
        <v>8128</v>
      </c>
      <c r="H251" t="s">
        <v>7318</v>
      </c>
      <c r="I251" t="s">
        <v>8128</v>
      </c>
      <c r="J251" t="s">
        <v>8129</v>
      </c>
      <c r="K251" t="s">
        <v>7983</v>
      </c>
    </row>
    <row r="252" spans="1:11" s="1" customFormat="1" x14ac:dyDescent="0.25">
      <c r="A252" t="s">
        <v>8130</v>
      </c>
      <c r="B252" t="s">
        <v>7935</v>
      </c>
      <c r="C252" s="88"/>
      <c r="D252" t="s">
        <v>7315</v>
      </c>
      <c r="E252">
        <v>213</v>
      </c>
      <c r="F252" t="s">
        <v>8131</v>
      </c>
      <c r="G252" t="s">
        <v>7935</v>
      </c>
      <c r="H252" t="s">
        <v>7318</v>
      </c>
      <c r="I252" t="s">
        <v>7935</v>
      </c>
      <c r="J252" t="s">
        <v>8131</v>
      </c>
      <c r="K252" t="s">
        <v>7935</v>
      </c>
    </row>
    <row r="253" spans="1:11" s="1" customFormat="1" x14ac:dyDescent="0.25">
      <c r="A253" t="s">
        <v>8132</v>
      </c>
      <c r="B253" t="s">
        <v>8133</v>
      </c>
      <c r="C253" s="88"/>
      <c r="D253" t="s">
        <v>8134</v>
      </c>
      <c r="E253">
        <v>268</v>
      </c>
      <c r="F253" t="s">
        <v>8135</v>
      </c>
      <c r="G253" t="s">
        <v>8133</v>
      </c>
      <c r="H253" t="s">
        <v>7318</v>
      </c>
      <c r="I253" t="s">
        <v>8133</v>
      </c>
      <c r="J253" t="s">
        <v>8135</v>
      </c>
      <c r="K253" t="s">
        <v>7912</v>
      </c>
    </row>
    <row r="254" spans="1:11" s="3" customFormat="1" x14ac:dyDescent="0.25">
      <c r="A254" t="s">
        <v>8136</v>
      </c>
      <c r="B254" t="s">
        <v>8137</v>
      </c>
      <c r="C254" s="88"/>
      <c r="D254" t="s">
        <v>8138</v>
      </c>
      <c r="E254">
        <v>757</v>
      </c>
      <c r="F254" t="s">
        <v>8139</v>
      </c>
      <c r="G254" t="s">
        <v>8137</v>
      </c>
      <c r="H254" t="s">
        <v>7318</v>
      </c>
      <c r="I254" t="s">
        <v>8137</v>
      </c>
      <c r="J254" t="s">
        <v>8139</v>
      </c>
      <c r="K254" t="s">
        <v>8038</v>
      </c>
    </row>
    <row r="255" spans="1:11" s="1" customFormat="1" x14ac:dyDescent="0.25">
      <c r="A255" t="s">
        <v>8140</v>
      </c>
      <c r="B255" t="s">
        <v>8141</v>
      </c>
      <c r="C255" s="88"/>
      <c r="D255" t="s">
        <v>8142</v>
      </c>
      <c r="E255">
        <v>48</v>
      </c>
      <c r="F255" t="s">
        <v>8143</v>
      </c>
      <c r="G255" t="s">
        <v>8141</v>
      </c>
      <c r="H255" t="s">
        <v>7318</v>
      </c>
      <c r="I255" t="s">
        <v>8141</v>
      </c>
      <c r="J255" t="s">
        <v>8143</v>
      </c>
      <c r="K255" t="s">
        <v>8145</v>
      </c>
    </row>
    <row r="256" spans="1:11" s="1" customFormat="1" x14ac:dyDescent="0.25">
      <c r="A256" t="s">
        <v>8144</v>
      </c>
      <c r="B256" t="s">
        <v>8145</v>
      </c>
      <c r="C256" s="88"/>
      <c r="D256" t="s">
        <v>8146</v>
      </c>
      <c r="E256">
        <v>542</v>
      </c>
      <c r="F256" t="s">
        <v>8147</v>
      </c>
      <c r="G256" t="s">
        <v>8145</v>
      </c>
      <c r="H256" t="s">
        <v>7318</v>
      </c>
      <c r="I256" t="s">
        <v>8145</v>
      </c>
      <c r="J256" t="s">
        <v>8147</v>
      </c>
      <c r="K256" t="s">
        <v>8145</v>
      </c>
    </row>
    <row r="257" spans="1:11" s="1" customFormat="1" x14ac:dyDescent="0.25">
      <c r="A257" t="s">
        <v>8148</v>
      </c>
      <c r="B257" t="s">
        <v>8149</v>
      </c>
      <c r="C257" s="88"/>
      <c r="D257" t="s">
        <v>7730</v>
      </c>
      <c r="E257">
        <v>455</v>
      </c>
      <c r="F257" t="s">
        <v>8150</v>
      </c>
      <c r="G257" t="s">
        <v>8149</v>
      </c>
      <c r="H257" t="s">
        <v>7318</v>
      </c>
      <c r="I257" t="s">
        <v>8149</v>
      </c>
      <c r="J257" t="s">
        <v>8150</v>
      </c>
      <c r="K257" t="s">
        <v>7912</v>
      </c>
    </row>
    <row r="258" spans="1:11" s="1" customFormat="1" x14ac:dyDescent="0.25">
      <c r="A258" t="s">
        <v>8151</v>
      </c>
      <c r="B258" t="s">
        <v>8152</v>
      </c>
      <c r="C258" s="88"/>
      <c r="D258" t="s">
        <v>7361</v>
      </c>
      <c r="E258">
        <v>649</v>
      </c>
      <c r="F258" t="s">
        <v>8153</v>
      </c>
      <c r="G258" t="s">
        <v>8152</v>
      </c>
      <c r="H258" t="s">
        <v>7318</v>
      </c>
      <c r="I258" t="s">
        <v>8152</v>
      </c>
      <c r="J258" t="s">
        <v>8153</v>
      </c>
      <c r="K258" t="s">
        <v>8152</v>
      </c>
    </row>
    <row r="259" spans="1:11" s="1" customFormat="1" x14ac:dyDescent="0.25">
      <c r="A259" t="s">
        <v>8154</v>
      </c>
      <c r="B259" t="s">
        <v>8155</v>
      </c>
      <c r="C259" s="88"/>
      <c r="D259" t="s">
        <v>8156</v>
      </c>
      <c r="E259">
        <v>299</v>
      </c>
      <c r="F259" t="s">
        <v>8157</v>
      </c>
      <c r="G259" t="s">
        <v>8155</v>
      </c>
      <c r="H259" t="s">
        <v>7318</v>
      </c>
      <c r="I259" t="s">
        <v>8155</v>
      </c>
      <c r="J259" t="s">
        <v>8157</v>
      </c>
      <c r="K259" t="s">
        <v>7894</v>
      </c>
    </row>
    <row r="260" spans="1:11" s="1" customFormat="1" x14ac:dyDescent="0.25">
      <c r="A260" t="s">
        <v>8158</v>
      </c>
      <c r="B260" t="s">
        <v>8159</v>
      </c>
      <c r="C260" s="88"/>
      <c r="D260" t="s">
        <v>8160</v>
      </c>
      <c r="E260">
        <v>102</v>
      </c>
      <c r="F260" t="s">
        <v>8161</v>
      </c>
      <c r="G260" t="s">
        <v>8159</v>
      </c>
      <c r="H260" t="s">
        <v>7318</v>
      </c>
      <c r="I260" t="s">
        <v>8159</v>
      </c>
      <c r="J260" t="s">
        <v>8161</v>
      </c>
      <c r="K260" t="s">
        <v>8028</v>
      </c>
    </row>
    <row r="261" spans="1:11" s="1" customFormat="1" x14ac:dyDescent="0.25">
      <c r="A261" t="s">
        <v>8162</v>
      </c>
      <c r="B261" t="s">
        <v>7437</v>
      </c>
      <c r="C261" s="88"/>
      <c r="D261" t="s">
        <v>8163</v>
      </c>
      <c r="E261">
        <v>825</v>
      </c>
      <c r="F261" t="s">
        <v>8164</v>
      </c>
      <c r="G261" t="s">
        <v>7437</v>
      </c>
      <c r="H261" t="s">
        <v>7318</v>
      </c>
      <c r="I261" t="s">
        <v>7437</v>
      </c>
      <c r="J261" t="s">
        <v>8164</v>
      </c>
      <c r="K261" t="s">
        <v>7437</v>
      </c>
    </row>
    <row r="262" spans="1:11" s="1" customFormat="1" x14ac:dyDescent="0.25">
      <c r="A262" t="s">
        <v>8165</v>
      </c>
      <c r="B262" t="s">
        <v>8166</v>
      </c>
      <c r="C262" s="88"/>
      <c r="D262" t="s">
        <v>8167</v>
      </c>
      <c r="E262">
        <v>396</v>
      </c>
      <c r="F262" t="s">
        <v>8168</v>
      </c>
      <c r="G262" t="s">
        <v>8166</v>
      </c>
      <c r="H262" t="s">
        <v>7318</v>
      </c>
      <c r="I262" t="s">
        <v>8166</v>
      </c>
      <c r="J262" t="s">
        <v>8168</v>
      </c>
      <c r="K262" t="s">
        <v>7922</v>
      </c>
    </row>
    <row r="263" spans="1:11" s="1" customFormat="1" x14ac:dyDescent="0.25">
      <c r="A263" t="s">
        <v>8169</v>
      </c>
      <c r="B263" t="s">
        <v>8170</v>
      </c>
      <c r="C263" s="88"/>
      <c r="D263" t="s">
        <v>8171</v>
      </c>
      <c r="E263">
        <v>173</v>
      </c>
      <c r="F263" t="s">
        <v>8172</v>
      </c>
      <c r="G263" t="s">
        <v>8170</v>
      </c>
      <c r="H263" t="s">
        <v>7318</v>
      </c>
      <c r="I263" t="s">
        <v>8170</v>
      </c>
      <c r="J263" t="s">
        <v>8172</v>
      </c>
      <c r="K263" t="s">
        <v>8170</v>
      </c>
    </row>
    <row r="264" spans="1:11" s="1" customFormat="1" x14ac:dyDescent="0.25">
      <c r="A264" t="s">
        <v>8173</v>
      </c>
      <c r="B264" t="s">
        <v>8174</v>
      </c>
      <c r="C264" s="88"/>
      <c r="D264" t="s">
        <v>8175</v>
      </c>
      <c r="E264">
        <v>589</v>
      </c>
      <c r="F264" t="s">
        <v>8176</v>
      </c>
      <c r="G264" t="s">
        <v>8174</v>
      </c>
      <c r="H264" t="s">
        <v>7318</v>
      </c>
      <c r="I264" t="s">
        <v>8174</v>
      </c>
      <c r="J264" t="s">
        <v>8176</v>
      </c>
      <c r="K264" t="s">
        <v>8170</v>
      </c>
    </row>
    <row r="265" spans="1:11" s="1" customFormat="1" x14ac:dyDescent="0.25">
      <c r="A265" t="s">
        <v>8177</v>
      </c>
      <c r="B265" t="s">
        <v>7397</v>
      </c>
      <c r="C265" s="88"/>
      <c r="D265" t="s">
        <v>7370</v>
      </c>
      <c r="E265">
        <v>280</v>
      </c>
      <c r="F265" t="s">
        <v>8178</v>
      </c>
      <c r="G265" t="s">
        <v>7397</v>
      </c>
      <c r="H265" t="s">
        <v>7318</v>
      </c>
      <c r="I265" t="s">
        <v>7397</v>
      </c>
      <c r="J265" t="s">
        <v>8178</v>
      </c>
      <c r="K265" t="s">
        <v>8183</v>
      </c>
    </row>
    <row r="266" spans="1:11" s="1" customFormat="1" x14ac:dyDescent="0.25">
      <c r="A266" t="s">
        <v>8179</v>
      </c>
      <c r="B266" t="s">
        <v>8180</v>
      </c>
      <c r="C266" s="88"/>
      <c r="D266" t="s">
        <v>7463</v>
      </c>
      <c r="E266">
        <v>42</v>
      </c>
      <c r="F266" t="s">
        <v>8181</v>
      </c>
      <c r="G266" t="s">
        <v>8180</v>
      </c>
      <c r="H266" t="s">
        <v>7318</v>
      </c>
      <c r="I266" t="s">
        <v>8180</v>
      </c>
      <c r="J266" t="s">
        <v>8181</v>
      </c>
      <c r="K266" t="s">
        <v>8180</v>
      </c>
    </row>
    <row r="267" spans="1:11" s="1" customFormat="1" x14ac:dyDescent="0.25">
      <c r="A267" t="s">
        <v>8182</v>
      </c>
      <c r="B267" t="s">
        <v>8183</v>
      </c>
      <c r="C267" s="88"/>
      <c r="D267" t="s">
        <v>8184</v>
      </c>
      <c r="E267">
        <v>999</v>
      </c>
      <c r="F267" t="s">
        <v>8185</v>
      </c>
      <c r="G267" t="s">
        <v>8183</v>
      </c>
      <c r="H267" t="s">
        <v>7318</v>
      </c>
      <c r="I267" t="s">
        <v>8183</v>
      </c>
      <c r="J267" t="s">
        <v>8185</v>
      </c>
      <c r="K267" t="s">
        <v>8183</v>
      </c>
    </row>
    <row r="268" spans="1:11" s="1" customFormat="1" x14ac:dyDescent="0.25">
      <c r="A268" t="s">
        <v>8186</v>
      </c>
      <c r="B268" t="s">
        <v>8187</v>
      </c>
      <c r="C268" s="88"/>
      <c r="D268" t="s">
        <v>7315</v>
      </c>
      <c r="E268">
        <v>274</v>
      </c>
      <c r="F268" t="s">
        <v>8188</v>
      </c>
      <c r="G268" t="s">
        <v>8187</v>
      </c>
      <c r="H268" t="s">
        <v>7318</v>
      </c>
      <c r="I268" t="s">
        <v>8187</v>
      </c>
      <c r="J268" t="s">
        <v>8188</v>
      </c>
      <c r="K268" t="s">
        <v>8187</v>
      </c>
    </row>
    <row r="269" spans="1:11" s="1" customFormat="1" x14ac:dyDescent="0.25">
      <c r="A269" t="s">
        <v>8189</v>
      </c>
      <c r="B269" t="s">
        <v>13195</v>
      </c>
      <c r="C269" s="88"/>
      <c r="D269" t="s">
        <v>7730</v>
      </c>
      <c r="E269">
        <v>709</v>
      </c>
      <c r="F269" t="s">
        <v>8190</v>
      </c>
      <c r="G269" t="s">
        <v>13195</v>
      </c>
      <c r="H269" t="s">
        <v>7318</v>
      </c>
      <c r="I269" t="s">
        <v>13195</v>
      </c>
      <c r="J269" t="s">
        <v>8190</v>
      </c>
      <c r="K269" t="s">
        <v>12527</v>
      </c>
    </row>
    <row r="270" spans="1:11" s="1" customFormat="1" x14ac:dyDescent="0.25">
      <c r="A270" t="s">
        <v>8191</v>
      </c>
      <c r="B270" t="s">
        <v>8192</v>
      </c>
      <c r="C270" s="88"/>
      <c r="D270" t="s">
        <v>7664</v>
      </c>
      <c r="E270">
        <v>272</v>
      </c>
      <c r="F270" t="s">
        <v>8194</v>
      </c>
      <c r="G270" t="s">
        <v>8193</v>
      </c>
      <c r="H270" t="s">
        <v>7318</v>
      </c>
      <c r="I270" t="s">
        <v>8192</v>
      </c>
      <c r="J270" t="s">
        <v>8194</v>
      </c>
      <c r="K270" t="s">
        <v>8193</v>
      </c>
    </row>
    <row r="271" spans="1:11" s="1" customFormat="1" x14ac:dyDescent="0.25">
      <c r="A271" t="s">
        <v>8195</v>
      </c>
      <c r="B271" t="s">
        <v>7526</v>
      </c>
      <c r="C271" s="88"/>
      <c r="D271" t="s">
        <v>8196</v>
      </c>
      <c r="E271">
        <v>850</v>
      </c>
      <c r="F271" t="s">
        <v>8197</v>
      </c>
      <c r="G271" t="s">
        <v>7526</v>
      </c>
      <c r="H271" t="s">
        <v>7318</v>
      </c>
      <c r="I271" t="s">
        <v>7526</v>
      </c>
      <c r="J271" t="s">
        <v>8197</v>
      </c>
      <c r="K271" t="s">
        <v>7526</v>
      </c>
    </row>
    <row r="272" spans="1:11" s="1" customFormat="1" x14ac:dyDescent="0.25">
      <c r="A272" t="s">
        <v>8198</v>
      </c>
      <c r="B272" t="s">
        <v>8199</v>
      </c>
      <c r="C272" s="88"/>
      <c r="D272" t="s">
        <v>8200</v>
      </c>
      <c r="E272">
        <v>88</v>
      </c>
      <c r="F272" t="s">
        <v>8201</v>
      </c>
      <c r="G272" t="s">
        <v>7784</v>
      </c>
      <c r="H272" t="s">
        <v>7318</v>
      </c>
      <c r="I272" t="s">
        <v>8199</v>
      </c>
      <c r="J272" t="s">
        <v>8201</v>
      </c>
      <c r="K272" t="s">
        <v>8268</v>
      </c>
    </row>
    <row r="273" spans="1:11" s="1" customFormat="1" x14ac:dyDescent="0.25">
      <c r="A273" t="s">
        <v>8202</v>
      </c>
      <c r="B273" t="s">
        <v>8203</v>
      </c>
      <c r="C273" s="88"/>
      <c r="D273" t="s">
        <v>8204</v>
      </c>
      <c r="E273">
        <v>0</v>
      </c>
      <c r="F273" t="s">
        <v>8205</v>
      </c>
      <c r="G273" t="s">
        <v>8203</v>
      </c>
      <c r="H273" t="s">
        <v>7318</v>
      </c>
      <c r="I273" t="s">
        <v>8203</v>
      </c>
      <c r="J273" t="s">
        <v>8205</v>
      </c>
      <c r="K273" t="s">
        <v>8219</v>
      </c>
    </row>
    <row r="274" spans="1:11" s="1" customFormat="1" x14ac:dyDescent="0.25">
      <c r="A274" t="s">
        <v>8206</v>
      </c>
      <c r="B274" t="s">
        <v>8207</v>
      </c>
      <c r="C274" s="88"/>
      <c r="D274" t="s">
        <v>8208</v>
      </c>
      <c r="E274">
        <v>630</v>
      </c>
      <c r="F274" t="s">
        <v>8209</v>
      </c>
      <c r="G274" t="s">
        <v>8207</v>
      </c>
      <c r="H274" t="s">
        <v>7318</v>
      </c>
      <c r="I274" t="s">
        <v>8207</v>
      </c>
      <c r="J274" t="s">
        <v>8209</v>
      </c>
      <c r="K274" t="s">
        <v>8170</v>
      </c>
    </row>
    <row r="275" spans="1:11" s="1" customFormat="1" x14ac:dyDescent="0.25">
      <c r="A275" t="s">
        <v>8210</v>
      </c>
      <c r="B275" t="s">
        <v>8211</v>
      </c>
      <c r="C275" s="88"/>
      <c r="D275" t="s">
        <v>7747</v>
      </c>
      <c r="E275">
        <v>302</v>
      </c>
      <c r="F275" t="s">
        <v>8213</v>
      </c>
      <c r="G275" t="s">
        <v>8212</v>
      </c>
      <c r="H275" t="s">
        <v>7318</v>
      </c>
      <c r="I275" t="s">
        <v>8211</v>
      </c>
      <c r="J275" t="s">
        <v>8213</v>
      </c>
      <c r="K275" t="s">
        <v>8211</v>
      </c>
    </row>
    <row r="276" spans="1:11" s="1" customFormat="1" x14ac:dyDescent="0.25">
      <c r="A276" t="s">
        <v>8214</v>
      </c>
      <c r="B276" t="s">
        <v>8215</v>
      </c>
      <c r="C276" s="88"/>
      <c r="D276" t="s">
        <v>7637</v>
      </c>
      <c r="E276">
        <v>974</v>
      </c>
      <c r="F276" t="s">
        <v>8216</v>
      </c>
      <c r="G276" t="s">
        <v>8215</v>
      </c>
      <c r="H276" t="s">
        <v>7318</v>
      </c>
      <c r="I276" t="s">
        <v>8215</v>
      </c>
      <c r="J276" t="s">
        <v>8216</v>
      </c>
      <c r="K276" t="s">
        <v>8211</v>
      </c>
    </row>
    <row r="277" spans="1:11" s="1" customFormat="1" x14ac:dyDescent="0.25">
      <c r="A277" t="s">
        <v>8217</v>
      </c>
      <c r="B277" t="s">
        <v>8218</v>
      </c>
      <c r="C277" s="88"/>
      <c r="D277" t="s">
        <v>8219</v>
      </c>
      <c r="E277">
        <v>1</v>
      </c>
      <c r="F277" t="s">
        <v>8220</v>
      </c>
      <c r="G277" t="s">
        <v>8218</v>
      </c>
      <c r="H277" t="s">
        <v>7318</v>
      </c>
      <c r="I277" t="s">
        <v>8218</v>
      </c>
      <c r="J277" t="s">
        <v>8220</v>
      </c>
      <c r="K277" t="s">
        <v>8268</v>
      </c>
    </row>
    <row r="278" spans="1:11" s="1" customFormat="1" x14ac:dyDescent="0.25">
      <c r="A278" t="s">
        <v>8221</v>
      </c>
      <c r="B278" t="s">
        <v>8222</v>
      </c>
      <c r="C278" s="88"/>
      <c r="D278" t="s">
        <v>7990</v>
      </c>
      <c r="E278">
        <v>500</v>
      </c>
      <c r="F278" t="s">
        <v>8224</v>
      </c>
      <c r="G278" t="s">
        <v>8223</v>
      </c>
      <c r="H278" t="s">
        <v>7318</v>
      </c>
      <c r="I278" t="s">
        <v>8222</v>
      </c>
      <c r="J278" t="s">
        <v>8224</v>
      </c>
      <c r="K278" t="s">
        <v>8276</v>
      </c>
    </row>
    <row r="279" spans="1:11" s="1" customFormat="1" x14ac:dyDescent="0.25">
      <c r="A279" t="s">
        <v>8225</v>
      </c>
      <c r="B279" t="s">
        <v>8226</v>
      </c>
      <c r="C279" s="88"/>
      <c r="D279" t="s">
        <v>7693</v>
      </c>
      <c r="E279">
        <v>1125</v>
      </c>
      <c r="F279" t="s">
        <v>8228</v>
      </c>
      <c r="G279" t="s">
        <v>8227</v>
      </c>
      <c r="H279" t="s">
        <v>7318</v>
      </c>
      <c r="I279" t="s">
        <v>8226</v>
      </c>
      <c r="J279" t="s">
        <v>8228</v>
      </c>
      <c r="K279" t="s">
        <v>8211</v>
      </c>
    </row>
    <row r="280" spans="1:11" s="1" customFormat="1" x14ac:dyDescent="0.25">
      <c r="A280" t="s">
        <v>8229</v>
      </c>
      <c r="B280" t="s">
        <v>8230</v>
      </c>
      <c r="C280" s="88"/>
      <c r="D280" t="s">
        <v>8231</v>
      </c>
      <c r="E280">
        <v>335</v>
      </c>
      <c r="F280" t="s">
        <v>8233</v>
      </c>
      <c r="G280" t="s">
        <v>8232</v>
      </c>
      <c r="H280" t="s">
        <v>7318</v>
      </c>
      <c r="I280" t="s">
        <v>8230</v>
      </c>
      <c r="J280" t="s">
        <v>8233</v>
      </c>
      <c r="K280" t="s">
        <v>8268</v>
      </c>
    </row>
    <row r="281" spans="1:11" s="1" customFormat="1" x14ac:dyDescent="0.25">
      <c r="A281" t="s">
        <v>8234</v>
      </c>
      <c r="B281" t="s">
        <v>8235</v>
      </c>
      <c r="C281" s="88"/>
      <c r="D281" t="s">
        <v>8236</v>
      </c>
      <c r="E281">
        <v>171</v>
      </c>
      <c r="F281" t="s">
        <v>8237</v>
      </c>
      <c r="G281" t="s">
        <v>8235</v>
      </c>
      <c r="H281" t="s">
        <v>7318</v>
      </c>
      <c r="I281" t="s">
        <v>8235</v>
      </c>
      <c r="J281" t="s">
        <v>8237</v>
      </c>
      <c r="K281" t="s">
        <v>8287</v>
      </c>
    </row>
    <row r="282" spans="1:11" s="1" customFormat="1" x14ac:dyDescent="0.25">
      <c r="A282" t="s">
        <v>8238</v>
      </c>
      <c r="B282" t="s">
        <v>8239</v>
      </c>
      <c r="C282" s="88"/>
      <c r="D282" t="s">
        <v>7663</v>
      </c>
      <c r="E282">
        <v>226</v>
      </c>
      <c r="F282" t="s">
        <v>8240</v>
      </c>
      <c r="G282" t="s">
        <v>8239</v>
      </c>
      <c r="H282" t="s">
        <v>7318</v>
      </c>
      <c r="I282" t="s">
        <v>8239</v>
      </c>
      <c r="J282" t="s">
        <v>8240</v>
      </c>
      <c r="K282" t="s">
        <v>8211</v>
      </c>
    </row>
    <row r="283" spans="1:11" s="1" customFormat="1" x14ac:dyDescent="0.25">
      <c r="A283" t="s">
        <v>8241</v>
      </c>
      <c r="B283" t="s">
        <v>8242</v>
      </c>
      <c r="C283" s="88"/>
      <c r="D283" t="s">
        <v>8243</v>
      </c>
      <c r="E283">
        <v>122</v>
      </c>
      <c r="F283" t="s">
        <v>8245</v>
      </c>
      <c r="G283" t="s">
        <v>8244</v>
      </c>
      <c r="H283" t="s">
        <v>7318</v>
      </c>
      <c r="I283" t="s">
        <v>8242</v>
      </c>
      <c r="J283" t="s">
        <v>8245</v>
      </c>
      <c r="K283" t="s">
        <v>8211</v>
      </c>
    </row>
    <row r="284" spans="1:11" s="1" customFormat="1" x14ac:dyDescent="0.25">
      <c r="A284" t="s">
        <v>8246</v>
      </c>
      <c r="B284" t="s">
        <v>8247</v>
      </c>
      <c r="C284" s="88"/>
      <c r="D284" t="s">
        <v>8248</v>
      </c>
      <c r="E284">
        <v>672</v>
      </c>
      <c r="F284" t="s">
        <v>8249</v>
      </c>
      <c r="G284" t="s">
        <v>8247</v>
      </c>
      <c r="H284" t="s">
        <v>7318</v>
      </c>
      <c r="I284" t="s">
        <v>8247</v>
      </c>
      <c r="J284" t="s">
        <v>8249</v>
      </c>
      <c r="K284" t="s">
        <v>8219</v>
      </c>
    </row>
    <row r="285" spans="1:11" s="1" customFormat="1" x14ac:dyDescent="0.25">
      <c r="A285" t="s">
        <v>8250</v>
      </c>
      <c r="B285" t="s">
        <v>8251</v>
      </c>
      <c r="C285" s="88"/>
      <c r="D285" t="s">
        <v>8252</v>
      </c>
      <c r="E285">
        <v>451</v>
      </c>
      <c r="F285" t="s">
        <v>8253</v>
      </c>
      <c r="G285" t="s">
        <v>8251</v>
      </c>
      <c r="H285" t="s">
        <v>7318</v>
      </c>
      <c r="I285" t="s">
        <v>8251</v>
      </c>
      <c r="J285" t="s">
        <v>8253</v>
      </c>
      <c r="K285" t="s">
        <v>8251</v>
      </c>
    </row>
    <row r="286" spans="1:11" s="1" customFormat="1" x14ac:dyDescent="0.25">
      <c r="A286" t="s">
        <v>8254</v>
      </c>
      <c r="B286" t="s">
        <v>8255</v>
      </c>
      <c r="C286" s="88"/>
      <c r="D286" t="s">
        <v>7747</v>
      </c>
      <c r="E286">
        <v>389</v>
      </c>
      <c r="F286" t="s">
        <v>8256</v>
      </c>
      <c r="G286" t="s">
        <v>8255</v>
      </c>
      <c r="H286" t="s">
        <v>7318</v>
      </c>
      <c r="I286" t="s">
        <v>8255</v>
      </c>
      <c r="J286" t="s">
        <v>8256</v>
      </c>
      <c r="K286" t="s">
        <v>8251</v>
      </c>
    </row>
    <row r="287" spans="1:11" s="1" customFormat="1" x14ac:dyDescent="0.25">
      <c r="A287" t="s">
        <v>8257</v>
      </c>
      <c r="B287" t="s">
        <v>8219</v>
      </c>
      <c r="C287" s="88"/>
      <c r="D287" t="s">
        <v>8258</v>
      </c>
      <c r="E287">
        <v>698</v>
      </c>
      <c r="F287" t="s">
        <v>8259</v>
      </c>
      <c r="G287" t="s">
        <v>8219</v>
      </c>
      <c r="H287" t="s">
        <v>7318</v>
      </c>
      <c r="I287" t="s">
        <v>8219</v>
      </c>
      <c r="J287" t="s">
        <v>8259</v>
      </c>
      <c r="K287" t="s">
        <v>8219</v>
      </c>
    </row>
    <row r="288" spans="1:11" s="1" customFormat="1" x14ac:dyDescent="0.25">
      <c r="A288" t="s">
        <v>8260</v>
      </c>
      <c r="B288" t="s">
        <v>8261</v>
      </c>
      <c r="C288" s="88"/>
      <c r="D288" t="s">
        <v>8014</v>
      </c>
      <c r="E288">
        <v>115</v>
      </c>
      <c r="F288" t="s">
        <v>8262</v>
      </c>
      <c r="G288" t="s">
        <v>8261</v>
      </c>
      <c r="H288" t="s">
        <v>7318</v>
      </c>
      <c r="I288" t="s">
        <v>8261</v>
      </c>
      <c r="J288" t="s">
        <v>8262</v>
      </c>
      <c r="K288" t="s">
        <v>8276</v>
      </c>
    </row>
    <row r="289" spans="1:11" s="1" customFormat="1" x14ac:dyDescent="0.25">
      <c r="A289" t="s">
        <v>8263</v>
      </c>
      <c r="B289" t="s">
        <v>8264</v>
      </c>
      <c r="C289" s="88"/>
      <c r="D289" t="s">
        <v>8142</v>
      </c>
      <c r="E289">
        <v>355</v>
      </c>
      <c r="F289" t="s">
        <v>8266</v>
      </c>
      <c r="G289" t="s">
        <v>8265</v>
      </c>
      <c r="H289" t="s">
        <v>7318</v>
      </c>
      <c r="I289" t="s">
        <v>8264</v>
      </c>
      <c r="J289" t="s">
        <v>8266</v>
      </c>
      <c r="K289" t="s">
        <v>8265</v>
      </c>
    </row>
    <row r="290" spans="1:11" s="1" customFormat="1" x14ac:dyDescent="0.25">
      <c r="A290" t="s">
        <v>8267</v>
      </c>
      <c r="B290" t="s">
        <v>8268</v>
      </c>
      <c r="C290" s="88"/>
      <c r="D290" t="s">
        <v>8269</v>
      </c>
      <c r="E290">
        <v>175</v>
      </c>
      <c r="F290" t="s">
        <v>8270</v>
      </c>
      <c r="G290" t="s">
        <v>8232</v>
      </c>
      <c r="H290" t="s">
        <v>7318</v>
      </c>
      <c r="I290" t="s">
        <v>8268</v>
      </c>
      <c r="J290" t="s">
        <v>8270</v>
      </c>
      <c r="K290" t="s">
        <v>8268</v>
      </c>
    </row>
    <row r="291" spans="1:11" s="1" customFormat="1" x14ac:dyDescent="0.25">
      <c r="A291" t="s">
        <v>8271</v>
      </c>
      <c r="B291" t="s">
        <v>8272</v>
      </c>
      <c r="C291" s="88"/>
      <c r="D291" t="s">
        <v>8273</v>
      </c>
      <c r="E291">
        <v>629</v>
      </c>
      <c r="F291" t="s">
        <v>8274</v>
      </c>
      <c r="G291" t="s">
        <v>8232</v>
      </c>
      <c r="H291" t="s">
        <v>7318</v>
      </c>
      <c r="I291" t="s">
        <v>8272</v>
      </c>
      <c r="J291" t="s">
        <v>8274</v>
      </c>
      <c r="K291" t="s">
        <v>8268</v>
      </c>
    </row>
    <row r="292" spans="1:11" s="1" customFormat="1" x14ac:dyDescent="0.25">
      <c r="A292" t="s">
        <v>8275</v>
      </c>
      <c r="B292" t="s">
        <v>8276</v>
      </c>
      <c r="C292" s="88"/>
      <c r="D292" t="s">
        <v>8103</v>
      </c>
      <c r="E292">
        <v>58</v>
      </c>
      <c r="F292" t="s">
        <v>8277</v>
      </c>
      <c r="G292" t="s">
        <v>8276</v>
      </c>
      <c r="H292" t="s">
        <v>7318</v>
      </c>
      <c r="I292" t="s">
        <v>8276</v>
      </c>
      <c r="J292" t="s">
        <v>8277</v>
      </c>
      <c r="K292" t="s">
        <v>8276</v>
      </c>
    </row>
    <row r="293" spans="1:11" s="1" customFormat="1" x14ac:dyDescent="0.25">
      <c r="A293" t="s">
        <v>8278</v>
      </c>
      <c r="B293" t="s">
        <v>8279</v>
      </c>
      <c r="C293" s="88"/>
      <c r="D293" t="s">
        <v>8280</v>
      </c>
      <c r="E293">
        <v>498</v>
      </c>
      <c r="F293" t="s">
        <v>8281</v>
      </c>
      <c r="G293" t="s">
        <v>8279</v>
      </c>
      <c r="H293" t="s">
        <v>7318</v>
      </c>
      <c r="I293" t="s">
        <v>8279</v>
      </c>
      <c r="J293" t="s">
        <v>8281</v>
      </c>
      <c r="K293" t="s">
        <v>8276</v>
      </c>
    </row>
    <row r="294" spans="1:11" s="1" customFormat="1" x14ac:dyDescent="0.25">
      <c r="A294" t="s">
        <v>8282</v>
      </c>
      <c r="B294" t="s">
        <v>8283</v>
      </c>
      <c r="C294" s="88"/>
      <c r="D294" t="s">
        <v>7747</v>
      </c>
      <c r="E294">
        <v>711</v>
      </c>
      <c r="F294" t="s">
        <v>8285</v>
      </c>
      <c r="G294" t="s">
        <v>8284</v>
      </c>
      <c r="H294" t="s">
        <v>7318</v>
      </c>
      <c r="I294" t="s">
        <v>8283</v>
      </c>
      <c r="J294" t="s">
        <v>8285</v>
      </c>
      <c r="K294" t="s">
        <v>8219</v>
      </c>
    </row>
    <row r="295" spans="1:11" s="1" customFormat="1" x14ac:dyDescent="0.25">
      <c r="A295" t="s">
        <v>8286</v>
      </c>
      <c r="B295" t="s">
        <v>8287</v>
      </c>
      <c r="C295" s="88"/>
      <c r="D295" t="s">
        <v>8288</v>
      </c>
      <c r="E295">
        <v>35</v>
      </c>
      <c r="F295" t="s">
        <v>8289</v>
      </c>
      <c r="G295" t="s">
        <v>8287</v>
      </c>
      <c r="H295" t="s">
        <v>7318</v>
      </c>
      <c r="I295" t="s">
        <v>8287</v>
      </c>
      <c r="J295" t="s">
        <v>8289</v>
      </c>
      <c r="K295" t="s">
        <v>8287</v>
      </c>
    </row>
    <row r="296" spans="1:11" s="1" customFormat="1" x14ac:dyDescent="0.25">
      <c r="A296" t="s">
        <v>8290</v>
      </c>
      <c r="B296" t="s">
        <v>8291</v>
      </c>
      <c r="C296" s="88"/>
      <c r="D296" t="s">
        <v>7663</v>
      </c>
      <c r="E296">
        <v>34</v>
      </c>
      <c r="F296" t="s">
        <v>8292</v>
      </c>
      <c r="G296" t="s">
        <v>8291</v>
      </c>
      <c r="H296" t="s">
        <v>7318</v>
      </c>
      <c r="I296" t="s">
        <v>8291</v>
      </c>
      <c r="J296" t="s">
        <v>8292</v>
      </c>
      <c r="K296" t="s">
        <v>8291</v>
      </c>
    </row>
    <row r="297" spans="1:11" s="1" customFormat="1" x14ac:dyDescent="0.25">
      <c r="A297" t="s">
        <v>8293</v>
      </c>
      <c r="B297" t="s">
        <v>8294</v>
      </c>
      <c r="C297" s="88"/>
      <c r="D297" t="s">
        <v>8295</v>
      </c>
      <c r="E297">
        <v>1524</v>
      </c>
      <c r="F297" t="s">
        <v>8296</v>
      </c>
      <c r="G297" t="s">
        <v>8291</v>
      </c>
      <c r="H297" t="s">
        <v>7318</v>
      </c>
      <c r="I297" t="s">
        <v>8294</v>
      </c>
      <c r="J297" t="s">
        <v>8296</v>
      </c>
      <c r="K297" t="s">
        <v>8291</v>
      </c>
    </row>
    <row r="298" spans="1:11" s="1" customFormat="1" x14ac:dyDescent="0.25">
      <c r="A298" t="s">
        <v>8297</v>
      </c>
      <c r="B298" t="s">
        <v>8298</v>
      </c>
      <c r="C298" s="88"/>
      <c r="D298" t="s">
        <v>8299</v>
      </c>
      <c r="E298">
        <v>1021</v>
      </c>
      <c r="F298" t="s">
        <v>8300</v>
      </c>
      <c r="G298" t="s">
        <v>8291</v>
      </c>
      <c r="H298" t="s">
        <v>7318</v>
      </c>
      <c r="I298" t="s">
        <v>8298</v>
      </c>
      <c r="J298" t="s">
        <v>8300</v>
      </c>
      <c r="K298" t="s">
        <v>8291</v>
      </c>
    </row>
    <row r="299" spans="1:11" s="1" customFormat="1" x14ac:dyDescent="0.25">
      <c r="A299" t="s">
        <v>8301</v>
      </c>
      <c r="B299" t="s">
        <v>8302</v>
      </c>
      <c r="C299" s="88"/>
      <c r="D299" t="s">
        <v>8118</v>
      </c>
      <c r="E299">
        <v>76</v>
      </c>
      <c r="F299" t="s">
        <v>8303</v>
      </c>
      <c r="G299" t="s">
        <v>8302</v>
      </c>
      <c r="H299" t="s">
        <v>7318</v>
      </c>
      <c r="I299" t="s">
        <v>8302</v>
      </c>
      <c r="J299" t="s">
        <v>8303</v>
      </c>
      <c r="K299" t="s">
        <v>12528</v>
      </c>
    </row>
    <row r="300" spans="1:11" s="1" customFormat="1" x14ac:dyDescent="0.25">
      <c r="A300" t="s">
        <v>8304</v>
      </c>
      <c r="B300" t="s">
        <v>8305</v>
      </c>
      <c r="C300" s="88"/>
      <c r="D300" t="s">
        <v>8306</v>
      </c>
      <c r="E300">
        <v>198</v>
      </c>
      <c r="F300" t="s">
        <v>8307</v>
      </c>
      <c r="G300" t="s">
        <v>8305</v>
      </c>
      <c r="H300" t="s">
        <v>7318</v>
      </c>
      <c r="I300" t="s">
        <v>8305</v>
      </c>
      <c r="J300" t="s">
        <v>8307</v>
      </c>
      <c r="K300" t="s">
        <v>8305</v>
      </c>
    </row>
    <row r="301" spans="1:11" s="1" customFormat="1" x14ac:dyDescent="0.25">
      <c r="A301" t="s">
        <v>8308</v>
      </c>
      <c r="B301" t="s">
        <v>8309</v>
      </c>
      <c r="C301" s="88"/>
      <c r="D301" t="s">
        <v>8310</v>
      </c>
      <c r="E301">
        <v>218</v>
      </c>
      <c r="F301" t="s">
        <v>8311</v>
      </c>
      <c r="G301" t="s">
        <v>8309</v>
      </c>
      <c r="H301" t="s">
        <v>7318</v>
      </c>
      <c r="I301" t="s">
        <v>8309</v>
      </c>
      <c r="J301" t="s">
        <v>8311</v>
      </c>
      <c r="K301" t="s">
        <v>8309</v>
      </c>
    </row>
    <row r="302" spans="1:11" s="1" customFormat="1" x14ac:dyDescent="0.25">
      <c r="A302" t="s">
        <v>8312</v>
      </c>
      <c r="B302" t="s">
        <v>8313</v>
      </c>
      <c r="C302" s="88"/>
      <c r="D302" t="s">
        <v>8314</v>
      </c>
      <c r="E302">
        <v>7</v>
      </c>
      <c r="F302" t="s">
        <v>8315</v>
      </c>
      <c r="G302" t="s">
        <v>8313</v>
      </c>
      <c r="H302" t="s">
        <v>7318</v>
      </c>
      <c r="I302" t="s">
        <v>8313</v>
      </c>
      <c r="J302" t="s">
        <v>8315</v>
      </c>
      <c r="K302" t="s">
        <v>8500</v>
      </c>
    </row>
    <row r="303" spans="1:11" s="1" customFormat="1" x14ac:dyDescent="0.25">
      <c r="A303" t="s">
        <v>8316</v>
      </c>
      <c r="B303" t="s">
        <v>8317</v>
      </c>
      <c r="C303" s="88"/>
      <c r="D303" t="s">
        <v>8318</v>
      </c>
      <c r="E303">
        <v>170</v>
      </c>
      <c r="F303" t="s">
        <v>8319</v>
      </c>
      <c r="G303" t="s">
        <v>8317</v>
      </c>
      <c r="H303" t="s">
        <v>7318</v>
      </c>
      <c r="I303" t="s">
        <v>8317</v>
      </c>
      <c r="J303" t="s">
        <v>8319</v>
      </c>
      <c r="K303" t="s">
        <v>12528</v>
      </c>
    </row>
    <row r="304" spans="1:11" s="1" customFormat="1" x14ac:dyDescent="0.25">
      <c r="A304" t="s">
        <v>8320</v>
      </c>
      <c r="B304" t="s">
        <v>8321</v>
      </c>
      <c r="C304" s="88"/>
      <c r="D304" t="s">
        <v>8322</v>
      </c>
      <c r="E304">
        <v>267</v>
      </c>
      <c r="F304" t="s">
        <v>8323</v>
      </c>
      <c r="G304" t="s">
        <v>8321</v>
      </c>
      <c r="H304" t="s">
        <v>7318</v>
      </c>
      <c r="I304" t="s">
        <v>8321</v>
      </c>
      <c r="J304" t="s">
        <v>8323</v>
      </c>
      <c r="K304" t="s">
        <v>8321</v>
      </c>
    </row>
    <row r="305" spans="1:26" s="1" customFormat="1" x14ac:dyDescent="0.25">
      <c r="A305" t="s">
        <v>8324</v>
      </c>
      <c r="B305" t="s">
        <v>8325</v>
      </c>
      <c r="C305" s="88"/>
      <c r="D305" t="s">
        <v>8326</v>
      </c>
      <c r="E305">
        <v>283</v>
      </c>
      <c r="F305" t="s">
        <v>8327</v>
      </c>
      <c r="G305" t="s">
        <v>8325</v>
      </c>
      <c r="H305" t="s">
        <v>7318</v>
      </c>
      <c r="I305" t="s">
        <v>8325</v>
      </c>
      <c r="J305" t="s">
        <v>8327</v>
      </c>
      <c r="K305" t="s">
        <v>12529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8328</v>
      </c>
      <c r="B306" t="s">
        <v>8329</v>
      </c>
      <c r="C306" s="88"/>
      <c r="D306" t="s">
        <v>8330</v>
      </c>
      <c r="E306">
        <v>57</v>
      </c>
      <c r="F306" t="s">
        <v>8331</v>
      </c>
      <c r="G306" t="s">
        <v>8329</v>
      </c>
      <c r="H306" t="s">
        <v>7318</v>
      </c>
      <c r="I306" t="s">
        <v>8329</v>
      </c>
      <c r="J306" t="s">
        <v>8331</v>
      </c>
      <c r="K306" t="s">
        <v>8516</v>
      </c>
    </row>
    <row r="307" spans="1:26" s="1" customFormat="1" x14ac:dyDescent="0.25">
      <c r="A307" t="s">
        <v>8332</v>
      </c>
      <c r="B307" t="s">
        <v>8333</v>
      </c>
      <c r="C307" s="88"/>
      <c r="D307" t="s">
        <v>8334</v>
      </c>
      <c r="E307">
        <v>549</v>
      </c>
      <c r="F307" t="s">
        <v>8335</v>
      </c>
      <c r="G307" t="s">
        <v>8333</v>
      </c>
      <c r="H307" t="s">
        <v>7318</v>
      </c>
      <c r="I307" t="s">
        <v>8333</v>
      </c>
      <c r="J307" t="s">
        <v>8335</v>
      </c>
      <c r="K307" t="s">
        <v>8333</v>
      </c>
    </row>
    <row r="308" spans="1:26" s="1" customFormat="1" x14ac:dyDescent="0.25">
      <c r="A308" t="s">
        <v>8336</v>
      </c>
      <c r="B308" t="s">
        <v>8337</v>
      </c>
      <c r="C308" s="88"/>
      <c r="D308" t="s">
        <v>8338</v>
      </c>
      <c r="E308">
        <v>375</v>
      </c>
      <c r="F308" t="s">
        <v>8339</v>
      </c>
      <c r="G308" t="s">
        <v>8337</v>
      </c>
      <c r="H308" t="s">
        <v>7318</v>
      </c>
      <c r="I308" t="s">
        <v>8337</v>
      </c>
      <c r="J308" t="s">
        <v>8339</v>
      </c>
      <c r="K308" t="s">
        <v>8309</v>
      </c>
    </row>
    <row r="309" spans="1:26" s="1" customFormat="1" x14ac:dyDescent="0.25">
      <c r="A309" t="s">
        <v>8340</v>
      </c>
      <c r="B309" t="s">
        <v>8341</v>
      </c>
      <c r="C309" s="88"/>
      <c r="D309" t="s">
        <v>8342</v>
      </c>
      <c r="E309">
        <v>363</v>
      </c>
      <c r="F309" t="s">
        <v>8343</v>
      </c>
      <c r="G309" t="s">
        <v>8341</v>
      </c>
      <c r="H309" t="s">
        <v>7318</v>
      </c>
      <c r="I309" t="s">
        <v>8341</v>
      </c>
      <c r="J309" t="s">
        <v>8343</v>
      </c>
      <c r="K309" t="s">
        <v>8341</v>
      </c>
    </row>
    <row r="310" spans="1:26" s="1" customFormat="1" x14ac:dyDescent="0.25">
      <c r="A310" t="s">
        <v>8344</v>
      </c>
      <c r="B310" t="s">
        <v>8345</v>
      </c>
      <c r="C310" s="88"/>
      <c r="D310" t="s">
        <v>8346</v>
      </c>
      <c r="E310"/>
      <c r="F310" t="s">
        <v>8348</v>
      </c>
      <c r="G310" t="s">
        <v>8347</v>
      </c>
      <c r="H310" t="s">
        <v>7318</v>
      </c>
      <c r="I310" t="s">
        <v>8345</v>
      </c>
      <c r="J310" t="s">
        <v>8348</v>
      </c>
      <c r="K310" t="s">
        <v>8291</v>
      </c>
    </row>
    <row r="311" spans="1:26" s="1" customFormat="1" x14ac:dyDescent="0.25">
      <c r="A311" t="s">
        <v>8349</v>
      </c>
      <c r="B311" t="s">
        <v>8350</v>
      </c>
      <c r="C311" s="88"/>
      <c r="D311" t="s">
        <v>8351</v>
      </c>
      <c r="E311"/>
      <c r="F311" t="s">
        <v>8352</v>
      </c>
      <c r="G311" t="s">
        <v>8350</v>
      </c>
      <c r="H311" t="s">
        <v>7318</v>
      </c>
      <c r="I311" t="s">
        <v>8350</v>
      </c>
      <c r="J311" t="s">
        <v>8352</v>
      </c>
      <c r="K311" t="s">
        <v>12530</v>
      </c>
    </row>
    <row r="312" spans="1:26" s="1" customFormat="1" x14ac:dyDescent="0.25">
      <c r="A312" t="s">
        <v>8353</v>
      </c>
      <c r="B312" t="s">
        <v>8354</v>
      </c>
      <c r="C312" s="88"/>
      <c r="D312" t="s">
        <v>8355</v>
      </c>
      <c r="E312">
        <v>2</v>
      </c>
      <c r="F312" t="s">
        <v>8356</v>
      </c>
      <c r="G312" t="s">
        <v>8354</v>
      </c>
      <c r="H312" t="s">
        <v>7318</v>
      </c>
      <c r="I312" t="s">
        <v>8354</v>
      </c>
      <c r="J312" t="s">
        <v>8356</v>
      </c>
      <c r="K312" t="s">
        <v>8354</v>
      </c>
    </row>
    <row r="313" spans="1:26" s="1" customFormat="1" x14ac:dyDescent="0.25">
      <c r="A313" t="s">
        <v>8357</v>
      </c>
      <c r="B313" t="s">
        <v>8358</v>
      </c>
      <c r="C313" s="88"/>
      <c r="D313" t="s">
        <v>13225</v>
      </c>
      <c r="E313"/>
      <c r="F313" t="s">
        <v>8359</v>
      </c>
      <c r="G313" t="s">
        <v>8358</v>
      </c>
      <c r="H313" t="s">
        <v>7318</v>
      </c>
      <c r="I313" t="s">
        <v>8358</v>
      </c>
      <c r="J313" t="s">
        <v>8359</v>
      </c>
      <c r="K313" t="s">
        <v>8436</v>
      </c>
    </row>
    <row r="314" spans="1:26" s="1" customFormat="1" x14ac:dyDescent="0.25">
      <c r="A314" t="s">
        <v>8360</v>
      </c>
      <c r="B314" t="s">
        <v>8361</v>
      </c>
      <c r="C314" s="88"/>
      <c r="D314" t="s">
        <v>8362</v>
      </c>
      <c r="E314">
        <v>102</v>
      </c>
      <c r="F314" t="s">
        <v>8363</v>
      </c>
      <c r="G314" t="s">
        <v>8361</v>
      </c>
      <c r="H314" t="s">
        <v>7318</v>
      </c>
      <c r="I314" t="s">
        <v>8361</v>
      </c>
      <c r="J314" t="s">
        <v>8363</v>
      </c>
      <c r="K314" t="s">
        <v>8500</v>
      </c>
    </row>
    <row r="315" spans="1:26" s="1" customFormat="1" x14ac:dyDescent="0.25">
      <c r="A315" t="s">
        <v>8364</v>
      </c>
      <c r="B315" t="s">
        <v>8365</v>
      </c>
      <c r="C315" s="88"/>
      <c r="D315" t="s">
        <v>8366</v>
      </c>
      <c r="E315">
        <v>2</v>
      </c>
      <c r="F315" t="s">
        <v>8367</v>
      </c>
      <c r="G315" t="s">
        <v>8365</v>
      </c>
      <c r="H315" t="s">
        <v>7318</v>
      </c>
      <c r="I315" t="s">
        <v>8365</v>
      </c>
      <c r="J315" t="s">
        <v>8367</v>
      </c>
      <c r="K315" t="s">
        <v>8291</v>
      </c>
    </row>
    <row r="316" spans="1:26" s="1" customFormat="1" x14ac:dyDescent="0.25">
      <c r="A316" t="s">
        <v>8368</v>
      </c>
      <c r="B316" t="s">
        <v>8369</v>
      </c>
      <c r="C316" s="88"/>
      <c r="D316" t="s">
        <v>8039</v>
      </c>
      <c r="E316">
        <v>998</v>
      </c>
      <c r="F316" t="s">
        <v>8370</v>
      </c>
      <c r="G316" t="s">
        <v>8369</v>
      </c>
      <c r="H316" t="s">
        <v>7318</v>
      </c>
      <c r="I316" t="s">
        <v>8369</v>
      </c>
      <c r="J316" t="s">
        <v>8370</v>
      </c>
      <c r="K316" t="s">
        <v>12531</v>
      </c>
    </row>
    <row r="317" spans="1:26" s="1" customFormat="1" x14ac:dyDescent="0.25">
      <c r="A317" t="s">
        <v>8371</v>
      </c>
      <c r="B317" t="s">
        <v>8372</v>
      </c>
      <c r="C317" s="88"/>
      <c r="D317" t="s">
        <v>8373</v>
      </c>
      <c r="E317">
        <v>38</v>
      </c>
      <c r="F317" t="s">
        <v>8375</v>
      </c>
      <c r="G317" t="s">
        <v>8374</v>
      </c>
      <c r="H317" t="s">
        <v>7318</v>
      </c>
      <c r="I317" t="s">
        <v>8372</v>
      </c>
      <c r="J317" t="s">
        <v>8375</v>
      </c>
      <c r="K317" t="s">
        <v>12528</v>
      </c>
    </row>
    <row r="318" spans="1:26" s="1" customFormat="1" x14ac:dyDescent="0.25">
      <c r="A318" t="s">
        <v>8376</v>
      </c>
      <c r="B318" t="s">
        <v>8377</v>
      </c>
      <c r="C318" s="88"/>
      <c r="D318" t="s">
        <v>7864</v>
      </c>
      <c r="E318">
        <v>259</v>
      </c>
      <c r="F318" t="s">
        <v>8378</v>
      </c>
      <c r="G318" t="s">
        <v>8377</v>
      </c>
      <c r="H318" t="s">
        <v>7318</v>
      </c>
      <c r="I318" t="s">
        <v>8377</v>
      </c>
      <c r="J318" t="s">
        <v>8378</v>
      </c>
      <c r="K318" t="s">
        <v>8436</v>
      </c>
    </row>
    <row r="319" spans="1:26" s="1" customFormat="1" x14ac:dyDescent="0.25">
      <c r="A319" t="s">
        <v>8379</v>
      </c>
      <c r="B319" t="s">
        <v>8380</v>
      </c>
      <c r="C319" s="88"/>
      <c r="D319" t="s">
        <v>8381</v>
      </c>
      <c r="E319">
        <v>1172</v>
      </c>
      <c r="F319" t="s">
        <v>8382</v>
      </c>
      <c r="G319" t="s">
        <v>8380</v>
      </c>
      <c r="H319" t="s">
        <v>7318</v>
      </c>
      <c r="I319" t="s">
        <v>8380</v>
      </c>
      <c r="J319" t="s">
        <v>8382</v>
      </c>
      <c r="K319" t="s">
        <v>8333</v>
      </c>
    </row>
    <row r="320" spans="1:26" s="1" customFormat="1" x14ac:dyDescent="0.25">
      <c r="A320" t="s">
        <v>8383</v>
      </c>
      <c r="B320" t="s">
        <v>8384</v>
      </c>
      <c r="C320" s="88"/>
      <c r="D320" t="s">
        <v>8385</v>
      </c>
      <c r="E320">
        <v>509</v>
      </c>
      <c r="F320" t="s">
        <v>8386</v>
      </c>
      <c r="G320" t="s">
        <v>8384</v>
      </c>
      <c r="H320" t="s">
        <v>7318</v>
      </c>
      <c r="I320" t="s">
        <v>8384</v>
      </c>
      <c r="J320" t="s">
        <v>8386</v>
      </c>
      <c r="K320" t="s">
        <v>8309</v>
      </c>
    </row>
    <row r="321" spans="1:11" s="1" customFormat="1" x14ac:dyDescent="0.25">
      <c r="A321" t="s">
        <v>8387</v>
      </c>
      <c r="B321" t="s">
        <v>8388</v>
      </c>
      <c r="C321" s="88"/>
      <c r="D321" t="s">
        <v>8389</v>
      </c>
      <c r="E321">
        <v>645</v>
      </c>
      <c r="F321" t="s">
        <v>8391</v>
      </c>
      <c r="G321" t="s">
        <v>8390</v>
      </c>
      <c r="H321" t="s">
        <v>7318</v>
      </c>
      <c r="I321" t="s">
        <v>8388</v>
      </c>
      <c r="J321" t="s">
        <v>8391</v>
      </c>
      <c r="K321" t="s">
        <v>8390</v>
      </c>
    </row>
    <row r="322" spans="1:11" s="1" customFormat="1" x14ac:dyDescent="0.25">
      <c r="A322" t="s">
        <v>8392</v>
      </c>
      <c r="B322" t="s">
        <v>8393</v>
      </c>
      <c r="C322" s="88"/>
      <c r="D322" t="s">
        <v>8394</v>
      </c>
      <c r="E322">
        <v>405</v>
      </c>
      <c r="F322" t="s">
        <v>8396</v>
      </c>
      <c r="G322" t="s">
        <v>8395</v>
      </c>
      <c r="H322" t="s">
        <v>7318</v>
      </c>
      <c r="I322" t="s">
        <v>8393</v>
      </c>
      <c r="J322" t="s">
        <v>8396</v>
      </c>
      <c r="K322" t="s">
        <v>8395</v>
      </c>
    </row>
    <row r="323" spans="1:11" s="1" customFormat="1" x14ac:dyDescent="0.25">
      <c r="A323" t="s">
        <v>8397</v>
      </c>
      <c r="B323" t="s">
        <v>8398</v>
      </c>
      <c r="C323" s="88"/>
      <c r="D323" t="s">
        <v>8399</v>
      </c>
      <c r="E323">
        <v>270</v>
      </c>
      <c r="F323" t="s">
        <v>8400</v>
      </c>
      <c r="G323" t="s">
        <v>8398</v>
      </c>
      <c r="H323" t="s">
        <v>7318</v>
      </c>
      <c r="I323" t="s">
        <v>8398</v>
      </c>
      <c r="J323" t="s">
        <v>8400</v>
      </c>
      <c r="K323" t="s">
        <v>8398</v>
      </c>
    </row>
    <row r="324" spans="1:11" s="1" customFormat="1" x14ac:dyDescent="0.25">
      <c r="A324" t="s">
        <v>8401</v>
      </c>
      <c r="B324" t="s">
        <v>8402</v>
      </c>
      <c r="C324" s="88"/>
      <c r="D324" t="s">
        <v>8070</v>
      </c>
      <c r="E324">
        <v>53</v>
      </c>
      <c r="F324" t="s">
        <v>8403</v>
      </c>
      <c r="G324" t="s">
        <v>8402</v>
      </c>
      <c r="H324" t="s">
        <v>7318</v>
      </c>
      <c r="I324" t="s">
        <v>8402</v>
      </c>
      <c r="J324" t="s">
        <v>8403</v>
      </c>
      <c r="K324" t="s">
        <v>8402</v>
      </c>
    </row>
    <row r="325" spans="1:11" s="1" customFormat="1" x14ac:dyDescent="0.25">
      <c r="A325" t="s">
        <v>8404</v>
      </c>
      <c r="B325" t="s">
        <v>8405</v>
      </c>
      <c r="C325" s="88"/>
      <c r="D325" t="s">
        <v>8406</v>
      </c>
      <c r="E325">
        <v>195</v>
      </c>
      <c r="F325" t="s">
        <v>8407</v>
      </c>
      <c r="G325" t="s">
        <v>8405</v>
      </c>
      <c r="H325" t="s">
        <v>7318</v>
      </c>
      <c r="I325" t="s">
        <v>8405</v>
      </c>
      <c r="J325" t="s">
        <v>8407</v>
      </c>
      <c r="K325" t="s">
        <v>8500</v>
      </c>
    </row>
    <row r="326" spans="1:11" s="1" customFormat="1" x14ac:dyDescent="0.25">
      <c r="A326" t="s">
        <v>8408</v>
      </c>
      <c r="B326" t="s">
        <v>8409</v>
      </c>
      <c r="C326" s="88"/>
      <c r="D326" t="s">
        <v>8410</v>
      </c>
      <c r="E326">
        <v>65</v>
      </c>
      <c r="F326" t="s">
        <v>8411</v>
      </c>
      <c r="G326" t="s">
        <v>8409</v>
      </c>
      <c r="H326" t="s">
        <v>7318</v>
      </c>
      <c r="I326" t="s">
        <v>8409</v>
      </c>
      <c r="J326" t="s">
        <v>8411</v>
      </c>
      <c r="K326" t="s">
        <v>8321</v>
      </c>
    </row>
    <row r="327" spans="1:11" s="1" customFormat="1" x14ac:dyDescent="0.25">
      <c r="A327" t="s">
        <v>8412</v>
      </c>
      <c r="B327" t="s">
        <v>8413</v>
      </c>
      <c r="C327" s="88"/>
      <c r="D327" t="s">
        <v>8414</v>
      </c>
      <c r="E327">
        <v>441</v>
      </c>
      <c r="F327" t="s">
        <v>8415</v>
      </c>
      <c r="G327" t="s">
        <v>8413</v>
      </c>
      <c r="H327" t="s">
        <v>7318</v>
      </c>
      <c r="I327" t="s">
        <v>8413</v>
      </c>
      <c r="J327" t="s">
        <v>8415</v>
      </c>
      <c r="K327" t="s">
        <v>8516</v>
      </c>
    </row>
    <row r="328" spans="1:11" s="1" customFormat="1" x14ac:dyDescent="0.25">
      <c r="A328" t="s">
        <v>8416</v>
      </c>
      <c r="B328" t="s">
        <v>8417</v>
      </c>
      <c r="C328" s="88"/>
      <c r="D328" t="s">
        <v>8418</v>
      </c>
      <c r="E328">
        <v>362</v>
      </c>
      <c r="F328" t="s">
        <v>8419</v>
      </c>
      <c r="G328" t="s">
        <v>8417</v>
      </c>
      <c r="H328" t="s">
        <v>7318</v>
      </c>
      <c r="I328" t="s">
        <v>8417</v>
      </c>
      <c r="J328" t="s">
        <v>8419</v>
      </c>
      <c r="K328" t="s">
        <v>8500</v>
      </c>
    </row>
    <row r="329" spans="1:11" s="1" customFormat="1" x14ac:dyDescent="0.25">
      <c r="A329" t="s">
        <v>8420</v>
      </c>
      <c r="B329" t="s">
        <v>8421</v>
      </c>
      <c r="C329" s="88"/>
      <c r="D329" t="s">
        <v>8047</v>
      </c>
      <c r="E329">
        <v>633</v>
      </c>
      <c r="F329" t="s">
        <v>8422</v>
      </c>
      <c r="G329" t="s">
        <v>8421</v>
      </c>
      <c r="H329" t="s">
        <v>7318</v>
      </c>
      <c r="I329" t="s">
        <v>8421</v>
      </c>
      <c r="J329" t="s">
        <v>8422</v>
      </c>
      <c r="K329" t="s">
        <v>8145</v>
      </c>
    </row>
    <row r="330" spans="1:11" s="1" customFormat="1" x14ac:dyDescent="0.25">
      <c r="A330" t="s">
        <v>8423</v>
      </c>
      <c r="B330" t="s">
        <v>8424</v>
      </c>
      <c r="C330" s="88"/>
      <c r="D330" t="s">
        <v>8425</v>
      </c>
      <c r="E330">
        <v>502</v>
      </c>
      <c r="F330" t="s">
        <v>8427</v>
      </c>
      <c r="G330" t="s">
        <v>8426</v>
      </c>
      <c r="H330" t="s">
        <v>7318</v>
      </c>
      <c r="I330" t="s">
        <v>8424</v>
      </c>
      <c r="J330" t="s">
        <v>8427</v>
      </c>
      <c r="K330" t="s">
        <v>8291</v>
      </c>
    </row>
    <row r="331" spans="1:11" s="1" customFormat="1" x14ac:dyDescent="0.25">
      <c r="A331" t="s">
        <v>8428</v>
      </c>
      <c r="B331" t="s">
        <v>8429</v>
      </c>
      <c r="C331" s="88"/>
      <c r="D331" t="s">
        <v>7437</v>
      </c>
      <c r="E331">
        <v>429</v>
      </c>
      <c r="F331" t="s">
        <v>8431</v>
      </c>
      <c r="G331" t="s">
        <v>8430</v>
      </c>
      <c r="H331" t="s">
        <v>7318</v>
      </c>
      <c r="I331" t="s">
        <v>8429</v>
      </c>
      <c r="J331" t="s">
        <v>8431</v>
      </c>
      <c r="K331" t="s">
        <v>8430</v>
      </c>
    </row>
    <row r="332" spans="1:11" s="1" customFormat="1" x14ac:dyDescent="0.25">
      <c r="A332" t="s">
        <v>8432</v>
      </c>
      <c r="B332" t="s">
        <v>8433</v>
      </c>
      <c r="C332" s="88"/>
      <c r="D332" t="s">
        <v>13223</v>
      </c>
      <c r="E332">
        <v>213</v>
      </c>
      <c r="F332" t="s">
        <v>8434</v>
      </c>
      <c r="G332" t="s">
        <v>8433</v>
      </c>
      <c r="H332" t="s">
        <v>7318</v>
      </c>
      <c r="I332" t="s">
        <v>8433</v>
      </c>
      <c r="J332" t="s">
        <v>8434</v>
      </c>
      <c r="K332" t="s">
        <v>8516</v>
      </c>
    </row>
    <row r="333" spans="1:11" s="1" customFormat="1" x14ac:dyDescent="0.25">
      <c r="A333" t="s">
        <v>8435</v>
      </c>
      <c r="B333" t="s">
        <v>12966</v>
      </c>
      <c r="C333" s="88"/>
      <c r="D333" t="s">
        <v>7397</v>
      </c>
      <c r="E333">
        <v>653</v>
      </c>
      <c r="F333" t="s">
        <v>8437</v>
      </c>
      <c r="G333" t="s">
        <v>8436</v>
      </c>
      <c r="H333" t="s">
        <v>7318</v>
      </c>
      <c r="I333" t="s">
        <v>12966</v>
      </c>
      <c r="J333" t="s">
        <v>8437</v>
      </c>
      <c r="K333" t="s">
        <v>8436</v>
      </c>
    </row>
    <row r="334" spans="1:11" s="1" customFormat="1" x14ac:dyDescent="0.25">
      <c r="A334" t="s">
        <v>8438</v>
      </c>
      <c r="B334" t="s">
        <v>8439</v>
      </c>
      <c r="C334" s="88"/>
      <c r="D334" t="s">
        <v>8440</v>
      </c>
      <c r="E334">
        <v>61</v>
      </c>
      <c r="F334" t="s">
        <v>8441</v>
      </c>
      <c r="G334" t="s">
        <v>8439</v>
      </c>
      <c r="H334" t="s">
        <v>7318</v>
      </c>
      <c r="I334" t="s">
        <v>8439</v>
      </c>
      <c r="J334" t="s">
        <v>8441</v>
      </c>
      <c r="K334" t="s">
        <v>12529</v>
      </c>
    </row>
    <row r="335" spans="1:11" s="1" customFormat="1" x14ac:dyDescent="0.25">
      <c r="A335" t="s">
        <v>8442</v>
      </c>
      <c r="B335" t="s">
        <v>8443</v>
      </c>
      <c r="C335" s="88"/>
      <c r="D335" t="s">
        <v>8163</v>
      </c>
      <c r="E335">
        <v>0</v>
      </c>
      <c r="F335" t="s">
        <v>8444</v>
      </c>
      <c r="G335" t="s">
        <v>8443</v>
      </c>
      <c r="H335" t="s">
        <v>7318</v>
      </c>
      <c r="I335" t="s">
        <v>8443</v>
      </c>
      <c r="J335" t="s">
        <v>8444</v>
      </c>
      <c r="K335" t="s">
        <v>8483</v>
      </c>
    </row>
    <row r="336" spans="1:11" s="1" customFormat="1" x14ac:dyDescent="0.25">
      <c r="A336" t="s">
        <v>8445</v>
      </c>
      <c r="B336" t="s">
        <v>8446</v>
      </c>
      <c r="C336" s="88"/>
      <c r="D336" t="s">
        <v>8447</v>
      </c>
      <c r="E336">
        <v>364</v>
      </c>
      <c r="F336" t="s">
        <v>8448</v>
      </c>
      <c r="G336" t="s">
        <v>8446</v>
      </c>
      <c r="H336" t="s">
        <v>7318</v>
      </c>
      <c r="I336" t="s">
        <v>8446</v>
      </c>
      <c r="J336" t="s">
        <v>8448</v>
      </c>
      <c r="K336" t="s">
        <v>8398</v>
      </c>
    </row>
    <row r="337" spans="1:11" s="1" customFormat="1" x14ac:dyDescent="0.25">
      <c r="A337" t="s">
        <v>8449</v>
      </c>
      <c r="B337" t="s">
        <v>8450</v>
      </c>
      <c r="C337" s="88"/>
      <c r="D337" t="s">
        <v>13226</v>
      </c>
      <c r="E337">
        <v>50</v>
      </c>
      <c r="F337" t="s">
        <v>8451</v>
      </c>
      <c r="G337" t="s">
        <v>8450</v>
      </c>
      <c r="H337" t="s">
        <v>7318</v>
      </c>
      <c r="I337" t="s">
        <v>8450</v>
      </c>
      <c r="J337" t="s">
        <v>8451</v>
      </c>
      <c r="K337" t="s">
        <v>8395</v>
      </c>
    </row>
    <row r="338" spans="1:11" s="1" customFormat="1" x14ac:dyDescent="0.25">
      <c r="A338" t="s">
        <v>8452</v>
      </c>
      <c r="B338" t="s">
        <v>8453</v>
      </c>
      <c r="C338" s="88"/>
      <c r="D338" t="s">
        <v>7990</v>
      </c>
      <c r="E338">
        <v>3654</v>
      </c>
      <c r="F338" t="s">
        <v>8455</v>
      </c>
      <c r="G338" t="s">
        <v>8454</v>
      </c>
      <c r="H338" t="s">
        <v>7318</v>
      </c>
      <c r="I338" t="s">
        <v>8453</v>
      </c>
      <c r="J338" t="s">
        <v>8455</v>
      </c>
      <c r="K338" t="s">
        <v>8291</v>
      </c>
    </row>
    <row r="339" spans="1:11" s="1" customFormat="1" x14ac:dyDescent="0.25">
      <c r="A339" t="s">
        <v>8456</v>
      </c>
      <c r="B339" t="s">
        <v>8457</v>
      </c>
      <c r="C339" s="88"/>
      <c r="D339" t="s">
        <v>13223</v>
      </c>
      <c r="E339">
        <v>948</v>
      </c>
      <c r="F339" t="s">
        <v>8459</v>
      </c>
      <c r="G339" t="s">
        <v>8458</v>
      </c>
      <c r="H339" t="s">
        <v>7318</v>
      </c>
      <c r="I339" t="s">
        <v>8457</v>
      </c>
      <c r="J339" t="s">
        <v>8459</v>
      </c>
      <c r="K339" t="s">
        <v>8390</v>
      </c>
    </row>
    <row r="340" spans="1:11" s="1" customFormat="1" x14ac:dyDescent="0.25">
      <c r="A340" t="s">
        <v>8460</v>
      </c>
      <c r="B340" t="s">
        <v>8461</v>
      </c>
      <c r="C340" s="88"/>
      <c r="D340" t="s">
        <v>13227</v>
      </c>
      <c r="E340">
        <v>75</v>
      </c>
      <c r="F340" t="s">
        <v>8462</v>
      </c>
      <c r="G340" t="s">
        <v>8461</v>
      </c>
      <c r="H340" t="s">
        <v>7318</v>
      </c>
      <c r="I340" t="s">
        <v>8461</v>
      </c>
      <c r="J340" t="s">
        <v>8462</v>
      </c>
      <c r="K340" t="s">
        <v>8430</v>
      </c>
    </row>
    <row r="341" spans="1:11" s="1" customFormat="1" x14ac:dyDescent="0.25">
      <c r="A341" t="s">
        <v>8463</v>
      </c>
      <c r="B341" t="s">
        <v>7337</v>
      </c>
      <c r="C341" s="88"/>
      <c r="D341" t="s">
        <v>8464</v>
      </c>
      <c r="E341">
        <v>1133</v>
      </c>
      <c r="F341" t="s">
        <v>8465</v>
      </c>
      <c r="G341" t="s">
        <v>7337</v>
      </c>
      <c r="H341" t="s">
        <v>7318</v>
      </c>
      <c r="I341" t="s">
        <v>7337</v>
      </c>
      <c r="J341" t="s">
        <v>8465</v>
      </c>
      <c r="K341" t="s">
        <v>7337</v>
      </c>
    </row>
    <row r="342" spans="1:11" s="1" customFormat="1" x14ac:dyDescent="0.25">
      <c r="A342" t="s">
        <v>8466</v>
      </c>
      <c r="B342" t="s">
        <v>8467</v>
      </c>
      <c r="C342" s="88"/>
      <c r="D342" t="s">
        <v>8468</v>
      </c>
      <c r="E342">
        <v>1101</v>
      </c>
      <c r="F342" t="s">
        <v>8469</v>
      </c>
      <c r="G342" t="s">
        <v>8467</v>
      </c>
      <c r="H342" t="s">
        <v>7318</v>
      </c>
      <c r="I342" t="s">
        <v>8467</v>
      </c>
      <c r="J342" t="s">
        <v>8469</v>
      </c>
      <c r="K342" t="s">
        <v>12529</v>
      </c>
    </row>
    <row r="343" spans="1:11" s="1" customFormat="1" x14ac:dyDescent="0.25">
      <c r="A343" t="s">
        <v>8470</v>
      </c>
      <c r="B343" t="s">
        <v>8471</v>
      </c>
      <c r="C343" s="88"/>
      <c r="D343" t="s">
        <v>8032</v>
      </c>
      <c r="E343">
        <v>265</v>
      </c>
      <c r="F343" t="s">
        <v>8473</v>
      </c>
      <c r="G343" t="s">
        <v>8472</v>
      </c>
      <c r="H343" t="s">
        <v>7318</v>
      </c>
      <c r="I343" t="s">
        <v>8471</v>
      </c>
      <c r="J343" t="s">
        <v>8473</v>
      </c>
      <c r="K343" t="s">
        <v>12531</v>
      </c>
    </row>
    <row r="344" spans="1:11" s="1" customFormat="1" x14ac:dyDescent="0.25">
      <c r="A344" t="s">
        <v>8474</v>
      </c>
      <c r="B344" t="s">
        <v>12967</v>
      </c>
      <c r="C344" s="88"/>
      <c r="D344" t="s">
        <v>8475</v>
      </c>
      <c r="E344">
        <v>650</v>
      </c>
      <c r="F344" t="s">
        <v>8477</v>
      </c>
      <c r="G344" t="s">
        <v>8476</v>
      </c>
      <c r="H344" t="s">
        <v>7318</v>
      </c>
      <c r="I344" t="s">
        <v>12967</v>
      </c>
      <c r="J344" t="s">
        <v>8477</v>
      </c>
      <c r="K344" t="s">
        <v>12529</v>
      </c>
    </row>
    <row r="345" spans="1:11" s="1" customFormat="1" x14ac:dyDescent="0.25">
      <c r="A345" t="s">
        <v>8478</v>
      </c>
      <c r="B345" t="s">
        <v>8479</v>
      </c>
      <c r="C345" s="88"/>
      <c r="D345" t="s">
        <v>8480</v>
      </c>
      <c r="E345">
        <v>300</v>
      </c>
      <c r="F345" t="s">
        <v>8481</v>
      </c>
      <c r="G345" t="s">
        <v>8479</v>
      </c>
      <c r="H345" t="s">
        <v>7318</v>
      </c>
      <c r="I345" t="s">
        <v>8479</v>
      </c>
      <c r="J345" t="s">
        <v>8481</v>
      </c>
      <c r="K345" t="s">
        <v>8309</v>
      </c>
    </row>
    <row r="346" spans="1:11" s="1" customFormat="1" x14ac:dyDescent="0.25">
      <c r="A346" t="s">
        <v>8482</v>
      </c>
      <c r="B346" t="s">
        <v>8483</v>
      </c>
      <c r="C346" s="88"/>
      <c r="D346" t="s">
        <v>8322</v>
      </c>
      <c r="E346">
        <v>2973</v>
      </c>
      <c r="F346" t="s">
        <v>8484</v>
      </c>
      <c r="G346" t="s">
        <v>8483</v>
      </c>
      <c r="H346" t="s">
        <v>7318</v>
      </c>
      <c r="I346" t="s">
        <v>8483</v>
      </c>
      <c r="J346" t="s">
        <v>8484</v>
      </c>
      <c r="K346" t="s">
        <v>8483</v>
      </c>
    </row>
    <row r="347" spans="1:11" s="1" customFormat="1" x14ac:dyDescent="0.25">
      <c r="A347" t="s">
        <v>8485</v>
      </c>
      <c r="B347" t="s">
        <v>8486</v>
      </c>
      <c r="C347" s="88"/>
      <c r="D347" t="s">
        <v>7370</v>
      </c>
      <c r="E347">
        <v>257</v>
      </c>
      <c r="F347" t="s">
        <v>8487</v>
      </c>
      <c r="G347" t="s">
        <v>8486</v>
      </c>
      <c r="H347" t="s">
        <v>7318</v>
      </c>
      <c r="I347" t="s">
        <v>8486</v>
      </c>
      <c r="J347" t="s">
        <v>8487</v>
      </c>
      <c r="K347" t="s">
        <v>8309</v>
      </c>
    </row>
    <row r="348" spans="1:11" s="1" customFormat="1" x14ac:dyDescent="0.25">
      <c r="A348" t="s">
        <v>8488</v>
      </c>
      <c r="B348" t="s">
        <v>8489</v>
      </c>
      <c r="C348" s="88"/>
      <c r="D348" t="s">
        <v>8490</v>
      </c>
      <c r="E348">
        <v>253</v>
      </c>
      <c r="F348" t="s">
        <v>8491</v>
      </c>
      <c r="G348" t="s">
        <v>8489</v>
      </c>
      <c r="H348" t="s">
        <v>7318</v>
      </c>
      <c r="I348" t="s">
        <v>8489</v>
      </c>
      <c r="J348" t="s">
        <v>8491</v>
      </c>
      <c r="K348" t="s">
        <v>8390</v>
      </c>
    </row>
    <row r="349" spans="1:11" s="1" customFormat="1" x14ac:dyDescent="0.25">
      <c r="A349" t="s">
        <v>8492</v>
      </c>
      <c r="B349" t="s">
        <v>8493</v>
      </c>
      <c r="C349" s="88"/>
      <c r="D349" t="s">
        <v>8494</v>
      </c>
      <c r="E349">
        <v>141</v>
      </c>
      <c r="F349" t="s">
        <v>8495</v>
      </c>
      <c r="G349" t="s">
        <v>8493</v>
      </c>
      <c r="H349" t="s">
        <v>7318</v>
      </c>
      <c r="I349" t="s">
        <v>8493</v>
      </c>
      <c r="J349" t="s">
        <v>8495</v>
      </c>
      <c r="K349" t="s">
        <v>12529</v>
      </c>
    </row>
    <row r="350" spans="1:11" s="1" customFormat="1" x14ac:dyDescent="0.25">
      <c r="A350" t="s">
        <v>8496</v>
      </c>
      <c r="B350" t="s">
        <v>12968</v>
      </c>
      <c r="C350" s="88"/>
      <c r="D350" t="s">
        <v>7352</v>
      </c>
      <c r="E350">
        <v>47</v>
      </c>
      <c r="F350" t="s">
        <v>8498</v>
      </c>
      <c r="G350" t="s">
        <v>8497</v>
      </c>
      <c r="H350" t="s">
        <v>7318</v>
      </c>
      <c r="I350" t="s">
        <v>12968</v>
      </c>
      <c r="J350" t="s">
        <v>8498</v>
      </c>
      <c r="K350" t="s">
        <v>8516</v>
      </c>
    </row>
    <row r="351" spans="1:11" s="1" customFormat="1" x14ac:dyDescent="0.25">
      <c r="A351" t="s">
        <v>8499</v>
      </c>
      <c r="B351" t="s">
        <v>12969</v>
      </c>
      <c r="C351" s="88"/>
      <c r="D351" t="s">
        <v>7663</v>
      </c>
      <c r="E351">
        <v>682</v>
      </c>
      <c r="F351" t="s">
        <v>8501</v>
      </c>
      <c r="G351" t="s">
        <v>8500</v>
      </c>
      <c r="H351" t="s">
        <v>7318</v>
      </c>
      <c r="I351" t="s">
        <v>12969</v>
      </c>
      <c r="J351" t="s">
        <v>8501</v>
      </c>
      <c r="K351" t="s">
        <v>8500</v>
      </c>
    </row>
    <row r="352" spans="1:11" s="1" customFormat="1" x14ac:dyDescent="0.25">
      <c r="A352" t="s">
        <v>8502</v>
      </c>
      <c r="B352" t="s">
        <v>8503</v>
      </c>
      <c r="C352" s="88"/>
      <c r="D352" t="s">
        <v>8504</v>
      </c>
      <c r="E352">
        <v>4325</v>
      </c>
      <c r="F352" t="s">
        <v>8505</v>
      </c>
      <c r="G352" t="s">
        <v>8503</v>
      </c>
      <c r="H352" t="s">
        <v>7318</v>
      </c>
      <c r="I352" t="s">
        <v>8503</v>
      </c>
      <c r="J352" t="s">
        <v>8505</v>
      </c>
      <c r="K352" t="s">
        <v>8398</v>
      </c>
    </row>
    <row r="353" spans="1:11" s="1" customFormat="1" x14ac:dyDescent="0.25">
      <c r="A353" t="s">
        <v>8506</v>
      </c>
      <c r="B353" t="s">
        <v>8507</v>
      </c>
      <c r="C353" s="88"/>
      <c r="D353" t="s">
        <v>8508</v>
      </c>
      <c r="E353">
        <v>0</v>
      </c>
      <c r="F353" t="s">
        <v>8509</v>
      </c>
      <c r="G353" t="s">
        <v>8507</v>
      </c>
      <c r="H353" t="s">
        <v>7318</v>
      </c>
      <c r="I353" t="s">
        <v>8507</v>
      </c>
      <c r="J353" t="s">
        <v>8509</v>
      </c>
      <c r="K353" t="s">
        <v>12530</v>
      </c>
    </row>
    <row r="354" spans="1:11" s="1" customFormat="1" x14ac:dyDescent="0.25">
      <c r="A354" t="s">
        <v>8510</v>
      </c>
      <c r="B354" t="s">
        <v>8511</v>
      </c>
      <c r="C354" s="88"/>
      <c r="D354" t="s">
        <v>7462</v>
      </c>
      <c r="E354">
        <v>602</v>
      </c>
      <c r="F354" t="s">
        <v>8512</v>
      </c>
      <c r="G354" t="s">
        <v>8511</v>
      </c>
      <c r="H354" t="s">
        <v>7318</v>
      </c>
      <c r="I354" t="s">
        <v>8511</v>
      </c>
      <c r="J354" t="s">
        <v>8512</v>
      </c>
      <c r="K354" t="s">
        <v>12530</v>
      </c>
    </row>
    <row r="355" spans="1:11" s="1" customFormat="1" x14ac:dyDescent="0.25">
      <c r="A355" t="s">
        <v>8513</v>
      </c>
      <c r="B355" t="s">
        <v>7495</v>
      </c>
      <c r="C355" s="88"/>
      <c r="D355" t="s">
        <v>7437</v>
      </c>
      <c r="E355">
        <v>310</v>
      </c>
      <c r="F355" t="s">
        <v>8514</v>
      </c>
      <c r="G355" t="s">
        <v>7495</v>
      </c>
      <c r="H355" t="s">
        <v>7318</v>
      </c>
      <c r="I355" t="s">
        <v>7495</v>
      </c>
      <c r="J355" t="s">
        <v>8514</v>
      </c>
      <c r="K355" t="s">
        <v>12531</v>
      </c>
    </row>
    <row r="356" spans="1:11" s="1" customFormat="1" x14ac:dyDescent="0.25">
      <c r="A356" t="s">
        <v>8515</v>
      </c>
      <c r="B356" t="s">
        <v>8516</v>
      </c>
      <c r="C356" s="88"/>
      <c r="D356" t="s">
        <v>8517</v>
      </c>
      <c r="E356">
        <v>300</v>
      </c>
      <c r="F356" t="s">
        <v>8518</v>
      </c>
      <c r="G356" t="s">
        <v>8516</v>
      </c>
      <c r="H356" t="s">
        <v>7318</v>
      </c>
      <c r="I356" t="s">
        <v>8516</v>
      </c>
      <c r="J356" t="s">
        <v>8518</v>
      </c>
      <c r="K356" t="s">
        <v>8516</v>
      </c>
    </row>
    <row r="357" spans="1:11" s="1" customFormat="1" x14ac:dyDescent="0.25">
      <c r="A357" t="s">
        <v>8519</v>
      </c>
      <c r="B357" t="s">
        <v>8520</v>
      </c>
      <c r="C357" s="88"/>
      <c r="D357" t="s">
        <v>8521</v>
      </c>
      <c r="E357">
        <v>453</v>
      </c>
      <c r="F357" t="s">
        <v>8522</v>
      </c>
      <c r="G357" t="s">
        <v>8520</v>
      </c>
      <c r="H357" t="s">
        <v>7318</v>
      </c>
      <c r="I357" t="s">
        <v>8520</v>
      </c>
      <c r="J357" t="s">
        <v>8522</v>
      </c>
      <c r="K357" t="s">
        <v>8402</v>
      </c>
    </row>
    <row r="358" spans="1:11" s="1" customFormat="1" x14ac:dyDescent="0.25">
      <c r="A358" t="s">
        <v>8523</v>
      </c>
      <c r="B358" t="s">
        <v>8524</v>
      </c>
      <c r="C358" s="88"/>
      <c r="D358" t="s">
        <v>7693</v>
      </c>
      <c r="E358">
        <v>324</v>
      </c>
      <c r="F358" t="s">
        <v>8525</v>
      </c>
      <c r="G358" t="s">
        <v>8524</v>
      </c>
      <c r="H358" t="s">
        <v>7318</v>
      </c>
      <c r="I358" t="s">
        <v>8524</v>
      </c>
      <c r="J358" t="s">
        <v>8525</v>
      </c>
      <c r="K358" t="s">
        <v>8305</v>
      </c>
    </row>
    <row r="359" spans="1:11" s="1" customFormat="1" x14ac:dyDescent="0.25">
      <c r="A359" t="s">
        <v>8526</v>
      </c>
      <c r="B359" t="s">
        <v>8527</v>
      </c>
      <c r="C359" s="88"/>
      <c r="D359" t="s">
        <v>8528</v>
      </c>
      <c r="E359">
        <v>567</v>
      </c>
      <c r="F359" t="s">
        <v>8530</v>
      </c>
      <c r="G359" t="s">
        <v>8529</v>
      </c>
      <c r="H359" t="s">
        <v>7318</v>
      </c>
      <c r="I359" t="s">
        <v>8527</v>
      </c>
      <c r="J359" t="s">
        <v>8530</v>
      </c>
      <c r="K359" t="s">
        <v>8309</v>
      </c>
    </row>
    <row r="360" spans="1:11" s="1" customFormat="1" x14ac:dyDescent="0.25">
      <c r="A360" t="s">
        <v>8531</v>
      </c>
      <c r="B360" t="s">
        <v>8532</v>
      </c>
      <c r="C360" s="88"/>
      <c r="D360" t="s">
        <v>8533</v>
      </c>
      <c r="E360">
        <v>175</v>
      </c>
      <c r="F360" t="s">
        <v>8534</v>
      </c>
      <c r="G360" t="s">
        <v>8532</v>
      </c>
      <c r="H360" t="s">
        <v>7318</v>
      </c>
      <c r="I360" t="s">
        <v>8532</v>
      </c>
      <c r="J360" t="s">
        <v>8534</v>
      </c>
      <c r="K360" t="s">
        <v>12531</v>
      </c>
    </row>
    <row r="361" spans="1:11" s="1" customFormat="1" x14ac:dyDescent="0.25">
      <c r="A361" t="s">
        <v>8535</v>
      </c>
      <c r="B361" t="s">
        <v>8536</v>
      </c>
      <c r="C361" s="88"/>
      <c r="D361" t="s">
        <v>8537</v>
      </c>
      <c r="E361">
        <v>195</v>
      </c>
      <c r="F361" t="s">
        <v>8538</v>
      </c>
      <c r="G361" t="s">
        <v>8536</v>
      </c>
      <c r="H361" t="s">
        <v>7318</v>
      </c>
      <c r="I361" t="s">
        <v>8536</v>
      </c>
      <c r="J361" t="s">
        <v>8538</v>
      </c>
      <c r="K361" t="s">
        <v>8305</v>
      </c>
    </row>
    <row r="362" spans="1:11" s="1" customFormat="1" x14ac:dyDescent="0.25">
      <c r="A362" t="s">
        <v>8539</v>
      </c>
      <c r="B362" t="s">
        <v>8540</v>
      </c>
      <c r="C362" s="88"/>
      <c r="D362" t="s">
        <v>8541</v>
      </c>
      <c r="E362">
        <v>2190</v>
      </c>
      <c r="F362" t="s">
        <v>8542</v>
      </c>
      <c r="G362" t="s">
        <v>8540</v>
      </c>
      <c r="H362" t="s">
        <v>7318</v>
      </c>
      <c r="I362" t="s">
        <v>8540</v>
      </c>
      <c r="J362" t="s">
        <v>8542</v>
      </c>
      <c r="K362" t="s">
        <v>8483</v>
      </c>
    </row>
    <row r="363" spans="1:11" s="1" customFormat="1" x14ac:dyDescent="0.25">
      <c r="A363" t="s">
        <v>8543</v>
      </c>
      <c r="B363" t="s">
        <v>8544</v>
      </c>
      <c r="C363" s="88"/>
      <c r="D363" t="s">
        <v>8447</v>
      </c>
      <c r="E363">
        <v>1958</v>
      </c>
      <c r="F363" t="s">
        <v>8546</v>
      </c>
      <c r="G363" t="s">
        <v>8545</v>
      </c>
      <c r="H363" t="s">
        <v>7318</v>
      </c>
      <c r="I363" t="s">
        <v>8544</v>
      </c>
      <c r="J363" t="s">
        <v>8546</v>
      </c>
      <c r="K363" t="s">
        <v>12532</v>
      </c>
    </row>
    <row r="364" spans="1:11" s="1" customFormat="1" x14ac:dyDescent="0.25">
      <c r="A364" t="s">
        <v>8547</v>
      </c>
      <c r="B364" t="s">
        <v>8548</v>
      </c>
      <c r="C364" s="88"/>
      <c r="D364" t="s">
        <v>8549</v>
      </c>
      <c r="E364">
        <v>2714</v>
      </c>
      <c r="F364" t="s">
        <v>8550</v>
      </c>
      <c r="G364" t="s">
        <v>8545</v>
      </c>
      <c r="H364" t="s">
        <v>7318</v>
      </c>
      <c r="I364" t="s">
        <v>8548</v>
      </c>
      <c r="J364" t="s">
        <v>8550</v>
      </c>
      <c r="K364" t="s">
        <v>12532</v>
      </c>
    </row>
    <row r="365" spans="1:11" s="1" customFormat="1" x14ac:dyDescent="0.25">
      <c r="A365" t="s">
        <v>8551</v>
      </c>
      <c r="B365" t="s">
        <v>8552</v>
      </c>
      <c r="C365" s="88"/>
      <c r="D365" t="s">
        <v>8553</v>
      </c>
      <c r="E365">
        <v>1333</v>
      </c>
      <c r="F365" t="s">
        <v>8554</v>
      </c>
      <c r="G365" t="s">
        <v>8545</v>
      </c>
      <c r="H365" t="s">
        <v>7318</v>
      </c>
      <c r="I365" t="s">
        <v>8552</v>
      </c>
      <c r="J365" t="s">
        <v>8554</v>
      </c>
      <c r="K365" t="s">
        <v>12532</v>
      </c>
    </row>
    <row r="366" spans="1:11" s="1" customFormat="1" x14ac:dyDescent="0.25">
      <c r="A366" t="s">
        <v>8555</v>
      </c>
      <c r="B366" t="s">
        <v>8556</v>
      </c>
      <c r="C366" s="88"/>
      <c r="D366" t="s">
        <v>8557</v>
      </c>
      <c r="E366">
        <v>4001</v>
      </c>
      <c r="F366" t="s">
        <v>8558</v>
      </c>
      <c r="G366" t="s">
        <v>8556</v>
      </c>
      <c r="H366" t="s">
        <v>7318</v>
      </c>
      <c r="I366" t="s">
        <v>8556</v>
      </c>
      <c r="J366" t="s">
        <v>8558</v>
      </c>
      <c r="K366" t="s">
        <v>8556</v>
      </c>
    </row>
    <row r="367" spans="1:11" s="1" customFormat="1" x14ac:dyDescent="0.25">
      <c r="A367" t="s">
        <v>8559</v>
      </c>
      <c r="B367" t="s">
        <v>7357</v>
      </c>
      <c r="C367" s="88"/>
      <c r="D367" t="s">
        <v>7348</v>
      </c>
      <c r="E367">
        <v>2052</v>
      </c>
      <c r="F367" t="s">
        <v>8560</v>
      </c>
      <c r="G367" t="s">
        <v>7357</v>
      </c>
      <c r="H367" t="s">
        <v>7318</v>
      </c>
      <c r="I367" t="s">
        <v>7357</v>
      </c>
      <c r="J367" t="s">
        <v>8560</v>
      </c>
      <c r="K367" t="s">
        <v>7396</v>
      </c>
    </row>
    <row r="368" spans="1:11" s="1" customFormat="1" x14ac:dyDescent="0.25">
      <c r="A368" t="s">
        <v>8561</v>
      </c>
      <c r="B368" t="s">
        <v>8562</v>
      </c>
      <c r="C368" s="88"/>
      <c r="D368" t="s">
        <v>8553</v>
      </c>
      <c r="E368">
        <v>405</v>
      </c>
      <c r="F368" t="s">
        <v>8563</v>
      </c>
      <c r="G368" t="s">
        <v>8562</v>
      </c>
      <c r="H368" t="s">
        <v>7318</v>
      </c>
      <c r="I368" t="s">
        <v>8562</v>
      </c>
      <c r="J368" t="s">
        <v>8563</v>
      </c>
      <c r="K368" t="s">
        <v>8562</v>
      </c>
    </row>
    <row r="369" spans="1:11" s="1" customFormat="1" x14ac:dyDescent="0.25">
      <c r="A369" t="s">
        <v>8564</v>
      </c>
      <c r="B369" t="s">
        <v>8565</v>
      </c>
      <c r="C369" s="88"/>
      <c r="D369" t="s">
        <v>8566</v>
      </c>
      <c r="E369">
        <v>4319</v>
      </c>
      <c r="F369" t="s">
        <v>8567</v>
      </c>
      <c r="G369" t="s">
        <v>8565</v>
      </c>
      <c r="H369" t="s">
        <v>7318</v>
      </c>
      <c r="I369" t="s">
        <v>8565</v>
      </c>
      <c r="J369" t="s">
        <v>8567</v>
      </c>
      <c r="K369" t="s">
        <v>7325</v>
      </c>
    </row>
    <row r="370" spans="1:11" s="1" customFormat="1" x14ac:dyDescent="0.25">
      <c r="A370" t="s">
        <v>8568</v>
      </c>
      <c r="B370" t="s">
        <v>8569</v>
      </c>
      <c r="C370" s="88"/>
      <c r="D370" t="s">
        <v>7478</v>
      </c>
      <c r="E370">
        <v>9109</v>
      </c>
      <c r="F370" t="s">
        <v>8570</v>
      </c>
      <c r="G370" t="s">
        <v>8569</v>
      </c>
      <c r="H370" t="s">
        <v>7318</v>
      </c>
      <c r="I370" t="s">
        <v>8569</v>
      </c>
      <c r="J370" t="s">
        <v>8570</v>
      </c>
      <c r="K370" t="s">
        <v>8569</v>
      </c>
    </row>
    <row r="371" spans="1:11" s="1" customFormat="1" x14ac:dyDescent="0.25">
      <c r="A371" t="s">
        <v>8571</v>
      </c>
      <c r="B371" t="s">
        <v>8572</v>
      </c>
      <c r="C371" s="88"/>
      <c r="D371" t="s">
        <v>7990</v>
      </c>
      <c r="E371">
        <v>252</v>
      </c>
      <c r="F371" t="s">
        <v>8573</v>
      </c>
      <c r="G371" t="s">
        <v>8572</v>
      </c>
      <c r="H371" t="s">
        <v>7318</v>
      </c>
      <c r="I371" t="s">
        <v>8572</v>
      </c>
      <c r="J371" t="s">
        <v>8573</v>
      </c>
      <c r="K371" t="s">
        <v>8572</v>
      </c>
    </row>
    <row r="372" spans="1:11" s="1" customFormat="1" x14ac:dyDescent="0.25">
      <c r="A372" t="s">
        <v>8574</v>
      </c>
      <c r="B372" t="s">
        <v>8575</v>
      </c>
      <c r="C372" s="88"/>
      <c r="D372" t="s">
        <v>8576</v>
      </c>
      <c r="E372">
        <v>658</v>
      </c>
      <c r="F372" t="s">
        <v>8577</v>
      </c>
      <c r="G372" t="s">
        <v>8575</v>
      </c>
      <c r="H372" t="s">
        <v>7318</v>
      </c>
      <c r="I372" t="s">
        <v>8575</v>
      </c>
      <c r="J372" t="s">
        <v>8577</v>
      </c>
      <c r="K372" t="s">
        <v>8569</v>
      </c>
    </row>
    <row r="373" spans="1:11" s="1" customFormat="1" x14ac:dyDescent="0.25">
      <c r="A373" t="s">
        <v>8578</v>
      </c>
      <c r="B373" t="s">
        <v>8545</v>
      </c>
      <c r="C373" s="88"/>
      <c r="D373" t="s">
        <v>8579</v>
      </c>
      <c r="E373">
        <v>2460</v>
      </c>
      <c r="F373" t="s">
        <v>8580</v>
      </c>
      <c r="G373" t="s">
        <v>8545</v>
      </c>
      <c r="H373" t="s">
        <v>7318</v>
      </c>
      <c r="I373" t="s">
        <v>8545</v>
      </c>
      <c r="J373" t="s">
        <v>8580</v>
      </c>
      <c r="K373" t="s">
        <v>12532</v>
      </c>
    </row>
    <row r="374" spans="1:11" s="1" customFormat="1" x14ac:dyDescent="0.25">
      <c r="A374" t="s">
        <v>8581</v>
      </c>
      <c r="B374" t="s">
        <v>8582</v>
      </c>
      <c r="C374" s="88"/>
      <c r="D374" t="s">
        <v>8583</v>
      </c>
      <c r="E374">
        <v>5556</v>
      </c>
      <c r="F374" t="s">
        <v>8584</v>
      </c>
      <c r="G374" t="s">
        <v>8545</v>
      </c>
      <c r="H374" t="s">
        <v>7318</v>
      </c>
      <c r="I374" t="s">
        <v>8582</v>
      </c>
      <c r="J374" t="s">
        <v>8584</v>
      </c>
      <c r="K374" t="s">
        <v>12532</v>
      </c>
    </row>
    <row r="375" spans="1:11" s="1" customFormat="1" x14ac:dyDescent="0.25">
      <c r="A375" t="s">
        <v>8585</v>
      </c>
      <c r="B375" t="s">
        <v>8586</v>
      </c>
      <c r="C375" s="88"/>
      <c r="D375" t="s">
        <v>8587</v>
      </c>
      <c r="E375">
        <v>350</v>
      </c>
      <c r="F375" t="s">
        <v>8588</v>
      </c>
      <c r="G375" t="s">
        <v>8545</v>
      </c>
      <c r="H375" t="s">
        <v>7318</v>
      </c>
      <c r="I375" t="s">
        <v>8586</v>
      </c>
      <c r="J375" t="s">
        <v>8588</v>
      </c>
      <c r="K375" t="s">
        <v>12532</v>
      </c>
    </row>
    <row r="376" spans="1:11" s="1" customFormat="1" x14ac:dyDescent="0.25">
      <c r="A376" t="s">
        <v>8589</v>
      </c>
      <c r="B376" t="s">
        <v>8590</v>
      </c>
      <c r="C376" s="88"/>
      <c r="D376" t="s">
        <v>8591</v>
      </c>
      <c r="E376">
        <v>865</v>
      </c>
      <c r="F376" t="s">
        <v>8592</v>
      </c>
      <c r="G376" t="s">
        <v>8545</v>
      </c>
      <c r="H376" t="s">
        <v>7318</v>
      </c>
      <c r="I376" t="s">
        <v>8590</v>
      </c>
      <c r="J376" t="s">
        <v>8592</v>
      </c>
      <c r="K376" t="s">
        <v>12532</v>
      </c>
    </row>
    <row r="377" spans="1:11" s="1" customFormat="1" x14ac:dyDescent="0.25">
      <c r="A377" t="s">
        <v>8593</v>
      </c>
      <c r="B377" t="s">
        <v>8594</v>
      </c>
      <c r="C377" s="88"/>
      <c r="D377" t="s">
        <v>7864</v>
      </c>
      <c r="E377">
        <v>2702</v>
      </c>
      <c r="F377" t="s">
        <v>8595</v>
      </c>
      <c r="G377" t="s">
        <v>8545</v>
      </c>
      <c r="H377" t="s">
        <v>7318</v>
      </c>
      <c r="I377" t="s">
        <v>8594</v>
      </c>
      <c r="J377" t="s">
        <v>8595</v>
      </c>
      <c r="K377" t="s">
        <v>12532</v>
      </c>
    </row>
    <row r="378" spans="1:11" s="3" customFormat="1" x14ac:dyDescent="0.25">
      <c r="A378" t="s">
        <v>8596</v>
      </c>
      <c r="B378" t="s">
        <v>8597</v>
      </c>
      <c r="C378" s="88"/>
      <c r="D378" t="s">
        <v>8598</v>
      </c>
      <c r="E378">
        <v>4264</v>
      </c>
      <c r="F378" t="s">
        <v>8599</v>
      </c>
      <c r="G378" t="s">
        <v>8597</v>
      </c>
      <c r="H378" t="s">
        <v>7318</v>
      </c>
      <c r="I378" t="s">
        <v>8597</v>
      </c>
      <c r="J378" t="s">
        <v>8599</v>
      </c>
      <c r="K378" t="s">
        <v>12532</v>
      </c>
    </row>
    <row r="379" spans="1:11" s="1" customFormat="1" x14ac:dyDescent="0.25">
      <c r="A379" t="s">
        <v>8600</v>
      </c>
      <c r="B379" t="s">
        <v>8601</v>
      </c>
      <c r="C379" s="88"/>
      <c r="D379" t="s">
        <v>8602</v>
      </c>
      <c r="E379">
        <v>2374</v>
      </c>
      <c r="F379" t="s">
        <v>8604</v>
      </c>
      <c r="G379" t="s">
        <v>8603</v>
      </c>
      <c r="H379" t="s">
        <v>7318</v>
      </c>
      <c r="I379" t="s">
        <v>8601</v>
      </c>
      <c r="J379" t="s">
        <v>8604</v>
      </c>
      <c r="K379" t="s">
        <v>12533</v>
      </c>
    </row>
    <row r="380" spans="1:11" s="1" customFormat="1" x14ac:dyDescent="0.25">
      <c r="A380" t="s">
        <v>8605</v>
      </c>
      <c r="B380" t="s">
        <v>8606</v>
      </c>
      <c r="C380" s="88"/>
      <c r="D380" t="s">
        <v>8322</v>
      </c>
      <c r="E380">
        <v>538</v>
      </c>
      <c r="F380" t="s">
        <v>8607</v>
      </c>
      <c r="G380" t="s">
        <v>8606</v>
      </c>
      <c r="H380" t="s">
        <v>7318</v>
      </c>
      <c r="I380" t="s">
        <v>8606</v>
      </c>
      <c r="J380" t="s">
        <v>8607</v>
      </c>
      <c r="K380" t="s">
        <v>12534</v>
      </c>
    </row>
    <row r="381" spans="1:11" s="1" customFormat="1" x14ac:dyDescent="0.25">
      <c r="A381" t="s">
        <v>8608</v>
      </c>
      <c r="B381" t="s">
        <v>8609</v>
      </c>
      <c r="C381" s="88"/>
      <c r="D381" t="s">
        <v>7437</v>
      </c>
      <c r="E381">
        <v>250</v>
      </c>
      <c r="F381" t="s">
        <v>8611</v>
      </c>
      <c r="G381" t="s">
        <v>8610</v>
      </c>
      <c r="H381" t="s">
        <v>7318</v>
      </c>
      <c r="I381" t="s">
        <v>8609</v>
      </c>
      <c r="J381" t="s">
        <v>8611</v>
      </c>
      <c r="K381" t="s">
        <v>8610</v>
      </c>
    </row>
    <row r="382" spans="1:11" s="1" customFormat="1" x14ac:dyDescent="0.25">
      <c r="A382" t="s">
        <v>8612</v>
      </c>
      <c r="B382" t="s">
        <v>8613</v>
      </c>
      <c r="C382" s="88"/>
      <c r="D382" t="s">
        <v>8614</v>
      </c>
      <c r="E382">
        <v>1186</v>
      </c>
      <c r="F382" t="s">
        <v>8616</v>
      </c>
      <c r="G382" t="s">
        <v>8615</v>
      </c>
      <c r="H382" t="s">
        <v>7318</v>
      </c>
      <c r="I382" t="s">
        <v>8613</v>
      </c>
      <c r="J382" t="s">
        <v>8616</v>
      </c>
      <c r="K382" t="s">
        <v>8615</v>
      </c>
    </row>
    <row r="383" spans="1:11" s="1" customFormat="1" x14ac:dyDescent="0.25">
      <c r="A383" t="s">
        <v>8617</v>
      </c>
      <c r="B383" t="s">
        <v>8618</v>
      </c>
      <c r="C383" s="88"/>
      <c r="D383" t="s">
        <v>7486</v>
      </c>
      <c r="E383">
        <v>712</v>
      </c>
      <c r="F383" t="s">
        <v>8620</v>
      </c>
      <c r="G383" t="s">
        <v>8619</v>
      </c>
      <c r="H383" t="s">
        <v>7318</v>
      </c>
      <c r="I383" t="s">
        <v>8618</v>
      </c>
      <c r="J383" t="s">
        <v>8620</v>
      </c>
      <c r="K383" t="s">
        <v>8619</v>
      </c>
    </row>
    <row r="384" spans="1:11" s="1" customFormat="1" x14ac:dyDescent="0.25">
      <c r="A384" t="s">
        <v>8621</v>
      </c>
      <c r="B384" t="s">
        <v>8622</v>
      </c>
      <c r="C384" s="88"/>
      <c r="D384" t="s">
        <v>8355</v>
      </c>
      <c r="E384">
        <v>599</v>
      </c>
      <c r="F384" t="s">
        <v>8624</v>
      </c>
      <c r="G384" t="s">
        <v>8623</v>
      </c>
      <c r="H384" t="s">
        <v>7318</v>
      </c>
      <c r="I384" t="s">
        <v>8622</v>
      </c>
      <c r="J384" t="s">
        <v>8624</v>
      </c>
      <c r="K384" t="s">
        <v>12534</v>
      </c>
    </row>
    <row r="385" spans="1:11" s="1" customFormat="1" x14ac:dyDescent="0.25">
      <c r="A385" t="s">
        <v>8625</v>
      </c>
      <c r="B385" t="s">
        <v>8626</v>
      </c>
      <c r="C385" s="88"/>
      <c r="D385" t="s">
        <v>8627</v>
      </c>
      <c r="E385">
        <v>1298</v>
      </c>
      <c r="F385" t="s">
        <v>8629</v>
      </c>
      <c r="G385" t="s">
        <v>8628</v>
      </c>
      <c r="H385" t="s">
        <v>7318</v>
      </c>
      <c r="I385" t="s">
        <v>8626</v>
      </c>
      <c r="J385" t="s">
        <v>8629</v>
      </c>
      <c r="K385" t="s">
        <v>8650</v>
      </c>
    </row>
    <row r="386" spans="1:11" s="1" customFormat="1" x14ac:dyDescent="0.25">
      <c r="A386" t="s">
        <v>8630</v>
      </c>
      <c r="B386" t="s">
        <v>8631</v>
      </c>
      <c r="C386" s="88"/>
      <c r="D386" t="s">
        <v>8494</v>
      </c>
      <c r="E386">
        <v>875</v>
      </c>
      <c r="F386" t="s">
        <v>8632</v>
      </c>
      <c r="G386" t="s">
        <v>8631</v>
      </c>
      <c r="H386" t="s">
        <v>7318</v>
      </c>
      <c r="I386" t="s">
        <v>8631</v>
      </c>
      <c r="J386" t="s">
        <v>8632</v>
      </c>
      <c r="K386" t="s">
        <v>8650</v>
      </c>
    </row>
    <row r="387" spans="1:11" s="1" customFormat="1" x14ac:dyDescent="0.25">
      <c r="A387" t="s">
        <v>8633</v>
      </c>
      <c r="B387" t="s">
        <v>8634</v>
      </c>
      <c r="C387" s="88"/>
      <c r="D387" t="s">
        <v>8635</v>
      </c>
      <c r="E387">
        <v>49</v>
      </c>
      <c r="F387" t="s">
        <v>8636</v>
      </c>
      <c r="G387" t="s">
        <v>8634</v>
      </c>
      <c r="H387" t="s">
        <v>7318</v>
      </c>
      <c r="I387" t="s">
        <v>8634</v>
      </c>
      <c r="J387" t="s">
        <v>8636</v>
      </c>
      <c r="K387" t="s">
        <v>8634</v>
      </c>
    </row>
    <row r="388" spans="1:11" s="1" customFormat="1" x14ac:dyDescent="0.25">
      <c r="A388" t="s">
        <v>8637</v>
      </c>
      <c r="B388" t="s">
        <v>8638</v>
      </c>
      <c r="C388" s="88"/>
      <c r="D388" t="s">
        <v>8639</v>
      </c>
      <c r="E388">
        <v>552</v>
      </c>
      <c r="F388" t="s">
        <v>8640</v>
      </c>
      <c r="G388" t="s">
        <v>8638</v>
      </c>
      <c r="H388" t="s">
        <v>7318</v>
      </c>
      <c r="I388" t="s">
        <v>8638</v>
      </c>
      <c r="J388" t="s">
        <v>8640</v>
      </c>
      <c r="K388" t="s">
        <v>8638</v>
      </c>
    </row>
    <row r="389" spans="1:11" s="1" customFormat="1" x14ac:dyDescent="0.25">
      <c r="A389" t="s">
        <v>8641</v>
      </c>
      <c r="B389" t="s">
        <v>8642</v>
      </c>
      <c r="C389" s="88"/>
      <c r="D389" t="s">
        <v>8643</v>
      </c>
      <c r="E389">
        <v>1602</v>
      </c>
      <c r="F389" t="s">
        <v>8644</v>
      </c>
      <c r="G389" t="s">
        <v>8642</v>
      </c>
      <c r="H389" t="s">
        <v>7318</v>
      </c>
      <c r="I389" t="s">
        <v>8642</v>
      </c>
      <c r="J389" t="s">
        <v>8644</v>
      </c>
      <c r="K389" t="s">
        <v>12533</v>
      </c>
    </row>
    <row r="390" spans="1:11" s="1" customFormat="1" x14ac:dyDescent="0.25">
      <c r="A390" t="s">
        <v>8645</v>
      </c>
      <c r="B390" t="s">
        <v>8646</v>
      </c>
      <c r="C390" s="88"/>
      <c r="D390" t="s">
        <v>8647</v>
      </c>
      <c r="E390">
        <v>7454</v>
      </c>
      <c r="F390" t="s">
        <v>8648</v>
      </c>
      <c r="G390" t="s">
        <v>8646</v>
      </c>
      <c r="H390" t="s">
        <v>7318</v>
      </c>
      <c r="I390" t="s">
        <v>8646</v>
      </c>
      <c r="J390" t="s">
        <v>8648</v>
      </c>
      <c r="K390" t="s">
        <v>12524</v>
      </c>
    </row>
    <row r="391" spans="1:11" s="1" customFormat="1" x14ac:dyDescent="0.25">
      <c r="A391" t="s">
        <v>8649</v>
      </c>
      <c r="B391" t="s">
        <v>8650</v>
      </c>
      <c r="C391" s="88"/>
      <c r="D391" t="s">
        <v>8651</v>
      </c>
      <c r="E391">
        <v>3088</v>
      </c>
      <c r="F391" t="s">
        <v>8652</v>
      </c>
      <c r="G391" t="s">
        <v>8650</v>
      </c>
      <c r="H391" t="s">
        <v>7318</v>
      </c>
      <c r="I391" t="s">
        <v>8650</v>
      </c>
      <c r="J391" t="s">
        <v>8652</v>
      </c>
      <c r="K391" t="s">
        <v>8650</v>
      </c>
    </row>
    <row r="392" spans="1:11" s="1" customFormat="1" x14ac:dyDescent="0.25">
      <c r="A392" t="s">
        <v>8653</v>
      </c>
      <c r="B392" t="s">
        <v>8654</v>
      </c>
      <c r="C392" s="88"/>
      <c r="D392" t="s">
        <v>8655</v>
      </c>
      <c r="E392">
        <v>337</v>
      </c>
      <c r="F392" t="s">
        <v>8656</v>
      </c>
      <c r="G392" t="s">
        <v>8650</v>
      </c>
      <c r="H392" t="s">
        <v>7318</v>
      </c>
      <c r="I392" t="s">
        <v>8654</v>
      </c>
      <c r="J392" t="s">
        <v>8656</v>
      </c>
      <c r="K392" t="s">
        <v>8650</v>
      </c>
    </row>
    <row r="393" spans="1:11" s="1" customFormat="1" x14ac:dyDescent="0.25">
      <c r="A393" t="s">
        <v>8657</v>
      </c>
      <c r="B393" t="s">
        <v>8658</v>
      </c>
      <c r="C393" s="88"/>
      <c r="D393" t="s">
        <v>8659</v>
      </c>
      <c r="E393">
        <v>1660</v>
      </c>
      <c r="F393" t="s">
        <v>8660</v>
      </c>
      <c r="G393" t="s">
        <v>8658</v>
      </c>
      <c r="H393" t="s">
        <v>7318</v>
      </c>
      <c r="I393" t="s">
        <v>8658</v>
      </c>
      <c r="J393" t="s">
        <v>8660</v>
      </c>
      <c r="K393" t="s">
        <v>12524</v>
      </c>
    </row>
    <row r="394" spans="1:11" s="1" customFormat="1" x14ac:dyDescent="0.25">
      <c r="A394" t="s">
        <v>8661</v>
      </c>
      <c r="B394" t="s">
        <v>8662</v>
      </c>
      <c r="C394" s="88"/>
      <c r="D394" t="s">
        <v>8663</v>
      </c>
      <c r="E394">
        <v>51</v>
      </c>
      <c r="F394" t="s">
        <v>8664</v>
      </c>
      <c r="G394" t="s">
        <v>8662</v>
      </c>
      <c r="H394" t="s">
        <v>7318</v>
      </c>
      <c r="I394" t="s">
        <v>8662</v>
      </c>
      <c r="J394" t="s">
        <v>8664</v>
      </c>
      <c r="K394" t="s">
        <v>8662</v>
      </c>
    </row>
    <row r="395" spans="1:11" s="1" customFormat="1" x14ac:dyDescent="0.25">
      <c r="A395" t="s">
        <v>8665</v>
      </c>
      <c r="B395" t="s">
        <v>8666</v>
      </c>
      <c r="C395" s="88"/>
      <c r="D395" t="s">
        <v>7821</v>
      </c>
      <c r="E395">
        <v>2602</v>
      </c>
      <c r="F395" t="s">
        <v>8667</v>
      </c>
      <c r="G395" t="s">
        <v>8666</v>
      </c>
      <c r="H395" t="s">
        <v>7318</v>
      </c>
      <c r="I395" t="s">
        <v>8666</v>
      </c>
      <c r="J395" t="s">
        <v>8667</v>
      </c>
      <c r="K395" t="s">
        <v>8650</v>
      </c>
    </row>
    <row r="396" spans="1:11" s="1" customFormat="1" x14ac:dyDescent="0.25">
      <c r="A396" t="s">
        <v>8668</v>
      </c>
      <c r="B396" t="s">
        <v>8669</v>
      </c>
      <c r="C396" s="88"/>
      <c r="D396" t="s">
        <v>8039</v>
      </c>
      <c r="E396">
        <v>325</v>
      </c>
      <c r="F396" t="s">
        <v>8670</v>
      </c>
      <c r="G396" t="s">
        <v>8669</v>
      </c>
      <c r="H396" t="s">
        <v>7318</v>
      </c>
      <c r="I396" t="s">
        <v>8669</v>
      </c>
      <c r="J396" t="s">
        <v>8670</v>
      </c>
      <c r="K396" t="s">
        <v>8669</v>
      </c>
    </row>
    <row r="397" spans="1:11" s="1" customFormat="1" x14ac:dyDescent="0.25">
      <c r="A397" t="s">
        <v>8671</v>
      </c>
      <c r="B397" t="s">
        <v>8672</v>
      </c>
      <c r="C397" s="88"/>
      <c r="D397" t="s">
        <v>8673</v>
      </c>
      <c r="E397">
        <v>2037</v>
      </c>
      <c r="F397" t="s">
        <v>8674</v>
      </c>
      <c r="G397" t="s">
        <v>8672</v>
      </c>
      <c r="H397" t="s">
        <v>7318</v>
      </c>
      <c r="I397" t="s">
        <v>8672</v>
      </c>
      <c r="J397" t="s">
        <v>8674</v>
      </c>
      <c r="K397" t="s">
        <v>12524</v>
      </c>
    </row>
    <row r="398" spans="1:11" s="1" customFormat="1" x14ac:dyDescent="0.25">
      <c r="A398" t="s">
        <v>8675</v>
      </c>
      <c r="B398" t="s">
        <v>8676</v>
      </c>
      <c r="C398" s="88"/>
      <c r="D398" t="s">
        <v>8627</v>
      </c>
      <c r="E398">
        <v>226</v>
      </c>
      <c r="F398" t="s">
        <v>8677</v>
      </c>
      <c r="G398" t="s">
        <v>8676</v>
      </c>
      <c r="H398" t="s">
        <v>7318</v>
      </c>
      <c r="I398" t="s">
        <v>8676</v>
      </c>
      <c r="J398" t="s">
        <v>8677</v>
      </c>
      <c r="K398" t="s">
        <v>12524</v>
      </c>
    </row>
    <row r="399" spans="1:11" s="1" customFormat="1" x14ac:dyDescent="0.25">
      <c r="A399" t="s">
        <v>8678</v>
      </c>
      <c r="B399" t="s">
        <v>8679</v>
      </c>
      <c r="C399" s="88"/>
      <c r="D399" t="s">
        <v>8680</v>
      </c>
      <c r="E399">
        <v>472</v>
      </c>
      <c r="F399" t="s">
        <v>8681</v>
      </c>
      <c r="G399" t="s">
        <v>8679</v>
      </c>
      <c r="H399" t="s">
        <v>7318</v>
      </c>
      <c r="I399" t="s">
        <v>8679</v>
      </c>
      <c r="J399" t="s">
        <v>8681</v>
      </c>
      <c r="K399" t="s">
        <v>12534</v>
      </c>
    </row>
    <row r="400" spans="1:11" s="1" customFormat="1" x14ac:dyDescent="0.25">
      <c r="A400" t="s">
        <v>8682</v>
      </c>
      <c r="B400" t="s">
        <v>8556</v>
      </c>
      <c r="C400" s="88"/>
      <c r="D400" t="s">
        <v>8683</v>
      </c>
      <c r="E400">
        <v>806</v>
      </c>
      <c r="F400" t="s">
        <v>8684</v>
      </c>
      <c r="G400" t="s">
        <v>8556</v>
      </c>
      <c r="H400" t="s">
        <v>7318</v>
      </c>
      <c r="I400" t="s">
        <v>8556</v>
      </c>
      <c r="J400" t="s">
        <v>8684</v>
      </c>
      <c r="K400" t="s">
        <v>8556</v>
      </c>
    </row>
    <row r="401" spans="1:11" s="1" customFormat="1" x14ac:dyDescent="0.25">
      <c r="A401" t="s">
        <v>8685</v>
      </c>
      <c r="B401" t="s">
        <v>8686</v>
      </c>
      <c r="C401" s="88"/>
      <c r="D401" t="s">
        <v>8687</v>
      </c>
      <c r="E401">
        <v>167</v>
      </c>
      <c r="F401" t="s">
        <v>8688</v>
      </c>
      <c r="G401" t="s">
        <v>8686</v>
      </c>
      <c r="H401" t="s">
        <v>7318</v>
      </c>
      <c r="I401" t="s">
        <v>8686</v>
      </c>
      <c r="J401" t="s">
        <v>8688</v>
      </c>
      <c r="K401" t="s">
        <v>8686</v>
      </c>
    </row>
    <row r="402" spans="1:11" s="1" customFormat="1" x14ac:dyDescent="0.25">
      <c r="A402" t="s">
        <v>8689</v>
      </c>
      <c r="B402" t="s">
        <v>8690</v>
      </c>
      <c r="C402" s="88"/>
      <c r="D402" t="s">
        <v>7730</v>
      </c>
      <c r="E402">
        <v>117</v>
      </c>
      <c r="F402" t="s">
        <v>8691</v>
      </c>
      <c r="G402" t="s">
        <v>8690</v>
      </c>
      <c r="H402" t="s">
        <v>7318</v>
      </c>
      <c r="I402" t="s">
        <v>8690</v>
      </c>
      <c r="J402" t="s">
        <v>8691</v>
      </c>
      <c r="K402" t="s">
        <v>8690</v>
      </c>
    </row>
    <row r="403" spans="1:11" s="1" customFormat="1" x14ac:dyDescent="0.25">
      <c r="A403" t="s">
        <v>8692</v>
      </c>
      <c r="B403" t="s">
        <v>8693</v>
      </c>
      <c r="C403" s="88"/>
      <c r="D403" t="s">
        <v>8694</v>
      </c>
      <c r="E403">
        <v>2836</v>
      </c>
      <c r="F403" t="s">
        <v>8695</v>
      </c>
      <c r="G403" t="s">
        <v>8693</v>
      </c>
      <c r="H403" t="s">
        <v>7318</v>
      </c>
      <c r="I403" t="s">
        <v>8693</v>
      </c>
      <c r="J403" t="s">
        <v>8695</v>
      </c>
      <c r="K403" t="s">
        <v>12535</v>
      </c>
    </row>
    <row r="404" spans="1:11" s="1" customFormat="1" x14ac:dyDescent="0.25">
      <c r="A404" t="s">
        <v>8696</v>
      </c>
      <c r="B404" t="s">
        <v>8697</v>
      </c>
      <c r="C404" s="88"/>
      <c r="D404" t="s">
        <v>8698</v>
      </c>
      <c r="E404">
        <v>416</v>
      </c>
      <c r="F404" t="s">
        <v>8699</v>
      </c>
      <c r="G404" t="s">
        <v>8697</v>
      </c>
      <c r="H404" t="s">
        <v>7318</v>
      </c>
      <c r="I404" t="s">
        <v>8697</v>
      </c>
      <c r="J404" t="s">
        <v>8699</v>
      </c>
      <c r="K404" t="s">
        <v>8697</v>
      </c>
    </row>
    <row r="405" spans="1:11" s="1" customFormat="1" x14ac:dyDescent="0.25">
      <c r="A405" t="s">
        <v>8700</v>
      </c>
      <c r="B405" t="s">
        <v>8701</v>
      </c>
      <c r="C405" s="88"/>
      <c r="D405" t="s">
        <v>7397</v>
      </c>
      <c r="E405">
        <v>1144</v>
      </c>
      <c r="F405" t="s">
        <v>8702</v>
      </c>
      <c r="G405" t="s">
        <v>8701</v>
      </c>
      <c r="H405" t="s">
        <v>7318</v>
      </c>
      <c r="I405" t="s">
        <v>8701</v>
      </c>
      <c r="J405" t="s">
        <v>8702</v>
      </c>
      <c r="K405" t="s">
        <v>8701</v>
      </c>
    </row>
    <row r="406" spans="1:11" s="1" customFormat="1" x14ac:dyDescent="0.25">
      <c r="A406" t="s">
        <v>8703</v>
      </c>
      <c r="B406" t="s">
        <v>8704</v>
      </c>
      <c r="C406" s="88"/>
      <c r="D406" t="s">
        <v>8156</v>
      </c>
      <c r="E406">
        <v>3001</v>
      </c>
      <c r="F406" t="s">
        <v>8705</v>
      </c>
      <c r="G406" t="s">
        <v>8704</v>
      </c>
      <c r="H406" t="s">
        <v>7318</v>
      </c>
      <c r="I406" t="s">
        <v>8704</v>
      </c>
      <c r="J406" t="s">
        <v>8705</v>
      </c>
      <c r="K406" t="s">
        <v>8704</v>
      </c>
    </row>
    <row r="407" spans="1:11" s="1" customFormat="1" x14ac:dyDescent="0.25">
      <c r="A407" t="s">
        <v>8706</v>
      </c>
      <c r="B407" t="s">
        <v>8707</v>
      </c>
      <c r="C407" s="88"/>
      <c r="D407" t="s">
        <v>7361</v>
      </c>
      <c r="E407">
        <v>37</v>
      </c>
      <c r="F407" t="s">
        <v>8708</v>
      </c>
      <c r="G407" t="s">
        <v>8707</v>
      </c>
      <c r="H407" t="s">
        <v>7318</v>
      </c>
      <c r="I407" t="s">
        <v>8707</v>
      </c>
      <c r="J407" t="s">
        <v>8708</v>
      </c>
      <c r="K407" t="s">
        <v>8707</v>
      </c>
    </row>
    <row r="408" spans="1:11" s="1" customFormat="1" x14ac:dyDescent="0.25">
      <c r="A408" t="s">
        <v>8709</v>
      </c>
      <c r="B408" t="s">
        <v>8710</v>
      </c>
      <c r="C408" s="88"/>
      <c r="D408" t="s">
        <v>8711</v>
      </c>
      <c r="E408">
        <v>623</v>
      </c>
      <c r="F408" t="s">
        <v>8712</v>
      </c>
      <c r="G408" t="s">
        <v>8710</v>
      </c>
      <c r="H408" t="s">
        <v>7318</v>
      </c>
      <c r="I408" t="s">
        <v>8710</v>
      </c>
      <c r="J408" t="s">
        <v>8712</v>
      </c>
      <c r="K408" t="s">
        <v>8710</v>
      </c>
    </row>
    <row r="409" spans="1:11" s="1" customFormat="1" x14ac:dyDescent="0.25">
      <c r="A409" t="s">
        <v>8713</v>
      </c>
      <c r="B409" t="s">
        <v>8714</v>
      </c>
      <c r="C409" s="88"/>
      <c r="D409" t="s">
        <v>8032</v>
      </c>
      <c r="E409">
        <v>599</v>
      </c>
      <c r="F409" t="s">
        <v>8715</v>
      </c>
      <c r="G409" t="s">
        <v>8714</v>
      </c>
      <c r="H409" t="s">
        <v>7318</v>
      </c>
      <c r="I409" t="s">
        <v>8714</v>
      </c>
      <c r="J409" t="s">
        <v>8715</v>
      </c>
      <c r="K409" t="s">
        <v>8714</v>
      </c>
    </row>
    <row r="410" spans="1:11" s="1" customFormat="1" x14ac:dyDescent="0.25">
      <c r="A410" t="s">
        <v>8716</v>
      </c>
      <c r="B410" t="s">
        <v>8717</v>
      </c>
      <c r="C410" s="88"/>
      <c r="D410" t="s">
        <v>8718</v>
      </c>
      <c r="E410">
        <v>575</v>
      </c>
      <c r="F410" t="s">
        <v>8719</v>
      </c>
      <c r="G410" t="s">
        <v>8717</v>
      </c>
      <c r="H410" t="s">
        <v>7318</v>
      </c>
      <c r="I410" t="s">
        <v>8717</v>
      </c>
      <c r="J410" t="s">
        <v>8719</v>
      </c>
      <c r="K410" t="s">
        <v>8710</v>
      </c>
    </row>
    <row r="411" spans="1:11" s="1" customFormat="1" x14ac:dyDescent="0.25">
      <c r="A411" t="s">
        <v>8720</v>
      </c>
      <c r="B411" t="s">
        <v>8721</v>
      </c>
      <c r="C411" s="88"/>
      <c r="D411" t="s">
        <v>8722</v>
      </c>
      <c r="E411">
        <v>1597</v>
      </c>
      <c r="F411" t="s">
        <v>8723</v>
      </c>
      <c r="G411" t="s">
        <v>8721</v>
      </c>
      <c r="H411" t="s">
        <v>7318</v>
      </c>
      <c r="I411" t="s">
        <v>8721</v>
      </c>
      <c r="J411" t="s">
        <v>8723</v>
      </c>
      <c r="K411" t="s">
        <v>8754</v>
      </c>
    </row>
    <row r="412" spans="1:11" s="1" customFormat="1" x14ac:dyDescent="0.25">
      <c r="A412" t="s">
        <v>8724</v>
      </c>
      <c r="B412" t="s">
        <v>8725</v>
      </c>
      <c r="C412" s="88"/>
      <c r="D412" t="s">
        <v>8726</v>
      </c>
      <c r="E412">
        <v>322</v>
      </c>
      <c r="F412" t="s">
        <v>8727</v>
      </c>
      <c r="G412" t="s">
        <v>8725</v>
      </c>
      <c r="H412" t="s">
        <v>7318</v>
      </c>
      <c r="I412" t="s">
        <v>8725</v>
      </c>
      <c r="J412" t="s">
        <v>8727</v>
      </c>
      <c r="K412" t="s">
        <v>7693</v>
      </c>
    </row>
    <row r="413" spans="1:11" s="1" customFormat="1" x14ac:dyDescent="0.25">
      <c r="A413" t="s">
        <v>8728</v>
      </c>
      <c r="B413" t="s">
        <v>8295</v>
      </c>
      <c r="C413" s="88"/>
      <c r="D413" t="s">
        <v>7401</v>
      </c>
      <c r="E413">
        <v>359</v>
      </c>
      <c r="F413" t="s">
        <v>8729</v>
      </c>
      <c r="G413" t="s">
        <v>8295</v>
      </c>
      <c r="H413" t="s">
        <v>7318</v>
      </c>
      <c r="I413" t="s">
        <v>8295</v>
      </c>
      <c r="J413" t="s">
        <v>8729</v>
      </c>
      <c r="K413" t="s">
        <v>8295</v>
      </c>
    </row>
    <row r="414" spans="1:11" s="1" customFormat="1" x14ac:dyDescent="0.25">
      <c r="A414" t="s">
        <v>8730</v>
      </c>
      <c r="B414" t="s">
        <v>8731</v>
      </c>
      <c r="C414" s="88"/>
      <c r="D414" t="s">
        <v>8732</v>
      </c>
      <c r="E414">
        <v>55</v>
      </c>
      <c r="F414" t="s">
        <v>8733</v>
      </c>
      <c r="G414" t="s">
        <v>8731</v>
      </c>
      <c r="H414" t="s">
        <v>7318</v>
      </c>
      <c r="I414" t="s">
        <v>8731</v>
      </c>
      <c r="J414" t="s">
        <v>8733</v>
      </c>
      <c r="K414" t="s">
        <v>12524</v>
      </c>
    </row>
    <row r="415" spans="1:11" s="1" customFormat="1" x14ac:dyDescent="0.25">
      <c r="A415" t="s">
        <v>8734</v>
      </c>
      <c r="B415" t="s">
        <v>8735</v>
      </c>
      <c r="C415" s="88"/>
      <c r="D415" t="s">
        <v>8736</v>
      </c>
      <c r="E415">
        <v>2450</v>
      </c>
      <c r="F415" t="s">
        <v>8737</v>
      </c>
      <c r="G415" t="s">
        <v>8575</v>
      </c>
      <c r="H415" t="s">
        <v>7318</v>
      </c>
      <c r="I415" t="s">
        <v>8735</v>
      </c>
      <c r="J415" t="s">
        <v>8737</v>
      </c>
      <c r="K415" t="s">
        <v>8569</v>
      </c>
    </row>
    <row r="416" spans="1:11" s="1" customFormat="1" x14ac:dyDescent="0.25">
      <c r="A416" t="s">
        <v>8738</v>
      </c>
      <c r="B416" t="s">
        <v>8739</v>
      </c>
      <c r="C416" s="88"/>
      <c r="D416" t="s">
        <v>8740</v>
      </c>
      <c r="E416">
        <v>1101</v>
      </c>
      <c r="F416" t="s">
        <v>8741</v>
      </c>
      <c r="G416" t="s">
        <v>7614</v>
      </c>
      <c r="H416" t="s">
        <v>7318</v>
      </c>
      <c r="I416" t="s">
        <v>8739</v>
      </c>
      <c r="J416" t="s">
        <v>8741</v>
      </c>
      <c r="K416" t="s">
        <v>12521</v>
      </c>
    </row>
    <row r="417" spans="1:11" s="1" customFormat="1" x14ac:dyDescent="0.25">
      <c r="A417" t="s">
        <v>8742</v>
      </c>
      <c r="B417" t="s">
        <v>8743</v>
      </c>
      <c r="C417" s="88"/>
      <c r="D417" t="s">
        <v>7608</v>
      </c>
      <c r="E417">
        <v>90</v>
      </c>
      <c r="F417" t="s">
        <v>8744</v>
      </c>
      <c r="G417" t="s">
        <v>8743</v>
      </c>
      <c r="H417" t="s">
        <v>7318</v>
      </c>
      <c r="I417" t="s">
        <v>8743</v>
      </c>
      <c r="J417" t="s">
        <v>8744</v>
      </c>
      <c r="K417" t="s">
        <v>7587</v>
      </c>
    </row>
    <row r="418" spans="1:11" s="1" customFormat="1" x14ac:dyDescent="0.25">
      <c r="A418" t="s">
        <v>8745</v>
      </c>
      <c r="B418" t="s">
        <v>8746</v>
      </c>
      <c r="C418" s="88"/>
      <c r="D418" t="s">
        <v>7864</v>
      </c>
      <c r="E418">
        <v>164</v>
      </c>
      <c r="F418" t="s">
        <v>8747</v>
      </c>
      <c r="G418" t="s">
        <v>8746</v>
      </c>
      <c r="H418" t="s">
        <v>7318</v>
      </c>
      <c r="I418" t="s">
        <v>8746</v>
      </c>
      <c r="J418" t="s">
        <v>8747</v>
      </c>
      <c r="K418" t="s">
        <v>8634</v>
      </c>
    </row>
    <row r="419" spans="1:11" s="1" customFormat="1" x14ac:dyDescent="0.25">
      <c r="A419" t="s">
        <v>8748</v>
      </c>
      <c r="B419" t="s">
        <v>8749</v>
      </c>
      <c r="C419" s="88"/>
      <c r="D419" t="s">
        <v>8750</v>
      </c>
      <c r="E419">
        <v>0</v>
      </c>
      <c r="F419" t="s">
        <v>8752</v>
      </c>
      <c r="G419" t="s">
        <v>8751</v>
      </c>
      <c r="H419" t="s">
        <v>7318</v>
      </c>
      <c r="I419" t="s">
        <v>8749</v>
      </c>
      <c r="J419" t="s">
        <v>8752</v>
      </c>
      <c r="K419" t="s">
        <v>12532</v>
      </c>
    </row>
    <row r="420" spans="1:11" s="1" customFormat="1" x14ac:dyDescent="0.25">
      <c r="A420" t="s">
        <v>8753</v>
      </c>
      <c r="B420" t="s">
        <v>8754</v>
      </c>
      <c r="C420" s="88"/>
      <c r="D420" t="s">
        <v>8755</v>
      </c>
      <c r="E420">
        <v>0</v>
      </c>
      <c r="F420" t="s">
        <v>8756</v>
      </c>
      <c r="G420" t="s">
        <v>8754</v>
      </c>
      <c r="H420" t="s">
        <v>7318</v>
      </c>
      <c r="I420" t="s">
        <v>8754</v>
      </c>
      <c r="J420" t="s">
        <v>8756</v>
      </c>
      <c r="K420" t="s">
        <v>8754</v>
      </c>
    </row>
    <row r="421" spans="1:11" s="1" customFormat="1" x14ac:dyDescent="0.25">
      <c r="A421" t="s">
        <v>8757</v>
      </c>
      <c r="B421" t="s">
        <v>8758</v>
      </c>
      <c r="C421" s="88"/>
      <c r="D421" t="s">
        <v>8759</v>
      </c>
      <c r="E421">
        <v>0</v>
      </c>
      <c r="F421" t="s">
        <v>8760</v>
      </c>
      <c r="G421" t="s">
        <v>8758</v>
      </c>
      <c r="H421" t="s">
        <v>7318</v>
      </c>
      <c r="I421" t="s">
        <v>8758</v>
      </c>
      <c r="J421" t="s">
        <v>8760</v>
      </c>
      <c r="K421" t="s">
        <v>7693</v>
      </c>
    </row>
    <row r="422" spans="1:11" s="1" customFormat="1" x14ac:dyDescent="0.25">
      <c r="A422" t="s">
        <v>8761</v>
      </c>
      <c r="B422" t="s">
        <v>8762</v>
      </c>
      <c r="C422" s="88"/>
      <c r="D422" t="s">
        <v>8763</v>
      </c>
      <c r="E422">
        <v>399</v>
      </c>
      <c r="F422" t="s">
        <v>8764</v>
      </c>
      <c r="G422" t="s">
        <v>8291</v>
      </c>
      <c r="H422" t="s">
        <v>7318</v>
      </c>
      <c r="I422" t="s">
        <v>8762</v>
      </c>
      <c r="J422" t="s">
        <v>8764</v>
      </c>
      <c r="K422" t="s">
        <v>8291</v>
      </c>
    </row>
    <row r="423" spans="1:11" s="1" customFormat="1" x14ac:dyDescent="0.25">
      <c r="A423" t="s">
        <v>8765</v>
      </c>
      <c r="B423" t="s">
        <v>8766</v>
      </c>
      <c r="C423" s="88"/>
      <c r="D423" t="s">
        <v>8767</v>
      </c>
      <c r="E423">
        <v>1363</v>
      </c>
      <c r="F423" t="s">
        <v>8768</v>
      </c>
      <c r="G423" t="s">
        <v>8766</v>
      </c>
      <c r="H423" t="s">
        <v>7318</v>
      </c>
      <c r="I423" t="s">
        <v>8766</v>
      </c>
      <c r="J423" t="s">
        <v>8768</v>
      </c>
      <c r="K423" t="s">
        <v>8483</v>
      </c>
    </row>
    <row r="424" spans="1:11" s="1" customFormat="1" x14ac:dyDescent="0.25">
      <c r="A424" t="s">
        <v>8769</v>
      </c>
      <c r="B424" t="s">
        <v>8770</v>
      </c>
      <c r="C424" s="88"/>
      <c r="D424" t="s">
        <v>7857</v>
      </c>
      <c r="E424">
        <v>173</v>
      </c>
      <c r="F424" t="s">
        <v>8771</v>
      </c>
      <c r="G424" t="s">
        <v>8770</v>
      </c>
      <c r="H424" t="s">
        <v>7318</v>
      </c>
      <c r="I424" t="s">
        <v>8770</v>
      </c>
      <c r="J424" t="s">
        <v>8771</v>
      </c>
      <c r="K424" t="s">
        <v>12527</v>
      </c>
    </row>
    <row r="425" spans="1:11" s="1" customFormat="1" x14ac:dyDescent="0.25">
      <c r="A425" t="s">
        <v>8772</v>
      </c>
      <c r="B425" t="s">
        <v>8773</v>
      </c>
      <c r="C425" s="88"/>
      <c r="D425" t="s">
        <v>8774</v>
      </c>
      <c r="E425">
        <v>177</v>
      </c>
      <c r="F425" t="s">
        <v>8775</v>
      </c>
      <c r="G425" t="s">
        <v>8773</v>
      </c>
      <c r="H425" t="s">
        <v>7318</v>
      </c>
      <c r="I425" t="s">
        <v>8773</v>
      </c>
      <c r="J425" t="s">
        <v>8775</v>
      </c>
      <c r="K425" t="s">
        <v>12527</v>
      </c>
    </row>
    <row r="426" spans="1:11" s="1" customFormat="1" x14ac:dyDescent="0.25">
      <c r="A426" t="s">
        <v>8776</v>
      </c>
      <c r="B426" t="s">
        <v>8777</v>
      </c>
      <c r="C426" s="88"/>
      <c r="D426" t="s">
        <v>7710</v>
      </c>
      <c r="E426">
        <v>670</v>
      </c>
      <c r="F426" t="s">
        <v>8778</v>
      </c>
      <c r="G426" t="s">
        <v>7693</v>
      </c>
      <c r="H426" t="s">
        <v>7318</v>
      </c>
      <c r="I426" t="s">
        <v>8777</v>
      </c>
      <c r="J426" t="s">
        <v>8778</v>
      </c>
      <c r="K426" t="s">
        <v>7693</v>
      </c>
    </row>
    <row r="427" spans="1:11" s="1" customFormat="1" x14ac:dyDescent="0.25">
      <c r="A427" t="s">
        <v>8779</v>
      </c>
      <c r="B427" t="s">
        <v>8780</v>
      </c>
      <c r="C427" s="88"/>
      <c r="D427" t="s">
        <v>8163</v>
      </c>
      <c r="E427">
        <v>0</v>
      </c>
      <c r="F427" t="s">
        <v>8781</v>
      </c>
      <c r="G427" t="s">
        <v>8780</v>
      </c>
      <c r="H427" t="s">
        <v>7318</v>
      </c>
      <c r="I427" t="s">
        <v>8780</v>
      </c>
      <c r="J427" t="s">
        <v>8781</v>
      </c>
      <c r="K427" t="s">
        <v>7816</v>
      </c>
    </row>
    <row r="428" spans="1:11" s="1" customFormat="1" x14ac:dyDescent="0.25">
      <c r="A428" t="s">
        <v>8782</v>
      </c>
      <c r="B428" t="s">
        <v>8783</v>
      </c>
      <c r="C428" s="88"/>
      <c r="D428" t="s">
        <v>7445</v>
      </c>
      <c r="E428">
        <v>429</v>
      </c>
      <c r="F428" t="s">
        <v>8784</v>
      </c>
      <c r="G428" t="s">
        <v>7396</v>
      </c>
      <c r="H428" t="s">
        <v>7318</v>
      </c>
      <c r="I428" t="s">
        <v>8783</v>
      </c>
      <c r="J428" t="s">
        <v>8784</v>
      </c>
      <c r="K428" t="s">
        <v>7396</v>
      </c>
    </row>
    <row r="429" spans="1:11" s="1" customFormat="1" x14ac:dyDescent="0.25">
      <c r="A429" t="s">
        <v>8785</v>
      </c>
      <c r="B429" t="s">
        <v>8786</v>
      </c>
      <c r="C429" s="88"/>
      <c r="D429" t="s">
        <v>8787</v>
      </c>
      <c r="E429">
        <v>1342</v>
      </c>
      <c r="F429" t="s">
        <v>8788</v>
      </c>
      <c r="G429" t="s">
        <v>7693</v>
      </c>
      <c r="H429" t="s">
        <v>7318</v>
      </c>
      <c r="I429" t="s">
        <v>8786</v>
      </c>
      <c r="J429" t="s">
        <v>8788</v>
      </c>
      <c r="K429" t="s">
        <v>7693</v>
      </c>
    </row>
    <row r="430" spans="1:11" s="1" customFormat="1" x14ac:dyDescent="0.25">
      <c r="A430" t="s">
        <v>8789</v>
      </c>
      <c r="B430" t="s">
        <v>8790</v>
      </c>
      <c r="C430" s="88"/>
      <c r="D430" t="s">
        <v>7751</v>
      </c>
      <c r="E430">
        <v>579</v>
      </c>
      <c r="F430" t="s">
        <v>8791</v>
      </c>
      <c r="G430" t="s">
        <v>8291</v>
      </c>
      <c r="H430" t="s">
        <v>7318</v>
      </c>
      <c r="I430" t="s">
        <v>8790</v>
      </c>
      <c r="J430" t="s">
        <v>8791</v>
      </c>
      <c r="K430" t="s">
        <v>8291</v>
      </c>
    </row>
    <row r="431" spans="1:11" s="1" customFormat="1" x14ac:dyDescent="0.25">
      <c r="A431" t="s">
        <v>8792</v>
      </c>
      <c r="B431" t="s">
        <v>8793</v>
      </c>
      <c r="C431" s="88"/>
      <c r="D431" t="s">
        <v>8794</v>
      </c>
      <c r="E431">
        <v>2766</v>
      </c>
      <c r="F431" t="s">
        <v>8795</v>
      </c>
      <c r="G431" t="s">
        <v>8793</v>
      </c>
      <c r="H431" t="s">
        <v>7318</v>
      </c>
      <c r="I431" t="s">
        <v>8793</v>
      </c>
      <c r="J431" t="s">
        <v>8795</v>
      </c>
      <c r="K431" t="s">
        <v>12521</v>
      </c>
    </row>
    <row r="432" spans="1:11" s="1" customFormat="1" x14ac:dyDescent="0.25">
      <c r="A432" t="s">
        <v>8796</v>
      </c>
      <c r="B432" t="s">
        <v>8797</v>
      </c>
      <c r="C432" s="88"/>
      <c r="D432" t="s">
        <v>8798</v>
      </c>
      <c r="E432">
        <v>1764</v>
      </c>
      <c r="F432" t="s">
        <v>8799</v>
      </c>
      <c r="G432" t="s">
        <v>8797</v>
      </c>
      <c r="H432" t="s">
        <v>7318</v>
      </c>
      <c r="I432" t="s">
        <v>8797</v>
      </c>
      <c r="J432" t="s">
        <v>8799</v>
      </c>
      <c r="K432" t="s">
        <v>7411</v>
      </c>
    </row>
    <row r="433" spans="1:11" s="1" customFormat="1" x14ac:dyDescent="0.25">
      <c r="A433" t="s">
        <v>8800</v>
      </c>
      <c r="B433" t="s">
        <v>8801</v>
      </c>
      <c r="C433" s="88"/>
      <c r="D433" t="s">
        <v>8802</v>
      </c>
      <c r="E433">
        <v>1753</v>
      </c>
      <c r="F433" t="s">
        <v>8803</v>
      </c>
      <c r="G433" t="s">
        <v>7317</v>
      </c>
      <c r="H433" t="s">
        <v>7318</v>
      </c>
      <c r="I433" t="s">
        <v>8801</v>
      </c>
      <c r="J433" t="s">
        <v>8803</v>
      </c>
      <c r="K433" t="s">
        <v>7317</v>
      </c>
    </row>
    <row r="434" spans="1:11" s="1" customFormat="1" x14ac:dyDescent="0.25">
      <c r="A434" t="s">
        <v>8804</v>
      </c>
      <c r="B434" t="s">
        <v>8805</v>
      </c>
      <c r="C434" s="88"/>
      <c r="D434" t="s">
        <v>8805</v>
      </c>
      <c r="E434"/>
      <c r="F434" t="s">
        <v>8806</v>
      </c>
      <c r="G434" t="s">
        <v>8805</v>
      </c>
      <c r="H434" t="s">
        <v>7318</v>
      </c>
      <c r="I434" t="s">
        <v>8805</v>
      </c>
      <c r="J434" t="s">
        <v>8806</v>
      </c>
      <c r="K434" t="s">
        <v>7693</v>
      </c>
    </row>
    <row r="435" spans="1:11" s="1" customFormat="1" x14ac:dyDescent="0.25">
      <c r="A435" t="s">
        <v>8807</v>
      </c>
      <c r="B435" t="s">
        <v>8808</v>
      </c>
      <c r="C435" s="88"/>
      <c r="D435" t="s">
        <v>7592</v>
      </c>
      <c r="E435">
        <v>0</v>
      </c>
      <c r="F435" t="s">
        <v>8810</v>
      </c>
      <c r="G435" t="s">
        <v>8809</v>
      </c>
      <c r="H435" t="s">
        <v>7318</v>
      </c>
      <c r="I435" t="s">
        <v>8808</v>
      </c>
      <c r="J435" t="s">
        <v>8810</v>
      </c>
      <c r="K435" t="s">
        <v>7321</v>
      </c>
    </row>
    <row r="436" spans="1:11" s="1" customFormat="1" x14ac:dyDescent="0.25">
      <c r="A436" t="s">
        <v>8811</v>
      </c>
      <c r="B436" t="s">
        <v>8812</v>
      </c>
      <c r="C436" s="88"/>
      <c r="D436" t="s">
        <v>8813</v>
      </c>
      <c r="E436">
        <v>1043</v>
      </c>
      <c r="F436" t="s">
        <v>8814</v>
      </c>
      <c r="G436" t="s">
        <v>8812</v>
      </c>
      <c r="H436" t="s">
        <v>7318</v>
      </c>
      <c r="I436" t="s">
        <v>8812</v>
      </c>
      <c r="J436" t="s">
        <v>8814</v>
      </c>
      <c r="K436" t="s">
        <v>7462</v>
      </c>
    </row>
    <row r="437" spans="1:11" s="1" customFormat="1" x14ac:dyDescent="0.25">
      <c r="A437" t="s">
        <v>8815</v>
      </c>
      <c r="B437" t="s">
        <v>8816</v>
      </c>
      <c r="C437" s="88"/>
      <c r="D437" t="s">
        <v>7592</v>
      </c>
      <c r="E437">
        <v>26</v>
      </c>
      <c r="F437" t="s">
        <v>8817</v>
      </c>
      <c r="G437" t="s">
        <v>8816</v>
      </c>
      <c r="H437" t="s">
        <v>7318</v>
      </c>
      <c r="I437" t="s">
        <v>8816</v>
      </c>
      <c r="J437" t="s">
        <v>8817</v>
      </c>
      <c r="K437" t="s">
        <v>8180</v>
      </c>
    </row>
    <row r="438" spans="1:11" s="1" customFormat="1" x14ac:dyDescent="0.25">
      <c r="A438" t="s">
        <v>8818</v>
      </c>
      <c r="B438" t="s">
        <v>8819</v>
      </c>
      <c r="C438" s="88"/>
      <c r="D438" t="s">
        <v>8820</v>
      </c>
      <c r="E438">
        <v>1960</v>
      </c>
      <c r="F438" t="s">
        <v>8822</v>
      </c>
      <c r="G438" t="s">
        <v>8821</v>
      </c>
      <c r="H438" t="s">
        <v>7318</v>
      </c>
      <c r="I438" t="s">
        <v>8819</v>
      </c>
      <c r="J438" t="s">
        <v>8822</v>
      </c>
      <c r="K438" t="s">
        <v>7466</v>
      </c>
    </row>
    <row r="439" spans="1:11" s="1" customFormat="1" x14ac:dyDescent="0.25">
      <c r="A439" t="s">
        <v>8823</v>
      </c>
      <c r="B439" t="s">
        <v>8824</v>
      </c>
      <c r="C439" s="88"/>
      <c r="D439" t="s">
        <v>7852</v>
      </c>
      <c r="E439">
        <v>1846</v>
      </c>
      <c r="F439" t="s">
        <v>8826</v>
      </c>
      <c r="G439" t="s">
        <v>8825</v>
      </c>
      <c r="H439" t="s">
        <v>7318</v>
      </c>
      <c r="I439" t="s">
        <v>8824</v>
      </c>
      <c r="J439" t="s">
        <v>8826</v>
      </c>
      <c r="K439" t="s">
        <v>8251</v>
      </c>
    </row>
    <row r="440" spans="1:11" s="1" customFormat="1" x14ac:dyDescent="0.25">
      <c r="A440" t="s">
        <v>8827</v>
      </c>
      <c r="B440" t="s">
        <v>8828</v>
      </c>
      <c r="C440" s="88"/>
      <c r="D440" t="s">
        <v>8829</v>
      </c>
      <c r="E440">
        <v>321</v>
      </c>
      <c r="F440" t="s">
        <v>8832</v>
      </c>
      <c r="G440" t="s">
        <v>8830</v>
      </c>
      <c r="H440" t="s">
        <v>8831</v>
      </c>
      <c r="I440" t="s">
        <v>8828</v>
      </c>
      <c r="J440" t="s">
        <v>8832</v>
      </c>
      <c r="K440" t="s">
        <v>8831</v>
      </c>
    </row>
    <row r="441" spans="1:11" s="1" customFormat="1" x14ac:dyDescent="0.25">
      <c r="A441" t="s">
        <v>8833</v>
      </c>
      <c r="B441" t="s">
        <v>8834</v>
      </c>
      <c r="C441" s="88"/>
      <c r="D441" t="s">
        <v>8835</v>
      </c>
      <c r="E441">
        <v>770</v>
      </c>
      <c r="F441" t="s">
        <v>8836</v>
      </c>
      <c r="G441" t="s">
        <v>8830</v>
      </c>
      <c r="H441" t="s">
        <v>8831</v>
      </c>
      <c r="I441" t="s">
        <v>8834</v>
      </c>
      <c r="J441" t="s">
        <v>8836</v>
      </c>
      <c r="K441" t="s">
        <v>8831</v>
      </c>
    </row>
    <row r="442" spans="1:11" s="1" customFormat="1" x14ac:dyDescent="0.25">
      <c r="A442" t="s">
        <v>8837</v>
      </c>
      <c r="B442" t="s">
        <v>8838</v>
      </c>
      <c r="C442" s="88"/>
      <c r="D442" t="s">
        <v>8839</v>
      </c>
      <c r="E442">
        <v>131</v>
      </c>
      <c r="F442" t="s">
        <v>8840</v>
      </c>
      <c r="G442" t="s">
        <v>8830</v>
      </c>
      <c r="H442" t="s">
        <v>8831</v>
      </c>
      <c r="I442" t="s">
        <v>8838</v>
      </c>
      <c r="J442" t="s">
        <v>8840</v>
      </c>
      <c r="K442" t="s">
        <v>8831</v>
      </c>
    </row>
    <row r="443" spans="1:11" s="1" customFormat="1" x14ac:dyDescent="0.25">
      <c r="A443" t="s">
        <v>8841</v>
      </c>
      <c r="B443" t="s">
        <v>8842</v>
      </c>
      <c r="C443" s="88"/>
      <c r="D443" t="s">
        <v>8829</v>
      </c>
      <c r="E443">
        <v>2821</v>
      </c>
      <c r="F443" t="s">
        <v>8843</v>
      </c>
      <c r="G443" t="s">
        <v>8830</v>
      </c>
      <c r="H443" t="s">
        <v>8831</v>
      </c>
      <c r="I443" t="s">
        <v>8842</v>
      </c>
      <c r="J443" t="s">
        <v>8843</v>
      </c>
      <c r="K443" t="s">
        <v>8831</v>
      </c>
    </row>
    <row r="444" spans="1:11" s="1" customFormat="1" x14ac:dyDescent="0.25">
      <c r="A444" t="s">
        <v>8844</v>
      </c>
      <c r="B444" t="s">
        <v>8845</v>
      </c>
      <c r="C444" s="88"/>
      <c r="D444" t="s">
        <v>8846</v>
      </c>
      <c r="E444">
        <v>66</v>
      </c>
      <c r="F444" t="s">
        <v>8847</v>
      </c>
      <c r="G444" t="s">
        <v>8830</v>
      </c>
      <c r="H444" t="s">
        <v>8831</v>
      </c>
      <c r="I444" t="s">
        <v>8845</v>
      </c>
      <c r="J444" t="s">
        <v>8847</v>
      </c>
      <c r="K444" t="s">
        <v>8831</v>
      </c>
    </row>
    <row r="445" spans="1:11" s="1" customFormat="1" x14ac:dyDescent="0.25">
      <c r="A445" t="s">
        <v>8848</v>
      </c>
      <c r="B445" t="s">
        <v>8849</v>
      </c>
      <c r="C445" s="88"/>
      <c r="D445" t="s">
        <v>8850</v>
      </c>
      <c r="E445">
        <v>756</v>
      </c>
      <c r="F445" t="s">
        <v>8851</v>
      </c>
      <c r="G445" t="s">
        <v>8830</v>
      </c>
      <c r="H445" t="s">
        <v>8831</v>
      </c>
      <c r="I445" t="s">
        <v>8849</v>
      </c>
      <c r="J445" t="s">
        <v>8851</v>
      </c>
      <c r="K445" t="s">
        <v>8831</v>
      </c>
    </row>
    <row r="446" spans="1:11" s="1" customFormat="1" x14ac:dyDescent="0.25">
      <c r="A446" t="s">
        <v>8852</v>
      </c>
      <c r="B446" t="s">
        <v>8853</v>
      </c>
      <c r="C446" s="88"/>
      <c r="D446" t="s">
        <v>8854</v>
      </c>
      <c r="E446">
        <v>31</v>
      </c>
      <c r="F446" t="s">
        <v>8855</v>
      </c>
      <c r="G446" t="s">
        <v>8830</v>
      </c>
      <c r="H446" t="s">
        <v>8831</v>
      </c>
      <c r="I446" t="s">
        <v>8853</v>
      </c>
      <c r="J446" t="s">
        <v>8855</v>
      </c>
      <c r="K446" t="s">
        <v>8831</v>
      </c>
    </row>
    <row r="447" spans="1:11" s="1" customFormat="1" x14ac:dyDescent="0.25">
      <c r="A447" t="s">
        <v>8856</v>
      </c>
      <c r="B447" t="s">
        <v>8418</v>
      </c>
      <c r="C447" s="88"/>
      <c r="D447" t="s">
        <v>8156</v>
      </c>
      <c r="E447">
        <v>11256</v>
      </c>
      <c r="F447" t="s">
        <v>8857</v>
      </c>
      <c r="G447" t="s">
        <v>8830</v>
      </c>
      <c r="H447" t="s">
        <v>8831</v>
      </c>
      <c r="I447" t="s">
        <v>8418</v>
      </c>
      <c r="J447" t="s">
        <v>8857</v>
      </c>
      <c r="K447" t="s">
        <v>8831</v>
      </c>
    </row>
    <row r="448" spans="1:11" s="1" customFormat="1" x14ac:dyDescent="0.25">
      <c r="A448" t="s">
        <v>8858</v>
      </c>
      <c r="B448" t="s">
        <v>8859</v>
      </c>
      <c r="C448" s="88"/>
      <c r="D448" t="s">
        <v>8860</v>
      </c>
      <c r="E448">
        <v>5150</v>
      </c>
      <c r="F448" t="s">
        <v>8861</v>
      </c>
      <c r="G448" t="s">
        <v>8830</v>
      </c>
      <c r="H448" t="s">
        <v>8831</v>
      </c>
      <c r="I448" t="s">
        <v>8859</v>
      </c>
      <c r="J448" t="s">
        <v>8861</v>
      </c>
      <c r="K448" t="s">
        <v>8831</v>
      </c>
    </row>
    <row r="449" spans="1:11" s="1" customFormat="1" x14ac:dyDescent="0.25">
      <c r="A449" t="s">
        <v>8862</v>
      </c>
      <c r="B449" t="s">
        <v>8863</v>
      </c>
      <c r="C449" s="88"/>
      <c r="D449" t="s">
        <v>8839</v>
      </c>
      <c r="E449">
        <v>1577</v>
      </c>
      <c r="F449" t="s">
        <v>8864</v>
      </c>
      <c r="G449" t="s">
        <v>8830</v>
      </c>
      <c r="H449" t="s">
        <v>8831</v>
      </c>
      <c r="I449" t="s">
        <v>8863</v>
      </c>
      <c r="J449" t="s">
        <v>8864</v>
      </c>
      <c r="K449" t="s">
        <v>8831</v>
      </c>
    </row>
    <row r="450" spans="1:11" s="1" customFormat="1" x14ac:dyDescent="0.25">
      <c r="A450" t="s">
        <v>8865</v>
      </c>
      <c r="B450" t="s">
        <v>8866</v>
      </c>
      <c r="C450" s="88"/>
      <c r="D450" t="s">
        <v>8867</v>
      </c>
      <c r="E450">
        <v>815</v>
      </c>
      <c r="F450" t="s">
        <v>8868</v>
      </c>
      <c r="G450" t="s">
        <v>8830</v>
      </c>
      <c r="H450" t="s">
        <v>8831</v>
      </c>
      <c r="I450" t="s">
        <v>8866</v>
      </c>
      <c r="J450" t="s">
        <v>8868</v>
      </c>
      <c r="K450" t="s">
        <v>8831</v>
      </c>
    </row>
    <row r="451" spans="1:11" s="1" customFormat="1" x14ac:dyDescent="0.25">
      <c r="A451" t="s">
        <v>8869</v>
      </c>
      <c r="B451" t="s">
        <v>8870</v>
      </c>
      <c r="C451" s="88"/>
      <c r="D451" t="s">
        <v>8871</v>
      </c>
      <c r="E451">
        <v>1352</v>
      </c>
      <c r="F451" t="s">
        <v>8872</v>
      </c>
      <c r="G451" t="s">
        <v>8830</v>
      </c>
      <c r="H451" t="s">
        <v>8831</v>
      </c>
      <c r="I451" t="s">
        <v>8870</v>
      </c>
      <c r="J451" t="s">
        <v>8872</v>
      </c>
      <c r="K451" t="s">
        <v>8831</v>
      </c>
    </row>
    <row r="452" spans="1:11" s="1" customFormat="1" x14ac:dyDescent="0.25">
      <c r="A452" t="s">
        <v>8873</v>
      </c>
      <c r="B452" t="s">
        <v>8758</v>
      </c>
      <c r="C452" s="88"/>
      <c r="D452" t="s">
        <v>8874</v>
      </c>
      <c r="E452">
        <v>3702</v>
      </c>
      <c r="F452" t="s">
        <v>8875</v>
      </c>
      <c r="G452" t="s">
        <v>8830</v>
      </c>
      <c r="H452" t="s">
        <v>8831</v>
      </c>
      <c r="I452" t="s">
        <v>8758</v>
      </c>
      <c r="J452" t="s">
        <v>8875</v>
      </c>
      <c r="K452" t="s">
        <v>8831</v>
      </c>
    </row>
    <row r="453" spans="1:11" s="1" customFormat="1" x14ac:dyDescent="0.25">
      <c r="A453" t="s">
        <v>8876</v>
      </c>
      <c r="B453" t="s">
        <v>8877</v>
      </c>
      <c r="C453" s="88"/>
      <c r="D453" t="s">
        <v>8047</v>
      </c>
      <c r="E453">
        <v>2710</v>
      </c>
      <c r="F453" t="s">
        <v>8878</v>
      </c>
      <c r="G453" t="s">
        <v>8830</v>
      </c>
      <c r="H453" t="s">
        <v>8831</v>
      </c>
      <c r="I453" t="s">
        <v>8877</v>
      </c>
      <c r="J453" t="s">
        <v>8878</v>
      </c>
      <c r="K453" t="s">
        <v>8831</v>
      </c>
    </row>
    <row r="454" spans="1:11" s="1" customFormat="1" x14ac:dyDescent="0.25">
      <c r="A454" t="s">
        <v>8879</v>
      </c>
      <c r="B454" t="s">
        <v>8880</v>
      </c>
      <c r="C454" s="88"/>
      <c r="D454" t="s">
        <v>8881</v>
      </c>
      <c r="E454">
        <v>2901</v>
      </c>
      <c r="F454" t="s">
        <v>8882</v>
      </c>
      <c r="G454" t="s">
        <v>8830</v>
      </c>
      <c r="H454" t="s">
        <v>8831</v>
      </c>
      <c r="I454" t="s">
        <v>8880</v>
      </c>
      <c r="J454" t="s">
        <v>8882</v>
      </c>
      <c r="K454" t="s">
        <v>8831</v>
      </c>
    </row>
    <row r="455" spans="1:11" s="1" customFormat="1" x14ac:dyDescent="0.25">
      <c r="A455" t="s">
        <v>8883</v>
      </c>
      <c r="B455" t="s">
        <v>8884</v>
      </c>
      <c r="C455" s="88"/>
      <c r="D455" t="s">
        <v>8885</v>
      </c>
      <c r="E455">
        <v>4675</v>
      </c>
      <c r="F455" t="s">
        <v>8886</v>
      </c>
      <c r="G455" t="s">
        <v>8830</v>
      </c>
      <c r="H455" t="s">
        <v>8831</v>
      </c>
      <c r="I455" t="s">
        <v>8884</v>
      </c>
      <c r="J455" t="s">
        <v>8886</v>
      </c>
      <c r="K455" t="s">
        <v>8831</v>
      </c>
    </row>
    <row r="456" spans="1:11" s="1" customFormat="1" x14ac:dyDescent="0.25">
      <c r="A456" t="s">
        <v>8887</v>
      </c>
      <c r="B456" t="s">
        <v>8888</v>
      </c>
      <c r="C456" s="88"/>
      <c r="D456" t="s">
        <v>8047</v>
      </c>
      <c r="E456">
        <v>6354</v>
      </c>
      <c r="F456" t="s">
        <v>8889</v>
      </c>
      <c r="G456" t="s">
        <v>8830</v>
      </c>
      <c r="H456" t="s">
        <v>8831</v>
      </c>
      <c r="I456" t="s">
        <v>8888</v>
      </c>
      <c r="J456" t="s">
        <v>8889</v>
      </c>
      <c r="K456" t="s">
        <v>8831</v>
      </c>
    </row>
    <row r="457" spans="1:11" s="1" customFormat="1" x14ac:dyDescent="0.25">
      <c r="A457" t="s">
        <v>8890</v>
      </c>
      <c r="B457" t="s">
        <v>8891</v>
      </c>
      <c r="C457" s="88"/>
      <c r="D457" t="s">
        <v>7352</v>
      </c>
      <c r="E457">
        <v>698</v>
      </c>
      <c r="F457" t="s">
        <v>8892</v>
      </c>
      <c r="G457" t="s">
        <v>8830</v>
      </c>
      <c r="H457" t="s">
        <v>8831</v>
      </c>
      <c r="I457" t="s">
        <v>8891</v>
      </c>
      <c r="J457" t="s">
        <v>8892</v>
      </c>
      <c r="K457" t="s">
        <v>8831</v>
      </c>
    </row>
    <row r="458" spans="1:11" s="1" customFormat="1" x14ac:dyDescent="0.25">
      <c r="A458" t="s">
        <v>8893</v>
      </c>
      <c r="B458" t="s">
        <v>8894</v>
      </c>
      <c r="C458" s="88"/>
      <c r="D458" t="s">
        <v>8895</v>
      </c>
      <c r="E458">
        <v>452</v>
      </c>
      <c r="F458" t="s">
        <v>8896</v>
      </c>
      <c r="G458" t="s">
        <v>8830</v>
      </c>
      <c r="H458" t="s">
        <v>8831</v>
      </c>
      <c r="I458" t="s">
        <v>8894</v>
      </c>
      <c r="J458" t="s">
        <v>8896</v>
      </c>
      <c r="K458" t="s">
        <v>8831</v>
      </c>
    </row>
    <row r="459" spans="1:11" s="1" customFormat="1" x14ac:dyDescent="0.25">
      <c r="A459" t="s">
        <v>8897</v>
      </c>
      <c r="B459" t="s">
        <v>8898</v>
      </c>
      <c r="C459" s="88"/>
      <c r="D459" t="s">
        <v>8899</v>
      </c>
      <c r="E459">
        <v>176</v>
      </c>
      <c r="F459" t="s">
        <v>8900</v>
      </c>
      <c r="G459" t="s">
        <v>8830</v>
      </c>
      <c r="H459" t="s">
        <v>8831</v>
      </c>
      <c r="I459" t="s">
        <v>8898</v>
      </c>
      <c r="J459" t="s">
        <v>8900</v>
      </c>
      <c r="K459" t="s">
        <v>8831</v>
      </c>
    </row>
    <row r="460" spans="1:11" s="1" customFormat="1" x14ac:dyDescent="0.25">
      <c r="A460" t="s">
        <v>8901</v>
      </c>
      <c r="B460" t="s">
        <v>8902</v>
      </c>
      <c r="C460" s="88"/>
      <c r="D460" t="s">
        <v>8903</v>
      </c>
      <c r="E460">
        <v>3001</v>
      </c>
      <c r="F460" t="s">
        <v>8904</v>
      </c>
      <c r="G460" t="s">
        <v>8830</v>
      </c>
      <c r="H460" t="s">
        <v>8831</v>
      </c>
      <c r="I460" t="s">
        <v>8902</v>
      </c>
      <c r="J460" t="s">
        <v>8904</v>
      </c>
      <c r="K460" t="s">
        <v>8831</v>
      </c>
    </row>
    <row r="461" spans="1:11" s="1" customFormat="1" x14ac:dyDescent="0.25">
      <c r="A461" t="s">
        <v>8905</v>
      </c>
      <c r="B461" t="s">
        <v>8906</v>
      </c>
      <c r="C461" s="88"/>
      <c r="D461" t="s">
        <v>8907</v>
      </c>
      <c r="E461">
        <v>552</v>
      </c>
      <c r="F461" t="s">
        <v>8908</v>
      </c>
      <c r="G461" t="s">
        <v>8830</v>
      </c>
      <c r="H461" t="s">
        <v>8831</v>
      </c>
      <c r="I461" t="s">
        <v>8906</v>
      </c>
      <c r="J461" t="s">
        <v>8908</v>
      </c>
      <c r="K461" t="s">
        <v>8831</v>
      </c>
    </row>
    <row r="462" spans="1:11" s="1" customFormat="1" x14ac:dyDescent="0.25">
      <c r="A462" t="s">
        <v>8909</v>
      </c>
      <c r="B462" t="s">
        <v>8910</v>
      </c>
      <c r="C462" s="88"/>
      <c r="D462" t="s">
        <v>7348</v>
      </c>
      <c r="E462">
        <v>3882</v>
      </c>
      <c r="F462" t="s">
        <v>8911</v>
      </c>
      <c r="G462" t="s">
        <v>8830</v>
      </c>
      <c r="H462" t="s">
        <v>8831</v>
      </c>
      <c r="I462" t="s">
        <v>8910</v>
      </c>
      <c r="J462" t="s">
        <v>8911</v>
      </c>
      <c r="K462" t="s">
        <v>8831</v>
      </c>
    </row>
    <row r="463" spans="1:11" s="1" customFormat="1" x14ac:dyDescent="0.25">
      <c r="A463" t="s">
        <v>8912</v>
      </c>
      <c r="B463" t="s">
        <v>8913</v>
      </c>
      <c r="C463" s="88"/>
      <c r="D463" t="s">
        <v>8914</v>
      </c>
      <c r="E463">
        <v>2476</v>
      </c>
      <c r="F463" t="s">
        <v>8915</v>
      </c>
      <c r="G463" t="s">
        <v>8830</v>
      </c>
      <c r="H463" t="s">
        <v>8831</v>
      </c>
      <c r="I463" t="s">
        <v>8913</v>
      </c>
      <c r="J463" t="s">
        <v>8915</v>
      </c>
      <c r="K463" t="s">
        <v>8831</v>
      </c>
    </row>
    <row r="464" spans="1:11" s="1" customFormat="1" x14ac:dyDescent="0.25">
      <c r="A464" t="s">
        <v>8916</v>
      </c>
      <c r="B464" t="s">
        <v>8917</v>
      </c>
      <c r="C464" s="88"/>
      <c r="D464" t="s">
        <v>8918</v>
      </c>
      <c r="E464">
        <v>2349</v>
      </c>
      <c r="F464" t="s">
        <v>8919</v>
      </c>
      <c r="G464" t="s">
        <v>8830</v>
      </c>
      <c r="H464" t="s">
        <v>8831</v>
      </c>
      <c r="I464" t="s">
        <v>8917</v>
      </c>
      <c r="J464" t="s">
        <v>8919</v>
      </c>
      <c r="K464" t="s">
        <v>8831</v>
      </c>
    </row>
    <row r="465" spans="1:11" s="1" customFormat="1" x14ac:dyDescent="0.25">
      <c r="A465" t="s">
        <v>8920</v>
      </c>
      <c r="B465" t="s">
        <v>13196</v>
      </c>
      <c r="C465" s="88"/>
      <c r="D465" t="s">
        <v>8918</v>
      </c>
      <c r="E465">
        <v>4576</v>
      </c>
      <c r="F465" t="s">
        <v>8921</v>
      </c>
      <c r="G465" t="s">
        <v>8830</v>
      </c>
      <c r="H465" t="s">
        <v>8831</v>
      </c>
      <c r="I465" t="s">
        <v>13196</v>
      </c>
      <c r="J465" t="s">
        <v>8921</v>
      </c>
      <c r="K465" t="s">
        <v>8831</v>
      </c>
    </row>
    <row r="466" spans="1:11" s="1" customFormat="1" x14ac:dyDescent="0.25">
      <c r="A466" t="s">
        <v>8922</v>
      </c>
      <c r="B466" t="s">
        <v>8923</v>
      </c>
      <c r="C466" s="88"/>
      <c r="D466" t="s">
        <v>8924</v>
      </c>
      <c r="E466">
        <v>3381</v>
      </c>
      <c r="F466" t="s">
        <v>8925</v>
      </c>
      <c r="G466" t="s">
        <v>8830</v>
      </c>
      <c r="H466" t="s">
        <v>8831</v>
      </c>
      <c r="I466" t="s">
        <v>8923</v>
      </c>
      <c r="J466" t="s">
        <v>8925</v>
      </c>
      <c r="K466" t="s">
        <v>8831</v>
      </c>
    </row>
    <row r="467" spans="1:11" s="1" customFormat="1" x14ac:dyDescent="0.25">
      <c r="A467" t="s">
        <v>8926</v>
      </c>
      <c r="B467" t="s">
        <v>8927</v>
      </c>
      <c r="C467" s="88"/>
      <c r="D467" t="s">
        <v>8928</v>
      </c>
      <c r="E467">
        <v>5254</v>
      </c>
      <c r="F467" t="s">
        <v>8929</v>
      </c>
      <c r="G467" t="s">
        <v>8830</v>
      </c>
      <c r="H467" t="s">
        <v>8831</v>
      </c>
      <c r="I467" t="s">
        <v>8927</v>
      </c>
      <c r="J467" t="s">
        <v>8929</v>
      </c>
      <c r="K467" t="s">
        <v>8831</v>
      </c>
    </row>
    <row r="468" spans="1:11" s="1" customFormat="1" x14ac:dyDescent="0.25">
      <c r="A468" t="s">
        <v>8930</v>
      </c>
      <c r="B468" t="s">
        <v>8931</v>
      </c>
      <c r="C468" s="88"/>
      <c r="D468" t="s">
        <v>7518</v>
      </c>
      <c r="E468">
        <v>780</v>
      </c>
      <c r="F468" t="s">
        <v>8932</v>
      </c>
      <c r="G468" t="s">
        <v>8830</v>
      </c>
      <c r="H468" t="s">
        <v>8831</v>
      </c>
      <c r="I468" t="s">
        <v>8931</v>
      </c>
      <c r="J468" t="s">
        <v>8932</v>
      </c>
      <c r="K468" t="s">
        <v>8831</v>
      </c>
    </row>
    <row r="469" spans="1:11" s="1" customFormat="1" x14ac:dyDescent="0.25">
      <c r="A469" t="s">
        <v>8933</v>
      </c>
      <c r="B469" t="s">
        <v>8934</v>
      </c>
      <c r="C469" s="88"/>
      <c r="D469" t="s">
        <v>8935</v>
      </c>
      <c r="E469">
        <v>1750</v>
      </c>
      <c r="F469" t="s">
        <v>8936</v>
      </c>
      <c r="G469" t="s">
        <v>8830</v>
      </c>
      <c r="H469" t="s">
        <v>8831</v>
      </c>
      <c r="I469" t="s">
        <v>8934</v>
      </c>
      <c r="J469" t="s">
        <v>8936</v>
      </c>
      <c r="K469" t="s">
        <v>8831</v>
      </c>
    </row>
    <row r="470" spans="1:11" s="1" customFormat="1" x14ac:dyDescent="0.25">
      <c r="A470" t="s">
        <v>8937</v>
      </c>
      <c r="B470" t="s">
        <v>8938</v>
      </c>
      <c r="C470" s="88"/>
      <c r="D470" t="s">
        <v>8939</v>
      </c>
      <c r="E470">
        <v>1999</v>
      </c>
      <c r="F470" t="s">
        <v>8940</v>
      </c>
      <c r="G470" t="s">
        <v>8830</v>
      </c>
      <c r="H470" t="s">
        <v>8831</v>
      </c>
      <c r="I470" t="s">
        <v>8938</v>
      </c>
      <c r="J470" t="s">
        <v>8940</v>
      </c>
      <c r="K470" t="s">
        <v>8831</v>
      </c>
    </row>
    <row r="471" spans="1:11" s="1" customFormat="1" x14ac:dyDescent="0.25">
      <c r="A471" t="s">
        <v>8941</v>
      </c>
      <c r="B471" t="s">
        <v>8942</v>
      </c>
      <c r="C471" s="88"/>
      <c r="D471" t="s">
        <v>8943</v>
      </c>
      <c r="E471">
        <v>1954</v>
      </c>
      <c r="F471" t="s">
        <v>8944</v>
      </c>
      <c r="G471" t="s">
        <v>8830</v>
      </c>
      <c r="H471" t="s">
        <v>8831</v>
      </c>
      <c r="I471" t="s">
        <v>8942</v>
      </c>
      <c r="J471" t="s">
        <v>8944</v>
      </c>
      <c r="K471" t="s">
        <v>8831</v>
      </c>
    </row>
    <row r="472" spans="1:11" s="1" customFormat="1" x14ac:dyDescent="0.25">
      <c r="A472" t="s">
        <v>8945</v>
      </c>
      <c r="B472" t="s">
        <v>8946</v>
      </c>
      <c r="C472" s="88"/>
      <c r="D472" t="s">
        <v>8947</v>
      </c>
      <c r="E472">
        <v>753</v>
      </c>
      <c r="F472" t="s">
        <v>8948</v>
      </c>
      <c r="G472" t="s">
        <v>8830</v>
      </c>
      <c r="H472" t="s">
        <v>8831</v>
      </c>
      <c r="I472" t="s">
        <v>8946</v>
      </c>
      <c r="J472" t="s">
        <v>8948</v>
      </c>
      <c r="K472" t="s">
        <v>8831</v>
      </c>
    </row>
    <row r="473" spans="1:11" s="1" customFormat="1" x14ac:dyDescent="0.25">
      <c r="A473" t="s">
        <v>8949</v>
      </c>
      <c r="B473" t="s">
        <v>8950</v>
      </c>
      <c r="C473" s="88"/>
      <c r="D473" t="s">
        <v>8951</v>
      </c>
      <c r="E473">
        <v>2995</v>
      </c>
      <c r="F473" t="s">
        <v>8952</v>
      </c>
      <c r="G473" t="s">
        <v>8830</v>
      </c>
      <c r="H473" t="s">
        <v>8831</v>
      </c>
      <c r="I473" t="s">
        <v>8950</v>
      </c>
      <c r="J473" t="s">
        <v>8952</v>
      </c>
      <c r="K473" t="s">
        <v>8831</v>
      </c>
    </row>
    <row r="474" spans="1:11" s="1" customFormat="1" x14ac:dyDescent="0.25">
      <c r="A474" t="s">
        <v>8953</v>
      </c>
      <c r="B474" t="s">
        <v>8954</v>
      </c>
      <c r="C474" s="88"/>
      <c r="D474" t="s">
        <v>8955</v>
      </c>
      <c r="E474">
        <v>5719</v>
      </c>
      <c r="F474" t="s">
        <v>8956</v>
      </c>
      <c r="G474" t="s">
        <v>8830</v>
      </c>
      <c r="H474" t="s">
        <v>8831</v>
      </c>
      <c r="I474" t="s">
        <v>8954</v>
      </c>
      <c r="J474" t="s">
        <v>8956</v>
      </c>
      <c r="K474" t="s">
        <v>8831</v>
      </c>
    </row>
    <row r="475" spans="1:11" s="1" customFormat="1" x14ac:dyDescent="0.25">
      <c r="A475" t="s">
        <v>8957</v>
      </c>
      <c r="B475" t="s">
        <v>8958</v>
      </c>
      <c r="C475" s="88"/>
      <c r="D475" t="s">
        <v>8959</v>
      </c>
      <c r="E475">
        <v>5924</v>
      </c>
      <c r="F475" t="s">
        <v>8960</v>
      </c>
      <c r="G475" t="s">
        <v>8830</v>
      </c>
      <c r="H475" t="s">
        <v>8831</v>
      </c>
      <c r="I475" t="s">
        <v>8958</v>
      </c>
      <c r="J475" t="s">
        <v>8960</v>
      </c>
      <c r="K475" t="s">
        <v>8831</v>
      </c>
    </row>
    <row r="476" spans="1:11" s="1" customFormat="1" x14ac:dyDescent="0.25">
      <c r="A476" t="s">
        <v>8961</v>
      </c>
      <c r="B476" t="s">
        <v>8962</v>
      </c>
      <c r="C476" s="88"/>
      <c r="D476" t="s">
        <v>8963</v>
      </c>
      <c r="E476">
        <v>4624</v>
      </c>
      <c r="F476" t="s">
        <v>8964</v>
      </c>
      <c r="G476" t="s">
        <v>8830</v>
      </c>
      <c r="H476" t="s">
        <v>8831</v>
      </c>
      <c r="I476" t="s">
        <v>8962</v>
      </c>
      <c r="J476" t="s">
        <v>8964</v>
      </c>
      <c r="K476" t="s">
        <v>8831</v>
      </c>
    </row>
    <row r="477" spans="1:11" s="1" customFormat="1" x14ac:dyDescent="0.25">
      <c r="A477" t="s">
        <v>8965</v>
      </c>
      <c r="B477" t="s">
        <v>8966</v>
      </c>
      <c r="C477" s="88"/>
      <c r="D477" t="s">
        <v>8638</v>
      </c>
      <c r="E477">
        <v>24</v>
      </c>
      <c r="F477" t="s">
        <v>8967</v>
      </c>
      <c r="G477" t="s">
        <v>8830</v>
      </c>
      <c r="H477" t="s">
        <v>8831</v>
      </c>
      <c r="I477" t="s">
        <v>8966</v>
      </c>
      <c r="J477" t="s">
        <v>8967</v>
      </c>
      <c r="K477" t="s">
        <v>8831</v>
      </c>
    </row>
    <row r="478" spans="1:11" s="1" customFormat="1" x14ac:dyDescent="0.25">
      <c r="A478" t="s">
        <v>8968</v>
      </c>
      <c r="B478" t="s">
        <v>13197</v>
      </c>
      <c r="C478" s="88"/>
      <c r="D478" t="s">
        <v>7738</v>
      </c>
      <c r="E478">
        <v>1069</v>
      </c>
      <c r="F478" t="s">
        <v>8969</v>
      </c>
      <c r="G478" t="s">
        <v>8830</v>
      </c>
      <c r="H478" t="s">
        <v>8831</v>
      </c>
      <c r="I478" t="s">
        <v>13197</v>
      </c>
      <c r="J478" t="s">
        <v>8969</v>
      </c>
      <c r="K478" t="s">
        <v>8831</v>
      </c>
    </row>
    <row r="479" spans="1:11" s="1" customFormat="1" x14ac:dyDescent="0.25">
      <c r="A479" t="s">
        <v>8970</v>
      </c>
      <c r="B479" t="s">
        <v>8971</v>
      </c>
      <c r="C479" s="88"/>
      <c r="D479" t="s">
        <v>8156</v>
      </c>
      <c r="E479">
        <v>5337</v>
      </c>
      <c r="F479" t="s">
        <v>8972</v>
      </c>
      <c r="G479" t="s">
        <v>8830</v>
      </c>
      <c r="H479" t="s">
        <v>8831</v>
      </c>
      <c r="I479" t="s">
        <v>8971</v>
      </c>
      <c r="J479" t="s">
        <v>8972</v>
      </c>
      <c r="K479" t="s">
        <v>8831</v>
      </c>
    </row>
    <row r="480" spans="1:11" s="1" customFormat="1" x14ac:dyDescent="0.25">
      <c r="A480" t="s">
        <v>8973</v>
      </c>
      <c r="B480" t="s">
        <v>8974</v>
      </c>
      <c r="C480" s="88"/>
      <c r="D480" t="s">
        <v>8975</v>
      </c>
      <c r="E480">
        <v>1153</v>
      </c>
      <c r="F480" t="s">
        <v>8976</v>
      </c>
      <c r="G480" t="s">
        <v>8830</v>
      </c>
      <c r="H480" t="s">
        <v>8831</v>
      </c>
      <c r="I480" t="s">
        <v>8974</v>
      </c>
      <c r="J480" t="s">
        <v>8976</v>
      </c>
      <c r="K480" t="s">
        <v>8831</v>
      </c>
    </row>
    <row r="481" spans="1:11" s="1" customFormat="1" x14ac:dyDescent="0.25">
      <c r="A481" t="s">
        <v>8977</v>
      </c>
      <c r="B481" t="s">
        <v>8978</v>
      </c>
      <c r="C481" s="88"/>
      <c r="D481" t="s">
        <v>8039</v>
      </c>
      <c r="E481">
        <v>326</v>
      </c>
      <c r="F481" t="s">
        <v>8979</v>
      </c>
      <c r="G481" t="s">
        <v>8830</v>
      </c>
      <c r="H481" t="s">
        <v>8831</v>
      </c>
      <c r="I481" t="s">
        <v>8978</v>
      </c>
      <c r="J481" t="s">
        <v>8979</v>
      </c>
      <c r="K481" t="s">
        <v>8831</v>
      </c>
    </row>
    <row r="482" spans="1:11" s="1" customFormat="1" x14ac:dyDescent="0.25">
      <c r="A482" t="s">
        <v>8980</v>
      </c>
      <c r="B482" t="s">
        <v>8981</v>
      </c>
      <c r="C482" s="88"/>
      <c r="D482" t="s">
        <v>8982</v>
      </c>
      <c r="E482">
        <v>768</v>
      </c>
      <c r="F482" t="s">
        <v>8983</v>
      </c>
      <c r="G482" t="s">
        <v>8830</v>
      </c>
      <c r="H482" t="s">
        <v>8831</v>
      </c>
      <c r="I482" t="s">
        <v>8981</v>
      </c>
      <c r="J482" t="s">
        <v>8983</v>
      </c>
      <c r="K482" t="s">
        <v>8831</v>
      </c>
    </row>
    <row r="483" spans="1:11" s="1" customFormat="1" x14ac:dyDescent="0.25">
      <c r="A483" t="s">
        <v>8984</v>
      </c>
      <c r="B483" t="s">
        <v>8985</v>
      </c>
      <c r="C483" s="88"/>
      <c r="D483" t="s">
        <v>8986</v>
      </c>
      <c r="E483">
        <v>250</v>
      </c>
      <c r="F483" t="s">
        <v>8987</v>
      </c>
      <c r="G483" t="s">
        <v>8830</v>
      </c>
      <c r="H483" t="s">
        <v>8831</v>
      </c>
      <c r="I483" t="s">
        <v>8985</v>
      </c>
      <c r="J483" t="s">
        <v>8987</v>
      </c>
      <c r="K483" t="s">
        <v>8831</v>
      </c>
    </row>
    <row r="484" spans="1:11" s="1" customFormat="1" x14ac:dyDescent="0.25">
      <c r="A484" t="s">
        <v>8988</v>
      </c>
      <c r="B484" t="s">
        <v>8516</v>
      </c>
      <c r="C484" s="88"/>
      <c r="D484" t="s">
        <v>8989</v>
      </c>
      <c r="E484">
        <v>3855</v>
      </c>
      <c r="F484" t="s">
        <v>8990</v>
      </c>
      <c r="G484" t="s">
        <v>8830</v>
      </c>
      <c r="H484" t="s">
        <v>8831</v>
      </c>
      <c r="I484" t="s">
        <v>8516</v>
      </c>
      <c r="J484" t="s">
        <v>8990</v>
      </c>
      <c r="K484" t="s">
        <v>8831</v>
      </c>
    </row>
    <row r="485" spans="1:11" s="1" customFormat="1" x14ac:dyDescent="0.25">
      <c r="A485" t="s">
        <v>8991</v>
      </c>
      <c r="B485" t="s">
        <v>8992</v>
      </c>
      <c r="C485" s="88"/>
      <c r="D485" t="s">
        <v>8993</v>
      </c>
      <c r="E485">
        <v>616</v>
      </c>
      <c r="F485" t="s">
        <v>8994</v>
      </c>
      <c r="G485" t="s">
        <v>8830</v>
      </c>
      <c r="H485" t="s">
        <v>8831</v>
      </c>
      <c r="I485" t="s">
        <v>8992</v>
      </c>
      <c r="J485" t="s">
        <v>8994</v>
      </c>
      <c r="K485" t="s">
        <v>8831</v>
      </c>
    </row>
    <row r="486" spans="1:11" s="1" customFormat="1" x14ac:dyDescent="0.25">
      <c r="A486" t="s">
        <v>8995</v>
      </c>
      <c r="B486" t="s">
        <v>8996</v>
      </c>
      <c r="C486" s="88"/>
      <c r="D486" t="s">
        <v>7730</v>
      </c>
      <c r="E486">
        <v>250</v>
      </c>
      <c r="F486" t="s">
        <v>8997</v>
      </c>
      <c r="G486" t="s">
        <v>8830</v>
      </c>
      <c r="H486" t="s">
        <v>8831</v>
      </c>
      <c r="I486" t="s">
        <v>8996</v>
      </c>
      <c r="J486" t="s">
        <v>8997</v>
      </c>
      <c r="K486" t="s">
        <v>8831</v>
      </c>
    </row>
    <row r="487" spans="1:11" s="1" customFormat="1" x14ac:dyDescent="0.25">
      <c r="A487" t="s">
        <v>8998</v>
      </c>
      <c r="B487" t="s">
        <v>8999</v>
      </c>
      <c r="C487" s="88"/>
      <c r="D487" t="s">
        <v>7326</v>
      </c>
      <c r="E487">
        <v>132</v>
      </c>
      <c r="F487" t="s">
        <v>9000</v>
      </c>
      <c r="G487" t="s">
        <v>8830</v>
      </c>
      <c r="H487" t="s">
        <v>8831</v>
      </c>
      <c r="I487" t="s">
        <v>8999</v>
      </c>
      <c r="J487" t="s">
        <v>9000</v>
      </c>
      <c r="K487" t="s">
        <v>8831</v>
      </c>
    </row>
    <row r="488" spans="1:11" s="1" customFormat="1" x14ac:dyDescent="0.25">
      <c r="A488" t="s">
        <v>9001</v>
      </c>
      <c r="B488" t="s">
        <v>9002</v>
      </c>
      <c r="C488" s="88"/>
      <c r="D488" t="s">
        <v>7337</v>
      </c>
      <c r="E488">
        <v>2128</v>
      </c>
      <c r="F488" t="s">
        <v>9003</v>
      </c>
      <c r="G488" t="s">
        <v>8830</v>
      </c>
      <c r="H488" t="s">
        <v>8831</v>
      </c>
      <c r="I488" t="s">
        <v>9002</v>
      </c>
      <c r="J488" t="s">
        <v>9003</v>
      </c>
      <c r="K488" t="s">
        <v>8831</v>
      </c>
    </row>
    <row r="489" spans="1:11" s="1" customFormat="1" x14ac:dyDescent="0.25">
      <c r="A489" t="s">
        <v>9004</v>
      </c>
      <c r="B489" t="s">
        <v>9005</v>
      </c>
      <c r="C489" s="88"/>
      <c r="D489" t="s">
        <v>9006</v>
      </c>
      <c r="E489">
        <v>2888</v>
      </c>
      <c r="F489" t="s">
        <v>9007</v>
      </c>
      <c r="G489" t="s">
        <v>8830</v>
      </c>
      <c r="H489" t="s">
        <v>8831</v>
      </c>
      <c r="I489" t="s">
        <v>9005</v>
      </c>
      <c r="J489" t="s">
        <v>9007</v>
      </c>
      <c r="K489" t="s">
        <v>8831</v>
      </c>
    </row>
    <row r="490" spans="1:11" s="1" customFormat="1" x14ac:dyDescent="0.25">
      <c r="A490" t="s">
        <v>9008</v>
      </c>
      <c r="B490" t="s">
        <v>9009</v>
      </c>
      <c r="C490" s="88"/>
      <c r="D490" t="s">
        <v>9010</v>
      </c>
      <c r="E490">
        <v>368</v>
      </c>
      <c r="F490" t="s">
        <v>9011</v>
      </c>
      <c r="G490" t="s">
        <v>8830</v>
      </c>
      <c r="H490" t="s">
        <v>8831</v>
      </c>
      <c r="I490" t="s">
        <v>9009</v>
      </c>
      <c r="J490" t="s">
        <v>9011</v>
      </c>
      <c r="K490" t="s">
        <v>8831</v>
      </c>
    </row>
    <row r="491" spans="1:11" s="1" customFormat="1" x14ac:dyDescent="0.25">
      <c r="A491" t="s">
        <v>9012</v>
      </c>
      <c r="B491" t="s">
        <v>9013</v>
      </c>
      <c r="C491" s="88"/>
      <c r="D491" t="s">
        <v>7348</v>
      </c>
      <c r="E491">
        <v>945</v>
      </c>
      <c r="F491" t="s">
        <v>9014</v>
      </c>
      <c r="G491" t="s">
        <v>8830</v>
      </c>
      <c r="H491" t="s">
        <v>8831</v>
      </c>
      <c r="I491" t="s">
        <v>9013</v>
      </c>
      <c r="J491" t="s">
        <v>9014</v>
      </c>
      <c r="K491" t="s">
        <v>8831</v>
      </c>
    </row>
    <row r="492" spans="1:11" s="1" customFormat="1" x14ac:dyDescent="0.25">
      <c r="A492" t="s">
        <v>9015</v>
      </c>
      <c r="B492" t="s">
        <v>9016</v>
      </c>
      <c r="C492" s="88"/>
      <c r="D492" t="s">
        <v>8914</v>
      </c>
      <c r="E492">
        <v>4164</v>
      </c>
      <c r="F492" t="s">
        <v>9017</v>
      </c>
      <c r="G492" t="s">
        <v>8830</v>
      </c>
      <c r="H492" t="s">
        <v>8831</v>
      </c>
      <c r="I492" t="s">
        <v>9016</v>
      </c>
      <c r="J492" t="s">
        <v>9017</v>
      </c>
      <c r="K492" t="s">
        <v>8831</v>
      </c>
    </row>
    <row r="493" spans="1:11" s="1" customFormat="1" x14ac:dyDescent="0.25">
      <c r="A493" t="s">
        <v>9018</v>
      </c>
      <c r="B493" t="s">
        <v>9019</v>
      </c>
      <c r="C493" s="88"/>
      <c r="D493" t="s">
        <v>9020</v>
      </c>
      <c r="E493">
        <v>40</v>
      </c>
      <c r="F493" t="s">
        <v>9021</v>
      </c>
      <c r="G493" t="s">
        <v>8830</v>
      </c>
      <c r="H493" t="s">
        <v>8831</v>
      </c>
      <c r="I493" t="s">
        <v>9019</v>
      </c>
      <c r="J493" t="s">
        <v>9021</v>
      </c>
      <c r="K493" t="s">
        <v>8831</v>
      </c>
    </row>
    <row r="494" spans="1:11" s="1" customFormat="1" x14ac:dyDescent="0.25">
      <c r="A494" t="s">
        <v>9022</v>
      </c>
      <c r="B494" t="s">
        <v>9023</v>
      </c>
      <c r="C494" s="88"/>
      <c r="D494" t="s">
        <v>9024</v>
      </c>
      <c r="E494">
        <v>777</v>
      </c>
      <c r="F494" t="s">
        <v>9025</v>
      </c>
      <c r="G494" t="s">
        <v>8830</v>
      </c>
      <c r="H494" t="s">
        <v>8831</v>
      </c>
      <c r="I494" t="s">
        <v>9023</v>
      </c>
      <c r="J494" t="s">
        <v>9025</v>
      </c>
      <c r="K494" t="s">
        <v>8831</v>
      </c>
    </row>
    <row r="495" spans="1:11" s="1" customFormat="1" x14ac:dyDescent="0.25">
      <c r="A495" t="s">
        <v>9026</v>
      </c>
      <c r="B495" t="s">
        <v>9027</v>
      </c>
      <c r="C495" s="88"/>
      <c r="D495" t="s">
        <v>9028</v>
      </c>
      <c r="E495">
        <v>663</v>
      </c>
      <c r="F495" t="s">
        <v>9029</v>
      </c>
      <c r="G495" t="s">
        <v>8830</v>
      </c>
      <c r="H495" t="s">
        <v>8831</v>
      </c>
      <c r="I495" t="s">
        <v>9027</v>
      </c>
      <c r="J495" t="s">
        <v>9029</v>
      </c>
      <c r="K495" t="s">
        <v>8831</v>
      </c>
    </row>
    <row r="496" spans="1:11" s="1" customFormat="1" x14ac:dyDescent="0.25">
      <c r="A496" t="s">
        <v>9030</v>
      </c>
      <c r="B496" t="s">
        <v>9031</v>
      </c>
      <c r="C496" s="88"/>
      <c r="D496" t="s">
        <v>9028</v>
      </c>
      <c r="E496">
        <v>663</v>
      </c>
      <c r="F496" t="s">
        <v>9032</v>
      </c>
      <c r="G496" t="s">
        <v>8830</v>
      </c>
      <c r="H496" t="s">
        <v>8831</v>
      </c>
      <c r="I496" t="s">
        <v>9031</v>
      </c>
      <c r="J496" t="s">
        <v>9032</v>
      </c>
      <c r="K496" t="s">
        <v>8831</v>
      </c>
    </row>
    <row r="497" spans="1:11" s="1" customFormat="1" x14ac:dyDescent="0.25">
      <c r="A497" t="s">
        <v>9033</v>
      </c>
      <c r="B497" t="s">
        <v>9034</v>
      </c>
      <c r="C497" s="88"/>
      <c r="D497" t="s">
        <v>8903</v>
      </c>
      <c r="E497">
        <v>1349</v>
      </c>
      <c r="F497" t="s">
        <v>9035</v>
      </c>
      <c r="G497" t="s">
        <v>8830</v>
      </c>
      <c r="H497" t="s">
        <v>8831</v>
      </c>
      <c r="I497" t="s">
        <v>9034</v>
      </c>
      <c r="J497" t="s">
        <v>9035</v>
      </c>
      <c r="K497" t="s">
        <v>8831</v>
      </c>
    </row>
    <row r="498" spans="1:11" s="1" customFormat="1" x14ac:dyDescent="0.25">
      <c r="A498" t="s">
        <v>9036</v>
      </c>
      <c r="B498" t="s">
        <v>9037</v>
      </c>
      <c r="C498" s="88"/>
      <c r="D498" t="s">
        <v>7563</v>
      </c>
      <c r="E498">
        <v>1100</v>
      </c>
      <c r="F498" t="s">
        <v>9038</v>
      </c>
      <c r="G498" t="s">
        <v>8830</v>
      </c>
      <c r="H498" t="s">
        <v>8831</v>
      </c>
      <c r="I498" t="s">
        <v>9037</v>
      </c>
      <c r="J498" t="s">
        <v>9038</v>
      </c>
      <c r="K498" t="s">
        <v>8831</v>
      </c>
    </row>
    <row r="499" spans="1:11" s="1" customFormat="1" x14ac:dyDescent="0.25">
      <c r="A499" t="s">
        <v>9039</v>
      </c>
      <c r="B499" t="s">
        <v>9040</v>
      </c>
      <c r="C499" s="88"/>
      <c r="D499" t="s">
        <v>9041</v>
      </c>
      <c r="E499">
        <v>550</v>
      </c>
      <c r="F499" t="s">
        <v>9042</v>
      </c>
      <c r="G499" t="s">
        <v>8830</v>
      </c>
      <c r="H499" t="s">
        <v>8831</v>
      </c>
      <c r="I499" t="s">
        <v>9040</v>
      </c>
      <c r="J499" t="s">
        <v>9042</v>
      </c>
      <c r="K499" t="s">
        <v>8831</v>
      </c>
    </row>
    <row r="500" spans="1:11" s="1" customFormat="1" x14ac:dyDescent="0.25">
      <c r="A500" t="s">
        <v>9043</v>
      </c>
      <c r="B500" t="s">
        <v>9044</v>
      </c>
      <c r="C500" s="88"/>
      <c r="D500" t="s">
        <v>9045</v>
      </c>
      <c r="E500">
        <v>2190</v>
      </c>
      <c r="F500" t="s">
        <v>9046</v>
      </c>
      <c r="G500" t="s">
        <v>8830</v>
      </c>
      <c r="H500" t="s">
        <v>8831</v>
      </c>
      <c r="I500" t="s">
        <v>9044</v>
      </c>
      <c r="J500" t="s">
        <v>9046</v>
      </c>
      <c r="K500" t="s">
        <v>8831</v>
      </c>
    </row>
    <row r="501" spans="1:11" s="1" customFormat="1" x14ac:dyDescent="0.25">
      <c r="A501" t="s">
        <v>9047</v>
      </c>
      <c r="B501" t="s">
        <v>9048</v>
      </c>
      <c r="C501" s="88"/>
      <c r="D501" t="s">
        <v>9049</v>
      </c>
      <c r="E501">
        <v>1950</v>
      </c>
      <c r="F501" t="s">
        <v>9050</v>
      </c>
      <c r="G501" t="s">
        <v>8830</v>
      </c>
      <c r="H501" t="s">
        <v>8831</v>
      </c>
      <c r="I501" t="s">
        <v>9048</v>
      </c>
      <c r="J501" t="s">
        <v>9050</v>
      </c>
      <c r="K501" t="s">
        <v>8831</v>
      </c>
    </row>
    <row r="502" spans="1:11" s="1" customFormat="1" x14ac:dyDescent="0.25">
      <c r="A502" t="s">
        <v>9051</v>
      </c>
      <c r="B502" t="s">
        <v>9052</v>
      </c>
      <c r="C502" s="88"/>
      <c r="D502" t="s">
        <v>8874</v>
      </c>
      <c r="E502">
        <v>1441</v>
      </c>
      <c r="F502" t="s">
        <v>9053</v>
      </c>
      <c r="G502" t="s">
        <v>8830</v>
      </c>
      <c r="H502" t="s">
        <v>8831</v>
      </c>
      <c r="I502" t="s">
        <v>9052</v>
      </c>
      <c r="J502" t="s">
        <v>9053</v>
      </c>
      <c r="K502" t="s">
        <v>8831</v>
      </c>
    </row>
    <row r="503" spans="1:11" s="1" customFormat="1" x14ac:dyDescent="0.25">
      <c r="A503" t="s">
        <v>9054</v>
      </c>
      <c r="B503" t="s">
        <v>9055</v>
      </c>
      <c r="C503" s="88"/>
      <c r="D503" t="s">
        <v>7592</v>
      </c>
      <c r="E503">
        <v>151</v>
      </c>
      <c r="F503" t="s">
        <v>9056</v>
      </c>
      <c r="G503" t="s">
        <v>8830</v>
      </c>
      <c r="H503" t="s">
        <v>8831</v>
      </c>
      <c r="I503" t="s">
        <v>9055</v>
      </c>
      <c r="J503" t="s">
        <v>9056</v>
      </c>
      <c r="K503" t="s">
        <v>8831</v>
      </c>
    </row>
    <row r="504" spans="1:11" s="1" customFormat="1" x14ac:dyDescent="0.25">
      <c r="A504" t="s">
        <v>9057</v>
      </c>
      <c r="B504" t="s">
        <v>9058</v>
      </c>
      <c r="C504" s="88"/>
      <c r="D504" t="s">
        <v>7592</v>
      </c>
      <c r="E504">
        <v>151</v>
      </c>
      <c r="F504" t="s">
        <v>9059</v>
      </c>
      <c r="G504" t="s">
        <v>8830</v>
      </c>
      <c r="H504" t="s">
        <v>8831</v>
      </c>
      <c r="I504" t="s">
        <v>9058</v>
      </c>
      <c r="J504" t="s">
        <v>9059</v>
      </c>
      <c r="K504" t="s">
        <v>8831</v>
      </c>
    </row>
    <row r="505" spans="1:11" s="1" customFormat="1" x14ac:dyDescent="0.25">
      <c r="A505" t="s">
        <v>9060</v>
      </c>
      <c r="B505" t="s">
        <v>9061</v>
      </c>
      <c r="C505" s="88"/>
      <c r="D505" t="s">
        <v>8903</v>
      </c>
      <c r="E505">
        <v>1349</v>
      </c>
      <c r="F505" t="s">
        <v>9062</v>
      </c>
      <c r="G505" t="s">
        <v>8830</v>
      </c>
      <c r="H505" t="s">
        <v>8831</v>
      </c>
      <c r="I505" t="s">
        <v>9061</v>
      </c>
      <c r="J505" t="s">
        <v>9062</v>
      </c>
      <c r="K505" t="s">
        <v>8831</v>
      </c>
    </row>
    <row r="506" spans="1:11" s="1" customFormat="1" x14ac:dyDescent="0.25">
      <c r="A506" t="s">
        <v>9063</v>
      </c>
      <c r="B506" t="s">
        <v>9064</v>
      </c>
      <c r="C506" s="88"/>
      <c r="D506" t="s">
        <v>9065</v>
      </c>
      <c r="E506">
        <v>2000</v>
      </c>
      <c r="F506" t="s">
        <v>9066</v>
      </c>
      <c r="G506" t="s">
        <v>8830</v>
      </c>
      <c r="H506" t="s">
        <v>8831</v>
      </c>
      <c r="I506" t="s">
        <v>9064</v>
      </c>
      <c r="J506" t="s">
        <v>9066</v>
      </c>
      <c r="K506" t="s">
        <v>8831</v>
      </c>
    </row>
    <row r="507" spans="1:11" s="1" customFormat="1" x14ac:dyDescent="0.25">
      <c r="A507" t="s">
        <v>11424</v>
      </c>
      <c r="B507" t="s">
        <v>8100</v>
      </c>
      <c r="C507" s="88"/>
      <c r="D507" t="s">
        <v>7315</v>
      </c>
      <c r="E507">
        <v>801</v>
      </c>
      <c r="F507" t="s">
        <v>11425</v>
      </c>
      <c r="G507" t="s">
        <v>8100</v>
      </c>
      <c r="H507" t="s">
        <v>8100</v>
      </c>
      <c r="I507" t="s">
        <v>8100</v>
      </c>
      <c r="J507" t="s">
        <v>11425</v>
      </c>
      <c r="K507" t="s">
        <v>12536</v>
      </c>
    </row>
    <row r="508" spans="1:11" s="1" customFormat="1" x14ac:dyDescent="0.25">
      <c r="A508" t="s">
        <v>11426</v>
      </c>
      <c r="B508" t="s">
        <v>11427</v>
      </c>
      <c r="C508" s="88"/>
      <c r="D508" t="s">
        <v>7726</v>
      </c>
      <c r="E508">
        <v>1024</v>
      </c>
      <c r="F508" t="s">
        <v>11428</v>
      </c>
      <c r="G508" t="s">
        <v>8100</v>
      </c>
      <c r="H508" t="s">
        <v>8100</v>
      </c>
      <c r="I508" t="s">
        <v>11427</v>
      </c>
      <c r="J508" t="s">
        <v>11428</v>
      </c>
      <c r="K508" t="s">
        <v>12536</v>
      </c>
    </row>
    <row r="509" spans="1:11" s="1" customFormat="1" x14ac:dyDescent="0.25">
      <c r="A509" t="s">
        <v>11429</v>
      </c>
      <c r="B509" t="s">
        <v>11430</v>
      </c>
      <c r="C509" s="88"/>
      <c r="D509" t="s">
        <v>11431</v>
      </c>
      <c r="E509">
        <v>0</v>
      </c>
      <c r="F509" t="s">
        <v>11432</v>
      </c>
      <c r="G509" t="s">
        <v>11430</v>
      </c>
      <c r="H509" t="s">
        <v>8100</v>
      </c>
      <c r="I509" t="s">
        <v>11430</v>
      </c>
      <c r="J509" t="s">
        <v>11432</v>
      </c>
      <c r="K509" t="s">
        <v>12537</v>
      </c>
    </row>
    <row r="510" spans="1:11" s="1" customFormat="1" x14ac:dyDescent="0.25">
      <c r="A510" t="s">
        <v>11433</v>
      </c>
      <c r="B510" t="s">
        <v>11434</v>
      </c>
      <c r="C510" s="88"/>
      <c r="D510" t="s">
        <v>9351</v>
      </c>
      <c r="E510">
        <v>0</v>
      </c>
      <c r="F510" t="s">
        <v>11435</v>
      </c>
      <c r="G510" t="s">
        <v>11434</v>
      </c>
      <c r="H510" t="s">
        <v>8100</v>
      </c>
      <c r="I510" t="s">
        <v>11434</v>
      </c>
      <c r="J510" t="s">
        <v>11435</v>
      </c>
      <c r="K510" t="s">
        <v>12537</v>
      </c>
    </row>
    <row r="511" spans="1:11" s="1" customFormat="1" x14ac:dyDescent="0.25">
      <c r="A511" t="s">
        <v>11436</v>
      </c>
      <c r="B511" t="s">
        <v>10914</v>
      </c>
      <c r="C511" s="88"/>
      <c r="D511" t="s">
        <v>8088</v>
      </c>
      <c r="E511">
        <v>0</v>
      </c>
      <c r="F511" t="s">
        <v>11437</v>
      </c>
      <c r="G511" t="s">
        <v>10914</v>
      </c>
      <c r="H511" t="s">
        <v>8100</v>
      </c>
      <c r="I511" t="s">
        <v>10914</v>
      </c>
      <c r="J511" t="s">
        <v>11437</v>
      </c>
      <c r="K511" t="s">
        <v>7729</v>
      </c>
    </row>
    <row r="512" spans="1:11" s="1" customFormat="1" x14ac:dyDescent="0.25">
      <c r="A512" t="s">
        <v>11438</v>
      </c>
      <c r="B512" t="s">
        <v>11439</v>
      </c>
      <c r="C512" s="88"/>
      <c r="D512" t="s">
        <v>7730</v>
      </c>
      <c r="E512">
        <v>534</v>
      </c>
      <c r="F512" t="s">
        <v>11440</v>
      </c>
      <c r="G512" t="s">
        <v>11439</v>
      </c>
      <c r="H512" t="s">
        <v>8100</v>
      </c>
      <c r="I512" t="s">
        <v>11439</v>
      </c>
      <c r="J512" t="s">
        <v>11440</v>
      </c>
      <c r="K512" t="s">
        <v>7817</v>
      </c>
    </row>
    <row r="513" spans="1:11" s="1" customFormat="1" x14ac:dyDescent="0.25">
      <c r="A513" t="s">
        <v>11441</v>
      </c>
      <c r="B513" t="s">
        <v>11442</v>
      </c>
      <c r="C513" s="88"/>
      <c r="D513" t="s">
        <v>7478</v>
      </c>
      <c r="E513">
        <v>791</v>
      </c>
      <c r="F513" t="s">
        <v>11443</v>
      </c>
      <c r="G513" t="s">
        <v>11442</v>
      </c>
      <c r="H513" t="s">
        <v>8100</v>
      </c>
      <c r="I513" t="s">
        <v>11442</v>
      </c>
      <c r="J513" t="s">
        <v>11443</v>
      </c>
      <c r="K513" t="s">
        <v>12538</v>
      </c>
    </row>
    <row r="514" spans="1:11" s="1" customFormat="1" x14ac:dyDescent="0.25">
      <c r="A514" t="s">
        <v>11444</v>
      </c>
      <c r="B514" t="s">
        <v>11445</v>
      </c>
      <c r="C514" s="88"/>
      <c r="D514" t="s">
        <v>11446</v>
      </c>
      <c r="E514">
        <v>193</v>
      </c>
      <c r="F514" t="s">
        <v>11447</v>
      </c>
      <c r="G514" t="s">
        <v>11445</v>
      </c>
      <c r="H514" t="s">
        <v>8100</v>
      </c>
      <c r="I514" t="s">
        <v>11445</v>
      </c>
      <c r="J514" t="s">
        <v>11447</v>
      </c>
      <c r="K514" t="s">
        <v>8395</v>
      </c>
    </row>
    <row r="515" spans="1:11" s="1" customFormat="1" x14ac:dyDescent="0.25">
      <c r="A515" t="s">
        <v>11448</v>
      </c>
      <c r="B515" t="s">
        <v>8038</v>
      </c>
      <c r="C515" s="88"/>
      <c r="D515" t="s">
        <v>9351</v>
      </c>
      <c r="E515">
        <v>0</v>
      </c>
      <c r="F515" t="s">
        <v>11449</v>
      </c>
      <c r="G515" t="s">
        <v>8038</v>
      </c>
      <c r="H515" t="s">
        <v>8100</v>
      </c>
      <c r="I515" t="s">
        <v>8038</v>
      </c>
      <c r="J515" t="s">
        <v>11449</v>
      </c>
      <c r="K515" t="s">
        <v>7729</v>
      </c>
    </row>
    <row r="516" spans="1:11" s="1" customFormat="1" x14ac:dyDescent="0.25">
      <c r="A516" t="s">
        <v>11450</v>
      </c>
      <c r="B516" t="s">
        <v>11419</v>
      </c>
      <c r="C516" s="88"/>
      <c r="D516" t="s">
        <v>11451</v>
      </c>
      <c r="E516">
        <v>31</v>
      </c>
      <c r="F516" t="s">
        <v>11452</v>
      </c>
      <c r="G516" t="s">
        <v>11419</v>
      </c>
      <c r="H516" t="s">
        <v>8100</v>
      </c>
      <c r="I516" t="s">
        <v>11419</v>
      </c>
      <c r="J516" t="s">
        <v>11452</v>
      </c>
      <c r="K516" t="s">
        <v>12538</v>
      </c>
    </row>
    <row r="517" spans="1:11" s="1" customFormat="1" x14ac:dyDescent="0.25">
      <c r="A517" t="s">
        <v>11453</v>
      </c>
      <c r="B517" t="s">
        <v>13240</v>
      </c>
      <c r="C517" s="88"/>
      <c r="D517" t="s">
        <v>7654</v>
      </c>
      <c r="E517">
        <v>88</v>
      </c>
      <c r="F517" t="s">
        <v>11454</v>
      </c>
      <c r="G517" t="s">
        <v>11419</v>
      </c>
      <c r="H517" t="s">
        <v>8100</v>
      </c>
      <c r="I517" t="s">
        <v>13240</v>
      </c>
      <c r="J517" t="s">
        <v>11454</v>
      </c>
      <c r="K517" t="s">
        <v>12538</v>
      </c>
    </row>
    <row r="518" spans="1:11" s="1" customFormat="1" x14ac:dyDescent="0.25">
      <c r="A518" t="s">
        <v>11455</v>
      </c>
      <c r="B518" t="s">
        <v>7660</v>
      </c>
      <c r="C518" s="88"/>
      <c r="D518" t="s">
        <v>11456</v>
      </c>
      <c r="E518">
        <v>579</v>
      </c>
      <c r="F518" t="s">
        <v>11457</v>
      </c>
      <c r="G518" t="s">
        <v>7660</v>
      </c>
      <c r="H518" t="s">
        <v>8100</v>
      </c>
      <c r="I518" t="s">
        <v>7660</v>
      </c>
      <c r="J518" t="s">
        <v>11457</v>
      </c>
      <c r="K518" t="s">
        <v>8023</v>
      </c>
    </row>
    <row r="519" spans="1:11" s="1" customFormat="1" x14ac:dyDescent="0.25">
      <c r="A519" t="s">
        <v>11458</v>
      </c>
      <c r="B519" t="s">
        <v>11459</v>
      </c>
      <c r="C519" s="88"/>
      <c r="D519" t="s">
        <v>7315</v>
      </c>
      <c r="E519">
        <v>493</v>
      </c>
      <c r="F519" t="s">
        <v>11460</v>
      </c>
      <c r="G519" t="s">
        <v>11459</v>
      </c>
      <c r="H519" t="s">
        <v>8100</v>
      </c>
      <c r="I519" t="s">
        <v>11459</v>
      </c>
      <c r="J519" t="s">
        <v>11460</v>
      </c>
      <c r="K519" t="s">
        <v>7817</v>
      </c>
    </row>
    <row r="520" spans="1:11" s="1" customFormat="1" x14ac:dyDescent="0.25">
      <c r="A520" t="s">
        <v>11461</v>
      </c>
      <c r="B520" t="s">
        <v>11462</v>
      </c>
      <c r="C520" s="88"/>
      <c r="D520" t="s">
        <v>7315</v>
      </c>
      <c r="E520">
        <v>0</v>
      </c>
      <c r="F520" t="s">
        <v>11463</v>
      </c>
      <c r="G520" t="s">
        <v>11462</v>
      </c>
      <c r="H520" t="s">
        <v>8100</v>
      </c>
      <c r="I520" t="s">
        <v>11462</v>
      </c>
      <c r="J520" t="s">
        <v>11463</v>
      </c>
      <c r="K520" t="s">
        <v>12537</v>
      </c>
    </row>
    <row r="521" spans="1:11" s="1" customFormat="1" x14ac:dyDescent="0.25">
      <c r="A521" t="s">
        <v>11464</v>
      </c>
      <c r="B521" t="s">
        <v>11465</v>
      </c>
      <c r="C521" s="88"/>
      <c r="D521" t="s">
        <v>8516</v>
      </c>
      <c r="E521">
        <v>210</v>
      </c>
      <c r="F521" t="s">
        <v>11466</v>
      </c>
      <c r="G521" t="s">
        <v>11465</v>
      </c>
      <c r="H521" t="s">
        <v>8100</v>
      </c>
      <c r="I521" t="s">
        <v>11465</v>
      </c>
      <c r="J521" t="s">
        <v>11466</v>
      </c>
      <c r="K521" t="s">
        <v>7729</v>
      </c>
    </row>
    <row r="522" spans="1:11" s="1" customFormat="1" x14ac:dyDescent="0.25">
      <c r="A522" t="s">
        <v>11467</v>
      </c>
      <c r="B522" t="s">
        <v>11468</v>
      </c>
      <c r="C522" s="88"/>
      <c r="D522" t="s">
        <v>7792</v>
      </c>
      <c r="E522">
        <v>0</v>
      </c>
      <c r="F522" t="s">
        <v>11470</v>
      </c>
      <c r="G522" t="s">
        <v>11469</v>
      </c>
      <c r="H522" t="s">
        <v>8100</v>
      </c>
      <c r="I522" t="s">
        <v>11468</v>
      </c>
      <c r="J522" t="s">
        <v>11470</v>
      </c>
      <c r="K522" t="s">
        <v>7729</v>
      </c>
    </row>
    <row r="523" spans="1:11" s="1" customFormat="1" x14ac:dyDescent="0.25">
      <c r="A523" t="s">
        <v>11471</v>
      </c>
      <c r="B523" t="s">
        <v>11416</v>
      </c>
      <c r="C523" s="88"/>
      <c r="D523" t="s">
        <v>11472</v>
      </c>
      <c r="E523">
        <v>0</v>
      </c>
      <c r="F523" t="s">
        <v>11473</v>
      </c>
      <c r="G523" t="s">
        <v>7315</v>
      </c>
      <c r="H523" t="s">
        <v>8100</v>
      </c>
      <c r="I523" t="s">
        <v>11416</v>
      </c>
      <c r="J523" t="s">
        <v>11473</v>
      </c>
      <c r="K523" t="s">
        <v>12539</v>
      </c>
    </row>
    <row r="524" spans="1:11" s="1" customFormat="1" x14ac:dyDescent="0.25">
      <c r="A524" t="s">
        <v>11474</v>
      </c>
      <c r="B524" t="s">
        <v>11475</v>
      </c>
      <c r="C524" s="88"/>
      <c r="D524" t="s">
        <v>7730</v>
      </c>
      <c r="E524">
        <v>700</v>
      </c>
      <c r="F524" t="s">
        <v>11476</v>
      </c>
      <c r="G524" t="s">
        <v>11475</v>
      </c>
      <c r="H524" t="s">
        <v>8100</v>
      </c>
      <c r="I524" t="s">
        <v>11475</v>
      </c>
      <c r="J524" t="s">
        <v>11476</v>
      </c>
      <c r="K524" t="s">
        <v>8023</v>
      </c>
    </row>
    <row r="525" spans="1:11" s="1" customFormat="1" x14ac:dyDescent="0.25">
      <c r="A525" t="s">
        <v>11477</v>
      </c>
      <c r="B525" t="s">
        <v>11478</v>
      </c>
      <c r="C525" s="88"/>
      <c r="D525" t="s">
        <v>9351</v>
      </c>
      <c r="E525">
        <v>232</v>
      </c>
      <c r="F525" t="s">
        <v>11479</v>
      </c>
      <c r="G525" t="s">
        <v>11478</v>
      </c>
      <c r="H525" t="s">
        <v>8100</v>
      </c>
      <c r="I525" t="s">
        <v>11478</v>
      </c>
      <c r="J525" t="s">
        <v>11479</v>
      </c>
      <c r="K525" t="s">
        <v>7817</v>
      </c>
    </row>
    <row r="526" spans="1:11" s="1" customFormat="1" x14ac:dyDescent="0.25">
      <c r="A526" t="s">
        <v>11480</v>
      </c>
      <c r="B526" t="s">
        <v>11481</v>
      </c>
      <c r="C526" s="88"/>
      <c r="D526" t="s">
        <v>11482</v>
      </c>
      <c r="E526">
        <v>340</v>
      </c>
      <c r="F526" t="s">
        <v>11483</v>
      </c>
      <c r="G526" t="s">
        <v>11481</v>
      </c>
      <c r="H526" t="s">
        <v>8100</v>
      </c>
      <c r="I526" t="s">
        <v>11481</v>
      </c>
      <c r="J526" t="s">
        <v>11483</v>
      </c>
      <c r="K526" t="s">
        <v>12537</v>
      </c>
    </row>
    <row r="527" spans="1:11" s="1" customFormat="1" x14ac:dyDescent="0.25">
      <c r="A527" t="s">
        <v>11484</v>
      </c>
      <c r="B527" t="s">
        <v>11485</v>
      </c>
      <c r="C527" s="88"/>
      <c r="D527" t="s">
        <v>11486</v>
      </c>
      <c r="E527">
        <v>0</v>
      </c>
      <c r="F527" t="s">
        <v>11487</v>
      </c>
      <c r="G527" t="s">
        <v>11485</v>
      </c>
      <c r="H527" t="s">
        <v>8100</v>
      </c>
      <c r="I527" t="s">
        <v>11485</v>
      </c>
      <c r="J527" t="s">
        <v>11487</v>
      </c>
      <c r="K527" t="s">
        <v>12538</v>
      </c>
    </row>
    <row r="528" spans="1:11" s="1" customFormat="1" x14ac:dyDescent="0.25">
      <c r="A528" t="s">
        <v>11488</v>
      </c>
      <c r="B528" t="s">
        <v>11489</v>
      </c>
      <c r="C528" s="88"/>
      <c r="D528">
        <v>0</v>
      </c>
      <c r="E528"/>
      <c r="F528" t="s">
        <v>11491</v>
      </c>
      <c r="G528" t="s">
        <v>11490</v>
      </c>
      <c r="H528" t="s">
        <v>8100</v>
      </c>
      <c r="I528" t="s">
        <v>11489</v>
      </c>
      <c r="J528" t="s">
        <v>11491</v>
      </c>
      <c r="K528" t="s">
        <v>12536</v>
      </c>
    </row>
    <row r="529" spans="1:11" s="1" customFormat="1" x14ac:dyDescent="0.25">
      <c r="A529" t="s">
        <v>11492</v>
      </c>
      <c r="B529" t="s">
        <v>11493</v>
      </c>
      <c r="C529" s="88"/>
      <c r="D529">
        <v>0</v>
      </c>
      <c r="E529"/>
      <c r="F529" t="s">
        <v>11494</v>
      </c>
      <c r="G529" t="s">
        <v>11493</v>
      </c>
      <c r="H529" t="s">
        <v>8100</v>
      </c>
      <c r="I529" t="s">
        <v>11493</v>
      </c>
      <c r="J529" t="s">
        <v>11494</v>
      </c>
      <c r="K529" t="s">
        <v>12536</v>
      </c>
    </row>
    <row r="530" spans="1:11" s="1" customFormat="1" x14ac:dyDescent="0.25">
      <c r="A530" t="s">
        <v>11495</v>
      </c>
      <c r="B530" t="s">
        <v>11496</v>
      </c>
      <c r="C530" s="88"/>
      <c r="D530">
        <v>0</v>
      </c>
      <c r="E530"/>
      <c r="F530" t="s">
        <v>11497</v>
      </c>
      <c r="G530" t="s">
        <v>11496</v>
      </c>
      <c r="H530" t="s">
        <v>8100</v>
      </c>
      <c r="I530" t="s">
        <v>11496</v>
      </c>
      <c r="J530" t="s">
        <v>11497</v>
      </c>
      <c r="K530" t="s">
        <v>12539</v>
      </c>
    </row>
    <row r="531" spans="1:11" s="1" customFormat="1" x14ac:dyDescent="0.25">
      <c r="A531" t="s">
        <v>11498</v>
      </c>
      <c r="B531" t="s">
        <v>11499</v>
      </c>
      <c r="C531" s="88"/>
      <c r="D531" t="s">
        <v>8314</v>
      </c>
      <c r="E531">
        <v>0</v>
      </c>
      <c r="F531" t="s">
        <v>11501</v>
      </c>
      <c r="G531" t="s">
        <v>11500</v>
      </c>
      <c r="H531" t="s">
        <v>8100</v>
      </c>
      <c r="I531" t="s">
        <v>11499</v>
      </c>
      <c r="J531" t="s">
        <v>11501</v>
      </c>
      <c r="K531" t="s">
        <v>8917</v>
      </c>
    </row>
    <row r="532" spans="1:11" s="1" customFormat="1" x14ac:dyDescent="0.25">
      <c r="A532" t="s">
        <v>11502</v>
      </c>
      <c r="B532" t="s">
        <v>11503</v>
      </c>
      <c r="C532" s="88"/>
      <c r="D532" t="s">
        <v>7729</v>
      </c>
      <c r="E532">
        <v>945</v>
      </c>
      <c r="F532" t="s">
        <v>11504</v>
      </c>
      <c r="G532" t="s">
        <v>8100</v>
      </c>
      <c r="H532" t="s">
        <v>8100</v>
      </c>
      <c r="I532" t="s">
        <v>11503</v>
      </c>
      <c r="J532" t="s">
        <v>11504</v>
      </c>
      <c r="K532" t="s">
        <v>12536</v>
      </c>
    </row>
    <row r="533" spans="1:11" s="1" customFormat="1" x14ac:dyDescent="0.25">
      <c r="A533" t="s">
        <v>11505</v>
      </c>
      <c r="B533" t="s">
        <v>11506</v>
      </c>
      <c r="C533" s="88"/>
      <c r="D533" t="s">
        <v>7852</v>
      </c>
      <c r="E533">
        <v>0</v>
      </c>
      <c r="F533" t="s">
        <v>11508</v>
      </c>
      <c r="G533" t="s">
        <v>11507</v>
      </c>
      <c r="H533" t="s">
        <v>8100</v>
      </c>
      <c r="I533" t="s">
        <v>11506</v>
      </c>
      <c r="J533" t="s">
        <v>11508</v>
      </c>
      <c r="K533" t="s">
        <v>12536</v>
      </c>
    </row>
    <row r="534" spans="1:11" s="1" customFormat="1" x14ac:dyDescent="0.25">
      <c r="A534" t="s">
        <v>10169</v>
      </c>
      <c r="B534" t="s">
        <v>9024</v>
      </c>
      <c r="C534" s="88"/>
      <c r="D534" t="s">
        <v>7437</v>
      </c>
      <c r="E534">
        <v>102</v>
      </c>
      <c r="F534" t="s">
        <v>10170</v>
      </c>
      <c r="G534" t="s">
        <v>9024</v>
      </c>
      <c r="H534" t="s">
        <v>8602</v>
      </c>
      <c r="I534" t="s">
        <v>9024</v>
      </c>
      <c r="J534" t="s">
        <v>10170</v>
      </c>
      <c r="K534" t="s">
        <v>9024</v>
      </c>
    </row>
    <row r="535" spans="1:11" s="1" customFormat="1" x14ac:dyDescent="0.25">
      <c r="A535" t="s">
        <v>10171</v>
      </c>
      <c r="B535" t="s">
        <v>10052</v>
      </c>
      <c r="C535" s="88"/>
      <c r="D535" t="s">
        <v>7845</v>
      </c>
      <c r="E535">
        <v>360</v>
      </c>
      <c r="F535" t="s">
        <v>10172</v>
      </c>
      <c r="G535" t="s">
        <v>9024</v>
      </c>
      <c r="H535" t="s">
        <v>8602</v>
      </c>
      <c r="I535" t="s">
        <v>10052</v>
      </c>
      <c r="J535" t="s">
        <v>10172</v>
      </c>
      <c r="K535" t="s">
        <v>9024</v>
      </c>
    </row>
    <row r="536" spans="1:11" s="1" customFormat="1" x14ac:dyDescent="0.25">
      <c r="A536" t="s">
        <v>10173</v>
      </c>
      <c r="B536" t="s">
        <v>10174</v>
      </c>
      <c r="C536" s="88"/>
      <c r="D536" t="s">
        <v>10175</v>
      </c>
      <c r="E536">
        <v>1620</v>
      </c>
      <c r="F536" t="s">
        <v>10176</v>
      </c>
      <c r="G536" t="s">
        <v>9024</v>
      </c>
      <c r="H536" t="s">
        <v>8602</v>
      </c>
      <c r="I536" t="s">
        <v>10174</v>
      </c>
      <c r="J536" t="s">
        <v>10176</v>
      </c>
      <c r="K536" t="s">
        <v>9024</v>
      </c>
    </row>
    <row r="537" spans="1:11" s="1" customFormat="1" x14ac:dyDescent="0.25">
      <c r="A537" t="s">
        <v>10177</v>
      </c>
      <c r="B537" t="s">
        <v>10055</v>
      </c>
      <c r="C537" s="88"/>
      <c r="D537" t="s">
        <v>10178</v>
      </c>
      <c r="E537">
        <v>2664</v>
      </c>
      <c r="F537" t="s">
        <v>10179</v>
      </c>
      <c r="G537" t="s">
        <v>9024</v>
      </c>
      <c r="H537" t="s">
        <v>8602</v>
      </c>
      <c r="I537" t="s">
        <v>10055</v>
      </c>
      <c r="J537" t="s">
        <v>10179</v>
      </c>
      <c r="K537" t="s">
        <v>9024</v>
      </c>
    </row>
    <row r="538" spans="1:11" s="1" customFormat="1" x14ac:dyDescent="0.25">
      <c r="A538" t="s">
        <v>10180</v>
      </c>
      <c r="B538" t="s">
        <v>10181</v>
      </c>
      <c r="C538" s="88"/>
      <c r="D538" t="s">
        <v>10182</v>
      </c>
      <c r="E538">
        <v>1737</v>
      </c>
      <c r="F538" t="s">
        <v>10183</v>
      </c>
      <c r="G538" t="s">
        <v>9024</v>
      </c>
      <c r="H538" t="s">
        <v>8602</v>
      </c>
      <c r="I538" t="s">
        <v>10181</v>
      </c>
      <c r="J538" t="s">
        <v>10183</v>
      </c>
      <c r="K538" t="s">
        <v>9024</v>
      </c>
    </row>
    <row r="539" spans="1:11" s="1" customFormat="1" x14ac:dyDescent="0.25">
      <c r="A539" t="s">
        <v>10184</v>
      </c>
      <c r="B539" t="s">
        <v>10185</v>
      </c>
      <c r="C539" s="88"/>
      <c r="D539" t="s">
        <v>7526</v>
      </c>
      <c r="E539">
        <v>0</v>
      </c>
      <c r="F539" t="s">
        <v>10187</v>
      </c>
      <c r="G539" t="s">
        <v>10186</v>
      </c>
      <c r="H539" t="s">
        <v>8602</v>
      </c>
      <c r="I539" t="s">
        <v>10185</v>
      </c>
      <c r="J539" t="s">
        <v>10187</v>
      </c>
      <c r="K539" t="s">
        <v>9559</v>
      </c>
    </row>
    <row r="540" spans="1:11" s="1" customFormat="1" x14ac:dyDescent="0.25">
      <c r="A540" t="s">
        <v>10188</v>
      </c>
      <c r="B540" t="s">
        <v>10189</v>
      </c>
      <c r="C540" s="88"/>
      <c r="D540" t="s">
        <v>7730</v>
      </c>
      <c r="E540">
        <v>265</v>
      </c>
      <c r="F540" t="s">
        <v>10190</v>
      </c>
      <c r="G540" t="s">
        <v>10189</v>
      </c>
      <c r="H540" t="s">
        <v>8602</v>
      </c>
      <c r="I540" t="s">
        <v>10189</v>
      </c>
      <c r="J540" t="s">
        <v>10190</v>
      </c>
      <c r="K540" t="s">
        <v>7738</v>
      </c>
    </row>
    <row r="541" spans="1:11" s="1" customFormat="1" x14ac:dyDescent="0.25">
      <c r="A541" t="s">
        <v>10191</v>
      </c>
      <c r="B541" t="s">
        <v>10192</v>
      </c>
      <c r="C541" s="88"/>
      <c r="D541" t="s">
        <v>8447</v>
      </c>
      <c r="E541">
        <v>161</v>
      </c>
      <c r="F541" t="s">
        <v>10193</v>
      </c>
      <c r="G541" t="s">
        <v>10192</v>
      </c>
      <c r="H541" t="s">
        <v>8602</v>
      </c>
      <c r="I541" t="s">
        <v>10192</v>
      </c>
      <c r="J541" t="s">
        <v>10193</v>
      </c>
      <c r="K541" t="s">
        <v>9559</v>
      </c>
    </row>
    <row r="542" spans="1:11" s="1" customFormat="1" x14ac:dyDescent="0.25">
      <c r="A542" t="s">
        <v>10194</v>
      </c>
      <c r="B542" t="s">
        <v>7633</v>
      </c>
      <c r="C542" s="88"/>
      <c r="D542" t="s">
        <v>10195</v>
      </c>
      <c r="E542">
        <v>684</v>
      </c>
      <c r="F542" t="s">
        <v>10196</v>
      </c>
      <c r="G542" t="s">
        <v>7633</v>
      </c>
      <c r="H542" t="s">
        <v>8602</v>
      </c>
      <c r="I542" t="s">
        <v>7633</v>
      </c>
      <c r="J542" t="s">
        <v>10196</v>
      </c>
      <c r="K542" t="s">
        <v>7738</v>
      </c>
    </row>
    <row r="543" spans="1:11" s="1" customFormat="1" x14ac:dyDescent="0.25">
      <c r="A543" t="s">
        <v>10197</v>
      </c>
      <c r="B543" t="s">
        <v>9010</v>
      </c>
      <c r="C543" s="88"/>
      <c r="D543" t="s">
        <v>10198</v>
      </c>
      <c r="E543">
        <v>274</v>
      </c>
      <c r="F543" t="s">
        <v>10199</v>
      </c>
      <c r="G543" t="s">
        <v>9010</v>
      </c>
      <c r="H543" t="s">
        <v>8602</v>
      </c>
      <c r="I543" t="s">
        <v>9010</v>
      </c>
      <c r="J543" t="s">
        <v>10199</v>
      </c>
      <c r="K543" t="s">
        <v>9024</v>
      </c>
    </row>
    <row r="544" spans="1:11" s="1" customFormat="1" x14ac:dyDescent="0.25">
      <c r="A544" t="s">
        <v>10200</v>
      </c>
      <c r="B544" t="s">
        <v>10201</v>
      </c>
      <c r="C544" s="88"/>
      <c r="D544" t="s">
        <v>10202</v>
      </c>
      <c r="E544">
        <v>712</v>
      </c>
      <c r="F544" t="s">
        <v>10203</v>
      </c>
      <c r="G544" t="s">
        <v>10201</v>
      </c>
      <c r="H544" t="s">
        <v>8602</v>
      </c>
      <c r="I544" t="s">
        <v>10201</v>
      </c>
      <c r="J544" t="s">
        <v>10203</v>
      </c>
      <c r="K544" t="s">
        <v>7738</v>
      </c>
    </row>
    <row r="545" spans="1:11" s="1" customFormat="1" x14ac:dyDescent="0.25">
      <c r="A545" t="s">
        <v>10204</v>
      </c>
      <c r="B545" t="s">
        <v>10205</v>
      </c>
      <c r="C545" s="88"/>
      <c r="D545" t="s">
        <v>7437</v>
      </c>
      <c r="E545">
        <v>907</v>
      </c>
      <c r="F545" t="s">
        <v>10206</v>
      </c>
      <c r="G545" t="s">
        <v>10205</v>
      </c>
      <c r="H545" t="s">
        <v>8602</v>
      </c>
      <c r="I545" t="s">
        <v>10205</v>
      </c>
      <c r="J545" t="s">
        <v>10206</v>
      </c>
      <c r="K545" t="s">
        <v>9024</v>
      </c>
    </row>
    <row r="546" spans="1:11" s="1" customFormat="1" x14ac:dyDescent="0.25">
      <c r="A546" t="s">
        <v>10207</v>
      </c>
      <c r="B546" t="s">
        <v>10208</v>
      </c>
      <c r="C546" s="88"/>
      <c r="D546" t="s">
        <v>9715</v>
      </c>
      <c r="E546">
        <v>400</v>
      </c>
      <c r="F546" t="s">
        <v>10209</v>
      </c>
      <c r="G546" t="s">
        <v>10208</v>
      </c>
      <c r="H546" t="s">
        <v>8602</v>
      </c>
      <c r="I546" t="s">
        <v>10208</v>
      </c>
      <c r="J546" t="s">
        <v>10209</v>
      </c>
      <c r="K546" t="s">
        <v>10208</v>
      </c>
    </row>
    <row r="547" spans="1:11" s="1" customFormat="1" x14ac:dyDescent="0.25">
      <c r="A547" t="s">
        <v>10210</v>
      </c>
      <c r="B547" t="s">
        <v>10211</v>
      </c>
      <c r="C547" s="88"/>
      <c r="D547" t="s">
        <v>10212</v>
      </c>
      <c r="E547">
        <v>641</v>
      </c>
      <c r="F547" t="s">
        <v>10214</v>
      </c>
      <c r="G547" t="s">
        <v>10213</v>
      </c>
      <c r="H547" t="s">
        <v>8602</v>
      </c>
      <c r="I547" t="s">
        <v>10211</v>
      </c>
      <c r="J547" t="s">
        <v>10214</v>
      </c>
      <c r="K547" t="s">
        <v>10224</v>
      </c>
    </row>
    <row r="548" spans="1:11" s="1" customFormat="1" x14ac:dyDescent="0.25">
      <c r="A548" t="s">
        <v>10215</v>
      </c>
      <c r="B548" t="s">
        <v>10216</v>
      </c>
      <c r="C548" s="88"/>
      <c r="D548" t="s">
        <v>9157</v>
      </c>
      <c r="E548">
        <v>30</v>
      </c>
      <c r="F548" t="s">
        <v>10218</v>
      </c>
      <c r="G548" t="s">
        <v>10217</v>
      </c>
      <c r="H548" t="s">
        <v>8602</v>
      </c>
      <c r="I548" t="s">
        <v>10216</v>
      </c>
      <c r="J548" t="s">
        <v>10218</v>
      </c>
      <c r="K548" t="s">
        <v>10208</v>
      </c>
    </row>
    <row r="549" spans="1:11" s="1" customFormat="1" x14ac:dyDescent="0.25">
      <c r="A549" t="s">
        <v>10219</v>
      </c>
      <c r="B549" t="s">
        <v>10220</v>
      </c>
      <c r="C549" s="88"/>
      <c r="D549" t="s">
        <v>8047</v>
      </c>
      <c r="E549">
        <v>485</v>
      </c>
      <c r="F549" t="s">
        <v>10222</v>
      </c>
      <c r="G549" t="s">
        <v>10221</v>
      </c>
      <c r="H549" t="s">
        <v>8602</v>
      </c>
      <c r="I549" t="s">
        <v>10220</v>
      </c>
      <c r="J549" t="s">
        <v>10222</v>
      </c>
      <c r="K549" t="s">
        <v>11306</v>
      </c>
    </row>
    <row r="550" spans="1:11" s="1" customFormat="1" x14ac:dyDescent="0.25">
      <c r="A550" t="s">
        <v>10223</v>
      </c>
      <c r="B550" t="s">
        <v>10224</v>
      </c>
      <c r="C550" s="88"/>
      <c r="D550" t="s">
        <v>10225</v>
      </c>
      <c r="E550">
        <v>128</v>
      </c>
      <c r="F550" t="s">
        <v>10226</v>
      </c>
      <c r="G550" t="s">
        <v>10224</v>
      </c>
      <c r="H550" t="s">
        <v>8602</v>
      </c>
      <c r="I550" t="s">
        <v>10224</v>
      </c>
      <c r="J550" t="s">
        <v>10226</v>
      </c>
      <c r="K550" t="s">
        <v>10224</v>
      </c>
    </row>
    <row r="551" spans="1:11" s="1" customFormat="1" x14ac:dyDescent="0.25">
      <c r="A551" t="s">
        <v>10227</v>
      </c>
      <c r="B551" t="s">
        <v>10228</v>
      </c>
      <c r="C551" s="88"/>
      <c r="D551" t="s">
        <v>9258</v>
      </c>
      <c r="E551">
        <v>1036</v>
      </c>
      <c r="F551" t="s">
        <v>10229</v>
      </c>
      <c r="G551" t="s">
        <v>10228</v>
      </c>
      <c r="H551" t="s">
        <v>8602</v>
      </c>
      <c r="I551" t="s">
        <v>10228</v>
      </c>
      <c r="J551" t="s">
        <v>10229</v>
      </c>
      <c r="K551" t="s">
        <v>10228</v>
      </c>
    </row>
    <row r="552" spans="1:11" s="1" customFormat="1" x14ac:dyDescent="0.25">
      <c r="A552" t="s">
        <v>10230</v>
      </c>
      <c r="B552" t="s">
        <v>10231</v>
      </c>
      <c r="C552" s="88"/>
      <c r="D552" t="s">
        <v>7653</v>
      </c>
      <c r="E552">
        <v>255</v>
      </c>
      <c r="F552" t="s">
        <v>10232</v>
      </c>
      <c r="G552" t="s">
        <v>10231</v>
      </c>
      <c r="H552" t="s">
        <v>8602</v>
      </c>
      <c r="I552" t="s">
        <v>10231</v>
      </c>
      <c r="J552" t="s">
        <v>10232</v>
      </c>
      <c r="K552" t="s">
        <v>9024</v>
      </c>
    </row>
    <row r="553" spans="1:11" s="1" customFormat="1" x14ac:dyDescent="0.25">
      <c r="A553" t="s">
        <v>10233</v>
      </c>
      <c r="B553" t="s">
        <v>10234</v>
      </c>
      <c r="C553" s="88"/>
      <c r="D553" t="s">
        <v>7726</v>
      </c>
      <c r="E553">
        <v>378</v>
      </c>
      <c r="F553" t="s">
        <v>10235</v>
      </c>
      <c r="G553" t="s">
        <v>10234</v>
      </c>
      <c r="H553" t="s">
        <v>8602</v>
      </c>
      <c r="I553" t="s">
        <v>10234</v>
      </c>
      <c r="J553" t="s">
        <v>10235</v>
      </c>
      <c r="K553" t="s">
        <v>9024</v>
      </c>
    </row>
    <row r="554" spans="1:11" s="1" customFormat="1" x14ac:dyDescent="0.25">
      <c r="A554" t="s">
        <v>10236</v>
      </c>
      <c r="B554" t="s">
        <v>10237</v>
      </c>
      <c r="C554" s="88"/>
      <c r="D554" t="s">
        <v>10238</v>
      </c>
      <c r="E554">
        <v>201</v>
      </c>
      <c r="F554" t="s">
        <v>10239</v>
      </c>
      <c r="G554" t="s">
        <v>10237</v>
      </c>
      <c r="H554" t="s">
        <v>8602</v>
      </c>
      <c r="I554" t="s">
        <v>10237</v>
      </c>
      <c r="J554" t="s">
        <v>10239</v>
      </c>
      <c r="K554" t="s">
        <v>10264</v>
      </c>
    </row>
    <row r="555" spans="1:11" s="1" customFormat="1" x14ac:dyDescent="0.25">
      <c r="A555" t="s">
        <v>10240</v>
      </c>
      <c r="B555" t="s">
        <v>10241</v>
      </c>
      <c r="C555" s="88"/>
      <c r="D555" t="s">
        <v>7366</v>
      </c>
      <c r="E555">
        <v>0</v>
      </c>
      <c r="F555" t="s">
        <v>10242</v>
      </c>
      <c r="G555" t="s">
        <v>10241</v>
      </c>
      <c r="H555" t="s">
        <v>8602</v>
      </c>
      <c r="I555" t="s">
        <v>10241</v>
      </c>
      <c r="J555" t="s">
        <v>10242</v>
      </c>
      <c r="K555" t="s">
        <v>12540</v>
      </c>
    </row>
    <row r="556" spans="1:11" s="1" customFormat="1" x14ac:dyDescent="0.25">
      <c r="A556" t="s">
        <v>10243</v>
      </c>
      <c r="B556" t="s">
        <v>10244</v>
      </c>
      <c r="C556" s="88"/>
      <c r="D556" t="s">
        <v>10245</v>
      </c>
      <c r="E556"/>
      <c r="F556" t="s">
        <v>10246</v>
      </c>
      <c r="G556" t="s">
        <v>10244</v>
      </c>
      <c r="H556" t="s">
        <v>8602</v>
      </c>
      <c r="I556" t="s">
        <v>10244</v>
      </c>
      <c r="J556" t="s">
        <v>10246</v>
      </c>
      <c r="K556" t="s">
        <v>12540</v>
      </c>
    </row>
    <row r="557" spans="1:11" s="1" customFormat="1" x14ac:dyDescent="0.25">
      <c r="A557" t="s">
        <v>10247</v>
      </c>
      <c r="B557" t="s">
        <v>9559</v>
      </c>
      <c r="C557" s="88"/>
      <c r="D557" t="s">
        <v>7361</v>
      </c>
      <c r="E557">
        <v>1117</v>
      </c>
      <c r="F557" t="s">
        <v>10248</v>
      </c>
      <c r="G557" t="s">
        <v>9559</v>
      </c>
      <c r="H557" t="s">
        <v>8602</v>
      </c>
      <c r="I557" t="s">
        <v>9559</v>
      </c>
      <c r="J557" t="s">
        <v>10248</v>
      </c>
      <c r="K557" t="s">
        <v>9559</v>
      </c>
    </row>
    <row r="558" spans="1:11" s="1" customFormat="1" x14ac:dyDescent="0.25">
      <c r="A558" t="s">
        <v>10249</v>
      </c>
      <c r="B558" t="s">
        <v>10250</v>
      </c>
      <c r="C558" s="88"/>
      <c r="D558" t="s">
        <v>7804</v>
      </c>
      <c r="E558">
        <v>99</v>
      </c>
      <c r="F558" t="s">
        <v>10251</v>
      </c>
      <c r="G558" t="s">
        <v>10250</v>
      </c>
      <c r="H558" t="s">
        <v>8602</v>
      </c>
      <c r="I558" t="s">
        <v>10250</v>
      </c>
      <c r="J558" t="s">
        <v>10251</v>
      </c>
      <c r="K558" t="s">
        <v>10228</v>
      </c>
    </row>
    <row r="559" spans="1:11" s="1" customFormat="1" x14ac:dyDescent="0.25">
      <c r="A559" t="s">
        <v>10252</v>
      </c>
      <c r="B559" t="s">
        <v>10253</v>
      </c>
      <c r="C559" s="88"/>
      <c r="D559" t="s">
        <v>10254</v>
      </c>
      <c r="E559">
        <v>142</v>
      </c>
      <c r="F559" t="s">
        <v>10255</v>
      </c>
      <c r="G559" t="s">
        <v>10253</v>
      </c>
      <c r="H559" t="s">
        <v>8602</v>
      </c>
      <c r="I559" t="s">
        <v>10253</v>
      </c>
      <c r="J559" t="s">
        <v>10255</v>
      </c>
      <c r="K559" t="s">
        <v>10264</v>
      </c>
    </row>
    <row r="560" spans="1:11" s="1" customFormat="1" x14ac:dyDescent="0.25">
      <c r="A560" t="s">
        <v>10256</v>
      </c>
      <c r="B560" t="s">
        <v>10257</v>
      </c>
      <c r="C560" s="88"/>
      <c r="D560" t="s">
        <v>7412</v>
      </c>
      <c r="E560">
        <v>289</v>
      </c>
      <c r="F560" t="s">
        <v>10259</v>
      </c>
      <c r="G560" t="s">
        <v>10258</v>
      </c>
      <c r="H560" t="s">
        <v>8602</v>
      </c>
      <c r="I560" t="s">
        <v>10257</v>
      </c>
      <c r="J560" t="s">
        <v>10259</v>
      </c>
      <c r="K560" t="s">
        <v>11306</v>
      </c>
    </row>
    <row r="561" spans="1:11" s="1" customFormat="1" x14ac:dyDescent="0.25">
      <c r="A561" t="s">
        <v>10260</v>
      </c>
      <c r="B561" t="s">
        <v>10261</v>
      </c>
      <c r="C561" s="88"/>
      <c r="D561" t="s">
        <v>7437</v>
      </c>
      <c r="E561">
        <v>133</v>
      </c>
      <c r="F561" t="s">
        <v>10262</v>
      </c>
      <c r="G561" t="s">
        <v>10261</v>
      </c>
      <c r="H561" t="s">
        <v>8602</v>
      </c>
      <c r="I561" t="s">
        <v>10261</v>
      </c>
      <c r="J561" t="s">
        <v>10262</v>
      </c>
      <c r="K561" t="s">
        <v>9024</v>
      </c>
    </row>
    <row r="562" spans="1:11" s="1" customFormat="1" x14ac:dyDescent="0.25">
      <c r="A562" t="s">
        <v>10263</v>
      </c>
      <c r="B562" t="s">
        <v>10264</v>
      </c>
      <c r="C562" s="88"/>
      <c r="D562" t="s">
        <v>7361</v>
      </c>
      <c r="E562">
        <v>701</v>
      </c>
      <c r="F562" t="s">
        <v>10265</v>
      </c>
      <c r="G562" t="s">
        <v>10264</v>
      </c>
      <c r="H562" t="s">
        <v>8602</v>
      </c>
      <c r="I562" t="s">
        <v>10264</v>
      </c>
      <c r="J562" t="s">
        <v>10265</v>
      </c>
      <c r="K562" t="s">
        <v>10264</v>
      </c>
    </row>
    <row r="563" spans="1:11" s="1" customFormat="1" x14ac:dyDescent="0.25">
      <c r="A563" t="s">
        <v>10266</v>
      </c>
      <c r="B563" t="s">
        <v>10267</v>
      </c>
      <c r="C563" s="88"/>
      <c r="D563" t="s">
        <v>7730</v>
      </c>
      <c r="E563">
        <v>88</v>
      </c>
      <c r="F563" t="s">
        <v>10268</v>
      </c>
      <c r="G563" t="s">
        <v>10267</v>
      </c>
      <c r="H563" t="s">
        <v>8602</v>
      </c>
      <c r="I563" t="s">
        <v>10267</v>
      </c>
      <c r="J563" t="s">
        <v>10268</v>
      </c>
      <c r="K563" t="s">
        <v>11306</v>
      </c>
    </row>
    <row r="564" spans="1:11" s="1" customFormat="1" x14ac:dyDescent="0.25">
      <c r="A564" t="s">
        <v>10269</v>
      </c>
      <c r="B564" t="s">
        <v>10270</v>
      </c>
      <c r="C564" s="88"/>
      <c r="D564" t="s">
        <v>7366</v>
      </c>
      <c r="E564">
        <v>736</v>
      </c>
      <c r="F564" t="s">
        <v>10271</v>
      </c>
      <c r="G564" t="s">
        <v>10270</v>
      </c>
      <c r="H564" t="s">
        <v>8602</v>
      </c>
      <c r="I564" t="s">
        <v>10270</v>
      </c>
      <c r="J564" t="s">
        <v>10271</v>
      </c>
      <c r="K564" t="s">
        <v>9559</v>
      </c>
    </row>
    <row r="565" spans="1:11" s="1" customFormat="1" x14ac:dyDescent="0.25">
      <c r="A565" t="s">
        <v>10272</v>
      </c>
      <c r="B565" t="s">
        <v>10273</v>
      </c>
      <c r="C565" s="88"/>
      <c r="D565" t="s">
        <v>7653</v>
      </c>
      <c r="E565">
        <v>345</v>
      </c>
      <c r="F565" t="s">
        <v>10274</v>
      </c>
      <c r="G565" t="s">
        <v>10273</v>
      </c>
      <c r="H565" t="s">
        <v>8602</v>
      </c>
      <c r="I565" t="s">
        <v>10273</v>
      </c>
      <c r="J565" t="s">
        <v>10274</v>
      </c>
      <c r="K565" t="s">
        <v>9024</v>
      </c>
    </row>
    <row r="566" spans="1:11" s="1" customFormat="1" x14ac:dyDescent="0.25">
      <c r="A566" t="s">
        <v>10275</v>
      </c>
      <c r="B566" t="s">
        <v>10276</v>
      </c>
      <c r="C566" s="88"/>
      <c r="D566" t="s">
        <v>10212</v>
      </c>
      <c r="E566">
        <v>98</v>
      </c>
      <c r="F566" t="s">
        <v>10277</v>
      </c>
      <c r="G566" t="s">
        <v>10276</v>
      </c>
      <c r="H566" t="s">
        <v>8602</v>
      </c>
      <c r="I566" t="s">
        <v>10276</v>
      </c>
      <c r="J566" t="s">
        <v>10277</v>
      </c>
      <c r="K566" t="s">
        <v>10228</v>
      </c>
    </row>
    <row r="567" spans="1:11" s="1" customFormat="1" x14ac:dyDescent="0.25">
      <c r="A567" t="s">
        <v>10278</v>
      </c>
      <c r="B567" t="s">
        <v>10279</v>
      </c>
      <c r="C567" s="88"/>
      <c r="D567" t="s">
        <v>9347</v>
      </c>
      <c r="E567">
        <v>0</v>
      </c>
      <c r="F567" t="s">
        <v>10281</v>
      </c>
      <c r="G567" t="s">
        <v>10280</v>
      </c>
      <c r="H567" t="s">
        <v>8602</v>
      </c>
      <c r="I567" t="s">
        <v>10279</v>
      </c>
      <c r="J567" t="s">
        <v>10281</v>
      </c>
      <c r="K567" t="s">
        <v>10208</v>
      </c>
    </row>
    <row r="568" spans="1:11" s="1" customFormat="1" x14ac:dyDescent="0.25">
      <c r="A568" t="s">
        <v>10282</v>
      </c>
      <c r="B568" t="s">
        <v>10283</v>
      </c>
      <c r="C568" s="88"/>
      <c r="D568" t="s">
        <v>7437</v>
      </c>
      <c r="E568">
        <v>337</v>
      </c>
      <c r="F568" t="s">
        <v>10284</v>
      </c>
      <c r="G568" t="s">
        <v>10283</v>
      </c>
      <c r="H568" t="s">
        <v>8602</v>
      </c>
      <c r="I568" t="s">
        <v>10283</v>
      </c>
      <c r="J568" t="s">
        <v>10284</v>
      </c>
      <c r="K568" t="s">
        <v>9024</v>
      </c>
    </row>
    <row r="569" spans="1:11" s="1" customFormat="1" x14ac:dyDescent="0.25">
      <c r="A569" t="s">
        <v>10285</v>
      </c>
      <c r="B569" t="s">
        <v>7365</v>
      </c>
      <c r="C569" s="88"/>
      <c r="D569" t="s">
        <v>8039</v>
      </c>
      <c r="E569">
        <v>473</v>
      </c>
      <c r="F569" t="s">
        <v>10286</v>
      </c>
      <c r="G569" t="s">
        <v>7365</v>
      </c>
      <c r="H569" t="s">
        <v>8602</v>
      </c>
      <c r="I569" t="s">
        <v>7365</v>
      </c>
      <c r="J569" t="s">
        <v>10286</v>
      </c>
      <c r="K569" t="s">
        <v>7365</v>
      </c>
    </row>
    <row r="570" spans="1:11" s="1" customFormat="1" x14ac:dyDescent="0.25">
      <c r="A570" t="s">
        <v>10287</v>
      </c>
      <c r="B570" t="s">
        <v>10288</v>
      </c>
      <c r="C570" s="88"/>
      <c r="D570" t="s">
        <v>7318</v>
      </c>
      <c r="E570">
        <v>171</v>
      </c>
      <c r="F570" t="s">
        <v>10290</v>
      </c>
      <c r="G570" t="s">
        <v>10289</v>
      </c>
      <c r="H570" t="s">
        <v>8602</v>
      </c>
      <c r="I570" t="s">
        <v>10288</v>
      </c>
      <c r="J570" t="s">
        <v>10290</v>
      </c>
      <c r="K570" t="s">
        <v>10208</v>
      </c>
    </row>
    <row r="571" spans="1:11" s="1" customFormat="1" x14ac:dyDescent="0.25">
      <c r="A571" t="s">
        <v>10291</v>
      </c>
      <c r="B571" t="s">
        <v>10292</v>
      </c>
      <c r="C571" s="88"/>
      <c r="D571" t="s">
        <v>7730</v>
      </c>
      <c r="E571">
        <v>575</v>
      </c>
      <c r="F571" t="s">
        <v>10293</v>
      </c>
      <c r="G571" t="s">
        <v>10292</v>
      </c>
      <c r="H571" t="s">
        <v>8602</v>
      </c>
      <c r="I571" t="s">
        <v>10292</v>
      </c>
      <c r="J571" t="s">
        <v>10293</v>
      </c>
      <c r="K571" t="s">
        <v>10292</v>
      </c>
    </row>
    <row r="572" spans="1:11" s="1" customFormat="1" x14ac:dyDescent="0.25">
      <c r="A572" t="s">
        <v>10294</v>
      </c>
      <c r="B572" t="s">
        <v>10295</v>
      </c>
      <c r="C572" s="88"/>
      <c r="D572" t="s">
        <v>10296</v>
      </c>
      <c r="E572">
        <v>396</v>
      </c>
      <c r="F572" t="s">
        <v>10297</v>
      </c>
      <c r="G572" t="s">
        <v>10292</v>
      </c>
      <c r="H572" t="s">
        <v>8602</v>
      </c>
      <c r="I572" t="s">
        <v>10295</v>
      </c>
      <c r="J572" t="s">
        <v>10297</v>
      </c>
      <c r="K572" t="s">
        <v>10292</v>
      </c>
    </row>
    <row r="573" spans="1:11" s="1" customFormat="1" x14ac:dyDescent="0.25">
      <c r="A573" t="s">
        <v>10298</v>
      </c>
      <c r="B573" t="s">
        <v>10299</v>
      </c>
      <c r="C573" s="88"/>
      <c r="D573" t="s">
        <v>10300</v>
      </c>
      <c r="E573">
        <v>1320</v>
      </c>
      <c r="F573" t="s">
        <v>10301</v>
      </c>
      <c r="G573" t="s">
        <v>10299</v>
      </c>
      <c r="H573" t="s">
        <v>8602</v>
      </c>
      <c r="I573" t="s">
        <v>10299</v>
      </c>
      <c r="J573" t="s">
        <v>10301</v>
      </c>
      <c r="K573" t="s">
        <v>10306</v>
      </c>
    </row>
    <row r="574" spans="1:11" s="1" customFormat="1" x14ac:dyDescent="0.25">
      <c r="A574" t="s">
        <v>10302</v>
      </c>
      <c r="B574" t="s">
        <v>7526</v>
      </c>
      <c r="C574" s="88"/>
      <c r="D574" t="s">
        <v>10303</v>
      </c>
      <c r="E574">
        <v>431</v>
      </c>
      <c r="F574" t="s">
        <v>10304</v>
      </c>
      <c r="G574" t="s">
        <v>7526</v>
      </c>
      <c r="H574" t="s">
        <v>8602</v>
      </c>
      <c r="I574" t="s">
        <v>7526</v>
      </c>
      <c r="J574" t="s">
        <v>10304</v>
      </c>
      <c r="K574" t="s">
        <v>7526</v>
      </c>
    </row>
    <row r="575" spans="1:11" s="1" customFormat="1" x14ac:dyDescent="0.25">
      <c r="A575" t="s">
        <v>10305</v>
      </c>
      <c r="B575" t="s">
        <v>10306</v>
      </c>
      <c r="C575" s="88"/>
      <c r="D575" t="s">
        <v>10307</v>
      </c>
      <c r="E575">
        <v>1272</v>
      </c>
      <c r="F575" t="s">
        <v>10308</v>
      </c>
      <c r="G575" t="s">
        <v>10306</v>
      </c>
      <c r="H575" t="s">
        <v>8602</v>
      </c>
      <c r="I575" t="s">
        <v>10306</v>
      </c>
      <c r="J575" t="s">
        <v>10308</v>
      </c>
      <c r="K575" t="s">
        <v>10306</v>
      </c>
    </row>
    <row r="576" spans="1:11" s="1" customFormat="1" x14ac:dyDescent="0.25">
      <c r="A576" t="s">
        <v>10309</v>
      </c>
      <c r="B576" t="s">
        <v>10310</v>
      </c>
      <c r="C576" s="88"/>
      <c r="D576" t="s">
        <v>10311</v>
      </c>
      <c r="E576">
        <v>430</v>
      </c>
      <c r="F576" t="s">
        <v>10312</v>
      </c>
      <c r="G576" t="s">
        <v>10310</v>
      </c>
      <c r="H576" t="s">
        <v>8602</v>
      </c>
      <c r="I576" t="s">
        <v>10310</v>
      </c>
      <c r="J576" t="s">
        <v>10312</v>
      </c>
      <c r="K576" t="s">
        <v>10310</v>
      </c>
    </row>
    <row r="577" spans="1:11" s="1" customFormat="1" x14ac:dyDescent="0.25">
      <c r="A577" t="s">
        <v>10313</v>
      </c>
      <c r="B577" t="s">
        <v>10314</v>
      </c>
      <c r="C577" s="88"/>
      <c r="D577" t="s">
        <v>10225</v>
      </c>
      <c r="E577">
        <v>502</v>
      </c>
      <c r="F577" t="s">
        <v>10316</v>
      </c>
      <c r="G577" t="s">
        <v>10315</v>
      </c>
      <c r="H577" t="s">
        <v>8602</v>
      </c>
      <c r="I577" t="s">
        <v>10314</v>
      </c>
      <c r="J577" t="s">
        <v>10316</v>
      </c>
      <c r="K577" t="s">
        <v>10336</v>
      </c>
    </row>
    <row r="578" spans="1:11" s="1" customFormat="1" x14ac:dyDescent="0.25">
      <c r="A578" t="s">
        <v>10317</v>
      </c>
      <c r="B578" t="s">
        <v>10318</v>
      </c>
      <c r="C578" s="88"/>
      <c r="D578" t="s">
        <v>10319</v>
      </c>
      <c r="E578"/>
      <c r="F578" t="s">
        <v>10320</v>
      </c>
      <c r="G578" t="s">
        <v>9347</v>
      </c>
      <c r="H578" t="s">
        <v>8602</v>
      </c>
      <c r="I578" t="s">
        <v>10318</v>
      </c>
      <c r="J578" t="s">
        <v>10320</v>
      </c>
      <c r="K578" t="s">
        <v>7738</v>
      </c>
    </row>
    <row r="579" spans="1:11" s="1" customFormat="1" x14ac:dyDescent="0.25">
      <c r="A579" t="s">
        <v>10321</v>
      </c>
      <c r="B579" t="s">
        <v>10322</v>
      </c>
      <c r="C579" s="88"/>
      <c r="D579" t="s">
        <v>10323</v>
      </c>
      <c r="E579"/>
      <c r="F579" t="s">
        <v>10324</v>
      </c>
      <c r="G579" t="s">
        <v>10322</v>
      </c>
      <c r="H579" t="s">
        <v>8602</v>
      </c>
      <c r="I579" t="s">
        <v>10322</v>
      </c>
      <c r="J579" t="s">
        <v>10324</v>
      </c>
      <c r="K579" t="s">
        <v>10354</v>
      </c>
    </row>
    <row r="580" spans="1:11" s="1" customFormat="1" x14ac:dyDescent="0.25">
      <c r="A580" t="s">
        <v>10325</v>
      </c>
      <c r="B580" t="s">
        <v>10326</v>
      </c>
      <c r="C580" s="88"/>
      <c r="D580" t="s">
        <v>8874</v>
      </c>
      <c r="E580">
        <v>1140</v>
      </c>
      <c r="F580" t="s">
        <v>10327</v>
      </c>
      <c r="G580" t="s">
        <v>10326</v>
      </c>
      <c r="H580" t="s">
        <v>8602</v>
      </c>
      <c r="I580" t="s">
        <v>10326</v>
      </c>
      <c r="J580" t="s">
        <v>10327</v>
      </c>
      <c r="K580" t="s">
        <v>10306</v>
      </c>
    </row>
    <row r="581" spans="1:11" s="1" customFormat="1" x14ac:dyDescent="0.25">
      <c r="A581" t="s">
        <v>10328</v>
      </c>
      <c r="B581" t="s">
        <v>9150</v>
      </c>
      <c r="C581" s="88"/>
      <c r="D581" t="s">
        <v>10329</v>
      </c>
      <c r="E581">
        <v>1622</v>
      </c>
      <c r="F581" t="s">
        <v>10330</v>
      </c>
      <c r="G581" t="s">
        <v>9150</v>
      </c>
      <c r="H581" t="s">
        <v>8602</v>
      </c>
      <c r="I581" t="s">
        <v>9150</v>
      </c>
      <c r="J581" t="s">
        <v>10330</v>
      </c>
      <c r="K581" t="s">
        <v>7526</v>
      </c>
    </row>
    <row r="582" spans="1:11" s="1" customFormat="1" x14ac:dyDescent="0.25">
      <c r="A582" t="s">
        <v>10331</v>
      </c>
      <c r="B582" t="s">
        <v>10332</v>
      </c>
      <c r="C582" s="88"/>
      <c r="D582" t="s">
        <v>7663</v>
      </c>
      <c r="E582">
        <v>173</v>
      </c>
      <c r="F582" t="s">
        <v>10334</v>
      </c>
      <c r="G582" t="s">
        <v>10333</v>
      </c>
      <c r="H582" t="s">
        <v>8602</v>
      </c>
      <c r="I582" t="s">
        <v>10332</v>
      </c>
      <c r="J582" t="s">
        <v>10334</v>
      </c>
      <c r="K582" t="s">
        <v>12541</v>
      </c>
    </row>
    <row r="583" spans="1:11" s="1" customFormat="1" x14ac:dyDescent="0.25">
      <c r="A583" t="s">
        <v>10335</v>
      </c>
      <c r="B583" t="s">
        <v>10336</v>
      </c>
      <c r="C583" s="88"/>
      <c r="D583" t="s">
        <v>9718</v>
      </c>
      <c r="E583">
        <v>165</v>
      </c>
      <c r="F583" t="s">
        <v>10337</v>
      </c>
      <c r="G583" t="s">
        <v>10336</v>
      </c>
      <c r="H583" t="s">
        <v>8602</v>
      </c>
      <c r="I583" t="s">
        <v>10336</v>
      </c>
      <c r="J583" t="s">
        <v>10337</v>
      </c>
      <c r="K583" t="s">
        <v>10336</v>
      </c>
    </row>
    <row r="584" spans="1:11" s="1" customFormat="1" x14ac:dyDescent="0.25">
      <c r="A584" t="s">
        <v>10338</v>
      </c>
      <c r="B584" t="s">
        <v>10339</v>
      </c>
      <c r="C584" s="88"/>
      <c r="D584" t="s">
        <v>10340</v>
      </c>
      <c r="E584">
        <v>185</v>
      </c>
      <c r="F584" t="s">
        <v>10341</v>
      </c>
      <c r="G584" t="s">
        <v>10339</v>
      </c>
      <c r="H584" t="s">
        <v>8602</v>
      </c>
      <c r="I584" t="s">
        <v>10339</v>
      </c>
      <c r="J584" t="s">
        <v>10341</v>
      </c>
      <c r="K584" t="s">
        <v>7526</v>
      </c>
    </row>
    <row r="585" spans="1:11" s="1" customFormat="1" x14ac:dyDescent="0.25">
      <c r="A585" t="s">
        <v>10342</v>
      </c>
      <c r="B585" t="s">
        <v>10343</v>
      </c>
      <c r="C585" s="88"/>
      <c r="D585" t="s">
        <v>10344</v>
      </c>
      <c r="E585">
        <v>200</v>
      </c>
      <c r="F585" t="s">
        <v>10345</v>
      </c>
      <c r="G585" t="s">
        <v>10343</v>
      </c>
      <c r="H585" t="s">
        <v>8602</v>
      </c>
      <c r="I585" t="s">
        <v>10343</v>
      </c>
      <c r="J585" t="s">
        <v>10345</v>
      </c>
      <c r="K585" t="s">
        <v>10354</v>
      </c>
    </row>
    <row r="586" spans="1:11" s="1" customFormat="1" x14ac:dyDescent="0.25">
      <c r="A586" t="s">
        <v>10346</v>
      </c>
      <c r="B586" t="s">
        <v>8725</v>
      </c>
      <c r="C586" s="88"/>
      <c r="D586" t="s">
        <v>10347</v>
      </c>
      <c r="E586">
        <v>1306</v>
      </c>
      <c r="F586" t="s">
        <v>10348</v>
      </c>
      <c r="G586" t="s">
        <v>8725</v>
      </c>
      <c r="H586" t="s">
        <v>8602</v>
      </c>
      <c r="I586" t="s">
        <v>8725</v>
      </c>
      <c r="J586" t="s">
        <v>10348</v>
      </c>
      <c r="K586" t="s">
        <v>7526</v>
      </c>
    </row>
    <row r="587" spans="1:11" s="1" customFormat="1" x14ac:dyDescent="0.25">
      <c r="A587" t="s">
        <v>10349</v>
      </c>
      <c r="B587" t="s">
        <v>10350</v>
      </c>
      <c r="C587" s="88"/>
      <c r="D587" t="s">
        <v>10351</v>
      </c>
      <c r="E587"/>
      <c r="F587" t="s">
        <v>10352</v>
      </c>
      <c r="G587" t="s">
        <v>10350</v>
      </c>
      <c r="H587" t="s">
        <v>8602</v>
      </c>
      <c r="I587" t="s">
        <v>10350</v>
      </c>
      <c r="J587" t="s">
        <v>10352</v>
      </c>
      <c r="K587" t="s">
        <v>7738</v>
      </c>
    </row>
    <row r="588" spans="1:11" s="1" customFormat="1" x14ac:dyDescent="0.25">
      <c r="A588" t="s">
        <v>10353</v>
      </c>
      <c r="B588" t="s">
        <v>10354</v>
      </c>
      <c r="C588" s="88"/>
      <c r="D588" t="s">
        <v>8355</v>
      </c>
      <c r="E588">
        <v>921</v>
      </c>
      <c r="F588" t="s">
        <v>10355</v>
      </c>
      <c r="G588" t="s">
        <v>10354</v>
      </c>
      <c r="H588" t="s">
        <v>8602</v>
      </c>
      <c r="I588" t="s">
        <v>10354</v>
      </c>
      <c r="J588" t="s">
        <v>10355</v>
      </c>
      <c r="K588" t="s">
        <v>10354</v>
      </c>
    </row>
    <row r="589" spans="1:11" s="1" customFormat="1" x14ac:dyDescent="0.25">
      <c r="A589" t="s">
        <v>10356</v>
      </c>
      <c r="B589" t="s">
        <v>10357</v>
      </c>
      <c r="C589" s="88"/>
      <c r="D589" t="s">
        <v>9024</v>
      </c>
      <c r="E589">
        <v>0</v>
      </c>
      <c r="F589" t="s">
        <v>10358</v>
      </c>
      <c r="G589" t="s">
        <v>10357</v>
      </c>
      <c r="H589" t="s">
        <v>8602</v>
      </c>
      <c r="I589" t="s">
        <v>10357</v>
      </c>
      <c r="J589" t="s">
        <v>10358</v>
      </c>
      <c r="K589" t="s">
        <v>10208</v>
      </c>
    </row>
    <row r="590" spans="1:11" s="1" customFormat="1" x14ac:dyDescent="0.25">
      <c r="A590" t="s">
        <v>10359</v>
      </c>
      <c r="B590" t="s">
        <v>10360</v>
      </c>
      <c r="C590" s="88"/>
      <c r="D590" t="s">
        <v>10361</v>
      </c>
      <c r="E590">
        <v>0</v>
      </c>
      <c r="F590" t="s">
        <v>10362</v>
      </c>
      <c r="G590" t="s">
        <v>10360</v>
      </c>
      <c r="H590" t="s">
        <v>8602</v>
      </c>
      <c r="I590" t="s">
        <v>10360</v>
      </c>
      <c r="J590" t="s">
        <v>10362</v>
      </c>
      <c r="K590" t="s">
        <v>11306</v>
      </c>
    </row>
    <row r="591" spans="1:11" s="1" customFormat="1" x14ac:dyDescent="0.25">
      <c r="A591" t="s">
        <v>10363</v>
      </c>
      <c r="B591" t="s">
        <v>10364</v>
      </c>
      <c r="C591" s="88"/>
      <c r="D591" t="s">
        <v>9073</v>
      </c>
      <c r="E591"/>
      <c r="F591" t="s">
        <v>10365</v>
      </c>
      <c r="G591" t="s">
        <v>10364</v>
      </c>
      <c r="H591" t="s">
        <v>8602</v>
      </c>
      <c r="I591" t="s">
        <v>10364</v>
      </c>
      <c r="J591" t="s">
        <v>10365</v>
      </c>
      <c r="K591" t="s">
        <v>10208</v>
      </c>
    </row>
    <row r="592" spans="1:11" s="1" customFormat="1" x14ac:dyDescent="0.25">
      <c r="A592" t="s">
        <v>10366</v>
      </c>
      <c r="B592" t="s">
        <v>8801</v>
      </c>
      <c r="C592" s="88"/>
      <c r="D592" t="s">
        <v>7337</v>
      </c>
      <c r="E592">
        <v>255</v>
      </c>
      <c r="F592" t="s">
        <v>10367</v>
      </c>
      <c r="G592" t="s">
        <v>9024</v>
      </c>
      <c r="H592" t="s">
        <v>8602</v>
      </c>
      <c r="I592" t="s">
        <v>8801</v>
      </c>
      <c r="J592" t="s">
        <v>10367</v>
      </c>
      <c r="K592" t="s">
        <v>9024</v>
      </c>
    </row>
    <row r="593" spans="1:11" s="1" customFormat="1" x14ac:dyDescent="0.25">
      <c r="A593" t="s">
        <v>10368</v>
      </c>
      <c r="B593" t="s">
        <v>10369</v>
      </c>
      <c r="C593" s="88"/>
      <c r="D593" t="s">
        <v>10370</v>
      </c>
      <c r="E593">
        <v>1</v>
      </c>
      <c r="F593" t="s">
        <v>10371</v>
      </c>
      <c r="G593" t="s">
        <v>9024</v>
      </c>
      <c r="H593" t="s">
        <v>8602</v>
      </c>
      <c r="I593" t="s">
        <v>10369</v>
      </c>
      <c r="J593" t="s">
        <v>10371</v>
      </c>
      <c r="K593" t="s">
        <v>9024</v>
      </c>
    </row>
    <row r="594" spans="1:11" s="1" customFormat="1" x14ac:dyDescent="0.25">
      <c r="A594" t="s">
        <v>10640</v>
      </c>
      <c r="B594" t="s">
        <v>8943</v>
      </c>
      <c r="C594" s="3"/>
      <c r="D594" t="s">
        <v>7366</v>
      </c>
      <c r="E594">
        <v>258</v>
      </c>
      <c r="F594" t="s">
        <v>10641</v>
      </c>
      <c r="G594" t="s">
        <v>8943</v>
      </c>
      <c r="H594" t="s">
        <v>8943</v>
      </c>
      <c r="I594" t="s">
        <v>8943</v>
      </c>
      <c r="J594" t="s">
        <v>10641</v>
      </c>
      <c r="K594" t="s">
        <v>12513</v>
      </c>
    </row>
    <row r="595" spans="1:11" s="1" customFormat="1" x14ac:dyDescent="0.25">
      <c r="A595" t="s">
        <v>10642</v>
      </c>
      <c r="B595" t="s">
        <v>10643</v>
      </c>
      <c r="C595" s="3"/>
      <c r="D595" t="s">
        <v>7361</v>
      </c>
      <c r="E595">
        <v>229</v>
      </c>
      <c r="F595" t="s">
        <v>10644</v>
      </c>
      <c r="G595" t="s">
        <v>10643</v>
      </c>
      <c r="H595" t="s">
        <v>8943</v>
      </c>
      <c r="I595" t="s">
        <v>10643</v>
      </c>
      <c r="J595" t="s">
        <v>10644</v>
      </c>
      <c r="K595" t="s">
        <v>12542</v>
      </c>
    </row>
    <row r="596" spans="1:11" s="1" customFormat="1" x14ac:dyDescent="0.25">
      <c r="A596" t="s">
        <v>10645</v>
      </c>
      <c r="B596" t="s">
        <v>10646</v>
      </c>
      <c r="C596" s="88"/>
      <c r="D596" t="s">
        <v>9865</v>
      </c>
      <c r="E596">
        <v>0</v>
      </c>
      <c r="F596" t="s">
        <v>10647</v>
      </c>
      <c r="G596" t="s">
        <v>10646</v>
      </c>
      <c r="H596" t="s">
        <v>8943</v>
      </c>
      <c r="I596" t="s">
        <v>10646</v>
      </c>
      <c r="J596" t="s">
        <v>10647</v>
      </c>
      <c r="K596" t="s">
        <v>9865</v>
      </c>
    </row>
    <row r="597" spans="1:11" s="1" customFormat="1" x14ac:dyDescent="0.25">
      <c r="A597" t="s">
        <v>10648</v>
      </c>
      <c r="B597" t="s">
        <v>10649</v>
      </c>
      <c r="C597" s="3"/>
      <c r="D597" t="s">
        <v>10650</v>
      </c>
      <c r="E597">
        <v>0</v>
      </c>
      <c r="F597" t="s">
        <v>10651</v>
      </c>
      <c r="G597" t="s">
        <v>10649</v>
      </c>
      <c r="H597" t="s">
        <v>8943</v>
      </c>
      <c r="I597" t="s">
        <v>10649</v>
      </c>
      <c r="J597" t="s">
        <v>10651</v>
      </c>
      <c r="K597" t="s">
        <v>9865</v>
      </c>
    </row>
    <row r="598" spans="1:11" s="1" customFormat="1" x14ac:dyDescent="0.25">
      <c r="A598" t="s">
        <v>10652</v>
      </c>
      <c r="B598" t="s">
        <v>10653</v>
      </c>
      <c r="C598" s="3"/>
      <c r="D598" t="s">
        <v>9865</v>
      </c>
      <c r="E598">
        <v>33</v>
      </c>
      <c r="F598" t="s">
        <v>10654</v>
      </c>
      <c r="G598" t="s">
        <v>10653</v>
      </c>
      <c r="H598" t="s">
        <v>8943</v>
      </c>
      <c r="I598" t="s">
        <v>10653</v>
      </c>
      <c r="J598" t="s">
        <v>10654</v>
      </c>
      <c r="K598" t="s">
        <v>9865</v>
      </c>
    </row>
    <row r="599" spans="1:11" s="1" customFormat="1" x14ac:dyDescent="0.25">
      <c r="A599" t="s">
        <v>10655</v>
      </c>
      <c r="B599" t="s">
        <v>10656</v>
      </c>
      <c r="C599" s="3"/>
      <c r="D599" t="s">
        <v>9181</v>
      </c>
      <c r="E599">
        <v>0</v>
      </c>
      <c r="F599" t="s">
        <v>10657</v>
      </c>
      <c r="G599" t="s">
        <v>10656</v>
      </c>
      <c r="H599" t="s">
        <v>8943</v>
      </c>
      <c r="I599" t="s">
        <v>10656</v>
      </c>
      <c r="J599" t="s">
        <v>10657</v>
      </c>
      <c r="K599" t="s">
        <v>10674</v>
      </c>
    </row>
    <row r="600" spans="1:11" s="1" customFormat="1" x14ac:dyDescent="0.25">
      <c r="A600" t="s">
        <v>10658</v>
      </c>
      <c r="B600" t="s">
        <v>10659</v>
      </c>
      <c r="C600" s="88"/>
      <c r="D600" t="s">
        <v>7361</v>
      </c>
      <c r="E600">
        <v>100</v>
      </c>
      <c r="F600" t="s">
        <v>10660</v>
      </c>
      <c r="G600" t="s">
        <v>10659</v>
      </c>
      <c r="H600" t="s">
        <v>8943</v>
      </c>
      <c r="I600" t="s">
        <v>10659</v>
      </c>
      <c r="J600" t="s">
        <v>10660</v>
      </c>
      <c r="K600" t="s">
        <v>10659</v>
      </c>
    </row>
    <row r="601" spans="1:11" s="1" customFormat="1" x14ac:dyDescent="0.25">
      <c r="A601" t="s">
        <v>10661</v>
      </c>
      <c r="B601" t="s">
        <v>10662</v>
      </c>
      <c r="C601" s="3"/>
      <c r="D601" t="s">
        <v>10663</v>
      </c>
      <c r="E601">
        <v>125</v>
      </c>
      <c r="F601" t="s">
        <v>10664</v>
      </c>
      <c r="G601" t="s">
        <v>10662</v>
      </c>
      <c r="H601" t="s">
        <v>8943</v>
      </c>
      <c r="I601" t="s">
        <v>10662</v>
      </c>
      <c r="J601" t="s">
        <v>10664</v>
      </c>
      <c r="K601" t="s">
        <v>13234</v>
      </c>
    </row>
    <row r="602" spans="1:11" s="1" customFormat="1" x14ac:dyDescent="0.25">
      <c r="A602" t="s">
        <v>10665</v>
      </c>
      <c r="B602" t="s">
        <v>10666</v>
      </c>
      <c r="C602" s="88"/>
      <c r="D602" t="s">
        <v>10667</v>
      </c>
      <c r="E602">
        <v>201</v>
      </c>
      <c r="F602" t="s">
        <v>10668</v>
      </c>
      <c r="G602" t="s">
        <v>10666</v>
      </c>
      <c r="H602" t="s">
        <v>8943</v>
      </c>
      <c r="I602" t="s">
        <v>10666</v>
      </c>
      <c r="J602" t="s">
        <v>10668</v>
      </c>
      <c r="K602" t="s">
        <v>10666</v>
      </c>
    </row>
    <row r="603" spans="1:11" s="1" customFormat="1" x14ac:dyDescent="0.25">
      <c r="A603" t="s">
        <v>10669</v>
      </c>
      <c r="B603" t="s">
        <v>10670</v>
      </c>
      <c r="C603" s="88"/>
      <c r="D603" t="s">
        <v>10049</v>
      </c>
      <c r="E603">
        <v>120</v>
      </c>
      <c r="F603" t="s">
        <v>10672</v>
      </c>
      <c r="G603" t="s">
        <v>10671</v>
      </c>
      <c r="H603" t="s">
        <v>8943</v>
      </c>
      <c r="I603" t="s">
        <v>10670</v>
      </c>
      <c r="J603" t="s">
        <v>10672</v>
      </c>
      <c r="K603" t="s">
        <v>13234</v>
      </c>
    </row>
    <row r="604" spans="1:11" s="1" customFormat="1" x14ac:dyDescent="0.25">
      <c r="A604" t="s">
        <v>10673</v>
      </c>
      <c r="B604" t="s">
        <v>10674</v>
      </c>
      <c r="C604" s="3"/>
      <c r="D604" t="s">
        <v>10675</v>
      </c>
      <c r="E604">
        <v>50</v>
      </c>
      <c r="F604" t="s">
        <v>10676</v>
      </c>
      <c r="G604" t="s">
        <v>10674</v>
      </c>
      <c r="H604" t="s">
        <v>8943</v>
      </c>
      <c r="I604" t="s">
        <v>10674</v>
      </c>
      <c r="J604" t="s">
        <v>10676</v>
      </c>
      <c r="K604" t="s">
        <v>10674</v>
      </c>
    </row>
    <row r="605" spans="1:11" s="1" customFormat="1" x14ac:dyDescent="0.25">
      <c r="A605" t="s">
        <v>10677</v>
      </c>
      <c r="B605" t="s">
        <v>10678</v>
      </c>
      <c r="C605" s="3"/>
      <c r="D605" t="s">
        <v>7792</v>
      </c>
      <c r="E605">
        <v>1200</v>
      </c>
      <c r="F605" t="s">
        <v>10679</v>
      </c>
      <c r="G605" t="s">
        <v>10678</v>
      </c>
      <c r="H605" t="s">
        <v>8943</v>
      </c>
      <c r="I605" t="s">
        <v>10678</v>
      </c>
      <c r="J605" t="s">
        <v>10679</v>
      </c>
      <c r="K605" t="s">
        <v>12543</v>
      </c>
    </row>
    <row r="606" spans="1:11" s="1" customFormat="1" x14ac:dyDescent="0.25">
      <c r="A606" t="s">
        <v>10680</v>
      </c>
      <c r="B606" t="s">
        <v>10681</v>
      </c>
      <c r="C606" s="88"/>
      <c r="D606" t="s">
        <v>10682</v>
      </c>
      <c r="E606">
        <v>0</v>
      </c>
      <c r="F606" t="s">
        <v>10683</v>
      </c>
      <c r="G606" t="s">
        <v>10681</v>
      </c>
      <c r="H606" t="s">
        <v>8943</v>
      </c>
      <c r="I606" t="s">
        <v>10681</v>
      </c>
      <c r="J606" t="s">
        <v>10683</v>
      </c>
      <c r="K606" t="s">
        <v>12544</v>
      </c>
    </row>
    <row r="607" spans="1:11" s="1" customFormat="1" x14ac:dyDescent="0.25">
      <c r="A607" t="s">
        <v>10684</v>
      </c>
      <c r="B607" t="s">
        <v>10685</v>
      </c>
      <c r="C607" s="3"/>
      <c r="D607" t="s">
        <v>8032</v>
      </c>
      <c r="E607">
        <v>259</v>
      </c>
      <c r="F607" t="s">
        <v>10686</v>
      </c>
      <c r="G607" t="s">
        <v>10685</v>
      </c>
      <c r="H607" t="s">
        <v>8943</v>
      </c>
      <c r="I607" t="s">
        <v>10685</v>
      </c>
      <c r="J607" t="s">
        <v>10686</v>
      </c>
      <c r="K607" t="s">
        <v>12545</v>
      </c>
    </row>
    <row r="608" spans="1:11" s="1" customFormat="1" x14ac:dyDescent="0.25">
      <c r="A608" t="s">
        <v>10687</v>
      </c>
      <c r="B608" t="s">
        <v>10688</v>
      </c>
      <c r="C608" s="3"/>
      <c r="D608" t="s">
        <v>10689</v>
      </c>
      <c r="E608">
        <v>905</v>
      </c>
      <c r="F608" t="s">
        <v>10690</v>
      </c>
      <c r="G608" t="s">
        <v>10688</v>
      </c>
      <c r="H608" t="s">
        <v>8943</v>
      </c>
      <c r="I608" t="s">
        <v>10688</v>
      </c>
      <c r="J608" t="s">
        <v>10690</v>
      </c>
      <c r="K608" t="s">
        <v>10666</v>
      </c>
    </row>
    <row r="609" spans="1:11" s="1" customFormat="1" x14ac:dyDescent="0.25">
      <c r="A609" t="s">
        <v>10691</v>
      </c>
      <c r="B609" t="s">
        <v>10692</v>
      </c>
      <c r="C609" s="88"/>
      <c r="D609" t="s">
        <v>10693</v>
      </c>
      <c r="E609">
        <v>100</v>
      </c>
      <c r="F609" t="s">
        <v>10694</v>
      </c>
      <c r="G609" t="s">
        <v>10692</v>
      </c>
      <c r="H609" t="s">
        <v>8943</v>
      </c>
      <c r="I609" t="s">
        <v>10692</v>
      </c>
      <c r="J609" t="s">
        <v>10694</v>
      </c>
      <c r="K609" t="s">
        <v>7779</v>
      </c>
    </row>
    <row r="610" spans="1:11" s="1" customFormat="1" x14ac:dyDescent="0.25">
      <c r="A610" t="s">
        <v>10695</v>
      </c>
      <c r="B610" t="s">
        <v>10696</v>
      </c>
      <c r="C610" s="3"/>
      <c r="D610" t="s">
        <v>7370</v>
      </c>
      <c r="E610">
        <v>241</v>
      </c>
      <c r="F610" t="s">
        <v>10697</v>
      </c>
      <c r="G610" t="s">
        <v>10696</v>
      </c>
      <c r="H610" t="s">
        <v>8943</v>
      </c>
      <c r="I610" t="s">
        <v>10696</v>
      </c>
      <c r="J610" t="s">
        <v>10697</v>
      </c>
      <c r="K610" t="s">
        <v>9813</v>
      </c>
    </row>
    <row r="611" spans="1:11" s="1" customFormat="1" x14ac:dyDescent="0.25">
      <c r="A611" t="s">
        <v>10698</v>
      </c>
      <c r="B611" t="s">
        <v>10699</v>
      </c>
      <c r="C611" s="3"/>
      <c r="D611" t="s">
        <v>10700</v>
      </c>
      <c r="E611">
        <v>0</v>
      </c>
      <c r="F611" t="s">
        <v>10701</v>
      </c>
      <c r="G611" t="s">
        <v>10699</v>
      </c>
      <c r="H611" t="s">
        <v>8943</v>
      </c>
      <c r="I611" t="s">
        <v>10699</v>
      </c>
      <c r="J611" t="s">
        <v>10701</v>
      </c>
      <c r="K611" t="s">
        <v>10674</v>
      </c>
    </row>
    <row r="612" spans="1:11" s="1" customFormat="1" x14ac:dyDescent="0.25">
      <c r="A612" t="s">
        <v>10702</v>
      </c>
      <c r="B612" t="s">
        <v>10703</v>
      </c>
      <c r="C612" s="88"/>
      <c r="D612" s="105"/>
      <c r="E612"/>
      <c r="F612" t="s">
        <v>10704</v>
      </c>
      <c r="G612" t="s">
        <v>10703</v>
      </c>
      <c r="H612" t="s">
        <v>8943</v>
      </c>
      <c r="I612" t="s">
        <v>10703</v>
      </c>
      <c r="J612" t="s">
        <v>10704</v>
      </c>
      <c r="K612" t="s">
        <v>12546</v>
      </c>
    </row>
    <row r="613" spans="1:11" s="1" customFormat="1" x14ac:dyDescent="0.25">
      <c r="A613" t="s">
        <v>10705</v>
      </c>
      <c r="B613" t="s">
        <v>10706</v>
      </c>
      <c r="C613" s="3"/>
      <c r="D613" s="105"/>
      <c r="E613"/>
      <c r="F613" t="s">
        <v>10708</v>
      </c>
      <c r="G613" t="s">
        <v>10707</v>
      </c>
      <c r="H613" t="s">
        <v>8943</v>
      </c>
      <c r="I613" t="s">
        <v>10706</v>
      </c>
      <c r="J613" t="s">
        <v>10708</v>
      </c>
      <c r="K613" t="s">
        <v>13235</v>
      </c>
    </row>
    <row r="614" spans="1:11" s="1" customFormat="1" x14ac:dyDescent="0.25">
      <c r="A614" t="s">
        <v>10709</v>
      </c>
      <c r="B614" t="s">
        <v>10710</v>
      </c>
      <c r="C614" s="3"/>
      <c r="D614" s="105"/>
      <c r="E614">
        <v>10</v>
      </c>
      <c r="F614" t="s">
        <v>10711</v>
      </c>
      <c r="G614" t="s">
        <v>10710</v>
      </c>
      <c r="H614" t="s">
        <v>8943</v>
      </c>
      <c r="I614" t="s">
        <v>10710</v>
      </c>
      <c r="J614" t="s">
        <v>10711</v>
      </c>
      <c r="K614" t="s">
        <v>7317</v>
      </c>
    </row>
    <row r="615" spans="1:11" s="1" customFormat="1" x14ac:dyDescent="0.25">
      <c r="A615" t="s">
        <v>10712</v>
      </c>
      <c r="B615" t="s">
        <v>10713</v>
      </c>
      <c r="C615" s="88"/>
      <c r="D615" s="105"/>
      <c r="E615">
        <v>150</v>
      </c>
      <c r="F615" t="s">
        <v>10714</v>
      </c>
      <c r="G615" t="s">
        <v>10713</v>
      </c>
      <c r="H615" t="s">
        <v>8943</v>
      </c>
      <c r="I615" t="s">
        <v>10713</v>
      </c>
      <c r="J615" t="s">
        <v>10714</v>
      </c>
      <c r="K615" t="s">
        <v>8430</v>
      </c>
    </row>
    <row r="616" spans="1:11" s="1" customFormat="1" x14ac:dyDescent="0.25">
      <c r="A616" t="s">
        <v>10715</v>
      </c>
      <c r="B616" t="s">
        <v>10716</v>
      </c>
      <c r="C616" s="3"/>
      <c r="D616" s="105"/>
      <c r="E616">
        <v>0</v>
      </c>
      <c r="F616" t="s">
        <v>10717</v>
      </c>
      <c r="G616" t="s">
        <v>10716</v>
      </c>
      <c r="H616" t="s">
        <v>8943</v>
      </c>
      <c r="I616" t="s">
        <v>10716</v>
      </c>
      <c r="J616" t="s">
        <v>10717</v>
      </c>
      <c r="K616" t="s">
        <v>12542</v>
      </c>
    </row>
    <row r="617" spans="1:11" s="1" customFormat="1" x14ac:dyDescent="0.25">
      <c r="A617" t="s">
        <v>10718</v>
      </c>
      <c r="B617" t="s">
        <v>10719</v>
      </c>
      <c r="C617" s="3"/>
      <c r="D617" s="105"/>
      <c r="E617">
        <v>0</v>
      </c>
      <c r="F617" t="s">
        <v>10720</v>
      </c>
      <c r="G617" t="s">
        <v>10719</v>
      </c>
      <c r="H617" t="s">
        <v>8943</v>
      </c>
      <c r="I617" t="s">
        <v>10719</v>
      </c>
      <c r="J617" t="s">
        <v>10720</v>
      </c>
      <c r="K617" t="s">
        <v>12547</v>
      </c>
    </row>
    <row r="618" spans="1:11" s="1" customFormat="1" x14ac:dyDescent="0.25">
      <c r="A618" t="s">
        <v>10721</v>
      </c>
      <c r="B618" t="s">
        <v>10722</v>
      </c>
      <c r="C618" s="3"/>
      <c r="D618" s="105"/>
      <c r="E618">
        <v>0</v>
      </c>
      <c r="F618" t="s">
        <v>10724</v>
      </c>
      <c r="G618" t="s">
        <v>10723</v>
      </c>
      <c r="H618" t="s">
        <v>8943</v>
      </c>
      <c r="I618" t="s">
        <v>10722</v>
      </c>
      <c r="J618" t="s">
        <v>10724</v>
      </c>
      <c r="K618" t="s">
        <v>12545</v>
      </c>
    </row>
    <row r="619" spans="1:11" s="1" customFormat="1" x14ac:dyDescent="0.25">
      <c r="A619" t="s">
        <v>10725</v>
      </c>
      <c r="B619" t="s">
        <v>10726</v>
      </c>
      <c r="C619" s="88"/>
      <c r="D619" s="105"/>
      <c r="E619">
        <v>119</v>
      </c>
      <c r="F619" t="s">
        <v>10727</v>
      </c>
      <c r="G619" t="s">
        <v>10726</v>
      </c>
      <c r="H619" t="s">
        <v>8943</v>
      </c>
      <c r="I619" t="s">
        <v>10726</v>
      </c>
      <c r="J619" t="s">
        <v>10727</v>
      </c>
      <c r="K619" t="s">
        <v>12543</v>
      </c>
    </row>
    <row r="620" spans="1:11" s="1" customFormat="1" x14ac:dyDescent="0.25">
      <c r="A620" t="s">
        <v>10728</v>
      </c>
      <c r="B620" t="s">
        <v>10729</v>
      </c>
      <c r="C620" s="88"/>
      <c r="D620" s="105"/>
      <c r="E620">
        <v>0</v>
      </c>
      <c r="F620" t="s">
        <v>10730</v>
      </c>
      <c r="G620" t="s">
        <v>10729</v>
      </c>
      <c r="H620" t="s">
        <v>8943</v>
      </c>
      <c r="I620" t="s">
        <v>10729</v>
      </c>
      <c r="J620" t="s">
        <v>10730</v>
      </c>
      <c r="K620" t="s">
        <v>10729</v>
      </c>
    </row>
    <row r="621" spans="1:11" s="1" customFormat="1" x14ac:dyDescent="0.25">
      <c r="A621" t="s">
        <v>10731</v>
      </c>
      <c r="B621" t="s">
        <v>10732</v>
      </c>
      <c r="C621" s="3"/>
      <c r="D621" s="105"/>
      <c r="E621">
        <v>0</v>
      </c>
      <c r="F621" t="s">
        <v>10733</v>
      </c>
      <c r="G621" t="s">
        <v>10732</v>
      </c>
      <c r="H621" t="s">
        <v>8943</v>
      </c>
      <c r="I621" t="s">
        <v>10732</v>
      </c>
      <c r="J621" t="s">
        <v>10733</v>
      </c>
      <c r="K621" t="s">
        <v>12543</v>
      </c>
    </row>
    <row r="622" spans="1:11" s="1" customFormat="1" x14ac:dyDescent="0.25">
      <c r="A622" t="s">
        <v>10734</v>
      </c>
      <c r="B622" t="s">
        <v>10735</v>
      </c>
      <c r="C622" s="3"/>
      <c r="D622" s="105"/>
      <c r="E622">
        <v>13</v>
      </c>
      <c r="F622" t="s">
        <v>10736</v>
      </c>
      <c r="G622" t="s">
        <v>8943</v>
      </c>
      <c r="H622" t="s">
        <v>8943</v>
      </c>
      <c r="I622" t="s">
        <v>10735</v>
      </c>
      <c r="J622" t="s">
        <v>10736</v>
      </c>
      <c r="K622" t="s">
        <v>12513</v>
      </c>
    </row>
    <row r="623" spans="1:11" s="1" customFormat="1" x14ac:dyDescent="0.25">
      <c r="A623" t="s">
        <v>10737</v>
      </c>
      <c r="B623" t="s">
        <v>10738</v>
      </c>
      <c r="C623" s="88"/>
      <c r="D623" s="105"/>
      <c r="E623">
        <v>2247</v>
      </c>
      <c r="F623" t="s">
        <v>10739</v>
      </c>
      <c r="G623" t="s">
        <v>8943</v>
      </c>
      <c r="H623" t="s">
        <v>8943</v>
      </c>
      <c r="I623" t="s">
        <v>10738</v>
      </c>
      <c r="J623" t="s">
        <v>10739</v>
      </c>
      <c r="K623" t="s">
        <v>12513</v>
      </c>
    </row>
    <row r="624" spans="1:11" s="1" customFormat="1" x14ac:dyDescent="0.25">
      <c r="A624" t="s">
        <v>12197</v>
      </c>
      <c r="B624" t="s">
        <v>12198</v>
      </c>
      <c r="C624" s="88"/>
      <c r="D624" s="105"/>
      <c r="E624">
        <v>252</v>
      </c>
      <c r="F624" t="s">
        <v>12199</v>
      </c>
      <c r="G624" t="s">
        <v>9951</v>
      </c>
      <c r="H624" t="s">
        <v>9951</v>
      </c>
      <c r="I624" t="s">
        <v>12198</v>
      </c>
      <c r="J624" t="s">
        <v>12199</v>
      </c>
      <c r="K624" t="s">
        <v>12513</v>
      </c>
    </row>
    <row r="625" spans="1:11" s="1" customFormat="1" x14ac:dyDescent="0.25">
      <c r="A625" t="s">
        <v>12200</v>
      </c>
      <c r="B625" t="s">
        <v>12971</v>
      </c>
      <c r="C625" s="88"/>
      <c r="D625" s="105"/>
      <c r="E625">
        <v>19</v>
      </c>
      <c r="F625" t="s">
        <v>12201</v>
      </c>
      <c r="G625" t="s">
        <v>12971</v>
      </c>
      <c r="H625" t="s">
        <v>9951</v>
      </c>
      <c r="I625" t="s">
        <v>12971</v>
      </c>
      <c r="J625" t="s">
        <v>12201</v>
      </c>
      <c r="K625" t="s">
        <v>12548</v>
      </c>
    </row>
    <row r="626" spans="1:11" s="1" customFormat="1" x14ac:dyDescent="0.25">
      <c r="A626" t="s">
        <v>12202</v>
      </c>
      <c r="B626" t="s">
        <v>12203</v>
      </c>
      <c r="C626" s="88"/>
      <c r="D626" s="105"/>
      <c r="E626">
        <v>486</v>
      </c>
      <c r="F626" t="s">
        <v>12204</v>
      </c>
      <c r="G626" t="s">
        <v>9951</v>
      </c>
      <c r="H626" t="s">
        <v>9951</v>
      </c>
      <c r="I626" t="s">
        <v>12203</v>
      </c>
      <c r="J626" t="s">
        <v>12204</v>
      </c>
      <c r="K626" t="s">
        <v>12513</v>
      </c>
    </row>
    <row r="627" spans="1:11" s="1" customFormat="1" x14ac:dyDescent="0.25">
      <c r="A627" t="s">
        <v>12205</v>
      </c>
      <c r="B627" t="s">
        <v>12206</v>
      </c>
      <c r="C627" s="88"/>
      <c r="D627" s="105"/>
      <c r="E627">
        <v>20</v>
      </c>
      <c r="F627" t="s">
        <v>12207</v>
      </c>
      <c r="G627" t="s">
        <v>12206</v>
      </c>
      <c r="H627" t="s">
        <v>9951</v>
      </c>
      <c r="I627" t="s">
        <v>12206</v>
      </c>
      <c r="J627" t="s">
        <v>12207</v>
      </c>
      <c r="K627" t="s">
        <v>8917</v>
      </c>
    </row>
    <row r="628" spans="1:11" s="1" customFormat="1" x14ac:dyDescent="0.25">
      <c r="A628" t="s">
        <v>12208</v>
      </c>
      <c r="B628" t="s">
        <v>12209</v>
      </c>
      <c r="C628" s="88"/>
      <c r="D628" s="105"/>
      <c r="E628">
        <v>60</v>
      </c>
      <c r="F628" t="s">
        <v>12210</v>
      </c>
      <c r="G628" t="s">
        <v>12209</v>
      </c>
      <c r="H628" t="s">
        <v>9951</v>
      </c>
      <c r="I628" t="s">
        <v>12209</v>
      </c>
      <c r="J628" t="s">
        <v>12210</v>
      </c>
      <c r="K628" t="s">
        <v>12549</v>
      </c>
    </row>
    <row r="629" spans="1:11" s="1" customFormat="1" x14ac:dyDescent="0.25">
      <c r="A629" t="s">
        <v>12211</v>
      </c>
      <c r="B629" t="s">
        <v>12212</v>
      </c>
      <c r="C629" s="88"/>
      <c r="D629" s="105"/>
      <c r="E629">
        <v>100</v>
      </c>
      <c r="F629" t="s">
        <v>12213</v>
      </c>
      <c r="G629" t="s">
        <v>12212</v>
      </c>
      <c r="H629" t="s">
        <v>9951</v>
      </c>
      <c r="I629" t="s">
        <v>12212</v>
      </c>
      <c r="J629" t="s">
        <v>12213</v>
      </c>
      <c r="K629" t="s">
        <v>7315</v>
      </c>
    </row>
    <row r="630" spans="1:11" s="1" customFormat="1" x14ac:dyDescent="0.25">
      <c r="A630" t="s">
        <v>12214</v>
      </c>
      <c r="B630" t="s">
        <v>12215</v>
      </c>
      <c r="C630" s="88"/>
      <c r="D630" s="105"/>
      <c r="E630">
        <v>54</v>
      </c>
      <c r="F630" t="s">
        <v>12216</v>
      </c>
      <c r="G630" t="s">
        <v>12215</v>
      </c>
      <c r="H630" t="s">
        <v>9951</v>
      </c>
      <c r="I630" t="s">
        <v>12215</v>
      </c>
      <c r="J630" t="s">
        <v>12216</v>
      </c>
      <c r="K630" t="s">
        <v>9715</v>
      </c>
    </row>
    <row r="631" spans="1:11" s="1" customFormat="1" x14ac:dyDescent="0.25">
      <c r="A631" t="s">
        <v>12217</v>
      </c>
      <c r="B631" t="s">
        <v>12218</v>
      </c>
      <c r="C631" s="88"/>
      <c r="D631" s="105"/>
      <c r="E631"/>
      <c r="F631" t="s">
        <v>12219</v>
      </c>
      <c r="G631" t="s">
        <v>12218</v>
      </c>
      <c r="H631" t="s">
        <v>9951</v>
      </c>
      <c r="I631" t="s">
        <v>12218</v>
      </c>
      <c r="J631" t="s">
        <v>12219</v>
      </c>
      <c r="K631" t="s">
        <v>12218</v>
      </c>
    </row>
    <row r="632" spans="1:11" s="1" customFormat="1" x14ac:dyDescent="0.25">
      <c r="A632" t="s">
        <v>12220</v>
      </c>
      <c r="B632" t="s">
        <v>12221</v>
      </c>
      <c r="C632" s="88"/>
      <c r="D632" s="105"/>
      <c r="E632">
        <v>0</v>
      </c>
      <c r="F632" t="s">
        <v>12222</v>
      </c>
      <c r="G632" t="s">
        <v>12221</v>
      </c>
      <c r="H632" t="s">
        <v>9951</v>
      </c>
      <c r="I632" t="s">
        <v>12221</v>
      </c>
      <c r="J632" t="s">
        <v>12222</v>
      </c>
      <c r="K632" t="s">
        <v>12550</v>
      </c>
    </row>
    <row r="633" spans="1:11" s="1" customFormat="1" x14ac:dyDescent="0.25">
      <c r="A633" t="s">
        <v>12223</v>
      </c>
      <c r="B633" t="s">
        <v>12224</v>
      </c>
      <c r="C633" s="88"/>
      <c r="D633" s="105"/>
      <c r="E633">
        <v>0</v>
      </c>
      <c r="F633" t="s">
        <v>12225</v>
      </c>
      <c r="G633" t="s">
        <v>12224</v>
      </c>
      <c r="H633" t="s">
        <v>9951</v>
      </c>
      <c r="I633" t="s">
        <v>12224</v>
      </c>
      <c r="J633" t="s">
        <v>12225</v>
      </c>
      <c r="K633" t="s">
        <v>7462</v>
      </c>
    </row>
    <row r="634" spans="1:11" s="1" customFormat="1" x14ac:dyDescent="0.25">
      <c r="A634" t="s">
        <v>12226</v>
      </c>
      <c r="B634" t="s">
        <v>12227</v>
      </c>
      <c r="C634" s="88"/>
      <c r="D634" s="105"/>
      <c r="E634">
        <v>1</v>
      </c>
      <c r="F634" t="s">
        <v>12228</v>
      </c>
      <c r="G634" t="s">
        <v>12227</v>
      </c>
      <c r="H634" t="s">
        <v>9951</v>
      </c>
      <c r="I634" t="s">
        <v>12227</v>
      </c>
      <c r="J634" t="s">
        <v>12228</v>
      </c>
      <c r="K634" t="s">
        <v>12551</v>
      </c>
    </row>
    <row r="635" spans="1:11" s="1" customFormat="1" x14ac:dyDescent="0.25">
      <c r="A635" t="s">
        <v>12229</v>
      </c>
      <c r="B635" t="s">
        <v>9858</v>
      </c>
      <c r="C635" s="3"/>
      <c r="D635" s="105"/>
      <c r="E635">
        <v>195</v>
      </c>
      <c r="F635" t="s">
        <v>12230</v>
      </c>
      <c r="G635" t="s">
        <v>9858</v>
      </c>
      <c r="H635" t="s">
        <v>9951</v>
      </c>
      <c r="I635" t="s">
        <v>9858</v>
      </c>
      <c r="J635" t="s">
        <v>12230</v>
      </c>
      <c r="K635" t="s">
        <v>12549</v>
      </c>
    </row>
    <row r="636" spans="1:11" s="1" customFormat="1" x14ac:dyDescent="0.25">
      <c r="A636" t="s">
        <v>12231</v>
      </c>
      <c r="B636" t="s">
        <v>12232</v>
      </c>
      <c r="C636" s="3"/>
      <c r="D636" s="105"/>
      <c r="E636">
        <v>50</v>
      </c>
      <c r="F636" t="s">
        <v>12233</v>
      </c>
      <c r="G636" t="s">
        <v>12232</v>
      </c>
      <c r="H636" t="s">
        <v>9951</v>
      </c>
      <c r="I636" t="s">
        <v>12232</v>
      </c>
      <c r="J636" t="s">
        <v>12233</v>
      </c>
      <c r="K636" t="s">
        <v>12218</v>
      </c>
    </row>
    <row r="637" spans="1:11" s="1" customFormat="1" x14ac:dyDescent="0.25">
      <c r="A637" t="s">
        <v>12234</v>
      </c>
      <c r="B637" t="s">
        <v>12235</v>
      </c>
      <c r="C637" s="3"/>
      <c r="D637" s="105"/>
      <c r="E637">
        <v>0</v>
      </c>
      <c r="F637" t="s">
        <v>12237</v>
      </c>
      <c r="G637" t="s">
        <v>12236</v>
      </c>
      <c r="H637" t="s">
        <v>9951</v>
      </c>
      <c r="I637" t="s">
        <v>12235</v>
      </c>
      <c r="J637" t="s">
        <v>12237</v>
      </c>
      <c r="K637" t="s">
        <v>12549</v>
      </c>
    </row>
    <row r="638" spans="1:11" s="1" customFormat="1" x14ac:dyDescent="0.25">
      <c r="A638" t="s">
        <v>12238</v>
      </c>
      <c r="B638" t="s">
        <v>12239</v>
      </c>
      <c r="C638" s="3"/>
      <c r="D638" s="105"/>
      <c r="E638">
        <v>4</v>
      </c>
      <c r="F638" t="s">
        <v>12240</v>
      </c>
      <c r="G638" t="s">
        <v>12239</v>
      </c>
      <c r="H638" t="s">
        <v>9951</v>
      </c>
      <c r="I638" t="s">
        <v>12239</v>
      </c>
      <c r="J638" t="s">
        <v>12240</v>
      </c>
      <c r="K638" t="s">
        <v>7592</v>
      </c>
    </row>
    <row r="639" spans="1:11" s="1" customFormat="1" x14ac:dyDescent="0.25">
      <c r="A639" t="s">
        <v>12241</v>
      </c>
      <c r="B639" t="s">
        <v>12242</v>
      </c>
      <c r="C639" s="3"/>
      <c r="D639" s="105"/>
      <c r="E639">
        <v>100</v>
      </c>
      <c r="F639" t="s">
        <v>12243</v>
      </c>
      <c r="G639" t="s">
        <v>12242</v>
      </c>
      <c r="H639" t="s">
        <v>9951</v>
      </c>
      <c r="I639" t="s">
        <v>12242</v>
      </c>
      <c r="J639" t="s">
        <v>12243</v>
      </c>
      <c r="K639" t="s">
        <v>8917</v>
      </c>
    </row>
    <row r="640" spans="1:11" s="1" customFormat="1" x14ac:dyDescent="0.25">
      <c r="A640" t="s">
        <v>12244</v>
      </c>
      <c r="B640" t="s">
        <v>12245</v>
      </c>
      <c r="C640" s="3"/>
      <c r="D640" s="105"/>
      <c r="E640">
        <v>224</v>
      </c>
      <c r="F640" t="s">
        <v>12246</v>
      </c>
      <c r="G640" t="s">
        <v>12245</v>
      </c>
      <c r="H640" t="s">
        <v>9951</v>
      </c>
      <c r="I640" t="s">
        <v>12245</v>
      </c>
      <c r="J640" t="s">
        <v>12246</v>
      </c>
      <c r="K640" t="s">
        <v>7462</v>
      </c>
    </row>
    <row r="641" spans="1:11" s="1" customFormat="1" x14ac:dyDescent="0.25">
      <c r="A641" t="s">
        <v>12247</v>
      </c>
      <c r="B641" t="s">
        <v>13198</v>
      </c>
      <c r="C641" s="88"/>
      <c r="D641" s="105"/>
      <c r="E641">
        <v>0</v>
      </c>
      <c r="F641" t="s">
        <v>12248</v>
      </c>
      <c r="G641" t="s">
        <v>13198</v>
      </c>
      <c r="H641" t="s">
        <v>9951</v>
      </c>
      <c r="I641" t="s">
        <v>13198</v>
      </c>
      <c r="J641" t="s">
        <v>12248</v>
      </c>
      <c r="K641" t="s">
        <v>7462</v>
      </c>
    </row>
    <row r="642" spans="1:11" s="1" customFormat="1" x14ac:dyDescent="0.25">
      <c r="A642" t="s">
        <v>12249</v>
      </c>
      <c r="B642" t="s">
        <v>12250</v>
      </c>
      <c r="C642" s="3"/>
      <c r="D642" s="105"/>
      <c r="E642">
        <v>261</v>
      </c>
      <c r="F642" t="s">
        <v>12251</v>
      </c>
      <c r="G642" t="s">
        <v>12250</v>
      </c>
      <c r="H642" t="s">
        <v>9951</v>
      </c>
      <c r="I642" t="s">
        <v>12250</v>
      </c>
      <c r="J642" t="s">
        <v>12251</v>
      </c>
      <c r="K642" t="s">
        <v>12550</v>
      </c>
    </row>
    <row r="643" spans="1:11" s="1" customFormat="1" x14ac:dyDescent="0.25">
      <c r="A643" t="s">
        <v>12252</v>
      </c>
      <c r="B643" t="s">
        <v>7337</v>
      </c>
      <c r="C643" s="88"/>
      <c r="D643" s="105"/>
      <c r="E643">
        <v>1</v>
      </c>
      <c r="F643" t="s">
        <v>12253</v>
      </c>
      <c r="G643" t="s">
        <v>7337</v>
      </c>
      <c r="H643" t="s">
        <v>9951</v>
      </c>
      <c r="I643" t="s">
        <v>7337</v>
      </c>
      <c r="J643" t="s">
        <v>12253</v>
      </c>
      <c r="K643" t="s">
        <v>12218</v>
      </c>
    </row>
    <row r="644" spans="1:11" s="1" customFormat="1" x14ac:dyDescent="0.25">
      <c r="A644" t="s">
        <v>12254</v>
      </c>
      <c r="B644" t="s">
        <v>10086</v>
      </c>
      <c r="C644" s="88"/>
      <c r="D644" s="105"/>
      <c r="E644">
        <v>0</v>
      </c>
      <c r="F644" t="s">
        <v>12255</v>
      </c>
      <c r="G644" t="s">
        <v>10086</v>
      </c>
      <c r="H644" t="s">
        <v>9951</v>
      </c>
      <c r="I644" t="s">
        <v>10086</v>
      </c>
      <c r="J644" t="s">
        <v>12255</v>
      </c>
      <c r="K644" t="s">
        <v>10086</v>
      </c>
    </row>
    <row r="645" spans="1:11" s="1" customFormat="1" x14ac:dyDescent="0.25">
      <c r="A645" t="s">
        <v>12256</v>
      </c>
      <c r="B645" t="s">
        <v>12257</v>
      </c>
      <c r="C645" s="3"/>
      <c r="D645" s="105"/>
      <c r="E645"/>
      <c r="F645" t="s">
        <v>12258</v>
      </c>
      <c r="G645" t="s">
        <v>12257</v>
      </c>
      <c r="H645" t="s">
        <v>9951</v>
      </c>
      <c r="I645" t="s">
        <v>12257</v>
      </c>
      <c r="J645" t="s">
        <v>12258</v>
      </c>
      <c r="K645" t="s">
        <v>12548</v>
      </c>
    </row>
    <row r="646" spans="1:11" s="1" customFormat="1" x14ac:dyDescent="0.25">
      <c r="A646" t="s">
        <v>12259</v>
      </c>
      <c r="B646" t="s">
        <v>12260</v>
      </c>
      <c r="C646" s="88"/>
      <c r="D646" s="105"/>
      <c r="E646">
        <v>0</v>
      </c>
      <c r="F646" t="s">
        <v>12261</v>
      </c>
      <c r="G646" t="s">
        <v>12260</v>
      </c>
      <c r="H646" t="s">
        <v>9951</v>
      </c>
      <c r="I646" t="s">
        <v>12260</v>
      </c>
      <c r="J646" t="s">
        <v>12261</v>
      </c>
      <c r="K646" t="s">
        <v>12326</v>
      </c>
    </row>
    <row r="647" spans="1:11" s="1" customFormat="1" x14ac:dyDescent="0.25">
      <c r="A647" t="s">
        <v>12262</v>
      </c>
      <c r="B647" t="s">
        <v>12263</v>
      </c>
      <c r="C647" s="88"/>
      <c r="D647" s="105"/>
      <c r="E647">
        <v>1</v>
      </c>
      <c r="F647" t="s">
        <v>12264</v>
      </c>
      <c r="G647" t="s">
        <v>12263</v>
      </c>
      <c r="H647" t="s">
        <v>9951</v>
      </c>
      <c r="I647" t="s">
        <v>12263</v>
      </c>
      <c r="J647" t="s">
        <v>12264</v>
      </c>
      <c r="K647" t="s">
        <v>12552</v>
      </c>
    </row>
    <row r="648" spans="1:11" s="1" customFormat="1" x14ac:dyDescent="0.25">
      <c r="A648" t="s">
        <v>12265</v>
      </c>
      <c r="B648" t="s">
        <v>12266</v>
      </c>
      <c r="C648" s="88"/>
      <c r="D648" s="105"/>
      <c r="E648">
        <v>1</v>
      </c>
      <c r="F648" t="s">
        <v>12267</v>
      </c>
      <c r="G648" t="s">
        <v>12266</v>
      </c>
      <c r="H648" t="s">
        <v>9951</v>
      </c>
      <c r="I648" t="s">
        <v>12266</v>
      </c>
      <c r="J648" t="s">
        <v>12267</v>
      </c>
      <c r="K648" t="s">
        <v>8084</v>
      </c>
    </row>
    <row r="649" spans="1:11" s="1" customFormat="1" x14ac:dyDescent="0.25">
      <c r="A649" t="s">
        <v>12268</v>
      </c>
      <c r="B649" t="s">
        <v>12269</v>
      </c>
      <c r="C649" s="88"/>
      <c r="D649" s="105"/>
      <c r="E649"/>
      <c r="F649" t="s">
        <v>12270</v>
      </c>
      <c r="G649" t="s">
        <v>12269</v>
      </c>
      <c r="H649" t="s">
        <v>9951</v>
      </c>
      <c r="I649" t="s">
        <v>12269</v>
      </c>
      <c r="J649" t="s">
        <v>12270</v>
      </c>
      <c r="K649" t="s">
        <v>12269</v>
      </c>
    </row>
    <row r="650" spans="1:11" s="1" customFormat="1" x14ac:dyDescent="0.25">
      <c r="A650" t="s">
        <v>12271</v>
      </c>
      <c r="B650" t="s">
        <v>12272</v>
      </c>
      <c r="C650" s="3"/>
      <c r="D650" s="105"/>
      <c r="E650">
        <v>350</v>
      </c>
      <c r="F650" t="s">
        <v>12273</v>
      </c>
      <c r="G650" t="s">
        <v>12272</v>
      </c>
      <c r="H650" t="s">
        <v>9951</v>
      </c>
      <c r="I650" t="s">
        <v>12272</v>
      </c>
      <c r="J650" t="s">
        <v>12273</v>
      </c>
      <c r="K650" t="s">
        <v>12552</v>
      </c>
    </row>
    <row r="651" spans="1:11" s="1" customFormat="1" x14ac:dyDescent="0.25">
      <c r="A651" t="s">
        <v>12274</v>
      </c>
      <c r="B651" t="s">
        <v>12275</v>
      </c>
      <c r="C651" s="3"/>
      <c r="D651" s="105"/>
      <c r="E651">
        <v>99</v>
      </c>
      <c r="F651" t="s">
        <v>12277</v>
      </c>
      <c r="G651" t="s">
        <v>12276</v>
      </c>
      <c r="H651" t="s">
        <v>9951</v>
      </c>
      <c r="I651" t="s">
        <v>12275</v>
      </c>
      <c r="J651" t="s">
        <v>12277</v>
      </c>
      <c r="K651" t="s">
        <v>12553</v>
      </c>
    </row>
    <row r="652" spans="1:11" s="1" customFormat="1" x14ac:dyDescent="0.25">
      <c r="A652" t="s">
        <v>12278</v>
      </c>
      <c r="B652" t="s">
        <v>12279</v>
      </c>
      <c r="C652" s="88"/>
      <c r="D652" s="105"/>
      <c r="E652">
        <v>100</v>
      </c>
      <c r="F652" t="s">
        <v>12280</v>
      </c>
      <c r="G652" t="s">
        <v>12279</v>
      </c>
      <c r="H652" t="s">
        <v>9951</v>
      </c>
      <c r="I652" t="s">
        <v>12279</v>
      </c>
      <c r="J652" t="s">
        <v>12280</v>
      </c>
      <c r="K652" t="s">
        <v>12551</v>
      </c>
    </row>
    <row r="653" spans="1:11" s="1" customFormat="1" x14ac:dyDescent="0.25">
      <c r="A653" t="s">
        <v>12281</v>
      </c>
      <c r="B653" t="s">
        <v>12972</v>
      </c>
      <c r="C653" s="3"/>
      <c r="D653" s="105"/>
      <c r="E653">
        <v>1</v>
      </c>
      <c r="F653" t="s">
        <v>12283</v>
      </c>
      <c r="G653" t="s">
        <v>12282</v>
      </c>
      <c r="H653" t="s">
        <v>9951</v>
      </c>
      <c r="I653" t="s">
        <v>12972</v>
      </c>
      <c r="J653" t="s">
        <v>12283</v>
      </c>
      <c r="K653" t="s">
        <v>7663</v>
      </c>
    </row>
    <row r="654" spans="1:11" s="1" customFormat="1" x14ac:dyDescent="0.25">
      <c r="A654" t="s">
        <v>12284</v>
      </c>
      <c r="B654" t="s">
        <v>8276</v>
      </c>
      <c r="C654" s="88"/>
      <c r="D654" s="105"/>
      <c r="E654"/>
      <c r="F654" t="s">
        <v>12285</v>
      </c>
      <c r="G654" t="s">
        <v>8276</v>
      </c>
      <c r="H654" t="s">
        <v>9951</v>
      </c>
      <c r="I654" t="s">
        <v>8276</v>
      </c>
      <c r="J654" t="s">
        <v>12285</v>
      </c>
      <c r="K654" t="s">
        <v>7462</v>
      </c>
    </row>
    <row r="655" spans="1:11" s="1" customFormat="1" x14ac:dyDescent="0.25">
      <c r="A655" t="s">
        <v>12286</v>
      </c>
      <c r="B655" t="s">
        <v>12287</v>
      </c>
      <c r="C655" s="3"/>
      <c r="D655" s="105"/>
      <c r="E655">
        <v>105</v>
      </c>
      <c r="F655" t="s">
        <v>12288</v>
      </c>
      <c r="G655" t="s">
        <v>12287</v>
      </c>
      <c r="H655" t="s">
        <v>9951</v>
      </c>
      <c r="I655" t="s">
        <v>12287</v>
      </c>
      <c r="J655" t="s">
        <v>12288</v>
      </c>
      <c r="K655" t="s">
        <v>7747</v>
      </c>
    </row>
    <row r="656" spans="1:11" s="1" customFormat="1" x14ac:dyDescent="0.25">
      <c r="A656" t="s">
        <v>12289</v>
      </c>
      <c r="B656" t="s">
        <v>12290</v>
      </c>
      <c r="C656" s="3"/>
      <c r="D656" s="105"/>
      <c r="E656"/>
      <c r="F656" t="s">
        <v>12291</v>
      </c>
      <c r="G656" t="s">
        <v>12290</v>
      </c>
      <c r="H656" t="s">
        <v>9951</v>
      </c>
      <c r="I656" t="s">
        <v>12290</v>
      </c>
      <c r="J656" t="s">
        <v>12291</v>
      </c>
      <c r="K656" t="s">
        <v>12269</v>
      </c>
    </row>
    <row r="657" spans="1:11" s="1" customFormat="1" x14ac:dyDescent="0.25">
      <c r="A657" t="s">
        <v>12292</v>
      </c>
      <c r="B657" t="s">
        <v>12293</v>
      </c>
      <c r="C657" s="3"/>
      <c r="D657" s="105"/>
      <c r="E657">
        <v>164</v>
      </c>
      <c r="F657" t="s">
        <v>12294</v>
      </c>
      <c r="G657" t="s">
        <v>12293</v>
      </c>
      <c r="H657" t="s">
        <v>9951</v>
      </c>
      <c r="I657" t="s">
        <v>12293</v>
      </c>
      <c r="J657" t="s">
        <v>12294</v>
      </c>
      <c r="K657" t="s">
        <v>12554</v>
      </c>
    </row>
    <row r="658" spans="1:11" s="1" customFormat="1" x14ac:dyDescent="0.25">
      <c r="A658" t="s">
        <v>12295</v>
      </c>
      <c r="B658" t="s">
        <v>12296</v>
      </c>
      <c r="C658" s="3"/>
      <c r="D658" s="105"/>
      <c r="E658">
        <v>0</v>
      </c>
      <c r="F658" t="s">
        <v>12297</v>
      </c>
      <c r="G658" t="s">
        <v>12296</v>
      </c>
      <c r="H658" t="s">
        <v>9951</v>
      </c>
      <c r="I658" t="s">
        <v>12296</v>
      </c>
      <c r="J658" t="s">
        <v>12297</v>
      </c>
      <c r="K658" t="s">
        <v>12555</v>
      </c>
    </row>
    <row r="659" spans="1:11" s="1" customFormat="1" x14ac:dyDescent="0.25">
      <c r="A659" t="s">
        <v>12298</v>
      </c>
      <c r="B659" t="s">
        <v>12299</v>
      </c>
      <c r="C659" s="3"/>
      <c r="D659" s="105"/>
      <c r="E659">
        <v>766</v>
      </c>
      <c r="F659" t="s">
        <v>12300</v>
      </c>
      <c r="G659" t="s">
        <v>12299</v>
      </c>
      <c r="H659" t="s">
        <v>9951</v>
      </c>
      <c r="I659" t="s">
        <v>12299</v>
      </c>
      <c r="J659" t="s">
        <v>12300</v>
      </c>
      <c r="K659" t="s">
        <v>12556</v>
      </c>
    </row>
    <row r="660" spans="1:11" s="1" customFormat="1" x14ac:dyDescent="0.25">
      <c r="A660" t="s">
        <v>12301</v>
      </c>
      <c r="B660" t="s">
        <v>12302</v>
      </c>
      <c r="C660" s="3"/>
      <c r="D660" s="105"/>
      <c r="E660">
        <v>1</v>
      </c>
      <c r="F660" t="s">
        <v>12303</v>
      </c>
      <c r="G660" t="s">
        <v>12302</v>
      </c>
      <c r="H660" t="s">
        <v>9951</v>
      </c>
      <c r="I660" t="s">
        <v>12302</v>
      </c>
      <c r="J660" t="s">
        <v>12303</v>
      </c>
      <c r="K660" t="s">
        <v>7663</v>
      </c>
    </row>
    <row r="661" spans="1:11" s="1" customFormat="1" x14ac:dyDescent="0.25">
      <c r="A661" t="s">
        <v>12304</v>
      </c>
      <c r="B661" t="s">
        <v>12305</v>
      </c>
      <c r="C661" s="3"/>
      <c r="D661" s="105"/>
      <c r="E661">
        <v>0</v>
      </c>
      <c r="F661" t="s">
        <v>12306</v>
      </c>
      <c r="G661" t="s">
        <v>12305</v>
      </c>
      <c r="H661" t="s">
        <v>9951</v>
      </c>
      <c r="I661" t="s">
        <v>12305</v>
      </c>
      <c r="J661" t="s">
        <v>12306</v>
      </c>
      <c r="K661" t="s">
        <v>12557</v>
      </c>
    </row>
    <row r="662" spans="1:11" s="1" customFormat="1" x14ac:dyDescent="0.25">
      <c r="A662" t="s">
        <v>12307</v>
      </c>
      <c r="B662" t="s">
        <v>12308</v>
      </c>
      <c r="C662" s="3"/>
      <c r="D662" s="105"/>
      <c r="E662"/>
      <c r="F662" t="s">
        <v>12310</v>
      </c>
      <c r="G662" t="s">
        <v>12309</v>
      </c>
      <c r="H662" t="s">
        <v>9951</v>
      </c>
      <c r="I662" t="s">
        <v>12308</v>
      </c>
      <c r="J662" t="s">
        <v>12310</v>
      </c>
      <c r="K662" t="s">
        <v>12556</v>
      </c>
    </row>
    <row r="663" spans="1:11" s="1" customFormat="1" x14ac:dyDescent="0.25">
      <c r="A663" t="s">
        <v>12311</v>
      </c>
      <c r="B663" t="s">
        <v>12312</v>
      </c>
      <c r="C663" s="3"/>
      <c r="D663" s="105"/>
      <c r="E663"/>
      <c r="F663" t="s">
        <v>12313</v>
      </c>
      <c r="G663" t="s">
        <v>12312</v>
      </c>
      <c r="H663" t="s">
        <v>9951</v>
      </c>
      <c r="I663" t="s">
        <v>12312</v>
      </c>
      <c r="J663" t="s">
        <v>12313</v>
      </c>
      <c r="K663" t="s">
        <v>12558</v>
      </c>
    </row>
    <row r="664" spans="1:11" s="1" customFormat="1" x14ac:dyDescent="0.25">
      <c r="A664" t="s">
        <v>12314</v>
      </c>
      <c r="B664" t="s">
        <v>12315</v>
      </c>
      <c r="C664" s="3"/>
      <c r="D664" s="105"/>
      <c r="E664"/>
      <c r="F664" t="s">
        <v>12316</v>
      </c>
      <c r="G664" t="s">
        <v>12315</v>
      </c>
      <c r="H664" t="s">
        <v>9951</v>
      </c>
      <c r="I664" t="s">
        <v>12315</v>
      </c>
      <c r="J664" t="s">
        <v>12316</v>
      </c>
      <c r="K664" t="s">
        <v>7315</v>
      </c>
    </row>
    <row r="665" spans="1:11" s="1" customFormat="1" x14ac:dyDescent="0.25">
      <c r="A665" t="s">
        <v>12317</v>
      </c>
      <c r="B665" t="s">
        <v>12318</v>
      </c>
      <c r="C665" s="3"/>
      <c r="D665" s="105"/>
      <c r="E665"/>
      <c r="F665" t="s">
        <v>12319</v>
      </c>
      <c r="G665" t="s">
        <v>12318</v>
      </c>
      <c r="H665" t="s">
        <v>9951</v>
      </c>
      <c r="I665" t="s">
        <v>12318</v>
      </c>
      <c r="J665" t="s">
        <v>12319</v>
      </c>
      <c r="K665" t="s">
        <v>12551</v>
      </c>
    </row>
    <row r="666" spans="1:11" s="1" customFormat="1" x14ac:dyDescent="0.25">
      <c r="A666" t="s">
        <v>12320</v>
      </c>
      <c r="B666" t="s">
        <v>12321</v>
      </c>
      <c r="C666" s="3"/>
      <c r="D666" s="105"/>
      <c r="E666"/>
      <c r="F666" t="s">
        <v>12322</v>
      </c>
      <c r="G666" t="s">
        <v>12321</v>
      </c>
      <c r="H666" t="s">
        <v>9951</v>
      </c>
      <c r="I666" t="s">
        <v>12321</v>
      </c>
      <c r="J666" t="s">
        <v>12322</v>
      </c>
      <c r="K666" t="s">
        <v>8084</v>
      </c>
    </row>
    <row r="667" spans="1:11" s="1" customFormat="1" x14ac:dyDescent="0.25">
      <c r="A667" t="s">
        <v>12323</v>
      </c>
      <c r="B667" t="s">
        <v>7670</v>
      </c>
      <c r="C667" s="3"/>
      <c r="D667" s="105"/>
      <c r="E667"/>
      <c r="F667" t="s">
        <v>12324</v>
      </c>
      <c r="G667" t="s">
        <v>7670</v>
      </c>
      <c r="H667" t="s">
        <v>9951</v>
      </c>
      <c r="I667" t="s">
        <v>7670</v>
      </c>
      <c r="J667" t="s">
        <v>12324</v>
      </c>
      <c r="K667" t="s">
        <v>12550</v>
      </c>
    </row>
    <row r="668" spans="1:11" s="1" customFormat="1" x14ac:dyDescent="0.25">
      <c r="A668" t="s">
        <v>12325</v>
      </c>
      <c r="B668" t="s">
        <v>12326</v>
      </c>
      <c r="C668" s="3"/>
      <c r="D668" s="105"/>
      <c r="E668"/>
      <c r="F668" t="s">
        <v>12328</v>
      </c>
      <c r="G668" t="s">
        <v>12327</v>
      </c>
      <c r="H668" t="s">
        <v>9951</v>
      </c>
      <c r="I668" t="s">
        <v>12326</v>
      </c>
      <c r="J668" t="s">
        <v>12328</v>
      </c>
      <c r="K668" t="s">
        <v>12326</v>
      </c>
    </row>
    <row r="669" spans="1:11" s="1" customFormat="1" x14ac:dyDescent="0.25">
      <c r="A669" t="s">
        <v>12329</v>
      </c>
      <c r="B669" t="s">
        <v>12330</v>
      </c>
      <c r="C669" s="3"/>
      <c r="D669" s="105"/>
      <c r="E669">
        <v>545</v>
      </c>
      <c r="F669" t="s">
        <v>12331</v>
      </c>
      <c r="G669" t="s">
        <v>9951</v>
      </c>
      <c r="H669" t="s">
        <v>9951</v>
      </c>
      <c r="I669" t="s">
        <v>12330</v>
      </c>
      <c r="J669" t="s">
        <v>12331</v>
      </c>
      <c r="K669" t="s">
        <v>12513</v>
      </c>
    </row>
    <row r="670" spans="1:11" s="1" customFormat="1" x14ac:dyDescent="0.25">
      <c r="A670" t="s">
        <v>9223</v>
      </c>
      <c r="B670" t="s">
        <v>9224</v>
      </c>
      <c r="C670" s="88"/>
      <c r="D670" s="105"/>
      <c r="E670">
        <v>102</v>
      </c>
      <c r="F670" t="s">
        <v>9227</v>
      </c>
      <c r="G670" t="s">
        <v>9224</v>
      </c>
      <c r="H670" t="s">
        <v>9226</v>
      </c>
      <c r="I670" t="s">
        <v>9224</v>
      </c>
      <c r="J670" t="s">
        <v>9227</v>
      </c>
      <c r="K670" t="s">
        <v>7392</v>
      </c>
    </row>
    <row r="671" spans="1:11" s="1" customFormat="1" x14ac:dyDescent="0.25">
      <c r="A671" t="s">
        <v>9228</v>
      </c>
      <c r="B671" t="s">
        <v>9229</v>
      </c>
      <c r="C671" s="3"/>
      <c r="D671" s="105"/>
      <c r="E671">
        <v>0</v>
      </c>
      <c r="F671" t="s">
        <v>9230</v>
      </c>
      <c r="G671" t="s">
        <v>9229</v>
      </c>
      <c r="H671" t="s">
        <v>9226</v>
      </c>
      <c r="I671" t="s">
        <v>9229</v>
      </c>
      <c r="J671" t="s">
        <v>9230</v>
      </c>
      <c r="K671" t="s">
        <v>9813</v>
      </c>
    </row>
    <row r="672" spans="1:11" s="1" customFormat="1" x14ac:dyDescent="0.25">
      <c r="A672" t="s">
        <v>9231</v>
      </c>
      <c r="B672" t="s">
        <v>9232</v>
      </c>
      <c r="C672" s="3"/>
      <c r="D672" s="105"/>
      <c r="E672">
        <v>580</v>
      </c>
      <c r="F672" t="s">
        <v>9233</v>
      </c>
      <c r="G672" t="s">
        <v>9232</v>
      </c>
      <c r="H672" t="s">
        <v>9226</v>
      </c>
      <c r="I672" t="s">
        <v>9232</v>
      </c>
      <c r="J672" t="s">
        <v>9233</v>
      </c>
      <c r="K672" t="s">
        <v>7392</v>
      </c>
    </row>
    <row r="673" spans="1:11" s="1" customFormat="1" x14ac:dyDescent="0.25">
      <c r="A673" t="s">
        <v>9234</v>
      </c>
      <c r="B673" t="s">
        <v>9235</v>
      </c>
      <c r="C673" s="88"/>
      <c r="D673" s="105"/>
      <c r="E673"/>
      <c r="F673" t="s">
        <v>9236</v>
      </c>
      <c r="G673" t="s">
        <v>9235</v>
      </c>
      <c r="H673" t="s">
        <v>9226</v>
      </c>
      <c r="I673" t="s">
        <v>9235</v>
      </c>
      <c r="J673" t="s">
        <v>9236</v>
      </c>
      <c r="K673" t="s">
        <v>7392</v>
      </c>
    </row>
    <row r="674" spans="1:11" s="1" customFormat="1" x14ac:dyDescent="0.25">
      <c r="A674" t="s">
        <v>9237</v>
      </c>
      <c r="B674" t="s">
        <v>9238</v>
      </c>
      <c r="C674" s="3"/>
      <c r="D674" s="105"/>
      <c r="E674">
        <v>1000</v>
      </c>
      <c r="F674" t="s">
        <v>9239</v>
      </c>
      <c r="G674" t="s">
        <v>9238</v>
      </c>
      <c r="H674" t="s">
        <v>9226</v>
      </c>
      <c r="I674" t="s">
        <v>9238</v>
      </c>
      <c r="J674" t="s">
        <v>9239</v>
      </c>
      <c r="K674" t="s">
        <v>9813</v>
      </c>
    </row>
    <row r="675" spans="1:11" s="1" customFormat="1" x14ac:dyDescent="0.25">
      <c r="A675" t="s">
        <v>9240</v>
      </c>
      <c r="B675" t="s">
        <v>9241</v>
      </c>
      <c r="C675" s="3"/>
      <c r="D675" s="105"/>
      <c r="E675">
        <v>490</v>
      </c>
      <c r="F675" t="s">
        <v>9242</v>
      </c>
      <c r="G675" t="s">
        <v>9241</v>
      </c>
      <c r="H675" t="s">
        <v>9226</v>
      </c>
      <c r="I675" t="s">
        <v>9241</v>
      </c>
      <c r="J675" t="s">
        <v>9242</v>
      </c>
      <c r="K675" t="s">
        <v>7817</v>
      </c>
    </row>
    <row r="676" spans="1:11" s="1" customFormat="1" x14ac:dyDescent="0.25">
      <c r="A676" t="s">
        <v>9243</v>
      </c>
      <c r="B676" t="s">
        <v>9244</v>
      </c>
      <c r="C676" s="88"/>
      <c r="D676" s="105"/>
      <c r="E676">
        <v>150</v>
      </c>
      <c r="F676" t="s">
        <v>9245</v>
      </c>
      <c r="G676" t="s">
        <v>9244</v>
      </c>
      <c r="H676" t="s">
        <v>9226</v>
      </c>
      <c r="I676" t="s">
        <v>9244</v>
      </c>
      <c r="J676" t="s">
        <v>9245</v>
      </c>
      <c r="K676" t="s">
        <v>12559</v>
      </c>
    </row>
    <row r="677" spans="1:11" s="1" customFormat="1" x14ac:dyDescent="0.25">
      <c r="A677" t="s">
        <v>9246</v>
      </c>
      <c r="B677" t="s">
        <v>9247</v>
      </c>
      <c r="C677" s="88"/>
      <c r="D677" s="105"/>
      <c r="E677">
        <v>0</v>
      </c>
      <c r="F677" t="s">
        <v>9248</v>
      </c>
      <c r="G677" t="s">
        <v>9247</v>
      </c>
      <c r="H677" t="s">
        <v>9226</v>
      </c>
      <c r="I677" t="s">
        <v>9247</v>
      </c>
      <c r="J677" t="s">
        <v>9248</v>
      </c>
      <c r="K677" t="s">
        <v>12559</v>
      </c>
    </row>
    <row r="678" spans="1:11" s="1" customFormat="1" x14ac:dyDescent="0.25">
      <c r="A678" t="s">
        <v>9249</v>
      </c>
      <c r="B678" t="s">
        <v>9250</v>
      </c>
      <c r="C678" s="88"/>
      <c r="D678" s="105"/>
      <c r="E678">
        <v>100</v>
      </c>
      <c r="F678" t="s">
        <v>9252</v>
      </c>
      <c r="G678" t="s">
        <v>9251</v>
      </c>
      <c r="H678" t="s">
        <v>9226</v>
      </c>
      <c r="I678" t="s">
        <v>9250</v>
      </c>
      <c r="J678" t="s">
        <v>9252</v>
      </c>
      <c r="K678" t="s">
        <v>11004</v>
      </c>
    </row>
    <row r="679" spans="1:11" s="1" customFormat="1" x14ac:dyDescent="0.25">
      <c r="A679" t="s">
        <v>9253</v>
      </c>
      <c r="B679" t="s">
        <v>9254</v>
      </c>
      <c r="C679" s="88"/>
      <c r="D679" s="105"/>
      <c r="E679">
        <v>304</v>
      </c>
      <c r="F679" t="s">
        <v>9255</v>
      </c>
      <c r="G679" t="s">
        <v>9254</v>
      </c>
      <c r="H679" t="s">
        <v>9226</v>
      </c>
      <c r="I679" t="s">
        <v>9254</v>
      </c>
      <c r="J679" t="s">
        <v>9255</v>
      </c>
      <c r="K679" t="s">
        <v>7779</v>
      </c>
    </row>
    <row r="680" spans="1:11" s="1" customFormat="1" x14ac:dyDescent="0.25">
      <c r="A680" t="s">
        <v>9256</v>
      </c>
      <c r="B680" t="s">
        <v>9257</v>
      </c>
      <c r="C680" s="3"/>
      <c r="D680" s="105"/>
      <c r="E680">
        <v>268</v>
      </c>
      <c r="F680" t="s">
        <v>9260</v>
      </c>
      <c r="G680" t="s">
        <v>9259</v>
      </c>
      <c r="H680" t="s">
        <v>9226</v>
      </c>
      <c r="I680" t="s">
        <v>9257</v>
      </c>
      <c r="J680" t="s">
        <v>9260</v>
      </c>
      <c r="K680" t="s">
        <v>12560</v>
      </c>
    </row>
    <row r="681" spans="1:11" s="1" customFormat="1" x14ac:dyDescent="0.25">
      <c r="A681" t="s">
        <v>9261</v>
      </c>
      <c r="B681" t="s">
        <v>9262</v>
      </c>
      <c r="C681" s="88"/>
      <c r="D681" s="105"/>
      <c r="E681"/>
      <c r="F681" t="s">
        <v>9263</v>
      </c>
      <c r="G681" t="s">
        <v>9262</v>
      </c>
      <c r="H681" t="s">
        <v>9226</v>
      </c>
      <c r="I681" t="s">
        <v>9262</v>
      </c>
      <c r="J681" t="s">
        <v>9263</v>
      </c>
      <c r="K681" t="s">
        <v>7530</v>
      </c>
    </row>
    <row r="682" spans="1:11" s="1" customFormat="1" x14ac:dyDescent="0.25">
      <c r="A682" t="s">
        <v>9264</v>
      </c>
      <c r="B682" t="s">
        <v>9265</v>
      </c>
      <c r="C682" s="3"/>
      <c r="D682" s="105"/>
      <c r="E682">
        <v>490</v>
      </c>
      <c r="F682" t="s">
        <v>9267</v>
      </c>
      <c r="G682" t="s">
        <v>9266</v>
      </c>
      <c r="H682" t="s">
        <v>9226</v>
      </c>
      <c r="I682" t="s">
        <v>9265</v>
      </c>
      <c r="J682" t="s">
        <v>9267</v>
      </c>
      <c r="K682" t="s">
        <v>12561</v>
      </c>
    </row>
    <row r="683" spans="1:11" s="1" customFormat="1" x14ac:dyDescent="0.25">
      <c r="A683" t="s">
        <v>9268</v>
      </c>
      <c r="B683" t="s">
        <v>9269</v>
      </c>
      <c r="C683" s="3"/>
      <c r="D683" s="105"/>
      <c r="E683">
        <v>502</v>
      </c>
      <c r="F683" t="s">
        <v>9271</v>
      </c>
      <c r="G683" t="s">
        <v>9270</v>
      </c>
      <c r="H683" t="s">
        <v>9226</v>
      </c>
      <c r="I683" t="s">
        <v>9269</v>
      </c>
      <c r="J683" t="s">
        <v>9271</v>
      </c>
      <c r="K683" t="s">
        <v>7530</v>
      </c>
    </row>
    <row r="684" spans="1:11" s="1" customFormat="1" x14ac:dyDescent="0.25">
      <c r="A684" t="s">
        <v>9272</v>
      </c>
      <c r="B684" t="s">
        <v>9273</v>
      </c>
      <c r="C684" s="3"/>
      <c r="D684" s="105"/>
      <c r="E684">
        <v>0</v>
      </c>
      <c r="F684" t="s">
        <v>9275</v>
      </c>
      <c r="G684" t="s">
        <v>9274</v>
      </c>
      <c r="H684" t="s">
        <v>9226</v>
      </c>
      <c r="I684" t="s">
        <v>9273</v>
      </c>
      <c r="J684" t="s">
        <v>9275</v>
      </c>
      <c r="K684" t="s">
        <v>10749</v>
      </c>
    </row>
    <row r="685" spans="1:11" s="1" customFormat="1" x14ac:dyDescent="0.25">
      <c r="A685" t="s">
        <v>9276</v>
      </c>
      <c r="B685" t="s">
        <v>9277</v>
      </c>
      <c r="C685" s="3"/>
      <c r="D685" s="105"/>
      <c r="E685">
        <v>374</v>
      </c>
      <c r="F685" t="s">
        <v>9278</v>
      </c>
      <c r="G685" t="s">
        <v>9277</v>
      </c>
      <c r="H685" t="s">
        <v>9226</v>
      </c>
      <c r="I685" t="s">
        <v>9277</v>
      </c>
      <c r="J685" t="s">
        <v>9278</v>
      </c>
      <c r="K685" t="s">
        <v>8480</v>
      </c>
    </row>
    <row r="686" spans="1:11" s="1" customFormat="1" x14ac:dyDescent="0.25">
      <c r="A686" t="s">
        <v>9279</v>
      </c>
      <c r="B686" t="s">
        <v>9280</v>
      </c>
      <c r="C686" s="3"/>
      <c r="D686" s="105"/>
      <c r="E686"/>
      <c r="F686" t="s">
        <v>9282</v>
      </c>
      <c r="G686" t="s">
        <v>9281</v>
      </c>
      <c r="H686" t="s">
        <v>9226</v>
      </c>
      <c r="I686" t="s">
        <v>9280</v>
      </c>
      <c r="J686" t="s">
        <v>9282</v>
      </c>
      <c r="K686" t="s">
        <v>11260</v>
      </c>
    </row>
    <row r="687" spans="1:11" s="1" customFormat="1" x14ac:dyDescent="0.25">
      <c r="A687" t="s">
        <v>9283</v>
      </c>
      <c r="B687" t="s">
        <v>9284</v>
      </c>
      <c r="C687" s="3"/>
      <c r="D687" s="105"/>
      <c r="E687">
        <v>147</v>
      </c>
      <c r="F687" t="s">
        <v>9285</v>
      </c>
      <c r="G687" t="s">
        <v>9284</v>
      </c>
      <c r="H687" t="s">
        <v>9226</v>
      </c>
      <c r="I687" t="s">
        <v>9284</v>
      </c>
      <c r="J687" t="s">
        <v>9285</v>
      </c>
      <c r="K687" t="s">
        <v>10749</v>
      </c>
    </row>
    <row r="688" spans="1:11" s="1" customFormat="1" x14ac:dyDescent="0.25">
      <c r="A688" t="s">
        <v>9286</v>
      </c>
      <c r="B688" t="s">
        <v>9287</v>
      </c>
      <c r="C688" s="3"/>
      <c r="D688" s="105"/>
      <c r="E688">
        <v>0</v>
      </c>
      <c r="F688" t="s">
        <v>9288</v>
      </c>
      <c r="G688" t="s">
        <v>9287</v>
      </c>
      <c r="H688" t="s">
        <v>9226</v>
      </c>
      <c r="I688" t="s">
        <v>9287</v>
      </c>
      <c r="J688" t="s">
        <v>9288</v>
      </c>
      <c r="K688" t="s">
        <v>12562</v>
      </c>
    </row>
    <row r="689" spans="1:11" s="1" customFormat="1" x14ac:dyDescent="0.25">
      <c r="A689" t="s">
        <v>9289</v>
      </c>
      <c r="B689" t="s">
        <v>9290</v>
      </c>
      <c r="C689" s="3"/>
      <c r="D689" s="105"/>
      <c r="E689">
        <v>1</v>
      </c>
      <c r="F689" t="s">
        <v>9291</v>
      </c>
      <c r="G689" t="s">
        <v>9290</v>
      </c>
      <c r="H689" t="s">
        <v>9226</v>
      </c>
      <c r="I689" t="s">
        <v>9290</v>
      </c>
      <c r="J689" t="s">
        <v>9291</v>
      </c>
      <c r="K689" t="s">
        <v>12562</v>
      </c>
    </row>
    <row r="690" spans="1:11" s="1" customFormat="1" x14ac:dyDescent="0.25">
      <c r="A690" t="s">
        <v>9292</v>
      </c>
      <c r="B690" t="s">
        <v>13199</v>
      </c>
      <c r="C690" s="3"/>
      <c r="D690" s="105"/>
      <c r="E690">
        <v>1031</v>
      </c>
      <c r="F690" t="s">
        <v>9293</v>
      </c>
      <c r="G690" t="s">
        <v>13199</v>
      </c>
      <c r="H690" t="s">
        <v>9226</v>
      </c>
      <c r="I690" t="s">
        <v>13199</v>
      </c>
      <c r="J690" t="s">
        <v>9293</v>
      </c>
      <c r="K690" t="s">
        <v>7361</v>
      </c>
    </row>
    <row r="691" spans="1:11" s="1" customFormat="1" x14ac:dyDescent="0.25">
      <c r="A691" t="s">
        <v>9294</v>
      </c>
      <c r="B691" t="s">
        <v>9295</v>
      </c>
      <c r="C691" s="3"/>
      <c r="D691" s="105"/>
      <c r="E691">
        <v>100</v>
      </c>
      <c r="F691" t="s">
        <v>9296</v>
      </c>
      <c r="G691" t="s">
        <v>9295</v>
      </c>
      <c r="H691" t="s">
        <v>9226</v>
      </c>
      <c r="I691" t="s">
        <v>9295</v>
      </c>
      <c r="J691" t="s">
        <v>9296</v>
      </c>
      <c r="K691" t="s">
        <v>10749</v>
      </c>
    </row>
    <row r="692" spans="1:11" s="1" customFormat="1" x14ac:dyDescent="0.25">
      <c r="A692" t="s">
        <v>9297</v>
      </c>
      <c r="B692" t="s">
        <v>9298</v>
      </c>
      <c r="C692" s="3"/>
      <c r="D692" s="105"/>
      <c r="E692">
        <v>1007</v>
      </c>
      <c r="F692" t="s">
        <v>9299</v>
      </c>
      <c r="G692" t="s">
        <v>9298</v>
      </c>
      <c r="H692" t="s">
        <v>9226</v>
      </c>
      <c r="I692" t="s">
        <v>9298</v>
      </c>
      <c r="J692" t="s">
        <v>9299</v>
      </c>
      <c r="K692" t="s">
        <v>8069</v>
      </c>
    </row>
    <row r="693" spans="1:11" s="1" customFormat="1" x14ac:dyDescent="0.25">
      <c r="A693" t="s">
        <v>9300</v>
      </c>
      <c r="B693" t="s">
        <v>9301</v>
      </c>
      <c r="C693" s="3"/>
      <c r="D693" s="105"/>
      <c r="E693">
        <v>198</v>
      </c>
      <c r="F693" t="s">
        <v>9302</v>
      </c>
      <c r="G693" t="s">
        <v>9301</v>
      </c>
      <c r="H693" t="s">
        <v>9226</v>
      </c>
      <c r="I693" t="s">
        <v>9301</v>
      </c>
      <c r="J693" t="s">
        <v>9302</v>
      </c>
      <c r="K693" t="s">
        <v>7437</v>
      </c>
    </row>
    <row r="694" spans="1:11" s="1" customFormat="1" x14ac:dyDescent="0.25">
      <c r="A694" t="s">
        <v>9303</v>
      </c>
      <c r="B694" t="s">
        <v>9304</v>
      </c>
      <c r="C694" s="3"/>
      <c r="D694" s="105"/>
      <c r="E694">
        <v>100</v>
      </c>
      <c r="F694" t="s">
        <v>9305</v>
      </c>
      <c r="G694" t="s">
        <v>9304</v>
      </c>
      <c r="H694" t="s">
        <v>9226</v>
      </c>
      <c r="I694" t="s">
        <v>9304</v>
      </c>
      <c r="J694" t="s">
        <v>9305</v>
      </c>
      <c r="K694" t="s">
        <v>12562</v>
      </c>
    </row>
    <row r="695" spans="1:11" s="1" customFormat="1" x14ac:dyDescent="0.25">
      <c r="A695" t="s">
        <v>9306</v>
      </c>
      <c r="B695" t="s">
        <v>9307</v>
      </c>
      <c r="C695" s="3"/>
      <c r="D695" s="105"/>
      <c r="E695">
        <v>100</v>
      </c>
      <c r="F695" t="s">
        <v>9308</v>
      </c>
      <c r="G695" t="s">
        <v>9307</v>
      </c>
      <c r="H695" t="s">
        <v>9226</v>
      </c>
      <c r="I695" t="s">
        <v>9307</v>
      </c>
      <c r="J695" t="s">
        <v>9308</v>
      </c>
      <c r="K695" t="s">
        <v>9347</v>
      </c>
    </row>
    <row r="696" spans="1:11" s="1" customFormat="1" x14ac:dyDescent="0.25">
      <c r="A696" t="s">
        <v>9309</v>
      </c>
      <c r="B696" t="s">
        <v>9310</v>
      </c>
      <c r="C696" s="3"/>
      <c r="D696" s="105"/>
      <c r="E696">
        <v>391</v>
      </c>
      <c r="F696" t="s">
        <v>9311</v>
      </c>
      <c r="G696" t="s">
        <v>9310</v>
      </c>
      <c r="H696" t="s">
        <v>9226</v>
      </c>
      <c r="I696" t="s">
        <v>9310</v>
      </c>
      <c r="J696" t="s">
        <v>9311</v>
      </c>
      <c r="K696" t="s">
        <v>12561</v>
      </c>
    </row>
    <row r="697" spans="1:11" s="1" customFormat="1" x14ac:dyDescent="0.25">
      <c r="A697" t="s">
        <v>9312</v>
      </c>
      <c r="B697" t="s">
        <v>9313</v>
      </c>
      <c r="C697" s="3"/>
      <c r="D697" s="105"/>
      <c r="E697">
        <v>358</v>
      </c>
      <c r="F697" t="s">
        <v>9314</v>
      </c>
      <c r="G697" t="s">
        <v>9313</v>
      </c>
      <c r="H697" t="s">
        <v>9226</v>
      </c>
      <c r="I697" t="s">
        <v>9313</v>
      </c>
      <c r="J697" t="s">
        <v>9314</v>
      </c>
      <c r="K697" t="s">
        <v>11004</v>
      </c>
    </row>
    <row r="698" spans="1:11" s="1" customFormat="1" x14ac:dyDescent="0.25">
      <c r="A698" t="s">
        <v>9315</v>
      </c>
      <c r="B698" t="s">
        <v>9316</v>
      </c>
      <c r="C698" s="3"/>
      <c r="D698" s="105"/>
      <c r="E698">
        <v>100</v>
      </c>
      <c r="F698" t="s">
        <v>9318</v>
      </c>
      <c r="G698" t="s">
        <v>9317</v>
      </c>
      <c r="H698" t="s">
        <v>9226</v>
      </c>
      <c r="I698" t="s">
        <v>9316</v>
      </c>
      <c r="J698" t="s">
        <v>9318</v>
      </c>
      <c r="K698" t="s">
        <v>9317</v>
      </c>
    </row>
    <row r="699" spans="1:11" s="1" customFormat="1" x14ac:dyDescent="0.25">
      <c r="A699" t="s">
        <v>9319</v>
      </c>
      <c r="B699" t="s">
        <v>9320</v>
      </c>
      <c r="C699" s="3"/>
      <c r="D699" s="105"/>
      <c r="E699">
        <v>100</v>
      </c>
      <c r="F699" t="s">
        <v>9322</v>
      </c>
      <c r="G699" t="s">
        <v>9321</v>
      </c>
      <c r="H699" t="s">
        <v>9226</v>
      </c>
      <c r="I699" t="s">
        <v>9320</v>
      </c>
      <c r="J699" t="s">
        <v>9322</v>
      </c>
      <c r="K699" t="s">
        <v>12561</v>
      </c>
    </row>
    <row r="700" spans="1:11" s="1" customFormat="1" x14ac:dyDescent="0.25">
      <c r="A700" t="s">
        <v>9323</v>
      </c>
      <c r="B700" t="s">
        <v>13200</v>
      </c>
      <c r="C700" s="3"/>
      <c r="D700" s="105"/>
      <c r="E700">
        <v>601</v>
      </c>
      <c r="F700" t="s">
        <v>9324</v>
      </c>
      <c r="G700" t="s">
        <v>13229</v>
      </c>
      <c r="H700" t="s">
        <v>9226</v>
      </c>
      <c r="I700" t="s">
        <v>13200</v>
      </c>
      <c r="J700" t="s">
        <v>9324</v>
      </c>
      <c r="K700" t="s">
        <v>12563</v>
      </c>
    </row>
    <row r="701" spans="1:11" s="1" customFormat="1" x14ac:dyDescent="0.25">
      <c r="A701" t="s">
        <v>9325</v>
      </c>
      <c r="B701" t="s">
        <v>9326</v>
      </c>
      <c r="C701" s="3"/>
      <c r="D701" s="105"/>
      <c r="E701">
        <v>135</v>
      </c>
      <c r="F701" t="s">
        <v>9327</v>
      </c>
      <c r="G701" t="s">
        <v>9326</v>
      </c>
      <c r="H701" t="s">
        <v>9226</v>
      </c>
      <c r="I701" t="s">
        <v>9326</v>
      </c>
      <c r="J701" t="s">
        <v>9327</v>
      </c>
      <c r="K701" t="s">
        <v>7653</v>
      </c>
    </row>
    <row r="702" spans="1:11" s="1" customFormat="1" x14ac:dyDescent="0.25">
      <c r="A702" t="s">
        <v>9328</v>
      </c>
      <c r="B702" t="s">
        <v>9329</v>
      </c>
      <c r="C702" s="3"/>
      <c r="D702" s="105"/>
      <c r="E702">
        <v>0</v>
      </c>
      <c r="F702" t="s">
        <v>9330</v>
      </c>
      <c r="G702" t="s">
        <v>9329</v>
      </c>
      <c r="H702" t="s">
        <v>9226</v>
      </c>
      <c r="I702" t="s">
        <v>9329</v>
      </c>
      <c r="J702" t="s">
        <v>9330</v>
      </c>
      <c r="K702" t="s">
        <v>7392</v>
      </c>
    </row>
    <row r="703" spans="1:11" s="1" customFormat="1" x14ac:dyDescent="0.25">
      <c r="A703" t="s">
        <v>9331</v>
      </c>
      <c r="B703" t="s">
        <v>9332</v>
      </c>
      <c r="C703" s="3"/>
      <c r="D703" s="105"/>
      <c r="E703">
        <v>575</v>
      </c>
      <c r="F703" t="s">
        <v>9333</v>
      </c>
      <c r="G703" t="s">
        <v>9332</v>
      </c>
      <c r="H703" t="s">
        <v>9226</v>
      </c>
      <c r="I703" t="s">
        <v>9332</v>
      </c>
      <c r="J703" t="s">
        <v>9333</v>
      </c>
      <c r="K703" t="s">
        <v>9332</v>
      </c>
    </row>
    <row r="704" spans="1:11" s="1" customFormat="1" x14ac:dyDescent="0.25">
      <c r="A704" t="s">
        <v>9334</v>
      </c>
      <c r="B704" t="s">
        <v>7998</v>
      </c>
      <c r="C704" s="3"/>
      <c r="D704" s="105"/>
      <c r="E704">
        <v>0</v>
      </c>
      <c r="F704" t="s">
        <v>9335</v>
      </c>
      <c r="G704" t="s">
        <v>7998</v>
      </c>
      <c r="H704" t="s">
        <v>9226</v>
      </c>
      <c r="I704" t="s">
        <v>7998</v>
      </c>
      <c r="J704" t="s">
        <v>9335</v>
      </c>
      <c r="K704" t="s">
        <v>8069</v>
      </c>
    </row>
    <row r="705" spans="1:11" s="1" customFormat="1" x14ac:dyDescent="0.25">
      <c r="A705" t="s">
        <v>9336</v>
      </c>
      <c r="B705" t="s">
        <v>9337</v>
      </c>
      <c r="C705" s="3"/>
      <c r="D705" s="105"/>
      <c r="E705">
        <v>233</v>
      </c>
      <c r="F705" t="s">
        <v>9338</v>
      </c>
      <c r="G705" t="s">
        <v>9337</v>
      </c>
      <c r="H705" t="s">
        <v>9226</v>
      </c>
      <c r="I705" t="s">
        <v>9337</v>
      </c>
      <c r="J705" t="s">
        <v>9338</v>
      </c>
      <c r="K705" t="s">
        <v>12564</v>
      </c>
    </row>
    <row r="706" spans="1:11" s="1" customFormat="1" x14ac:dyDescent="0.25">
      <c r="A706" t="s">
        <v>9339</v>
      </c>
      <c r="B706" t="s">
        <v>9340</v>
      </c>
      <c r="C706" s="3"/>
      <c r="D706" s="105"/>
      <c r="E706">
        <v>0</v>
      </c>
      <c r="F706" t="s">
        <v>9341</v>
      </c>
      <c r="G706" t="s">
        <v>9340</v>
      </c>
      <c r="H706" t="s">
        <v>9226</v>
      </c>
      <c r="I706" t="s">
        <v>9340</v>
      </c>
      <c r="J706" t="s">
        <v>9341</v>
      </c>
      <c r="K706" t="s">
        <v>11004</v>
      </c>
    </row>
    <row r="707" spans="1:11" s="1" customFormat="1" x14ac:dyDescent="0.25">
      <c r="A707" t="s">
        <v>9342</v>
      </c>
      <c r="B707" t="s">
        <v>9343</v>
      </c>
      <c r="C707" s="3"/>
      <c r="D707" s="105"/>
      <c r="E707">
        <v>199</v>
      </c>
      <c r="F707" t="s">
        <v>9344</v>
      </c>
      <c r="G707" t="s">
        <v>9343</v>
      </c>
      <c r="H707" t="s">
        <v>9226</v>
      </c>
      <c r="I707" t="s">
        <v>9343</v>
      </c>
      <c r="J707" t="s">
        <v>9344</v>
      </c>
      <c r="K707" t="s">
        <v>8295</v>
      </c>
    </row>
    <row r="708" spans="1:11" s="1" customFormat="1" x14ac:dyDescent="0.25">
      <c r="A708" t="s">
        <v>9345</v>
      </c>
      <c r="B708" t="s">
        <v>9346</v>
      </c>
      <c r="C708" s="3"/>
      <c r="D708" s="105"/>
      <c r="E708">
        <v>199</v>
      </c>
      <c r="F708" t="s">
        <v>9348</v>
      </c>
      <c r="G708" t="s">
        <v>9346</v>
      </c>
      <c r="H708" t="s">
        <v>9226</v>
      </c>
      <c r="I708" t="s">
        <v>9346</v>
      </c>
      <c r="J708" t="s">
        <v>9348</v>
      </c>
      <c r="K708" t="s">
        <v>12560</v>
      </c>
    </row>
    <row r="709" spans="1:11" s="1" customFormat="1" x14ac:dyDescent="0.25">
      <c r="A709" t="s">
        <v>9349</v>
      </c>
      <c r="B709" t="s">
        <v>9350</v>
      </c>
      <c r="C709" s="3"/>
      <c r="D709" s="105"/>
      <c r="E709">
        <v>250</v>
      </c>
      <c r="F709" t="s">
        <v>9352</v>
      </c>
      <c r="G709" t="s">
        <v>9350</v>
      </c>
      <c r="H709" t="s">
        <v>9226</v>
      </c>
      <c r="I709" t="s">
        <v>9350</v>
      </c>
      <c r="J709" t="s">
        <v>9352</v>
      </c>
      <c r="K709" t="s">
        <v>10110</v>
      </c>
    </row>
    <row r="710" spans="1:11" s="1" customFormat="1" x14ac:dyDescent="0.25">
      <c r="A710" t="s">
        <v>9353</v>
      </c>
      <c r="B710" t="s">
        <v>9354</v>
      </c>
      <c r="C710" s="3"/>
      <c r="D710" s="105"/>
      <c r="E710"/>
      <c r="F710" t="s">
        <v>9356</v>
      </c>
      <c r="G710" t="s">
        <v>9354</v>
      </c>
      <c r="H710" t="s">
        <v>9226</v>
      </c>
      <c r="I710" t="s">
        <v>9354</v>
      </c>
      <c r="J710" t="s">
        <v>9356</v>
      </c>
      <c r="K710" t="s">
        <v>12565</v>
      </c>
    </row>
    <row r="711" spans="1:11" s="1" customFormat="1" x14ac:dyDescent="0.25">
      <c r="A711" t="s">
        <v>9357</v>
      </c>
      <c r="B711" t="s">
        <v>9358</v>
      </c>
      <c r="C711" s="3"/>
      <c r="D711" s="105"/>
      <c r="E711"/>
      <c r="F711" t="s">
        <v>9359</v>
      </c>
      <c r="G711" t="s">
        <v>9358</v>
      </c>
      <c r="H711" t="s">
        <v>9226</v>
      </c>
      <c r="I711" t="s">
        <v>9358</v>
      </c>
      <c r="J711" t="s">
        <v>9359</v>
      </c>
      <c r="K711" t="s">
        <v>7392</v>
      </c>
    </row>
    <row r="712" spans="1:11" s="1" customFormat="1" x14ac:dyDescent="0.25">
      <c r="A712" t="s">
        <v>9360</v>
      </c>
      <c r="B712" t="s">
        <v>9361</v>
      </c>
      <c r="C712" s="3"/>
      <c r="D712" s="105"/>
      <c r="E712"/>
      <c r="F712" t="s">
        <v>9362</v>
      </c>
      <c r="G712" t="s">
        <v>9361</v>
      </c>
      <c r="H712" t="s">
        <v>9226</v>
      </c>
      <c r="I712" t="s">
        <v>9361</v>
      </c>
      <c r="J712" t="s">
        <v>9362</v>
      </c>
      <c r="K712" t="s">
        <v>10749</v>
      </c>
    </row>
    <row r="713" spans="1:11" s="1" customFormat="1" x14ac:dyDescent="0.25">
      <c r="A713" t="s">
        <v>9363</v>
      </c>
      <c r="B713" t="s">
        <v>9364</v>
      </c>
      <c r="C713" s="3"/>
      <c r="D713" s="105"/>
      <c r="E713">
        <v>0</v>
      </c>
      <c r="F713" t="s">
        <v>9365</v>
      </c>
      <c r="G713" t="s">
        <v>9364</v>
      </c>
      <c r="H713" t="s">
        <v>9226</v>
      </c>
      <c r="I713" t="s">
        <v>9364</v>
      </c>
      <c r="J713" t="s">
        <v>9365</v>
      </c>
      <c r="K713" t="s">
        <v>8069</v>
      </c>
    </row>
    <row r="714" spans="1:11" s="1" customFormat="1" x14ac:dyDescent="0.25">
      <c r="A714" t="s">
        <v>9366</v>
      </c>
      <c r="B714" t="s">
        <v>9367</v>
      </c>
      <c r="C714" s="3"/>
      <c r="D714" s="105"/>
      <c r="E714">
        <v>100</v>
      </c>
      <c r="F714" t="s">
        <v>9368</v>
      </c>
      <c r="G714" t="s">
        <v>9367</v>
      </c>
      <c r="H714" t="s">
        <v>9226</v>
      </c>
      <c r="I714" t="s">
        <v>9367</v>
      </c>
      <c r="J714" t="s">
        <v>9368</v>
      </c>
      <c r="K714" t="s">
        <v>11004</v>
      </c>
    </row>
    <row r="715" spans="1:11" s="1" customFormat="1" x14ac:dyDescent="0.25">
      <c r="A715" t="s">
        <v>9369</v>
      </c>
      <c r="B715" t="s">
        <v>9370</v>
      </c>
      <c r="C715" s="3"/>
      <c r="D715" s="105"/>
      <c r="E715">
        <v>0</v>
      </c>
      <c r="F715" t="s">
        <v>9371</v>
      </c>
      <c r="G715" t="s">
        <v>9370</v>
      </c>
      <c r="H715" t="s">
        <v>9226</v>
      </c>
      <c r="I715" t="s">
        <v>9370</v>
      </c>
      <c r="J715" t="s">
        <v>9371</v>
      </c>
      <c r="K715" t="s">
        <v>10110</v>
      </c>
    </row>
    <row r="716" spans="1:11" s="1" customFormat="1" x14ac:dyDescent="0.25">
      <c r="A716" t="s">
        <v>9372</v>
      </c>
      <c r="B716" t="s">
        <v>9373</v>
      </c>
      <c r="C716" s="3"/>
      <c r="D716" s="105"/>
      <c r="E716"/>
      <c r="F716" t="s">
        <v>9374</v>
      </c>
      <c r="G716" t="s">
        <v>9373</v>
      </c>
      <c r="H716" t="s">
        <v>9226</v>
      </c>
      <c r="I716" t="s">
        <v>9373</v>
      </c>
      <c r="J716" t="s">
        <v>9374</v>
      </c>
      <c r="K716" t="s">
        <v>12561</v>
      </c>
    </row>
    <row r="717" spans="1:11" s="1" customFormat="1" x14ac:dyDescent="0.25">
      <c r="A717" t="s">
        <v>9375</v>
      </c>
      <c r="B717" t="s">
        <v>9376</v>
      </c>
      <c r="C717" s="3"/>
      <c r="D717" s="105"/>
      <c r="E717"/>
      <c r="F717" t="s">
        <v>9378</v>
      </c>
      <c r="G717" t="s">
        <v>9377</v>
      </c>
      <c r="H717" t="s">
        <v>9226</v>
      </c>
      <c r="I717" t="s">
        <v>9376</v>
      </c>
      <c r="J717" t="s">
        <v>9378</v>
      </c>
      <c r="K717" t="s">
        <v>11260</v>
      </c>
    </row>
    <row r="718" spans="1:11" s="1" customFormat="1" x14ac:dyDescent="0.25">
      <c r="A718" t="s">
        <v>9379</v>
      </c>
      <c r="B718" t="s">
        <v>9380</v>
      </c>
      <c r="C718" s="3"/>
      <c r="D718" s="105"/>
      <c r="E718">
        <v>5120</v>
      </c>
      <c r="F718" t="s">
        <v>9381</v>
      </c>
      <c r="G718" t="s">
        <v>9380</v>
      </c>
      <c r="H718" t="s">
        <v>9226</v>
      </c>
      <c r="I718" t="s">
        <v>9380</v>
      </c>
      <c r="J718" t="s">
        <v>9381</v>
      </c>
      <c r="K718" t="s">
        <v>7392</v>
      </c>
    </row>
    <row r="719" spans="1:11" s="1" customFormat="1" x14ac:dyDescent="0.25">
      <c r="A719" t="s">
        <v>11350</v>
      </c>
      <c r="B719" t="s">
        <v>10049</v>
      </c>
      <c r="C719" s="3"/>
      <c r="D719" s="105"/>
      <c r="E719">
        <v>223</v>
      </c>
      <c r="F719" t="s">
        <v>11351</v>
      </c>
      <c r="G719" t="s">
        <v>10049</v>
      </c>
      <c r="H719" t="s">
        <v>10049</v>
      </c>
      <c r="I719" t="s">
        <v>10049</v>
      </c>
      <c r="J719" t="s">
        <v>11351</v>
      </c>
      <c r="K719" t="s">
        <v>12513</v>
      </c>
    </row>
    <row r="720" spans="1:11" s="1" customFormat="1" x14ac:dyDescent="0.25">
      <c r="A720" t="s">
        <v>11352</v>
      </c>
      <c r="B720" t="s">
        <v>11353</v>
      </c>
      <c r="C720" s="3"/>
      <c r="D720" s="105"/>
      <c r="E720">
        <v>15</v>
      </c>
      <c r="F720" t="s">
        <v>11354</v>
      </c>
      <c r="G720" t="s">
        <v>7747</v>
      </c>
      <c r="H720" t="s">
        <v>10049</v>
      </c>
      <c r="I720" t="s">
        <v>11353</v>
      </c>
      <c r="J720" t="s">
        <v>11354</v>
      </c>
      <c r="K720" t="s">
        <v>7747</v>
      </c>
    </row>
    <row r="721" spans="1:11" s="1" customFormat="1" x14ac:dyDescent="0.25">
      <c r="A721" t="s">
        <v>11355</v>
      </c>
      <c r="B721" t="s">
        <v>11356</v>
      </c>
      <c r="C721" s="3"/>
      <c r="D721" s="105"/>
      <c r="E721"/>
      <c r="F721" t="s">
        <v>11358</v>
      </c>
      <c r="G721" t="s">
        <v>11357</v>
      </c>
      <c r="H721" t="s">
        <v>10049</v>
      </c>
      <c r="I721" t="s">
        <v>11356</v>
      </c>
      <c r="J721" t="s">
        <v>11358</v>
      </c>
      <c r="K721" t="s">
        <v>11356</v>
      </c>
    </row>
    <row r="722" spans="1:11" s="1" customFormat="1" x14ac:dyDescent="0.25">
      <c r="A722" t="s">
        <v>11359</v>
      </c>
      <c r="B722" t="s">
        <v>11360</v>
      </c>
      <c r="C722" s="3"/>
      <c r="D722" s="105"/>
      <c r="E722">
        <v>6260</v>
      </c>
      <c r="F722" t="s">
        <v>11361</v>
      </c>
      <c r="G722" t="s">
        <v>11360</v>
      </c>
      <c r="H722" t="s">
        <v>10049</v>
      </c>
      <c r="I722" t="s">
        <v>11360</v>
      </c>
      <c r="J722" t="s">
        <v>11361</v>
      </c>
      <c r="K722" t="s">
        <v>8279</v>
      </c>
    </row>
    <row r="723" spans="1:11" s="1" customFormat="1" x14ac:dyDescent="0.25">
      <c r="A723" t="s">
        <v>11362</v>
      </c>
      <c r="B723" t="s">
        <v>11363</v>
      </c>
      <c r="C723" s="3"/>
      <c r="D723" s="105"/>
      <c r="E723">
        <v>10</v>
      </c>
      <c r="F723" t="s">
        <v>11364</v>
      </c>
      <c r="G723" t="s">
        <v>11363</v>
      </c>
      <c r="H723" t="s">
        <v>10049</v>
      </c>
      <c r="I723" t="s">
        <v>11363</v>
      </c>
      <c r="J723" t="s">
        <v>11364</v>
      </c>
      <c r="K723" t="s">
        <v>11381</v>
      </c>
    </row>
    <row r="724" spans="1:11" s="1" customFormat="1" x14ac:dyDescent="0.25">
      <c r="A724" t="s">
        <v>11365</v>
      </c>
      <c r="B724" t="s">
        <v>11366</v>
      </c>
      <c r="C724" s="3"/>
      <c r="D724" s="105"/>
      <c r="E724">
        <v>0</v>
      </c>
      <c r="F724" t="s">
        <v>11367</v>
      </c>
      <c r="G724" t="s">
        <v>11366</v>
      </c>
      <c r="H724" t="s">
        <v>10049</v>
      </c>
      <c r="I724" t="s">
        <v>11366</v>
      </c>
      <c r="J724" t="s">
        <v>11367</v>
      </c>
      <c r="K724" t="s">
        <v>11369</v>
      </c>
    </row>
    <row r="725" spans="1:11" s="1" customFormat="1" x14ac:dyDescent="0.25">
      <c r="A725" t="s">
        <v>11368</v>
      </c>
      <c r="B725" t="s">
        <v>11369</v>
      </c>
      <c r="C725" s="3"/>
      <c r="D725" s="105"/>
      <c r="E725">
        <v>0</v>
      </c>
      <c r="F725" t="s">
        <v>11370</v>
      </c>
      <c r="G725" t="s">
        <v>11369</v>
      </c>
      <c r="H725" t="s">
        <v>10049</v>
      </c>
      <c r="I725" t="s">
        <v>11369</v>
      </c>
      <c r="J725" t="s">
        <v>11370</v>
      </c>
      <c r="K725" t="s">
        <v>11369</v>
      </c>
    </row>
    <row r="726" spans="1:11" s="1" customFormat="1" x14ac:dyDescent="0.25">
      <c r="A726" t="s">
        <v>11371</v>
      </c>
      <c r="B726" t="s">
        <v>11372</v>
      </c>
      <c r="C726" s="3"/>
      <c r="D726" s="105"/>
      <c r="E726">
        <v>2995</v>
      </c>
      <c r="F726" t="s">
        <v>11373</v>
      </c>
      <c r="G726" t="s">
        <v>11372</v>
      </c>
      <c r="H726" t="s">
        <v>10049</v>
      </c>
      <c r="I726" t="s">
        <v>11372</v>
      </c>
      <c r="J726" t="s">
        <v>11373</v>
      </c>
      <c r="K726" t="s">
        <v>8107</v>
      </c>
    </row>
    <row r="727" spans="1:11" s="1" customFormat="1" x14ac:dyDescent="0.25">
      <c r="A727" t="s">
        <v>11374</v>
      </c>
      <c r="B727" t="s">
        <v>11375</v>
      </c>
      <c r="C727" s="3"/>
      <c r="D727" s="105"/>
      <c r="E727">
        <v>112</v>
      </c>
      <c r="F727" t="s">
        <v>11376</v>
      </c>
      <c r="G727" t="s">
        <v>11375</v>
      </c>
      <c r="H727" t="s">
        <v>10049</v>
      </c>
      <c r="I727" t="s">
        <v>11375</v>
      </c>
      <c r="J727" t="s">
        <v>11376</v>
      </c>
      <c r="K727" t="s">
        <v>11375</v>
      </c>
    </row>
    <row r="728" spans="1:11" s="1" customFormat="1" x14ac:dyDescent="0.25">
      <c r="A728" t="s">
        <v>11377</v>
      </c>
      <c r="B728" t="s">
        <v>11378</v>
      </c>
      <c r="C728" s="3"/>
      <c r="D728" s="105"/>
      <c r="E728">
        <v>405</v>
      </c>
      <c r="F728" t="s">
        <v>11379</v>
      </c>
      <c r="G728" t="s">
        <v>11378</v>
      </c>
      <c r="H728" t="s">
        <v>10049</v>
      </c>
      <c r="I728" t="s">
        <v>11378</v>
      </c>
      <c r="J728" t="s">
        <v>11379</v>
      </c>
      <c r="K728" t="s">
        <v>11378</v>
      </c>
    </row>
    <row r="729" spans="1:11" s="1" customFormat="1" x14ac:dyDescent="0.25">
      <c r="A729" t="s">
        <v>11380</v>
      </c>
      <c r="B729" t="s">
        <v>11381</v>
      </c>
      <c r="C729" s="3"/>
      <c r="D729" s="105"/>
      <c r="E729">
        <v>10</v>
      </c>
      <c r="F729" t="s">
        <v>11382</v>
      </c>
      <c r="G729" t="s">
        <v>11381</v>
      </c>
      <c r="H729" t="s">
        <v>10049</v>
      </c>
      <c r="I729" t="s">
        <v>11381</v>
      </c>
      <c r="J729" t="s">
        <v>11382</v>
      </c>
      <c r="K729" t="s">
        <v>11381</v>
      </c>
    </row>
    <row r="730" spans="1:11" s="1" customFormat="1" x14ac:dyDescent="0.25">
      <c r="A730" t="s">
        <v>11383</v>
      </c>
      <c r="B730" t="s">
        <v>11384</v>
      </c>
      <c r="C730" s="3"/>
      <c r="D730" s="105"/>
      <c r="E730">
        <v>493</v>
      </c>
      <c r="F730" t="s">
        <v>11385</v>
      </c>
      <c r="G730" t="s">
        <v>11384</v>
      </c>
      <c r="H730" t="s">
        <v>10049</v>
      </c>
      <c r="I730" t="s">
        <v>11384</v>
      </c>
      <c r="J730" t="s">
        <v>11385</v>
      </c>
      <c r="K730" t="s">
        <v>11384</v>
      </c>
    </row>
    <row r="731" spans="1:11" s="1" customFormat="1" x14ac:dyDescent="0.25">
      <c r="A731" t="s">
        <v>11386</v>
      </c>
      <c r="B731" t="s">
        <v>7799</v>
      </c>
      <c r="C731" s="3"/>
      <c r="D731" s="105"/>
      <c r="E731">
        <v>100</v>
      </c>
      <c r="F731" t="s">
        <v>11387</v>
      </c>
      <c r="G731" t="s">
        <v>7799</v>
      </c>
      <c r="H731" t="s">
        <v>10049</v>
      </c>
      <c r="I731" t="s">
        <v>7799</v>
      </c>
      <c r="J731" t="s">
        <v>11387</v>
      </c>
      <c r="K731" t="s">
        <v>11381</v>
      </c>
    </row>
    <row r="732" spans="1:11" s="1" customFormat="1" x14ac:dyDescent="0.25">
      <c r="A732" t="s">
        <v>11388</v>
      </c>
      <c r="B732" t="s">
        <v>11389</v>
      </c>
      <c r="C732" s="3"/>
      <c r="D732" s="105"/>
      <c r="E732">
        <v>7355</v>
      </c>
      <c r="F732" t="s">
        <v>11390</v>
      </c>
      <c r="G732" t="s">
        <v>11389</v>
      </c>
      <c r="H732" t="s">
        <v>10049</v>
      </c>
      <c r="I732" t="s">
        <v>11389</v>
      </c>
      <c r="J732" t="s">
        <v>11390</v>
      </c>
      <c r="K732" t="s">
        <v>7747</v>
      </c>
    </row>
    <row r="733" spans="1:11" s="1" customFormat="1" x14ac:dyDescent="0.25">
      <c r="A733" t="s">
        <v>11391</v>
      </c>
      <c r="B733" t="s">
        <v>11392</v>
      </c>
      <c r="C733" s="3"/>
      <c r="D733" s="105"/>
      <c r="E733">
        <v>69</v>
      </c>
      <c r="F733" t="s">
        <v>11393</v>
      </c>
      <c r="G733" t="s">
        <v>11392</v>
      </c>
      <c r="H733" t="s">
        <v>10049</v>
      </c>
      <c r="I733" t="s">
        <v>11392</v>
      </c>
      <c r="J733" t="s">
        <v>11393</v>
      </c>
      <c r="K733" t="s">
        <v>7592</v>
      </c>
    </row>
    <row r="734" spans="1:11" s="1" customFormat="1" x14ac:dyDescent="0.25">
      <c r="A734" t="s">
        <v>11394</v>
      </c>
      <c r="B734" t="s">
        <v>11395</v>
      </c>
      <c r="C734" s="3"/>
      <c r="D734" s="105"/>
      <c r="E734">
        <v>10</v>
      </c>
      <c r="F734" t="s">
        <v>11396</v>
      </c>
      <c r="G734" t="s">
        <v>11395</v>
      </c>
      <c r="H734" t="s">
        <v>10049</v>
      </c>
      <c r="I734" t="s">
        <v>11395</v>
      </c>
      <c r="J734" t="s">
        <v>11396</v>
      </c>
      <c r="K734" t="s">
        <v>11381</v>
      </c>
    </row>
    <row r="735" spans="1:11" s="1" customFormat="1" x14ac:dyDescent="0.25">
      <c r="A735" t="s">
        <v>11397</v>
      </c>
      <c r="B735" t="s">
        <v>8279</v>
      </c>
      <c r="C735" s="3"/>
      <c r="D735" s="105"/>
      <c r="E735">
        <v>709</v>
      </c>
      <c r="F735" t="s">
        <v>11398</v>
      </c>
      <c r="G735" t="s">
        <v>8279</v>
      </c>
      <c r="H735" t="s">
        <v>10049</v>
      </c>
      <c r="I735" t="s">
        <v>8279</v>
      </c>
      <c r="J735" t="s">
        <v>11398</v>
      </c>
      <c r="K735" t="s">
        <v>8279</v>
      </c>
    </row>
    <row r="736" spans="1:11" s="1" customFormat="1" x14ac:dyDescent="0.25">
      <c r="A736" t="s">
        <v>11399</v>
      </c>
      <c r="B736" t="s">
        <v>11400</v>
      </c>
      <c r="C736" s="3"/>
      <c r="D736" s="105"/>
      <c r="E736">
        <v>75</v>
      </c>
      <c r="F736" t="s">
        <v>11402</v>
      </c>
      <c r="G736" t="s">
        <v>11401</v>
      </c>
      <c r="H736" t="s">
        <v>10049</v>
      </c>
      <c r="I736" t="s">
        <v>11400</v>
      </c>
      <c r="J736" t="s">
        <v>11402</v>
      </c>
      <c r="K736" t="s">
        <v>11400</v>
      </c>
    </row>
    <row r="737" spans="1:11" s="1" customFormat="1" x14ac:dyDescent="0.25">
      <c r="A737" t="s">
        <v>11403</v>
      </c>
      <c r="B737" t="s">
        <v>11404</v>
      </c>
      <c r="C737" s="3"/>
      <c r="D737" s="105"/>
      <c r="E737">
        <v>1082</v>
      </c>
      <c r="F737" t="s">
        <v>11405</v>
      </c>
      <c r="G737" t="s">
        <v>11404</v>
      </c>
      <c r="H737" t="s">
        <v>10049</v>
      </c>
      <c r="I737" t="s">
        <v>11404</v>
      </c>
      <c r="J737" t="s">
        <v>11405</v>
      </c>
      <c r="K737" t="s">
        <v>12566</v>
      </c>
    </row>
    <row r="738" spans="1:11" s="1" customFormat="1" x14ac:dyDescent="0.25">
      <c r="A738" t="s">
        <v>11406</v>
      </c>
      <c r="B738" t="s">
        <v>11407</v>
      </c>
      <c r="C738" s="3"/>
      <c r="D738" s="105"/>
      <c r="E738">
        <v>0</v>
      </c>
      <c r="F738" t="s">
        <v>11408</v>
      </c>
      <c r="G738" t="s">
        <v>11407</v>
      </c>
      <c r="H738" t="s">
        <v>10049</v>
      </c>
      <c r="I738" t="s">
        <v>11407</v>
      </c>
      <c r="J738" t="s">
        <v>11408</v>
      </c>
      <c r="K738" t="s">
        <v>12567</v>
      </c>
    </row>
    <row r="739" spans="1:11" s="1" customFormat="1" x14ac:dyDescent="0.25">
      <c r="A739" t="s">
        <v>11409</v>
      </c>
      <c r="B739" t="s">
        <v>11410</v>
      </c>
      <c r="C739" s="3"/>
      <c r="D739" s="105"/>
      <c r="E739">
        <v>446</v>
      </c>
      <c r="F739" t="s">
        <v>11411</v>
      </c>
      <c r="G739" t="s">
        <v>11410</v>
      </c>
      <c r="H739" t="s">
        <v>10049</v>
      </c>
      <c r="I739" t="s">
        <v>11410</v>
      </c>
      <c r="J739" t="s">
        <v>11411</v>
      </c>
      <c r="K739" t="s">
        <v>8107</v>
      </c>
    </row>
    <row r="740" spans="1:11" s="1" customFormat="1" x14ac:dyDescent="0.25">
      <c r="A740" t="s">
        <v>11412</v>
      </c>
      <c r="B740" t="s">
        <v>11413</v>
      </c>
      <c r="C740" s="3"/>
      <c r="D740" s="105"/>
      <c r="E740">
        <v>400</v>
      </c>
      <c r="F740" t="s">
        <v>11414</v>
      </c>
      <c r="G740" t="s">
        <v>11413</v>
      </c>
      <c r="H740" t="s">
        <v>10049</v>
      </c>
      <c r="I740" t="s">
        <v>11413</v>
      </c>
      <c r="J740" t="s">
        <v>11414</v>
      </c>
      <c r="K740" t="s">
        <v>7437</v>
      </c>
    </row>
    <row r="741" spans="1:11" s="1" customFormat="1" x14ac:dyDescent="0.25">
      <c r="A741" t="s">
        <v>11415</v>
      </c>
      <c r="B741" t="s">
        <v>11416</v>
      </c>
      <c r="C741" s="3"/>
      <c r="D741" s="105"/>
      <c r="E741">
        <v>0</v>
      </c>
      <c r="F741" t="s">
        <v>11417</v>
      </c>
      <c r="G741" t="s">
        <v>7315</v>
      </c>
      <c r="H741" t="s">
        <v>10049</v>
      </c>
      <c r="I741" t="s">
        <v>11416</v>
      </c>
      <c r="J741" t="s">
        <v>11417</v>
      </c>
      <c r="K741" t="s">
        <v>7315</v>
      </c>
    </row>
    <row r="742" spans="1:11" s="1" customFormat="1" x14ac:dyDescent="0.25">
      <c r="A742" t="s">
        <v>11418</v>
      </c>
      <c r="B742" t="s">
        <v>11419</v>
      </c>
      <c r="C742" s="3"/>
      <c r="D742" s="105"/>
      <c r="E742"/>
      <c r="F742" t="s">
        <v>11420</v>
      </c>
      <c r="G742" t="s">
        <v>11419</v>
      </c>
      <c r="H742" t="s">
        <v>10049</v>
      </c>
      <c r="I742" t="s">
        <v>11419</v>
      </c>
      <c r="J742" t="s">
        <v>11420</v>
      </c>
      <c r="K742" t="s">
        <v>11384</v>
      </c>
    </row>
    <row r="743" spans="1:11" s="1" customFormat="1" x14ac:dyDescent="0.25">
      <c r="A743" t="s">
        <v>11421</v>
      </c>
      <c r="B743" t="s">
        <v>11422</v>
      </c>
      <c r="C743" s="3"/>
      <c r="D743" s="105"/>
      <c r="E743">
        <v>0</v>
      </c>
      <c r="F743" t="s">
        <v>11423</v>
      </c>
      <c r="G743" t="s">
        <v>11422</v>
      </c>
      <c r="H743" t="s">
        <v>10049</v>
      </c>
      <c r="I743" t="s">
        <v>11422</v>
      </c>
      <c r="J743" t="s">
        <v>11423</v>
      </c>
      <c r="K743" t="s">
        <v>11400</v>
      </c>
    </row>
    <row r="744" spans="1:11" s="1" customFormat="1" x14ac:dyDescent="0.25">
      <c r="A744" t="s">
        <v>9067</v>
      </c>
      <c r="B744" t="s">
        <v>9068</v>
      </c>
      <c r="C744" s="3"/>
      <c r="D744" s="105"/>
      <c r="E744">
        <v>761</v>
      </c>
      <c r="F744" t="s">
        <v>9070</v>
      </c>
      <c r="G744" t="s">
        <v>9069</v>
      </c>
      <c r="H744" t="s">
        <v>9068</v>
      </c>
      <c r="I744" t="s">
        <v>9068</v>
      </c>
      <c r="J744" t="s">
        <v>9070</v>
      </c>
      <c r="K744" t="s">
        <v>12513</v>
      </c>
    </row>
    <row r="745" spans="1:11" s="1" customFormat="1" x14ac:dyDescent="0.25">
      <c r="A745" t="s">
        <v>9071</v>
      </c>
      <c r="B745" t="s">
        <v>9072</v>
      </c>
      <c r="C745" s="3"/>
      <c r="D745" s="105"/>
      <c r="E745"/>
      <c r="F745" t="s">
        <v>9074</v>
      </c>
      <c r="G745" t="s">
        <v>9072</v>
      </c>
      <c r="H745" t="s">
        <v>9068</v>
      </c>
      <c r="I745" t="s">
        <v>9072</v>
      </c>
      <c r="J745" t="s">
        <v>9074</v>
      </c>
      <c r="K745" t="s">
        <v>9072</v>
      </c>
    </row>
    <row r="746" spans="1:11" s="1" customFormat="1" x14ac:dyDescent="0.25">
      <c r="A746" t="s">
        <v>9075</v>
      </c>
      <c r="B746" t="s">
        <v>9076</v>
      </c>
      <c r="C746" s="3"/>
      <c r="D746" s="105"/>
      <c r="E746">
        <v>198</v>
      </c>
      <c r="F746" t="s">
        <v>9077</v>
      </c>
      <c r="G746" t="s">
        <v>9076</v>
      </c>
      <c r="H746" t="s">
        <v>9068</v>
      </c>
      <c r="I746" t="s">
        <v>9076</v>
      </c>
      <c r="J746" t="s">
        <v>9077</v>
      </c>
      <c r="K746" t="s">
        <v>9076</v>
      </c>
    </row>
    <row r="747" spans="1:11" s="1" customFormat="1" x14ac:dyDescent="0.25">
      <c r="A747" t="s">
        <v>9078</v>
      </c>
      <c r="B747" t="s">
        <v>13201</v>
      </c>
      <c r="C747" s="3"/>
      <c r="D747" s="105"/>
      <c r="E747">
        <v>0</v>
      </c>
      <c r="F747" t="s">
        <v>9079</v>
      </c>
      <c r="G747" t="s">
        <v>13201</v>
      </c>
      <c r="H747" t="s">
        <v>9068</v>
      </c>
      <c r="I747" t="s">
        <v>13201</v>
      </c>
      <c r="J747" t="s">
        <v>9079</v>
      </c>
      <c r="K747" t="s">
        <v>9156</v>
      </c>
    </row>
    <row r="748" spans="1:11" s="1" customFormat="1" x14ac:dyDescent="0.25">
      <c r="A748" t="s">
        <v>9080</v>
      </c>
      <c r="B748" t="s">
        <v>9081</v>
      </c>
      <c r="C748" s="3"/>
      <c r="D748" s="105"/>
      <c r="E748">
        <v>543</v>
      </c>
      <c r="F748" t="s">
        <v>9082</v>
      </c>
      <c r="G748" t="s">
        <v>9081</v>
      </c>
      <c r="H748" t="s">
        <v>9068</v>
      </c>
      <c r="I748" t="s">
        <v>9081</v>
      </c>
      <c r="J748" t="s">
        <v>9082</v>
      </c>
      <c r="K748" t="s">
        <v>9081</v>
      </c>
    </row>
    <row r="749" spans="1:11" s="1" customFormat="1" x14ac:dyDescent="0.25">
      <c r="A749" t="s">
        <v>9083</v>
      </c>
      <c r="B749" t="s">
        <v>9084</v>
      </c>
      <c r="C749" s="3"/>
      <c r="D749" s="105"/>
      <c r="E749">
        <v>200</v>
      </c>
      <c r="F749" t="s">
        <v>9085</v>
      </c>
      <c r="G749" t="s">
        <v>9084</v>
      </c>
      <c r="H749" t="s">
        <v>9068</v>
      </c>
      <c r="I749" t="s">
        <v>9084</v>
      </c>
      <c r="J749" t="s">
        <v>9085</v>
      </c>
      <c r="K749" t="s">
        <v>12568</v>
      </c>
    </row>
    <row r="750" spans="1:11" s="1" customFormat="1" x14ac:dyDescent="0.25">
      <c r="A750" t="s">
        <v>9086</v>
      </c>
      <c r="B750" t="s">
        <v>9087</v>
      </c>
      <c r="C750" s="3"/>
      <c r="D750" s="105"/>
      <c r="E750">
        <v>0</v>
      </c>
      <c r="F750" t="s">
        <v>9088</v>
      </c>
      <c r="G750" t="s">
        <v>9087</v>
      </c>
      <c r="H750" t="s">
        <v>9068</v>
      </c>
      <c r="I750" t="s">
        <v>9087</v>
      </c>
      <c r="J750" t="s">
        <v>9088</v>
      </c>
      <c r="K750" t="s">
        <v>9163</v>
      </c>
    </row>
    <row r="751" spans="1:11" s="1" customFormat="1" x14ac:dyDescent="0.25">
      <c r="A751" t="s">
        <v>9089</v>
      </c>
      <c r="B751" t="s">
        <v>9090</v>
      </c>
      <c r="C751" s="3"/>
      <c r="D751" s="105"/>
      <c r="E751"/>
      <c r="F751" t="s">
        <v>9091</v>
      </c>
      <c r="G751" t="s">
        <v>9090</v>
      </c>
      <c r="H751" t="s">
        <v>9068</v>
      </c>
      <c r="I751" t="s">
        <v>9090</v>
      </c>
      <c r="J751" t="s">
        <v>9091</v>
      </c>
      <c r="K751" t="s">
        <v>9076</v>
      </c>
    </row>
    <row r="752" spans="1:11" s="1" customFormat="1" x14ac:dyDescent="0.25">
      <c r="A752" t="s">
        <v>9092</v>
      </c>
      <c r="B752" t="s">
        <v>9093</v>
      </c>
      <c r="C752" s="3"/>
      <c r="D752" s="105"/>
      <c r="E752">
        <v>0</v>
      </c>
      <c r="F752" t="s">
        <v>9094</v>
      </c>
      <c r="G752" t="s">
        <v>9093</v>
      </c>
      <c r="H752" t="s">
        <v>9068</v>
      </c>
      <c r="I752" t="s">
        <v>9093</v>
      </c>
      <c r="J752" t="s">
        <v>9094</v>
      </c>
      <c r="K752" t="s">
        <v>9093</v>
      </c>
    </row>
    <row r="753" spans="1:11" s="1" customFormat="1" x14ac:dyDescent="0.25">
      <c r="A753" t="s">
        <v>9095</v>
      </c>
      <c r="B753" t="s">
        <v>9096</v>
      </c>
      <c r="C753" s="3"/>
      <c r="D753" s="105"/>
      <c r="E753">
        <v>0</v>
      </c>
      <c r="F753" t="s">
        <v>9097</v>
      </c>
      <c r="G753" t="s">
        <v>9096</v>
      </c>
      <c r="H753" t="s">
        <v>9068</v>
      </c>
      <c r="I753" t="s">
        <v>9096</v>
      </c>
      <c r="J753" t="s">
        <v>9097</v>
      </c>
      <c r="K753" t="s">
        <v>12569</v>
      </c>
    </row>
    <row r="754" spans="1:11" s="1" customFormat="1" x14ac:dyDescent="0.25">
      <c r="A754" t="s">
        <v>9098</v>
      </c>
      <c r="B754" t="s">
        <v>9099</v>
      </c>
      <c r="C754" s="3"/>
      <c r="D754" s="105"/>
      <c r="E754"/>
      <c r="F754" t="s">
        <v>9100</v>
      </c>
      <c r="G754" t="s">
        <v>9099</v>
      </c>
      <c r="H754" t="s">
        <v>9068</v>
      </c>
      <c r="I754" t="s">
        <v>9099</v>
      </c>
      <c r="J754" t="s">
        <v>9100</v>
      </c>
      <c r="K754" t="s">
        <v>9559</v>
      </c>
    </row>
    <row r="755" spans="1:11" s="1" customFormat="1" x14ac:dyDescent="0.25">
      <c r="A755" t="s">
        <v>9101</v>
      </c>
      <c r="B755" t="s">
        <v>9102</v>
      </c>
      <c r="C755" s="3"/>
      <c r="D755" s="105"/>
      <c r="E755">
        <v>0</v>
      </c>
      <c r="F755" t="s">
        <v>9103</v>
      </c>
      <c r="G755" t="s">
        <v>9102</v>
      </c>
      <c r="H755" t="s">
        <v>9068</v>
      </c>
      <c r="I755" t="s">
        <v>9102</v>
      </c>
      <c r="J755" t="s">
        <v>9103</v>
      </c>
      <c r="K755" t="s">
        <v>9163</v>
      </c>
    </row>
    <row r="756" spans="1:11" s="1" customFormat="1" x14ac:dyDescent="0.25">
      <c r="A756" t="s">
        <v>9104</v>
      </c>
      <c r="B756" t="s">
        <v>9105</v>
      </c>
      <c r="C756" s="3"/>
      <c r="D756" s="105"/>
      <c r="E756">
        <v>0</v>
      </c>
      <c r="F756" t="s">
        <v>9106</v>
      </c>
      <c r="G756" t="s">
        <v>9105</v>
      </c>
      <c r="H756" t="s">
        <v>9068</v>
      </c>
      <c r="I756" t="s">
        <v>9105</v>
      </c>
      <c r="J756" t="s">
        <v>9106</v>
      </c>
      <c r="K756" t="s">
        <v>9081</v>
      </c>
    </row>
    <row r="757" spans="1:11" s="1" customFormat="1" x14ac:dyDescent="0.25">
      <c r="A757" t="s">
        <v>9107</v>
      </c>
      <c r="B757" t="s">
        <v>9108</v>
      </c>
      <c r="C757" s="3"/>
      <c r="D757" s="105"/>
      <c r="E757"/>
      <c r="F757" t="s">
        <v>9109</v>
      </c>
      <c r="G757" t="s">
        <v>9108</v>
      </c>
      <c r="H757" t="s">
        <v>9068</v>
      </c>
      <c r="I757" t="s">
        <v>9108</v>
      </c>
      <c r="J757" t="s">
        <v>9109</v>
      </c>
      <c r="K757" t="s">
        <v>12568</v>
      </c>
    </row>
    <row r="758" spans="1:11" s="1" customFormat="1" x14ac:dyDescent="0.25">
      <c r="A758" t="s">
        <v>9110</v>
      </c>
      <c r="B758" t="s">
        <v>9111</v>
      </c>
      <c r="C758" s="3"/>
      <c r="D758" s="105"/>
      <c r="E758">
        <v>0</v>
      </c>
      <c r="F758" t="s">
        <v>9112</v>
      </c>
      <c r="G758" t="s">
        <v>9111</v>
      </c>
      <c r="H758" t="s">
        <v>9068</v>
      </c>
      <c r="I758" t="s">
        <v>9111</v>
      </c>
      <c r="J758" t="s">
        <v>9112</v>
      </c>
      <c r="K758" t="s">
        <v>12570</v>
      </c>
    </row>
    <row r="759" spans="1:11" s="1" customFormat="1" x14ac:dyDescent="0.25">
      <c r="A759" t="s">
        <v>9113</v>
      </c>
      <c r="B759" t="s">
        <v>9114</v>
      </c>
      <c r="C759" s="3"/>
      <c r="D759" s="105"/>
      <c r="E759"/>
      <c r="F759" t="s">
        <v>9115</v>
      </c>
      <c r="G759" t="s">
        <v>9114</v>
      </c>
      <c r="H759" t="s">
        <v>9068</v>
      </c>
      <c r="I759" t="s">
        <v>9114</v>
      </c>
      <c r="J759" t="s">
        <v>9115</v>
      </c>
      <c r="K759" t="s">
        <v>12569</v>
      </c>
    </row>
    <row r="760" spans="1:11" s="1" customFormat="1" x14ac:dyDescent="0.25">
      <c r="A760" t="s">
        <v>9116</v>
      </c>
      <c r="B760" t="s">
        <v>9117</v>
      </c>
      <c r="C760" s="3"/>
      <c r="D760" s="105"/>
      <c r="E760">
        <v>0</v>
      </c>
      <c r="F760" t="s">
        <v>9118</v>
      </c>
      <c r="G760" t="s">
        <v>9117</v>
      </c>
      <c r="H760" t="s">
        <v>9068</v>
      </c>
      <c r="I760" t="s">
        <v>9117</v>
      </c>
      <c r="J760" t="s">
        <v>9118</v>
      </c>
      <c r="K760" t="s">
        <v>9156</v>
      </c>
    </row>
    <row r="761" spans="1:11" s="1" customFormat="1" x14ac:dyDescent="0.25">
      <c r="A761" t="s">
        <v>9119</v>
      </c>
      <c r="B761" t="s">
        <v>9120</v>
      </c>
      <c r="C761" s="3"/>
      <c r="D761" s="105"/>
      <c r="E761">
        <v>0</v>
      </c>
      <c r="F761" t="s">
        <v>9122</v>
      </c>
      <c r="G761" t="s">
        <v>9121</v>
      </c>
      <c r="H761" t="s">
        <v>9068</v>
      </c>
      <c r="I761" t="s">
        <v>9120</v>
      </c>
      <c r="J761" t="s">
        <v>9122</v>
      </c>
      <c r="K761" t="s">
        <v>9081</v>
      </c>
    </row>
    <row r="762" spans="1:11" s="1" customFormat="1" x14ac:dyDescent="0.25">
      <c r="A762" t="s">
        <v>9123</v>
      </c>
      <c r="B762" t="s">
        <v>9124</v>
      </c>
      <c r="C762" s="3"/>
      <c r="D762" s="105"/>
      <c r="E762"/>
      <c r="F762" t="s">
        <v>9126</v>
      </c>
      <c r="G762" t="s">
        <v>9125</v>
      </c>
      <c r="H762" t="s">
        <v>9068</v>
      </c>
      <c r="I762" t="s">
        <v>9124</v>
      </c>
      <c r="J762" t="s">
        <v>9126</v>
      </c>
      <c r="K762" t="s">
        <v>12569</v>
      </c>
    </row>
    <row r="763" spans="1:11" s="1" customFormat="1" x14ac:dyDescent="0.25">
      <c r="A763" t="s">
        <v>9127</v>
      </c>
      <c r="B763" t="s">
        <v>9128</v>
      </c>
      <c r="C763" s="3"/>
      <c r="D763" s="105"/>
      <c r="E763"/>
      <c r="F763" t="s">
        <v>9129</v>
      </c>
      <c r="G763" t="s">
        <v>9128</v>
      </c>
      <c r="H763" t="s">
        <v>9068</v>
      </c>
      <c r="I763" t="s">
        <v>9128</v>
      </c>
      <c r="J763" t="s">
        <v>9129</v>
      </c>
      <c r="K763" t="s">
        <v>9156</v>
      </c>
    </row>
    <row r="764" spans="1:11" s="1" customFormat="1" x14ac:dyDescent="0.25">
      <c r="A764" t="s">
        <v>9130</v>
      </c>
      <c r="B764" t="s">
        <v>9131</v>
      </c>
      <c r="C764" s="3"/>
      <c r="D764" s="105"/>
      <c r="E764">
        <v>0</v>
      </c>
      <c r="F764" t="s">
        <v>9132</v>
      </c>
      <c r="G764" t="s">
        <v>9131</v>
      </c>
      <c r="H764" t="s">
        <v>9068</v>
      </c>
      <c r="I764" t="s">
        <v>9131</v>
      </c>
      <c r="J764" t="s">
        <v>9132</v>
      </c>
      <c r="K764" t="s">
        <v>12568</v>
      </c>
    </row>
    <row r="765" spans="1:11" s="1" customFormat="1" x14ac:dyDescent="0.25">
      <c r="A765" t="s">
        <v>9133</v>
      </c>
      <c r="B765" t="s">
        <v>9134</v>
      </c>
      <c r="C765" s="3"/>
      <c r="D765" s="105"/>
      <c r="E765"/>
      <c r="F765" t="s">
        <v>9135</v>
      </c>
      <c r="G765" t="s">
        <v>9134</v>
      </c>
      <c r="H765" t="s">
        <v>9068</v>
      </c>
      <c r="I765" t="s">
        <v>9134</v>
      </c>
      <c r="J765" t="s">
        <v>9135</v>
      </c>
      <c r="K765" t="s">
        <v>9141</v>
      </c>
    </row>
    <row r="766" spans="1:11" s="1" customFormat="1" x14ac:dyDescent="0.25">
      <c r="A766" t="s">
        <v>9136</v>
      </c>
      <c r="B766" t="s">
        <v>9137</v>
      </c>
      <c r="C766" s="3"/>
      <c r="D766" s="105"/>
      <c r="E766">
        <v>0</v>
      </c>
      <c r="F766" t="s">
        <v>9139</v>
      </c>
      <c r="G766" t="s">
        <v>9138</v>
      </c>
      <c r="H766" t="s">
        <v>9068</v>
      </c>
      <c r="I766" t="s">
        <v>9137</v>
      </c>
      <c r="J766" t="s">
        <v>9139</v>
      </c>
      <c r="K766" t="s">
        <v>12571</v>
      </c>
    </row>
    <row r="767" spans="1:11" s="1" customFormat="1" x14ac:dyDescent="0.25">
      <c r="A767" t="s">
        <v>9140</v>
      </c>
      <c r="B767" t="s">
        <v>9141</v>
      </c>
      <c r="C767" s="3"/>
      <c r="D767" s="105"/>
      <c r="E767">
        <v>143</v>
      </c>
      <c r="F767" t="s">
        <v>9142</v>
      </c>
      <c r="G767" t="s">
        <v>9141</v>
      </c>
      <c r="H767" t="s">
        <v>9068</v>
      </c>
      <c r="I767" t="s">
        <v>9141</v>
      </c>
      <c r="J767" t="s">
        <v>9142</v>
      </c>
      <c r="K767" t="s">
        <v>9141</v>
      </c>
    </row>
    <row r="768" spans="1:11" s="1" customFormat="1" x14ac:dyDescent="0.25">
      <c r="A768" t="s">
        <v>9143</v>
      </c>
      <c r="B768" t="s">
        <v>9144</v>
      </c>
      <c r="C768" s="3"/>
      <c r="D768" s="105"/>
      <c r="E768">
        <v>100</v>
      </c>
      <c r="F768" t="s">
        <v>9145</v>
      </c>
      <c r="G768" t="s">
        <v>9144</v>
      </c>
      <c r="H768" t="s">
        <v>9068</v>
      </c>
      <c r="I768" t="s">
        <v>9144</v>
      </c>
      <c r="J768" t="s">
        <v>9145</v>
      </c>
      <c r="K768" t="s">
        <v>9559</v>
      </c>
    </row>
    <row r="769" spans="1:11" s="1" customFormat="1" x14ac:dyDescent="0.25">
      <c r="A769" t="s">
        <v>9146</v>
      </c>
      <c r="B769" t="s">
        <v>9147</v>
      </c>
      <c r="C769" s="3"/>
      <c r="D769" s="105"/>
      <c r="E769">
        <v>0</v>
      </c>
      <c r="F769" t="s">
        <v>9148</v>
      </c>
      <c r="G769" t="s">
        <v>9147</v>
      </c>
      <c r="H769" t="s">
        <v>9068</v>
      </c>
      <c r="I769" t="s">
        <v>9147</v>
      </c>
      <c r="J769" t="s">
        <v>9148</v>
      </c>
      <c r="K769" t="s">
        <v>9559</v>
      </c>
    </row>
    <row r="770" spans="1:11" s="1" customFormat="1" x14ac:dyDescent="0.25">
      <c r="A770" t="s">
        <v>9149</v>
      </c>
      <c r="B770" t="s">
        <v>9150</v>
      </c>
      <c r="C770" s="3"/>
      <c r="D770" s="105"/>
      <c r="E770">
        <v>100</v>
      </c>
      <c r="F770" t="s">
        <v>9151</v>
      </c>
      <c r="G770" t="s">
        <v>9150</v>
      </c>
      <c r="H770" t="s">
        <v>9068</v>
      </c>
      <c r="I770" t="s">
        <v>9150</v>
      </c>
      <c r="J770" t="s">
        <v>9151</v>
      </c>
      <c r="K770" t="s">
        <v>9153</v>
      </c>
    </row>
    <row r="771" spans="1:11" s="1" customFormat="1" x14ac:dyDescent="0.25">
      <c r="A771" t="s">
        <v>9152</v>
      </c>
      <c r="B771" t="s">
        <v>9153</v>
      </c>
      <c r="C771" s="3"/>
      <c r="D771" s="105"/>
      <c r="E771">
        <v>375</v>
      </c>
      <c r="F771" t="s">
        <v>9154</v>
      </c>
      <c r="G771" t="s">
        <v>9153</v>
      </c>
      <c r="H771" t="s">
        <v>9068</v>
      </c>
      <c r="I771" t="s">
        <v>9153</v>
      </c>
      <c r="J771" t="s">
        <v>9154</v>
      </c>
      <c r="K771" t="s">
        <v>9153</v>
      </c>
    </row>
    <row r="772" spans="1:11" s="1" customFormat="1" x14ac:dyDescent="0.25">
      <c r="A772" t="s">
        <v>9155</v>
      </c>
      <c r="B772" t="s">
        <v>9156</v>
      </c>
      <c r="C772" s="3"/>
      <c r="D772" s="105"/>
      <c r="E772">
        <v>50</v>
      </c>
      <c r="F772" t="s">
        <v>9158</v>
      </c>
      <c r="G772" t="s">
        <v>9156</v>
      </c>
      <c r="H772" t="s">
        <v>9068</v>
      </c>
      <c r="I772" t="s">
        <v>9156</v>
      </c>
      <c r="J772" t="s">
        <v>9158</v>
      </c>
      <c r="K772" t="s">
        <v>9163</v>
      </c>
    </row>
    <row r="773" spans="1:11" s="1" customFormat="1" x14ac:dyDescent="0.25">
      <c r="A773" t="s">
        <v>9159</v>
      </c>
      <c r="B773" t="s">
        <v>9160</v>
      </c>
      <c r="C773" s="3"/>
      <c r="D773" s="105"/>
      <c r="E773">
        <v>410</v>
      </c>
      <c r="F773" t="s">
        <v>9161</v>
      </c>
      <c r="G773" t="s">
        <v>9160</v>
      </c>
      <c r="H773" t="s">
        <v>9068</v>
      </c>
      <c r="I773" t="s">
        <v>9160</v>
      </c>
      <c r="J773" t="s">
        <v>9161</v>
      </c>
      <c r="K773" t="s">
        <v>9141</v>
      </c>
    </row>
    <row r="774" spans="1:11" s="1" customFormat="1" x14ac:dyDescent="0.25">
      <c r="A774" t="s">
        <v>9162</v>
      </c>
      <c r="B774" t="s">
        <v>9163</v>
      </c>
      <c r="C774" s="3"/>
      <c r="D774" s="105"/>
      <c r="E774">
        <v>785</v>
      </c>
      <c r="F774" t="s">
        <v>9164</v>
      </c>
      <c r="G774" t="s">
        <v>9163</v>
      </c>
      <c r="H774" t="s">
        <v>9068</v>
      </c>
      <c r="I774" t="s">
        <v>9163</v>
      </c>
      <c r="J774" t="s">
        <v>9164</v>
      </c>
      <c r="K774" t="s">
        <v>9163</v>
      </c>
    </row>
    <row r="775" spans="1:11" s="1" customFormat="1" x14ac:dyDescent="0.25">
      <c r="A775" t="s">
        <v>9165</v>
      </c>
      <c r="B775" t="s">
        <v>9166</v>
      </c>
      <c r="C775" s="3"/>
      <c r="D775" s="105"/>
      <c r="E775"/>
      <c r="F775" t="s">
        <v>9168</v>
      </c>
      <c r="G775" t="s">
        <v>9167</v>
      </c>
      <c r="H775" t="s">
        <v>9068</v>
      </c>
      <c r="I775" t="s">
        <v>9166</v>
      </c>
      <c r="J775" t="s">
        <v>9168</v>
      </c>
      <c r="K775" t="s">
        <v>9166</v>
      </c>
    </row>
    <row r="776" spans="1:11" s="1" customFormat="1" x14ac:dyDescent="0.25">
      <c r="A776" t="s">
        <v>9169</v>
      </c>
      <c r="B776" t="s">
        <v>9170</v>
      </c>
      <c r="C776" s="3"/>
      <c r="D776" s="105"/>
      <c r="E776">
        <v>100</v>
      </c>
      <c r="F776" t="s">
        <v>9171</v>
      </c>
      <c r="G776" t="s">
        <v>9069</v>
      </c>
      <c r="H776" t="s">
        <v>9068</v>
      </c>
      <c r="I776" t="s">
        <v>9170</v>
      </c>
      <c r="J776" t="s">
        <v>9171</v>
      </c>
      <c r="K776" t="s">
        <v>12513</v>
      </c>
    </row>
    <row r="777" spans="1:11" s="1" customFormat="1" x14ac:dyDescent="0.25">
      <c r="A777" t="s">
        <v>9172</v>
      </c>
      <c r="B777" t="s">
        <v>9173</v>
      </c>
      <c r="C777" s="3"/>
      <c r="D777" s="105"/>
      <c r="E777">
        <v>1500</v>
      </c>
      <c r="F777" t="s">
        <v>9174</v>
      </c>
      <c r="G777" t="s">
        <v>9069</v>
      </c>
      <c r="H777" t="s">
        <v>9068</v>
      </c>
      <c r="I777" t="s">
        <v>9173</v>
      </c>
      <c r="J777" t="s">
        <v>9174</v>
      </c>
      <c r="K777" t="s">
        <v>12513</v>
      </c>
    </row>
    <row r="778" spans="1:11" s="1" customFormat="1" x14ac:dyDescent="0.25">
      <c r="A778" t="s">
        <v>9175</v>
      </c>
      <c r="B778" t="s">
        <v>9176</v>
      </c>
      <c r="C778" s="3"/>
      <c r="D778" s="105"/>
      <c r="E778"/>
      <c r="F778" t="s">
        <v>9178</v>
      </c>
      <c r="G778" t="s">
        <v>9177</v>
      </c>
      <c r="H778" t="s">
        <v>9068</v>
      </c>
      <c r="I778" t="s">
        <v>9176</v>
      </c>
      <c r="J778" t="s">
        <v>9178</v>
      </c>
      <c r="K778" t="s">
        <v>12568</v>
      </c>
    </row>
    <row r="779" spans="1:11" s="1" customFormat="1" x14ac:dyDescent="0.25">
      <c r="A779" t="s">
        <v>9179</v>
      </c>
      <c r="B779" t="s">
        <v>9180</v>
      </c>
      <c r="C779" s="3"/>
      <c r="D779" s="105"/>
      <c r="E779">
        <v>0</v>
      </c>
      <c r="F779" t="s">
        <v>9183</v>
      </c>
      <c r="G779" t="s">
        <v>9182</v>
      </c>
      <c r="H779" t="s">
        <v>9068</v>
      </c>
      <c r="I779" t="s">
        <v>9180</v>
      </c>
      <c r="J779" t="s">
        <v>9183</v>
      </c>
      <c r="K779" t="s">
        <v>9182</v>
      </c>
    </row>
    <row r="780" spans="1:11" s="1" customFormat="1" x14ac:dyDescent="0.25">
      <c r="A780" t="s">
        <v>9184</v>
      </c>
      <c r="B780" t="s">
        <v>9185</v>
      </c>
      <c r="C780" s="3"/>
      <c r="D780" s="105"/>
      <c r="E780"/>
      <c r="F780" t="s">
        <v>9186</v>
      </c>
      <c r="G780" t="s">
        <v>9185</v>
      </c>
      <c r="H780" t="s">
        <v>9068</v>
      </c>
      <c r="I780" t="s">
        <v>9185</v>
      </c>
      <c r="J780" t="s">
        <v>9186</v>
      </c>
      <c r="K780" t="s">
        <v>9141</v>
      </c>
    </row>
    <row r="781" spans="1:11" s="1" customFormat="1" x14ac:dyDescent="0.25">
      <c r="A781" t="s">
        <v>9187</v>
      </c>
      <c r="B781" t="s">
        <v>9188</v>
      </c>
      <c r="C781" s="3"/>
      <c r="D781" s="105"/>
      <c r="E781"/>
      <c r="F781" t="s">
        <v>9189</v>
      </c>
      <c r="G781" t="s">
        <v>9188</v>
      </c>
      <c r="H781" t="s">
        <v>9068</v>
      </c>
      <c r="I781" t="s">
        <v>9188</v>
      </c>
      <c r="J781" t="s">
        <v>9189</v>
      </c>
      <c r="K781" t="s">
        <v>9081</v>
      </c>
    </row>
    <row r="782" spans="1:11" s="1" customFormat="1" x14ac:dyDescent="0.25">
      <c r="A782" t="s">
        <v>9190</v>
      </c>
      <c r="B782" t="s">
        <v>9191</v>
      </c>
      <c r="C782" s="3"/>
      <c r="D782" s="105"/>
      <c r="E782"/>
      <c r="F782" t="s">
        <v>9192</v>
      </c>
      <c r="G782" t="s">
        <v>9191</v>
      </c>
      <c r="H782" t="s">
        <v>9068</v>
      </c>
      <c r="I782" t="s">
        <v>9191</v>
      </c>
      <c r="J782" t="s">
        <v>9192</v>
      </c>
      <c r="K782" t="s">
        <v>9081</v>
      </c>
    </row>
    <row r="783" spans="1:11" s="1" customFormat="1" x14ac:dyDescent="0.25">
      <c r="A783" t="s">
        <v>9193</v>
      </c>
      <c r="B783" t="s">
        <v>9194</v>
      </c>
      <c r="C783" s="3"/>
      <c r="D783" s="105"/>
      <c r="E783"/>
      <c r="F783" t="s">
        <v>9195</v>
      </c>
      <c r="G783" t="s">
        <v>9194</v>
      </c>
      <c r="H783" t="s">
        <v>9068</v>
      </c>
      <c r="I783" t="s">
        <v>9194</v>
      </c>
      <c r="J783" t="s">
        <v>9195</v>
      </c>
      <c r="K783" t="s">
        <v>9081</v>
      </c>
    </row>
    <row r="784" spans="1:11" s="1" customFormat="1" x14ac:dyDescent="0.25">
      <c r="A784" t="s">
        <v>9196</v>
      </c>
      <c r="B784" t="s">
        <v>9197</v>
      </c>
      <c r="C784" s="3"/>
      <c r="D784" s="105"/>
      <c r="E784"/>
      <c r="F784" t="s">
        <v>9198</v>
      </c>
      <c r="G784" t="s">
        <v>9197</v>
      </c>
      <c r="H784" t="s">
        <v>9068</v>
      </c>
      <c r="I784" t="s">
        <v>9197</v>
      </c>
      <c r="J784" t="s">
        <v>9198</v>
      </c>
      <c r="K784" t="s">
        <v>12570</v>
      </c>
    </row>
    <row r="785" spans="1:11" s="1" customFormat="1" x14ac:dyDescent="0.25">
      <c r="A785" t="s">
        <v>9199</v>
      </c>
      <c r="B785" t="s">
        <v>9200</v>
      </c>
      <c r="C785" s="88"/>
      <c r="D785" s="105"/>
      <c r="E785"/>
      <c r="F785" t="s">
        <v>9201</v>
      </c>
      <c r="G785" t="s">
        <v>9200</v>
      </c>
      <c r="H785" t="s">
        <v>9068</v>
      </c>
      <c r="I785" t="s">
        <v>9200</v>
      </c>
      <c r="J785" t="s">
        <v>9201</v>
      </c>
      <c r="K785" t="s">
        <v>9166</v>
      </c>
    </row>
    <row r="786" spans="1:11" s="1" customFormat="1" x14ac:dyDescent="0.25">
      <c r="A786" t="s">
        <v>9202</v>
      </c>
      <c r="B786" t="s">
        <v>9203</v>
      </c>
      <c r="C786" s="88"/>
      <c r="D786" s="105"/>
      <c r="E786"/>
      <c r="F786" t="s">
        <v>9204</v>
      </c>
      <c r="G786" t="s">
        <v>9203</v>
      </c>
      <c r="H786" t="s">
        <v>9068</v>
      </c>
      <c r="I786" t="s">
        <v>9203</v>
      </c>
      <c r="J786" t="s">
        <v>9204</v>
      </c>
      <c r="K786" t="s">
        <v>9081</v>
      </c>
    </row>
    <row r="787" spans="1:11" s="1" customFormat="1" x14ac:dyDescent="0.25">
      <c r="A787" t="s">
        <v>9205</v>
      </c>
      <c r="B787" t="s">
        <v>9206</v>
      </c>
      <c r="C787" s="88"/>
      <c r="D787" s="105"/>
      <c r="E787">
        <v>0</v>
      </c>
      <c r="F787" t="s">
        <v>9207</v>
      </c>
      <c r="G787" t="s">
        <v>9206</v>
      </c>
      <c r="H787" t="s">
        <v>9068</v>
      </c>
      <c r="I787" t="s">
        <v>9206</v>
      </c>
      <c r="J787" t="s">
        <v>9207</v>
      </c>
      <c r="K787" t="s">
        <v>9163</v>
      </c>
    </row>
    <row r="788" spans="1:11" s="1" customFormat="1" x14ac:dyDescent="0.25">
      <c r="A788" t="s">
        <v>9208</v>
      </c>
      <c r="B788" t="s">
        <v>9209</v>
      </c>
      <c r="C788" s="88"/>
      <c r="D788" s="105"/>
      <c r="E788">
        <v>10</v>
      </c>
      <c r="F788" t="s">
        <v>9211</v>
      </c>
      <c r="G788" t="s">
        <v>9210</v>
      </c>
      <c r="H788" t="s">
        <v>9068</v>
      </c>
      <c r="I788" t="s">
        <v>9209</v>
      </c>
      <c r="J788" t="s">
        <v>9211</v>
      </c>
      <c r="K788" t="s">
        <v>9081</v>
      </c>
    </row>
    <row r="789" spans="1:11" s="1" customFormat="1" x14ac:dyDescent="0.25">
      <c r="A789" t="s">
        <v>9212</v>
      </c>
      <c r="B789" t="s">
        <v>9213</v>
      </c>
      <c r="C789" s="88"/>
      <c r="D789" s="105"/>
      <c r="E789"/>
      <c r="F789" t="s">
        <v>9214</v>
      </c>
      <c r="G789" t="s">
        <v>9213</v>
      </c>
      <c r="H789" t="s">
        <v>9068</v>
      </c>
      <c r="I789" t="s">
        <v>9213</v>
      </c>
      <c r="J789" t="s">
        <v>9214</v>
      </c>
      <c r="K789" t="s">
        <v>9153</v>
      </c>
    </row>
    <row r="790" spans="1:11" s="1" customFormat="1" x14ac:dyDescent="0.25">
      <c r="A790" t="s">
        <v>9215</v>
      </c>
      <c r="B790" t="s">
        <v>9216</v>
      </c>
      <c r="C790" s="88"/>
      <c r="D790" s="105"/>
      <c r="E790">
        <v>0</v>
      </c>
      <c r="F790" t="s">
        <v>9217</v>
      </c>
      <c r="G790" t="s">
        <v>9216</v>
      </c>
      <c r="H790" t="s">
        <v>9068</v>
      </c>
      <c r="I790" t="s">
        <v>9216</v>
      </c>
      <c r="J790" t="s">
        <v>9217</v>
      </c>
      <c r="K790" t="s">
        <v>9156</v>
      </c>
    </row>
    <row r="791" spans="1:11" s="1" customFormat="1" x14ac:dyDescent="0.25">
      <c r="A791" t="s">
        <v>9218</v>
      </c>
      <c r="B791" t="s">
        <v>13198</v>
      </c>
      <c r="C791" s="88"/>
      <c r="D791" s="105"/>
      <c r="E791"/>
      <c r="F791" t="s">
        <v>9219</v>
      </c>
      <c r="G791" t="s">
        <v>13198</v>
      </c>
      <c r="H791" t="s">
        <v>9068</v>
      </c>
      <c r="I791" t="s">
        <v>13198</v>
      </c>
      <c r="J791" t="s">
        <v>9219</v>
      </c>
      <c r="K791" t="s">
        <v>9559</v>
      </c>
    </row>
    <row r="792" spans="1:11" s="1" customFormat="1" x14ac:dyDescent="0.25">
      <c r="A792" t="s">
        <v>9220</v>
      </c>
      <c r="B792" t="s">
        <v>9221</v>
      </c>
      <c r="C792" s="88"/>
      <c r="D792" s="105"/>
      <c r="E792">
        <v>881</v>
      </c>
      <c r="F792" t="s">
        <v>9222</v>
      </c>
      <c r="G792" t="s">
        <v>9069</v>
      </c>
      <c r="H792" t="s">
        <v>9068</v>
      </c>
      <c r="I792" t="s">
        <v>9221</v>
      </c>
      <c r="J792" t="s">
        <v>9222</v>
      </c>
      <c r="K792" t="s">
        <v>12513</v>
      </c>
    </row>
    <row r="793" spans="1:11" s="1" customFormat="1" x14ac:dyDescent="0.25">
      <c r="A793" t="s">
        <v>10521</v>
      </c>
      <c r="B793" t="s">
        <v>9156</v>
      </c>
      <c r="C793" s="88"/>
      <c r="D793" s="105"/>
      <c r="E793">
        <v>202</v>
      </c>
      <c r="F793" t="s">
        <v>10523</v>
      </c>
      <c r="G793" t="s">
        <v>9156</v>
      </c>
      <c r="H793" t="s">
        <v>10522</v>
      </c>
      <c r="I793" t="s">
        <v>9156</v>
      </c>
      <c r="J793" t="s">
        <v>10523</v>
      </c>
      <c r="K793" t="s">
        <v>12513</v>
      </c>
    </row>
    <row r="794" spans="1:11" s="1" customFormat="1" x14ac:dyDescent="0.25">
      <c r="A794" t="s">
        <v>10524</v>
      </c>
      <c r="B794" t="s">
        <v>10525</v>
      </c>
      <c r="C794" s="88"/>
      <c r="D794" s="105"/>
      <c r="E794">
        <v>200</v>
      </c>
      <c r="F794" t="s">
        <v>10526</v>
      </c>
      <c r="G794" t="s">
        <v>10525</v>
      </c>
      <c r="H794" t="s">
        <v>10522</v>
      </c>
      <c r="I794" t="s">
        <v>10525</v>
      </c>
      <c r="J794" t="s">
        <v>10526</v>
      </c>
      <c r="K794" t="s">
        <v>10575</v>
      </c>
    </row>
    <row r="795" spans="1:11" s="1" customFormat="1" x14ac:dyDescent="0.25">
      <c r="A795" t="s">
        <v>10527</v>
      </c>
      <c r="B795" t="s">
        <v>10528</v>
      </c>
      <c r="C795" s="88"/>
      <c r="D795" s="105"/>
      <c r="E795">
        <v>437</v>
      </c>
      <c r="F795" t="s">
        <v>10529</v>
      </c>
      <c r="G795" t="s">
        <v>10528</v>
      </c>
      <c r="H795" t="s">
        <v>10522</v>
      </c>
      <c r="I795" t="s">
        <v>10528</v>
      </c>
      <c r="J795" t="s">
        <v>10529</v>
      </c>
      <c r="K795" t="s">
        <v>10609</v>
      </c>
    </row>
    <row r="796" spans="1:11" s="1" customFormat="1" x14ac:dyDescent="0.25">
      <c r="A796" t="s">
        <v>10530</v>
      </c>
      <c r="B796" t="s">
        <v>10531</v>
      </c>
      <c r="C796" s="88"/>
      <c r="D796" s="105"/>
      <c r="E796">
        <v>404</v>
      </c>
      <c r="F796" t="s">
        <v>10532</v>
      </c>
      <c r="G796" t="s">
        <v>10531</v>
      </c>
      <c r="H796" t="s">
        <v>10522</v>
      </c>
      <c r="I796" t="s">
        <v>10531</v>
      </c>
      <c r="J796" t="s">
        <v>10532</v>
      </c>
      <c r="K796" t="s">
        <v>12513</v>
      </c>
    </row>
    <row r="797" spans="1:11" s="1" customFormat="1" x14ac:dyDescent="0.25">
      <c r="A797" t="s">
        <v>10533</v>
      </c>
      <c r="B797" t="s">
        <v>10534</v>
      </c>
      <c r="C797" s="88"/>
      <c r="D797" s="105"/>
      <c r="E797">
        <v>393</v>
      </c>
      <c r="F797" t="s">
        <v>10535</v>
      </c>
      <c r="G797" t="s">
        <v>10534</v>
      </c>
      <c r="H797" t="s">
        <v>10522</v>
      </c>
      <c r="I797" t="s">
        <v>10534</v>
      </c>
      <c r="J797" t="s">
        <v>10535</v>
      </c>
      <c r="K797" t="s">
        <v>10621</v>
      </c>
    </row>
    <row r="798" spans="1:11" s="1" customFormat="1" x14ac:dyDescent="0.25">
      <c r="A798" t="s">
        <v>10536</v>
      </c>
      <c r="B798" t="s">
        <v>10537</v>
      </c>
      <c r="C798" s="88"/>
      <c r="D798" s="105"/>
      <c r="E798">
        <v>337</v>
      </c>
      <c r="F798" t="s">
        <v>10538</v>
      </c>
      <c r="G798" t="s">
        <v>10537</v>
      </c>
      <c r="H798" t="s">
        <v>10522</v>
      </c>
      <c r="I798" t="s">
        <v>10537</v>
      </c>
      <c r="J798" t="s">
        <v>10538</v>
      </c>
      <c r="K798" t="s">
        <v>12572</v>
      </c>
    </row>
    <row r="799" spans="1:11" s="1" customFormat="1" x14ac:dyDescent="0.25">
      <c r="A799" t="s">
        <v>10539</v>
      </c>
      <c r="B799" t="s">
        <v>10540</v>
      </c>
      <c r="C799" s="88"/>
      <c r="D799" s="105"/>
      <c r="E799">
        <v>55</v>
      </c>
      <c r="F799" t="s">
        <v>10541</v>
      </c>
      <c r="G799" t="s">
        <v>10540</v>
      </c>
      <c r="H799" t="s">
        <v>10522</v>
      </c>
      <c r="I799" t="s">
        <v>10540</v>
      </c>
      <c r="J799" t="s">
        <v>10541</v>
      </c>
      <c r="K799" t="s">
        <v>12573</v>
      </c>
    </row>
    <row r="800" spans="1:11" s="1" customFormat="1" x14ac:dyDescent="0.25">
      <c r="A800" t="s">
        <v>10542</v>
      </c>
      <c r="B800" t="s">
        <v>10543</v>
      </c>
      <c r="C800" s="88"/>
      <c r="D800" s="105"/>
      <c r="E800">
        <v>100</v>
      </c>
      <c r="F800" t="s">
        <v>10544</v>
      </c>
      <c r="G800" t="s">
        <v>10543</v>
      </c>
      <c r="H800" t="s">
        <v>10522</v>
      </c>
      <c r="I800" t="s">
        <v>10543</v>
      </c>
      <c r="J800" t="s">
        <v>10544</v>
      </c>
      <c r="K800" t="s">
        <v>10606</v>
      </c>
    </row>
    <row r="801" spans="1:11" s="1" customFormat="1" x14ac:dyDescent="0.25">
      <c r="A801" t="s">
        <v>10545</v>
      </c>
      <c r="B801" t="s">
        <v>10546</v>
      </c>
      <c r="C801" s="88"/>
      <c r="D801" s="105"/>
      <c r="E801">
        <v>305</v>
      </c>
      <c r="F801" t="s">
        <v>10547</v>
      </c>
      <c r="G801" t="s">
        <v>10546</v>
      </c>
      <c r="H801" t="s">
        <v>10522</v>
      </c>
      <c r="I801" t="s">
        <v>10546</v>
      </c>
      <c r="J801" t="s">
        <v>10547</v>
      </c>
      <c r="K801" t="s">
        <v>10546</v>
      </c>
    </row>
    <row r="802" spans="1:11" s="1" customFormat="1" x14ac:dyDescent="0.25">
      <c r="A802" t="s">
        <v>10548</v>
      </c>
      <c r="B802" t="s">
        <v>10549</v>
      </c>
      <c r="C802" s="88"/>
      <c r="D802" s="105"/>
      <c r="E802">
        <v>1165</v>
      </c>
      <c r="F802" t="s">
        <v>10550</v>
      </c>
      <c r="G802" t="s">
        <v>10549</v>
      </c>
      <c r="H802" t="s">
        <v>10522</v>
      </c>
      <c r="I802" t="s">
        <v>10549</v>
      </c>
      <c r="J802" t="s">
        <v>10550</v>
      </c>
      <c r="K802" t="s">
        <v>10603</v>
      </c>
    </row>
    <row r="803" spans="1:11" s="1" customFormat="1" x14ac:dyDescent="0.25">
      <c r="A803" t="s">
        <v>10551</v>
      </c>
      <c r="B803" t="s">
        <v>10552</v>
      </c>
      <c r="C803" s="88"/>
      <c r="D803" s="105"/>
      <c r="E803">
        <v>100</v>
      </c>
      <c r="F803" t="s">
        <v>10554</v>
      </c>
      <c r="G803" t="s">
        <v>10553</v>
      </c>
      <c r="H803" t="s">
        <v>10522</v>
      </c>
      <c r="I803" t="s">
        <v>10552</v>
      </c>
      <c r="J803" t="s">
        <v>10554</v>
      </c>
      <c r="K803" t="s">
        <v>12572</v>
      </c>
    </row>
    <row r="804" spans="1:11" s="1" customFormat="1" x14ac:dyDescent="0.25">
      <c r="A804" t="s">
        <v>10555</v>
      </c>
      <c r="B804" t="s">
        <v>10556</v>
      </c>
      <c r="C804" s="88"/>
      <c r="D804" s="105"/>
      <c r="E804">
        <v>498</v>
      </c>
      <c r="F804" t="s">
        <v>10557</v>
      </c>
      <c r="G804" t="s">
        <v>10556</v>
      </c>
      <c r="H804" t="s">
        <v>10522</v>
      </c>
      <c r="I804" t="s">
        <v>10556</v>
      </c>
      <c r="J804" t="s">
        <v>10557</v>
      </c>
      <c r="K804" t="s">
        <v>12574</v>
      </c>
    </row>
    <row r="805" spans="1:11" s="1" customFormat="1" x14ac:dyDescent="0.25">
      <c r="A805" t="s">
        <v>10558</v>
      </c>
      <c r="B805" t="s">
        <v>10559</v>
      </c>
      <c r="C805" s="88"/>
      <c r="D805" s="105"/>
      <c r="E805">
        <v>1141</v>
      </c>
      <c r="F805" t="s">
        <v>10560</v>
      </c>
      <c r="G805" t="s">
        <v>10559</v>
      </c>
      <c r="H805" t="s">
        <v>10522</v>
      </c>
      <c r="I805" t="s">
        <v>10559</v>
      </c>
      <c r="J805" t="s">
        <v>10560</v>
      </c>
      <c r="K805" t="s">
        <v>12575</v>
      </c>
    </row>
    <row r="806" spans="1:11" s="1" customFormat="1" x14ac:dyDescent="0.25">
      <c r="A806" t="s">
        <v>10561</v>
      </c>
      <c r="B806" t="s">
        <v>10562</v>
      </c>
      <c r="C806" s="88"/>
      <c r="D806" s="105"/>
      <c r="E806">
        <v>280</v>
      </c>
      <c r="F806" t="s">
        <v>10563</v>
      </c>
      <c r="G806" t="s">
        <v>10562</v>
      </c>
      <c r="H806" t="s">
        <v>10522</v>
      </c>
      <c r="I806" t="s">
        <v>10562</v>
      </c>
      <c r="J806" t="s">
        <v>10563</v>
      </c>
      <c r="K806" t="s">
        <v>10609</v>
      </c>
    </row>
    <row r="807" spans="1:11" s="1" customFormat="1" x14ac:dyDescent="0.25">
      <c r="A807" t="s">
        <v>10564</v>
      </c>
      <c r="B807" t="s">
        <v>10565</v>
      </c>
      <c r="C807" s="88"/>
      <c r="D807" s="105"/>
      <c r="E807">
        <v>790</v>
      </c>
      <c r="F807" t="s">
        <v>10567</v>
      </c>
      <c r="G807" t="s">
        <v>10566</v>
      </c>
      <c r="H807" t="s">
        <v>10522</v>
      </c>
      <c r="I807" t="s">
        <v>10565</v>
      </c>
      <c r="J807" t="s">
        <v>10567</v>
      </c>
      <c r="K807" t="s">
        <v>12576</v>
      </c>
    </row>
    <row r="808" spans="1:11" s="1" customFormat="1" x14ac:dyDescent="0.25">
      <c r="A808" t="s">
        <v>10568</v>
      </c>
      <c r="B808" t="s">
        <v>10569</v>
      </c>
      <c r="C808" s="88"/>
      <c r="D808" s="105"/>
      <c r="E808">
        <v>653</v>
      </c>
      <c r="F808" t="s">
        <v>10571</v>
      </c>
      <c r="G808" t="s">
        <v>10570</v>
      </c>
      <c r="H808" t="s">
        <v>10522</v>
      </c>
      <c r="I808" t="s">
        <v>10569</v>
      </c>
      <c r="J808" t="s">
        <v>10571</v>
      </c>
      <c r="K808" t="s">
        <v>12577</v>
      </c>
    </row>
    <row r="809" spans="1:11" s="1" customFormat="1" x14ac:dyDescent="0.25">
      <c r="A809" t="s">
        <v>10572</v>
      </c>
      <c r="B809" t="s">
        <v>9265</v>
      </c>
      <c r="C809" s="88"/>
      <c r="D809" s="105"/>
      <c r="E809">
        <v>250</v>
      </c>
      <c r="F809" t="s">
        <v>10573</v>
      </c>
      <c r="G809" t="s">
        <v>7317</v>
      </c>
      <c r="H809" t="s">
        <v>10522</v>
      </c>
      <c r="I809" t="s">
        <v>9265</v>
      </c>
      <c r="J809" t="s">
        <v>10573</v>
      </c>
      <c r="K809" t="s">
        <v>12573</v>
      </c>
    </row>
    <row r="810" spans="1:11" s="1" customFormat="1" x14ac:dyDescent="0.25">
      <c r="A810" t="s">
        <v>10574</v>
      </c>
      <c r="B810" t="s">
        <v>10575</v>
      </c>
      <c r="C810" s="88"/>
      <c r="D810" s="105"/>
      <c r="E810">
        <v>457</v>
      </c>
      <c r="F810" t="s">
        <v>10576</v>
      </c>
      <c r="G810" t="s">
        <v>10575</v>
      </c>
      <c r="H810" t="s">
        <v>10522</v>
      </c>
      <c r="I810" t="s">
        <v>10575</v>
      </c>
      <c r="J810" t="s">
        <v>10576</v>
      </c>
      <c r="K810" t="s">
        <v>10575</v>
      </c>
    </row>
    <row r="811" spans="1:11" s="1" customFormat="1" x14ac:dyDescent="0.25">
      <c r="A811" t="s">
        <v>10577</v>
      </c>
      <c r="B811" t="s">
        <v>10578</v>
      </c>
      <c r="C811" s="88"/>
      <c r="D811" s="105"/>
      <c r="E811">
        <v>597</v>
      </c>
      <c r="F811" t="s">
        <v>10580</v>
      </c>
      <c r="G811" t="s">
        <v>10579</v>
      </c>
      <c r="H811" t="s">
        <v>10522</v>
      </c>
      <c r="I811" t="s">
        <v>10578</v>
      </c>
      <c r="J811" t="s">
        <v>10580</v>
      </c>
      <c r="K811" t="s">
        <v>10609</v>
      </c>
    </row>
    <row r="812" spans="1:11" s="1" customFormat="1" x14ac:dyDescent="0.25">
      <c r="A812" t="s">
        <v>10581</v>
      </c>
      <c r="B812" t="s">
        <v>10582</v>
      </c>
      <c r="C812" s="88"/>
      <c r="D812" s="105"/>
      <c r="E812">
        <v>494</v>
      </c>
      <c r="F812" t="s">
        <v>10583</v>
      </c>
      <c r="G812" t="s">
        <v>10582</v>
      </c>
      <c r="H812" t="s">
        <v>10522</v>
      </c>
      <c r="I812" t="s">
        <v>10582</v>
      </c>
      <c r="J812" t="s">
        <v>10583</v>
      </c>
      <c r="K812" t="s">
        <v>12572</v>
      </c>
    </row>
    <row r="813" spans="1:11" s="1" customFormat="1" x14ac:dyDescent="0.25">
      <c r="A813" t="s">
        <v>10584</v>
      </c>
      <c r="B813" t="s">
        <v>10585</v>
      </c>
      <c r="C813" s="88"/>
      <c r="D813" s="105"/>
      <c r="E813">
        <v>928</v>
      </c>
      <c r="F813" t="s">
        <v>10586</v>
      </c>
      <c r="G813" t="s">
        <v>10585</v>
      </c>
      <c r="H813" t="s">
        <v>10522</v>
      </c>
      <c r="I813" t="s">
        <v>10585</v>
      </c>
      <c r="J813" t="s">
        <v>10586</v>
      </c>
      <c r="K813" t="s">
        <v>12573</v>
      </c>
    </row>
    <row r="814" spans="1:11" s="1" customFormat="1" x14ac:dyDescent="0.25">
      <c r="A814" t="s">
        <v>10587</v>
      </c>
      <c r="B814" t="s">
        <v>10588</v>
      </c>
      <c r="C814" s="88"/>
      <c r="D814" s="105"/>
      <c r="E814">
        <v>1</v>
      </c>
      <c r="F814" t="s">
        <v>10589</v>
      </c>
      <c r="G814" t="s">
        <v>10588</v>
      </c>
      <c r="H814" t="s">
        <v>10522</v>
      </c>
      <c r="I814" t="s">
        <v>10588</v>
      </c>
      <c r="J814" t="s">
        <v>10589</v>
      </c>
      <c r="K814" t="s">
        <v>10546</v>
      </c>
    </row>
    <row r="815" spans="1:11" s="1" customFormat="1" x14ac:dyDescent="0.25">
      <c r="A815" t="s">
        <v>10590</v>
      </c>
      <c r="B815" t="s">
        <v>10591</v>
      </c>
      <c r="C815" s="88"/>
      <c r="D815" s="105"/>
      <c r="E815">
        <v>350</v>
      </c>
      <c r="F815" t="s">
        <v>10592</v>
      </c>
      <c r="G815" t="s">
        <v>10591</v>
      </c>
      <c r="H815" t="s">
        <v>10522</v>
      </c>
      <c r="I815" t="s">
        <v>10591</v>
      </c>
      <c r="J815" t="s">
        <v>10592</v>
      </c>
      <c r="K815" t="s">
        <v>12574</v>
      </c>
    </row>
    <row r="816" spans="1:11" s="1" customFormat="1" x14ac:dyDescent="0.25">
      <c r="A816" t="s">
        <v>10593</v>
      </c>
      <c r="B816" t="s">
        <v>10594</v>
      </c>
      <c r="C816" s="88"/>
      <c r="D816" s="105"/>
      <c r="E816">
        <v>431</v>
      </c>
      <c r="F816" t="s">
        <v>10595</v>
      </c>
      <c r="G816" t="s">
        <v>10594</v>
      </c>
      <c r="H816" t="s">
        <v>10522</v>
      </c>
      <c r="I816" t="s">
        <v>10594</v>
      </c>
      <c r="J816" t="s">
        <v>10595</v>
      </c>
      <c r="K816" t="s">
        <v>10603</v>
      </c>
    </row>
    <row r="817" spans="1:11" s="1" customFormat="1" x14ac:dyDescent="0.25">
      <c r="A817" t="s">
        <v>10596</v>
      </c>
      <c r="B817" t="s">
        <v>10597</v>
      </c>
      <c r="C817" s="88"/>
      <c r="D817" s="105"/>
      <c r="E817">
        <v>450</v>
      </c>
      <c r="F817" t="s">
        <v>10598</v>
      </c>
      <c r="G817" t="s">
        <v>10597</v>
      </c>
      <c r="H817" t="s">
        <v>10522</v>
      </c>
      <c r="I817" t="s">
        <v>10597</v>
      </c>
      <c r="J817" t="s">
        <v>10598</v>
      </c>
      <c r="K817" t="s">
        <v>12574</v>
      </c>
    </row>
    <row r="818" spans="1:11" s="1" customFormat="1" x14ac:dyDescent="0.25">
      <c r="A818" t="s">
        <v>10599</v>
      </c>
      <c r="B818" t="s">
        <v>10600</v>
      </c>
      <c r="C818" s="88"/>
      <c r="D818" s="105"/>
      <c r="E818">
        <v>444</v>
      </c>
      <c r="F818" t="s">
        <v>10601</v>
      </c>
      <c r="G818" t="s">
        <v>10600</v>
      </c>
      <c r="H818" t="s">
        <v>10522</v>
      </c>
      <c r="I818" t="s">
        <v>10600</v>
      </c>
      <c r="J818" t="s">
        <v>10601</v>
      </c>
      <c r="K818" t="s">
        <v>10606</v>
      </c>
    </row>
    <row r="819" spans="1:11" s="1" customFormat="1" x14ac:dyDescent="0.25">
      <c r="A819" t="s">
        <v>10602</v>
      </c>
      <c r="B819" t="s">
        <v>10603</v>
      </c>
      <c r="C819" s="88"/>
      <c r="D819" s="105"/>
      <c r="E819">
        <v>290</v>
      </c>
      <c r="F819" t="s">
        <v>10604</v>
      </c>
      <c r="G819" t="s">
        <v>10603</v>
      </c>
      <c r="H819" t="s">
        <v>10522</v>
      </c>
      <c r="I819" t="s">
        <v>10603</v>
      </c>
      <c r="J819" t="s">
        <v>10604</v>
      </c>
      <c r="K819" t="s">
        <v>10603</v>
      </c>
    </row>
    <row r="820" spans="1:11" s="1" customFormat="1" x14ac:dyDescent="0.25">
      <c r="A820" t="s">
        <v>10605</v>
      </c>
      <c r="B820" t="s">
        <v>10606</v>
      </c>
      <c r="C820" s="88"/>
      <c r="D820" s="105"/>
      <c r="E820">
        <v>231</v>
      </c>
      <c r="F820" t="s">
        <v>10607</v>
      </c>
      <c r="G820" t="s">
        <v>10606</v>
      </c>
      <c r="H820" t="s">
        <v>10522</v>
      </c>
      <c r="I820" t="s">
        <v>10606</v>
      </c>
      <c r="J820" t="s">
        <v>10607</v>
      </c>
      <c r="K820" t="s">
        <v>10606</v>
      </c>
    </row>
    <row r="821" spans="1:11" s="1" customFormat="1" x14ac:dyDescent="0.25">
      <c r="A821" t="s">
        <v>10608</v>
      </c>
      <c r="B821" t="s">
        <v>10609</v>
      </c>
      <c r="C821" s="88"/>
      <c r="D821" s="105"/>
      <c r="E821">
        <v>1443</v>
      </c>
      <c r="F821" t="s">
        <v>10610</v>
      </c>
      <c r="G821" t="s">
        <v>10609</v>
      </c>
      <c r="H821" t="s">
        <v>10522</v>
      </c>
      <c r="I821" t="s">
        <v>10609</v>
      </c>
      <c r="J821" t="s">
        <v>10610</v>
      </c>
      <c r="K821" t="s">
        <v>10609</v>
      </c>
    </row>
    <row r="822" spans="1:11" s="1" customFormat="1" x14ac:dyDescent="0.25">
      <c r="A822" t="s">
        <v>10611</v>
      </c>
      <c r="B822" t="s">
        <v>10612</v>
      </c>
      <c r="C822" s="88"/>
      <c r="D822" s="105"/>
      <c r="E822">
        <v>121</v>
      </c>
      <c r="F822" t="s">
        <v>10613</v>
      </c>
      <c r="G822" t="s">
        <v>10612</v>
      </c>
      <c r="H822" t="s">
        <v>10522</v>
      </c>
      <c r="I822" t="s">
        <v>10612</v>
      </c>
      <c r="J822" t="s">
        <v>10613</v>
      </c>
      <c r="K822" t="s">
        <v>12574</v>
      </c>
    </row>
    <row r="823" spans="1:11" s="1" customFormat="1" x14ac:dyDescent="0.25">
      <c r="A823" t="s">
        <v>10614</v>
      </c>
      <c r="B823" t="s">
        <v>10615</v>
      </c>
      <c r="C823" s="88"/>
      <c r="D823" s="105"/>
      <c r="E823">
        <v>532</v>
      </c>
      <c r="F823" t="s">
        <v>10616</v>
      </c>
      <c r="G823" t="s">
        <v>10615</v>
      </c>
      <c r="H823" t="s">
        <v>10522</v>
      </c>
      <c r="I823" t="s">
        <v>10615</v>
      </c>
      <c r="J823" t="s">
        <v>10616</v>
      </c>
      <c r="K823" t="s">
        <v>12578</v>
      </c>
    </row>
    <row r="824" spans="1:11" s="1" customFormat="1" x14ac:dyDescent="0.25">
      <c r="A824" t="s">
        <v>10617</v>
      </c>
      <c r="B824" t="s">
        <v>10618</v>
      </c>
      <c r="C824" s="88"/>
      <c r="D824" s="105"/>
      <c r="E824">
        <v>465</v>
      </c>
      <c r="F824" t="s">
        <v>10619</v>
      </c>
      <c r="G824" t="s">
        <v>10618</v>
      </c>
      <c r="H824" t="s">
        <v>10522</v>
      </c>
      <c r="I824" t="s">
        <v>10618</v>
      </c>
      <c r="J824" t="s">
        <v>10619</v>
      </c>
      <c r="K824" t="s">
        <v>10618</v>
      </c>
    </row>
    <row r="825" spans="1:11" s="1" customFormat="1" x14ac:dyDescent="0.25">
      <c r="A825" t="s">
        <v>10620</v>
      </c>
      <c r="B825" t="s">
        <v>10621</v>
      </c>
      <c r="C825" s="88"/>
      <c r="D825" s="105"/>
      <c r="E825">
        <v>45</v>
      </c>
      <c r="F825" t="s">
        <v>10622</v>
      </c>
      <c r="G825" t="s">
        <v>10621</v>
      </c>
      <c r="H825" t="s">
        <v>10522</v>
      </c>
      <c r="I825" t="s">
        <v>10621</v>
      </c>
      <c r="J825" t="s">
        <v>10622</v>
      </c>
      <c r="K825" t="s">
        <v>10621</v>
      </c>
    </row>
    <row r="826" spans="1:11" s="1" customFormat="1" x14ac:dyDescent="0.25">
      <c r="A826" t="s">
        <v>10623</v>
      </c>
      <c r="B826" t="s">
        <v>10624</v>
      </c>
      <c r="C826" s="88"/>
      <c r="D826" s="105"/>
      <c r="E826">
        <v>0</v>
      </c>
      <c r="F826" t="s">
        <v>10625</v>
      </c>
      <c r="G826" t="s">
        <v>10624</v>
      </c>
      <c r="H826" t="s">
        <v>10522</v>
      </c>
      <c r="I826" t="s">
        <v>10624</v>
      </c>
      <c r="J826" t="s">
        <v>10625</v>
      </c>
      <c r="K826" t="s">
        <v>10546</v>
      </c>
    </row>
    <row r="827" spans="1:11" s="1" customFormat="1" x14ac:dyDescent="0.25">
      <c r="A827" t="s">
        <v>10626</v>
      </c>
      <c r="B827" t="s">
        <v>10627</v>
      </c>
      <c r="C827" s="88"/>
      <c r="D827" s="105"/>
      <c r="E827">
        <v>394</v>
      </c>
      <c r="F827" t="s">
        <v>10628</v>
      </c>
      <c r="G827" t="s">
        <v>7437</v>
      </c>
      <c r="H827" t="s">
        <v>10522</v>
      </c>
      <c r="I827" t="s">
        <v>10627</v>
      </c>
      <c r="J827" t="s">
        <v>10628</v>
      </c>
      <c r="K827" t="s">
        <v>12579</v>
      </c>
    </row>
    <row r="828" spans="1:11" s="1" customFormat="1" x14ac:dyDescent="0.25">
      <c r="A828" t="s">
        <v>10629</v>
      </c>
      <c r="B828" t="s">
        <v>10630</v>
      </c>
      <c r="C828" s="88"/>
      <c r="D828" s="105"/>
      <c r="E828">
        <v>996</v>
      </c>
      <c r="F828" t="s">
        <v>10631</v>
      </c>
      <c r="G828" t="s">
        <v>10630</v>
      </c>
      <c r="H828" t="s">
        <v>10522</v>
      </c>
      <c r="I828" t="s">
        <v>10630</v>
      </c>
      <c r="J828" t="s">
        <v>10631</v>
      </c>
      <c r="K828" t="s">
        <v>12578</v>
      </c>
    </row>
    <row r="829" spans="1:11" s="1" customFormat="1" x14ac:dyDescent="0.25">
      <c r="A829" t="s">
        <v>10632</v>
      </c>
      <c r="B829" t="s">
        <v>10633</v>
      </c>
      <c r="C829" s="88"/>
      <c r="D829" s="105"/>
      <c r="E829">
        <v>315</v>
      </c>
      <c r="F829" t="s">
        <v>10634</v>
      </c>
      <c r="G829" t="s">
        <v>10633</v>
      </c>
      <c r="H829" t="s">
        <v>10522</v>
      </c>
      <c r="I829" t="s">
        <v>10633</v>
      </c>
      <c r="J829" t="s">
        <v>10634</v>
      </c>
      <c r="K829" t="s">
        <v>12575</v>
      </c>
    </row>
    <row r="830" spans="1:11" s="1" customFormat="1" x14ac:dyDescent="0.25">
      <c r="A830" t="s">
        <v>10635</v>
      </c>
      <c r="B830" t="s">
        <v>13241</v>
      </c>
      <c r="C830" s="88"/>
      <c r="D830" s="105"/>
      <c r="E830">
        <v>0</v>
      </c>
      <c r="F830" t="s">
        <v>10636</v>
      </c>
      <c r="G830" t="s">
        <v>9156</v>
      </c>
      <c r="H830" t="s">
        <v>10522</v>
      </c>
      <c r="I830" t="s">
        <v>13241</v>
      </c>
      <c r="J830" t="s">
        <v>10636</v>
      </c>
      <c r="K830" t="s">
        <v>12513</v>
      </c>
    </row>
    <row r="831" spans="1:11" s="1" customFormat="1" x14ac:dyDescent="0.25">
      <c r="A831" t="s">
        <v>10637</v>
      </c>
      <c r="B831" t="s">
        <v>10638</v>
      </c>
      <c r="C831" s="88"/>
      <c r="D831" s="105"/>
      <c r="E831">
        <v>100</v>
      </c>
      <c r="F831" t="s">
        <v>10639</v>
      </c>
      <c r="G831" t="s">
        <v>10638</v>
      </c>
      <c r="H831" t="s">
        <v>10522</v>
      </c>
      <c r="I831" t="s">
        <v>10638</v>
      </c>
      <c r="J831" t="s">
        <v>10639</v>
      </c>
      <c r="K831" t="s">
        <v>10606</v>
      </c>
    </row>
    <row r="832" spans="1:11" s="1" customFormat="1" x14ac:dyDescent="0.25">
      <c r="A832" t="s">
        <v>10740</v>
      </c>
      <c r="B832" t="s">
        <v>5004</v>
      </c>
      <c r="C832" s="88"/>
      <c r="D832" s="105"/>
      <c r="E832">
        <v>678</v>
      </c>
      <c r="F832" t="s">
        <v>10741</v>
      </c>
      <c r="G832" t="s">
        <v>5004</v>
      </c>
      <c r="H832" t="s">
        <v>5004</v>
      </c>
      <c r="I832" t="s">
        <v>5004</v>
      </c>
      <c r="J832" t="s">
        <v>10741</v>
      </c>
      <c r="K832" t="s">
        <v>12513</v>
      </c>
    </row>
    <row r="833" spans="1:11" s="1" customFormat="1" x14ac:dyDescent="0.25">
      <c r="A833" t="s">
        <v>10742</v>
      </c>
      <c r="B833" t="s">
        <v>10743</v>
      </c>
      <c r="C833" s="88"/>
      <c r="D833" s="105"/>
      <c r="E833">
        <v>501</v>
      </c>
      <c r="F833" t="s">
        <v>10744</v>
      </c>
      <c r="G833" t="s">
        <v>5004</v>
      </c>
      <c r="H833" t="s">
        <v>5004</v>
      </c>
      <c r="I833" t="s">
        <v>10743</v>
      </c>
      <c r="J833" t="s">
        <v>10744</v>
      </c>
      <c r="K833" t="s">
        <v>12513</v>
      </c>
    </row>
    <row r="834" spans="1:11" s="1" customFormat="1" x14ac:dyDescent="0.25">
      <c r="A834" t="s">
        <v>10745</v>
      </c>
      <c r="B834" t="s">
        <v>10746</v>
      </c>
      <c r="C834" s="88"/>
      <c r="D834" s="105"/>
      <c r="E834">
        <v>861</v>
      </c>
      <c r="F834" t="s">
        <v>10747</v>
      </c>
      <c r="G834" t="s">
        <v>7751</v>
      </c>
      <c r="H834" t="s">
        <v>5004</v>
      </c>
      <c r="I834" t="s">
        <v>10746</v>
      </c>
      <c r="J834" t="s">
        <v>10747</v>
      </c>
      <c r="K834" t="s">
        <v>12580</v>
      </c>
    </row>
    <row r="835" spans="1:11" s="1" customFormat="1" x14ac:dyDescent="0.25">
      <c r="A835" t="s">
        <v>10748</v>
      </c>
      <c r="B835" t="s">
        <v>10749</v>
      </c>
      <c r="C835" s="88"/>
      <c r="D835" s="105"/>
      <c r="E835">
        <v>3600</v>
      </c>
      <c r="F835" t="s">
        <v>10750</v>
      </c>
      <c r="G835" t="s">
        <v>10749</v>
      </c>
      <c r="H835" t="s">
        <v>5004</v>
      </c>
      <c r="I835" t="s">
        <v>10749</v>
      </c>
      <c r="J835" t="s">
        <v>10750</v>
      </c>
      <c r="K835" t="s">
        <v>12580</v>
      </c>
    </row>
    <row r="836" spans="1:11" s="1" customFormat="1" x14ac:dyDescent="0.25">
      <c r="A836" t="s">
        <v>10751</v>
      </c>
      <c r="B836" t="s">
        <v>10752</v>
      </c>
      <c r="C836" s="88"/>
      <c r="D836" s="105"/>
      <c r="E836">
        <v>378</v>
      </c>
      <c r="F836" t="s">
        <v>10753</v>
      </c>
      <c r="G836" t="s">
        <v>10752</v>
      </c>
      <c r="H836" t="s">
        <v>5004</v>
      </c>
      <c r="I836" t="s">
        <v>10752</v>
      </c>
      <c r="J836" t="s">
        <v>10753</v>
      </c>
      <c r="K836" t="s">
        <v>7774</v>
      </c>
    </row>
    <row r="837" spans="1:11" s="1" customFormat="1" x14ac:dyDescent="0.25">
      <c r="A837" t="s">
        <v>10754</v>
      </c>
      <c r="B837" t="s">
        <v>10755</v>
      </c>
      <c r="C837" s="88"/>
      <c r="D837" s="105"/>
      <c r="E837">
        <v>527</v>
      </c>
      <c r="F837" t="s">
        <v>10757</v>
      </c>
      <c r="G837" t="s">
        <v>10756</v>
      </c>
      <c r="H837" t="s">
        <v>5004</v>
      </c>
      <c r="I837" t="s">
        <v>10755</v>
      </c>
      <c r="J837" t="s">
        <v>10757</v>
      </c>
      <c r="K837" t="s">
        <v>10810</v>
      </c>
    </row>
    <row r="838" spans="1:11" s="1" customFormat="1" x14ac:dyDescent="0.25">
      <c r="A838" t="s">
        <v>10758</v>
      </c>
      <c r="B838" t="s">
        <v>10759</v>
      </c>
      <c r="C838" s="88"/>
      <c r="D838" s="105"/>
      <c r="E838">
        <v>0</v>
      </c>
      <c r="F838" t="s">
        <v>10761</v>
      </c>
      <c r="G838" t="s">
        <v>10760</v>
      </c>
      <c r="H838" t="s">
        <v>5004</v>
      </c>
      <c r="I838" t="s">
        <v>10759</v>
      </c>
      <c r="J838" t="s">
        <v>10761</v>
      </c>
      <c r="K838" t="s">
        <v>10851</v>
      </c>
    </row>
    <row r="839" spans="1:11" s="1" customFormat="1" x14ac:dyDescent="0.25">
      <c r="A839" t="s">
        <v>10762</v>
      </c>
      <c r="B839" t="s">
        <v>10763</v>
      </c>
      <c r="C839" s="88"/>
      <c r="D839" s="105"/>
      <c r="E839">
        <v>10</v>
      </c>
      <c r="F839" t="s">
        <v>10764</v>
      </c>
      <c r="G839" t="s">
        <v>10763</v>
      </c>
      <c r="H839" t="s">
        <v>5004</v>
      </c>
      <c r="I839" t="s">
        <v>10763</v>
      </c>
      <c r="J839" t="s">
        <v>10764</v>
      </c>
      <c r="K839" t="s">
        <v>7774</v>
      </c>
    </row>
    <row r="840" spans="1:11" s="1" customFormat="1" x14ac:dyDescent="0.25">
      <c r="A840" t="s">
        <v>10765</v>
      </c>
      <c r="B840" t="s">
        <v>10766</v>
      </c>
      <c r="C840" s="88"/>
      <c r="D840" s="105"/>
      <c r="E840">
        <v>1337</v>
      </c>
      <c r="F840" t="s">
        <v>10768</v>
      </c>
      <c r="G840" t="s">
        <v>10767</v>
      </c>
      <c r="H840" t="s">
        <v>5004</v>
      </c>
      <c r="I840" t="s">
        <v>10766</v>
      </c>
      <c r="J840" t="s">
        <v>10768</v>
      </c>
      <c r="K840" t="s">
        <v>10810</v>
      </c>
    </row>
    <row r="841" spans="1:11" s="1" customFormat="1" x14ac:dyDescent="0.25">
      <c r="A841" t="s">
        <v>10769</v>
      </c>
      <c r="B841" t="s">
        <v>10770</v>
      </c>
      <c r="C841" s="88"/>
      <c r="D841" s="105"/>
      <c r="E841">
        <v>198</v>
      </c>
      <c r="F841" t="s">
        <v>10772</v>
      </c>
      <c r="G841" t="s">
        <v>10771</v>
      </c>
      <c r="H841" t="s">
        <v>5004</v>
      </c>
      <c r="I841" t="s">
        <v>10770</v>
      </c>
      <c r="J841" t="s">
        <v>10772</v>
      </c>
      <c r="K841" t="s">
        <v>7774</v>
      </c>
    </row>
    <row r="842" spans="1:11" s="1" customFormat="1" x14ac:dyDescent="0.25">
      <c r="A842" t="s">
        <v>10773</v>
      </c>
      <c r="B842" t="s">
        <v>10774</v>
      </c>
      <c r="C842" s="88"/>
      <c r="D842" s="105"/>
      <c r="E842">
        <v>332</v>
      </c>
      <c r="F842" t="s">
        <v>10776</v>
      </c>
      <c r="G842" t="s">
        <v>10775</v>
      </c>
      <c r="H842" t="s">
        <v>5004</v>
      </c>
      <c r="I842" t="s">
        <v>10774</v>
      </c>
      <c r="J842" t="s">
        <v>10776</v>
      </c>
      <c r="K842" t="s">
        <v>9652</v>
      </c>
    </row>
    <row r="843" spans="1:11" s="1" customFormat="1" x14ac:dyDescent="0.25">
      <c r="A843" t="s">
        <v>10777</v>
      </c>
      <c r="B843" t="s">
        <v>10778</v>
      </c>
      <c r="C843" s="88"/>
      <c r="D843" s="105"/>
      <c r="E843">
        <v>590</v>
      </c>
      <c r="F843" t="s">
        <v>10780</v>
      </c>
      <c r="G843" t="s">
        <v>10779</v>
      </c>
      <c r="H843" t="s">
        <v>5004</v>
      </c>
      <c r="I843" t="s">
        <v>10778</v>
      </c>
      <c r="J843" t="s">
        <v>10780</v>
      </c>
      <c r="K843" t="s">
        <v>8295</v>
      </c>
    </row>
    <row r="844" spans="1:11" s="1" customFormat="1" x14ac:dyDescent="0.25">
      <c r="A844" t="s">
        <v>10781</v>
      </c>
      <c r="B844" t="s">
        <v>10782</v>
      </c>
      <c r="C844" s="88"/>
      <c r="D844" s="105"/>
      <c r="E844">
        <v>20</v>
      </c>
      <c r="F844" t="s">
        <v>10783</v>
      </c>
      <c r="G844" t="s">
        <v>7774</v>
      </c>
      <c r="H844" t="s">
        <v>5004</v>
      </c>
      <c r="I844" t="s">
        <v>10782</v>
      </c>
      <c r="J844" t="s">
        <v>10783</v>
      </c>
      <c r="K844" t="s">
        <v>7774</v>
      </c>
    </row>
    <row r="845" spans="1:11" s="1" customFormat="1" x14ac:dyDescent="0.25">
      <c r="A845" t="s">
        <v>10784</v>
      </c>
      <c r="B845" t="s">
        <v>9265</v>
      </c>
      <c r="C845" s="88"/>
      <c r="D845" s="105"/>
      <c r="E845">
        <v>389</v>
      </c>
      <c r="F845" t="s">
        <v>10785</v>
      </c>
      <c r="G845" t="s">
        <v>7315</v>
      </c>
      <c r="H845" t="s">
        <v>5004</v>
      </c>
      <c r="I845" t="s">
        <v>9265</v>
      </c>
      <c r="J845" t="s">
        <v>10785</v>
      </c>
      <c r="K845" t="s">
        <v>7315</v>
      </c>
    </row>
    <row r="846" spans="1:11" s="1" customFormat="1" x14ac:dyDescent="0.25">
      <c r="A846" t="s">
        <v>10786</v>
      </c>
      <c r="B846" t="s">
        <v>10787</v>
      </c>
      <c r="C846" s="88"/>
      <c r="D846" s="105"/>
      <c r="E846">
        <v>50</v>
      </c>
      <c r="F846" t="s">
        <v>10788</v>
      </c>
      <c r="G846" t="s">
        <v>10787</v>
      </c>
      <c r="H846" t="s">
        <v>5004</v>
      </c>
      <c r="I846" t="s">
        <v>10787</v>
      </c>
      <c r="J846" t="s">
        <v>10788</v>
      </c>
      <c r="K846" t="s">
        <v>10787</v>
      </c>
    </row>
    <row r="847" spans="1:11" s="1" customFormat="1" x14ac:dyDescent="0.25">
      <c r="A847" t="s">
        <v>10789</v>
      </c>
      <c r="B847" t="s">
        <v>10790</v>
      </c>
      <c r="C847" s="88"/>
      <c r="D847" s="105"/>
      <c r="E847">
        <v>0</v>
      </c>
      <c r="F847" t="s">
        <v>10792</v>
      </c>
      <c r="G847" t="s">
        <v>10791</v>
      </c>
      <c r="H847" t="s">
        <v>5004</v>
      </c>
      <c r="I847" t="s">
        <v>10790</v>
      </c>
      <c r="J847" t="s">
        <v>10792</v>
      </c>
      <c r="K847" t="s">
        <v>8023</v>
      </c>
    </row>
    <row r="848" spans="1:11" s="1" customFormat="1" x14ac:dyDescent="0.25">
      <c r="A848" t="s">
        <v>10793</v>
      </c>
      <c r="B848" t="s">
        <v>10794</v>
      </c>
      <c r="C848" s="88"/>
      <c r="D848" s="105"/>
      <c r="E848">
        <v>410</v>
      </c>
      <c r="F848" t="s">
        <v>10795</v>
      </c>
      <c r="G848" t="s">
        <v>10794</v>
      </c>
      <c r="H848" t="s">
        <v>5004</v>
      </c>
      <c r="I848" t="s">
        <v>10794</v>
      </c>
      <c r="J848" t="s">
        <v>10795</v>
      </c>
      <c r="K848" t="s">
        <v>9652</v>
      </c>
    </row>
    <row r="849" spans="1:11" s="1" customFormat="1" x14ac:dyDescent="0.25">
      <c r="A849" t="s">
        <v>10796</v>
      </c>
      <c r="B849" t="s">
        <v>10797</v>
      </c>
      <c r="C849" s="88"/>
      <c r="D849" s="105"/>
      <c r="E849">
        <v>76</v>
      </c>
      <c r="F849" t="s">
        <v>10798</v>
      </c>
      <c r="G849" t="s">
        <v>10797</v>
      </c>
      <c r="H849" t="s">
        <v>5004</v>
      </c>
      <c r="I849" t="s">
        <v>10797</v>
      </c>
      <c r="J849" t="s">
        <v>10798</v>
      </c>
      <c r="K849" t="s">
        <v>9156</v>
      </c>
    </row>
    <row r="850" spans="1:11" s="1" customFormat="1" x14ac:dyDescent="0.25">
      <c r="A850" t="s">
        <v>10799</v>
      </c>
      <c r="B850" t="s">
        <v>9559</v>
      </c>
      <c r="C850" s="88"/>
      <c r="D850" s="105"/>
      <c r="E850">
        <v>200</v>
      </c>
      <c r="F850" t="s">
        <v>10800</v>
      </c>
      <c r="G850" t="s">
        <v>9559</v>
      </c>
      <c r="H850" t="s">
        <v>5004</v>
      </c>
      <c r="I850" t="s">
        <v>9559</v>
      </c>
      <c r="J850" t="s">
        <v>10800</v>
      </c>
      <c r="K850" t="s">
        <v>9559</v>
      </c>
    </row>
    <row r="851" spans="1:11" s="1" customFormat="1" x14ac:dyDescent="0.25">
      <c r="A851" t="s">
        <v>10801</v>
      </c>
      <c r="B851" t="s">
        <v>10802</v>
      </c>
      <c r="C851" s="88"/>
      <c r="D851" s="105"/>
      <c r="E851">
        <v>256</v>
      </c>
      <c r="F851" t="s">
        <v>10803</v>
      </c>
      <c r="G851" t="s">
        <v>10802</v>
      </c>
      <c r="H851" t="s">
        <v>5004</v>
      </c>
      <c r="I851" t="s">
        <v>10802</v>
      </c>
      <c r="J851" t="s">
        <v>10803</v>
      </c>
      <c r="K851" t="s">
        <v>9156</v>
      </c>
    </row>
    <row r="852" spans="1:11" s="1" customFormat="1" x14ac:dyDescent="0.25">
      <c r="A852" t="s">
        <v>10804</v>
      </c>
      <c r="B852" t="s">
        <v>7804</v>
      </c>
      <c r="C852" s="88"/>
      <c r="D852" s="105"/>
      <c r="E852">
        <v>1494</v>
      </c>
      <c r="F852" t="s">
        <v>10805</v>
      </c>
      <c r="G852" t="s">
        <v>7804</v>
      </c>
      <c r="H852" t="s">
        <v>5004</v>
      </c>
      <c r="I852" t="s">
        <v>7804</v>
      </c>
      <c r="J852" t="s">
        <v>10805</v>
      </c>
      <c r="K852" t="s">
        <v>7804</v>
      </c>
    </row>
    <row r="853" spans="1:11" s="1" customFormat="1" x14ac:dyDescent="0.25">
      <c r="A853" t="s">
        <v>10806</v>
      </c>
      <c r="B853" t="s">
        <v>9117</v>
      </c>
      <c r="C853" s="88"/>
      <c r="D853" s="105"/>
      <c r="E853">
        <v>11</v>
      </c>
      <c r="F853" t="s">
        <v>10808</v>
      </c>
      <c r="G853" t="s">
        <v>10807</v>
      </c>
      <c r="H853" t="s">
        <v>5004</v>
      </c>
      <c r="I853" t="s">
        <v>9117</v>
      </c>
      <c r="J853" t="s">
        <v>10808</v>
      </c>
      <c r="K853" t="s">
        <v>9117</v>
      </c>
    </row>
    <row r="854" spans="1:11" s="1" customFormat="1" x14ac:dyDescent="0.25">
      <c r="A854" t="s">
        <v>10809</v>
      </c>
      <c r="B854" t="s">
        <v>10810</v>
      </c>
      <c r="C854" s="88"/>
      <c r="D854" s="105"/>
      <c r="E854">
        <v>18</v>
      </c>
      <c r="F854" t="s">
        <v>10811</v>
      </c>
      <c r="G854" t="s">
        <v>10810</v>
      </c>
      <c r="H854" t="s">
        <v>5004</v>
      </c>
      <c r="I854" t="s">
        <v>10810</v>
      </c>
      <c r="J854" t="s">
        <v>10811</v>
      </c>
      <c r="K854" t="s">
        <v>10810</v>
      </c>
    </row>
    <row r="855" spans="1:11" s="1" customFormat="1" x14ac:dyDescent="0.25">
      <c r="A855" t="s">
        <v>10812</v>
      </c>
      <c r="B855" t="s">
        <v>8295</v>
      </c>
      <c r="C855" s="88"/>
      <c r="D855" s="105"/>
      <c r="E855">
        <v>335</v>
      </c>
      <c r="F855" t="s">
        <v>10813</v>
      </c>
      <c r="G855" t="s">
        <v>8295</v>
      </c>
      <c r="H855" t="s">
        <v>5004</v>
      </c>
      <c r="I855" t="s">
        <v>8295</v>
      </c>
      <c r="J855" t="s">
        <v>10813</v>
      </c>
      <c r="K855" t="s">
        <v>8295</v>
      </c>
    </row>
    <row r="856" spans="1:11" s="1" customFormat="1" x14ac:dyDescent="0.25">
      <c r="A856" t="s">
        <v>10814</v>
      </c>
      <c r="B856" t="s">
        <v>13242</v>
      </c>
      <c r="C856" s="88"/>
      <c r="D856" s="105"/>
      <c r="E856">
        <v>203</v>
      </c>
      <c r="F856" t="s">
        <v>10816</v>
      </c>
      <c r="G856" t="s">
        <v>10815</v>
      </c>
      <c r="H856" t="s">
        <v>5004</v>
      </c>
      <c r="I856" t="s">
        <v>13242</v>
      </c>
      <c r="J856" t="s">
        <v>10816</v>
      </c>
      <c r="K856" t="s">
        <v>10815</v>
      </c>
    </row>
    <row r="857" spans="1:11" s="1" customFormat="1" x14ac:dyDescent="0.25">
      <c r="A857" t="s">
        <v>10817</v>
      </c>
      <c r="B857" t="s">
        <v>10818</v>
      </c>
      <c r="C857" s="88"/>
      <c r="D857" s="105"/>
      <c r="E857">
        <v>0</v>
      </c>
      <c r="F857" t="s">
        <v>10819</v>
      </c>
      <c r="G857" t="s">
        <v>10818</v>
      </c>
      <c r="H857" t="s">
        <v>5004</v>
      </c>
      <c r="I857" t="s">
        <v>10818</v>
      </c>
      <c r="J857" t="s">
        <v>10819</v>
      </c>
      <c r="K857" t="s">
        <v>7747</v>
      </c>
    </row>
    <row r="858" spans="1:11" s="1" customFormat="1" x14ac:dyDescent="0.25">
      <c r="A858" t="s">
        <v>10820</v>
      </c>
      <c r="B858" t="s">
        <v>10821</v>
      </c>
      <c r="C858" s="88"/>
      <c r="D858" s="105"/>
      <c r="E858">
        <v>201</v>
      </c>
      <c r="F858" t="s">
        <v>10822</v>
      </c>
      <c r="G858" t="s">
        <v>10821</v>
      </c>
      <c r="H858" t="s">
        <v>5004</v>
      </c>
      <c r="I858" t="s">
        <v>10821</v>
      </c>
      <c r="J858" t="s">
        <v>10822</v>
      </c>
      <c r="K858" t="s">
        <v>10846</v>
      </c>
    </row>
    <row r="859" spans="1:11" s="1" customFormat="1" x14ac:dyDescent="0.25">
      <c r="A859" t="s">
        <v>10823</v>
      </c>
      <c r="B859" t="s">
        <v>10824</v>
      </c>
      <c r="C859" s="88"/>
      <c r="D859" s="105"/>
      <c r="E859">
        <v>200</v>
      </c>
      <c r="F859" t="s">
        <v>10825</v>
      </c>
      <c r="G859" t="s">
        <v>10824</v>
      </c>
      <c r="H859" t="s">
        <v>5004</v>
      </c>
      <c r="I859" t="s">
        <v>10824</v>
      </c>
      <c r="J859" t="s">
        <v>10825</v>
      </c>
      <c r="K859" t="s">
        <v>7315</v>
      </c>
    </row>
    <row r="860" spans="1:11" s="1" customFormat="1" x14ac:dyDescent="0.25">
      <c r="A860" t="s">
        <v>10826</v>
      </c>
      <c r="B860" t="s">
        <v>10827</v>
      </c>
      <c r="C860" s="88"/>
      <c r="D860" s="105"/>
      <c r="E860"/>
      <c r="F860" t="s">
        <v>10828</v>
      </c>
      <c r="G860" t="s">
        <v>10827</v>
      </c>
      <c r="H860" t="s">
        <v>5004</v>
      </c>
      <c r="I860" t="s">
        <v>10827</v>
      </c>
      <c r="J860" t="s">
        <v>10828</v>
      </c>
      <c r="K860" t="s">
        <v>7804</v>
      </c>
    </row>
    <row r="861" spans="1:11" s="1" customFormat="1" x14ac:dyDescent="0.25">
      <c r="A861" t="s">
        <v>10829</v>
      </c>
      <c r="B861" t="s">
        <v>10830</v>
      </c>
      <c r="C861" s="88"/>
      <c r="D861" s="105"/>
      <c r="E861">
        <v>280</v>
      </c>
      <c r="F861" t="s">
        <v>10831</v>
      </c>
      <c r="G861" t="s">
        <v>10830</v>
      </c>
      <c r="H861" t="s">
        <v>5004</v>
      </c>
      <c r="I861" t="s">
        <v>10830</v>
      </c>
      <c r="J861" t="s">
        <v>10831</v>
      </c>
      <c r="K861" t="s">
        <v>10846</v>
      </c>
    </row>
    <row r="862" spans="1:11" s="1" customFormat="1" x14ac:dyDescent="0.25">
      <c r="A862" t="s">
        <v>10832</v>
      </c>
      <c r="B862" t="s">
        <v>7747</v>
      </c>
      <c r="C862" s="88"/>
      <c r="D862" s="105"/>
      <c r="E862">
        <v>189</v>
      </c>
      <c r="F862" t="s">
        <v>10833</v>
      </c>
      <c r="G862" t="s">
        <v>7747</v>
      </c>
      <c r="H862" t="s">
        <v>5004</v>
      </c>
      <c r="I862" t="s">
        <v>7747</v>
      </c>
      <c r="J862" t="s">
        <v>10833</v>
      </c>
      <c r="K862" t="s">
        <v>7747</v>
      </c>
    </row>
    <row r="863" spans="1:11" s="1" customFormat="1" x14ac:dyDescent="0.25">
      <c r="A863" t="s">
        <v>10834</v>
      </c>
      <c r="B863" t="s">
        <v>10835</v>
      </c>
      <c r="C863" s="88"/>
      <c r="D863" s="105"/>
      <c r="E863">
        <v>10523</v>
      </c>
      <c r="F863" t="s">
        <v>10837</v>
      </c>
      <c r="G863" t="s">
        <v>10836</v>
      </c>
      <c r="H863" t="s">
        <v>5004</v>
      </c>
      <c r="I863" t="s">
        <v>10835</v>
      </c>
      <c r="J863" t="s">
        <v>10837</v>
      </c>
      <c r="K863" t="s">
        <v>12580</v>
      </c>
    </row>
    <row r="864" spans="1:11" s="1" customFormat="1" x14ac:dyDescent="0.25">
      <c r="A864" t="s">
        <v>10838</v>
      </c>
      <c r="B864" t="s">
        <v>10839</v>
      </c>
      <c r="C864" s="88"/>
      <c r="D864" s="105"/>
      <c r="E864">
        <v>4387</v>
      </c>
      <c r="F864" t="s">
        <v>10840</v>
      </c>
      <c r="G864" t="s">
        <v>10839</v>
      </c>
      <c r="H864" t="s">
        <v>5004</v>
      </c>
      <c r="I864" t="s">
        <v>10839</v>
      </c>
      <c r="J864" t="s">
        <v>10840</v>
      </c>
      <c r="K864" t="s">
        <v>8295</v>
      </c>
    </row>
    <row r="865" spans="1:11" s="1" customFormat="1" x14ac:dyDescent="0.25">
      <c r="A865" t="s">
        <v>10841</v>
      </c>
      <c r="B865" t="s">
        <v>9652</v>
      </c>
      <c r="C865" s="88"/>
      <c r="D865" s="105"/>
      <c r="E865">
        <v>169</v>
      </c>
      <c r="F865" t="s">
        <v>10842</v>
      </c>
      <c r="G865" t="s">
        <v>9652</v>
      </c>
      <c r="H865" t="s">
        <v>5004</v>
      </c>
      <c r="I865" t="s">
        <v>9652</v>
      </c>
      <c r="J865" t="s">
        <v>10842</v>
      </c>
      <c r="K865" t="s">
        <v>9652</v>
      </c>
    </row>
    <row r="866" spans="1:11" s="1" customFormat="1" x14ac:dyDescent="0.25">
      <c r="A866" t="s">
        <v>10843</v>
      </c>
      <c r="B866" t="s">
        <v>9150</v>
      </c>
      <c r="C866" s="88"/>
      <c r="D866" s="105"/>
      <c r="E866">
        <v>1116</v>
      </c>
      <c r="F866" t="s">
        <v>10844</v>
      </c>
      <c r="G866" t="s">
        <v>9150</v>
      </c>
      <c r="H866" t="s">
        <v>5004</v>
      </c>
      <c r="I866" t="s">
        <v>9150</v>
      </c>
      <c r="J866" t="s">
        <v>10844</v>
      </c>
      <c r="K866" t="s">
        <v>12580</v>
      </c>
    </row>
    <row r="867" spans="1:11" s="1" customFormat="1" x14ac:dyDescent="0.25">
      <c r="A867" t="s">
        <v>10845</v>
      </c>
      <c r="B867" t="s">
        <v>10846</v>
      </c>
      <c r="C867" s="88"/>
      <c r="D867" s="105"/>
      <c r="E867">
        <v>69</v>
      </c>
      <c r="F867" t="s">
        <v>10847</v>
      </c>
      <c r="G867" t="s">
        <v>10846</v>
      </c>
      <c r="H867" t="s">
        <v>5004</v>
      </c>
      <c r="I867" t="s">
        <v>10846</v>
      </c>
      <c r="J867" t="s">
        <v>10847</v>
      </c>
      <c r="K867" t="s">
        <v>10846</v>
      </c>
    </row>
    <row r="868" spans="1:11" s="1" customFormat="1" x14ac:dyDescent="0.25">
      <c r="A868" t="s">
        <v>10848</v>
      </c>
      <c r="B868" t="s">
        <v>9156</v>
      </c>
      <c r="C868" s="88"/>
      <c r="D868" s="105"/>
      <c r="E868">
        <v>269</v>
      </c>
      <c r="F868" t="s">
        <v>10849</v>
      </c>
      <c r="G868" t="s">
        <v>9156</v>
      </c>
      <c r="H868" t="s">
        <v>5004</v>
      </c>
      <c r="I868" t="s">
        <v>9156</v>
      </c>
      <c r="J868" t="s">
        <v>10849</v>
      </c>
      <c r="K868" t="s">
        <v>9156</v>
      </c>
    </row>
    <row r="869" spans="1:11" s="1" customFormat="1" x14ac:dyDescent="0.25">
      <c r="A869" t="s">
        <v>10850</v>
      </c>
      <c r="B869" t="s">
        <v>10851</v>
      </c>
      <c r="C869" s="88"/>
      <c r="D869" s="105"/>
      <c r="E869">
        <v>721</v>
      </c>
      <c r="F869" t="s">
        <v>10852</v>
      </c>
      <c r="G869" t="s">
        <v>10851</v>
      </c>
      <c r="H869" t="s">
        <v>5004</v>
      </c>
      <c r="I869" t="s">
        <v>10851</v>
      </c>
      <c r="J869" t="s">
        <v>10852</v>
      </c>
      <c r="K869" t="s">
        <v>10851</v>
      </c>
    </row>
    <row r="870" spans="1:11" s="1" customFormat="1" x14ac:dyDescent="0.25">
      <c r="A870" t="s">
        <v>10853</v>
      </c>
      <c r="B870" t="s">
        <v>10854</v>
      </c>
      <c r="C870" s="88"/>
      <c r="D870" s="105"/>
      <c r="E870">
        <v>100</v>
      </c>
      <c r="F870" t="s">
        <v>10855</v>
      </c>
      <c r="G870" t="s">
        <v>10854</v>
      </c>
      <c r="H870" t="s">
        <v>5004</v>
      </c>
      <c r="I870" t="s">
        <v>10854</v>
      </c>
      <c r="J870" t="s">
        <v>10855</v>
      </c>
      <c r="K870" t="s">
        <v>10854</v>
      </c>
    </row>
    <row r="871" spans="1:11" s="1" customFormat="1" x14ac:dyDescent="0.25">
      <c r="A871" t="s">
        <v>10856</v>
      </c>
      <c r="B871" t="s">
        <v>10857</v>
      </c>
      <c r="C871" s="88"/>
      <c r="D871" s="105"/>
      <c r="E871">
        <v>0</v>
      </c>
      <c r="F871" t="s">
        <v>10858</v>
      </c>
      <c r="G871" t="s">
        <v>10857</v>
      </c>
      <c r="H871" t="s">
        <v>5004</v>
      </c>
      <c r="I871" t="s">
        <v>10857</v>
      </c>
      <c r="J871" t="s">
        <v>10858</v>
      </c>
      <c r="K871" t="s">
        <v>7804</v>
      </c>
    </row>
    <row r="872" spans="1:11" s="1" customFormat="1" x14ac:dyDescent="0.25">
      <c r="A872" t="s">
        <v>10859</v>
      </c>
      <c r="B872" t="s">
        <v>13202</v>
      </c>
      <c r="C872" s="88"/>
      <c r="D872" s="105"/>
      <c r="E872"/>
      <c r="F872" t="s">
        <v>10860</v>
      </c>
      <c r="G872" t="s">
        <v>13230</v>
      </c>
      <c r="H872" t="s">
        <v>5004</v>
      </c>
      <c r="I872" t="s">
        <v>13202</v>
      </c>
      <c r="J872" t="s">
        <v>10860</v>
      </c>
      <c r="K872" t="s">
        <v>10815</v>
      </c>
    </row>
    <row r="873" spans="1:11" s="1" customFormat="1" x14ac:dyDescent="0.25">
      <c r="A873" t="s">
        <v>10861</v>
      </c>
      <c r="B873" t="s">
        <v>10862</v>
      </c>
      <c r="C873" s="88"/>
      <c r="D873" s="105"/>
      <c r="E873">
        <v>32</v>
      </c>
      <c r="F873" t="s">
        <v>10863</v>
      </c>
      <c r="G873" t="s">
        <v>10862</v>
      </c>
      <c r="H873" t="s">
        <v>5004</v>
      </c>
      <c r="I873" t="s">
        <v>10862</v>
      </c>
      <c r="J873" t="s">
        <v>10863</v>
      </c>
      <c r="K873" t="s">
        <v>10846</v>
      </c>
    </row>
    <row r="874" spans="1:11" s="1" customFormat="1" x14ac:dyDescent="0.25">
      <c r="A874" t="s">
        <v>10864</v>
      </c>
      <c r="B874" t="s">
        <v>10865</v>
      </c>
      <c r="C874" s="88"/>
      <c r="D874" s="105"/>
      <c r="E874">
        <v>93</v>
      </c>
      <c r="F874" t="s">
        <v>10866</v>
      </c>
      <c r="G874" t="s">
        <v>8023</v>
      </c>
      <c r="H874" t="s">
        <v>5004</v>
      </c>
      <c r="I874" t="s">
        <v>10865</v>
      </c>
      <c r="J874" t="s">
        <v>10866</v>
      </c>
      <c r="K874" t="s">
        <v>8023</v>
      </c>
    </row>
    <row r="875" spans="1:11" s="1" customFormat="1" x14ac:dyDescent="0.25">
      <c r="A875" t="s">
        <v>10867</v>
      </c>
      <c r="B875" t="s">
        <v>9961</v>
      </c>
      <c r="C875" s="88"/>
      <c r="D875" s="105"/>
      <c r="E875">
        <v>4190</v>
      </c>
      <c r="F875" t="s">
        <v>10868</v>
      </c>
      <c r="G875" t="s">
        <v>9961</v>
      </c>
      <c r="H875" t="s">
        <v>5004</v>
      </c>
      <c r="I875" t="s">
        <v>9961</v>
      </c>
      <c r="J875" t="s">
        <v>10868</v>
      </c>
      <c r="K875" t="s">
        <v>12580</v>
      </c>
    </row>
    <row r="876" spans="1:11" s="1" customFormat="1" x14ac:dyDescent="0.25">
      <c r="A876" t="s">
        <v>10869</v>
      </c>
      <c r="B876" t="s">
        <v>10870</v>
      </c>
      <c r="C876" s="88"/>
      <c r="D876" s="105"/>
      <c r="E876">
        <v>131</v>
      </c>
      <c r="F876" t="s">
        <v>10871</v>
      </c>
      <c r="G876" t="s">
        <v>10870</v>
      </c>
      <c r="H876" t="s">
        <v>5004</v>
      </c>
      <c r="I876" t="s">
        <v>10870</v>
      </c>
      <c r="J876" t="s">
        <v>10871</v>
      </c>
      <c r="K876" t="s">
        <v>10851</v>
      </c>
    </row>
    <row r="877" spans="1:11" s="1" customFormat="1" x14ac:dyDescent="0.25">
      <c r="A877" t="s">
        <v>10872</v>
      </c>
      <c r="B877" t="s">
        <v>13243</v>
      </c>
      <c r="C877" s="88"/>
      <c r="D877" s="105"/>
      <c r="E877"/>
      <c r="F877" t="s">
        <v>10874</v>
      </c>
      <c r="G877" t="s">
        <v>10873</v>
      </c>
      <c r="H877" t="s">
        <v>5004</v>
      </c>
      <c r="I877" t="s">
        <v>13243</v>
      </c>
      <c r="J877" t="s">
        <v>10874</v>
      </c>
      <c r="K877" t="s">
        <v>9117</v>
      </c>
    </row>
    <row r="878" spans="1:11" s="1" customFormat="1" x14ac:dyDescent="0.25">
      <c r="A878" t="s">
        <v>10875</v>
      </c>
      <c r="B878" t="s">
        <v>10876</v>
      </c>
      <c r="C878" s="88"/>
      <c r="D878" s="105"/>
      <c r="E878"/>
      <c r="F878" t="s">
        <v>10877</v>
      </c>
      <c r="G878" t="s">
        <v>10876</v>
      </c>
      <c r="H878" t="s">
        <v>5004</v>
      </c>
      <c r="I878" t="s">
        <v>10876</v>
      </c>
      <c r="J878" t="s">
        <v>10877</v>
      </c>
      <c r="K878" t="s">
        <v>10815</v>
      </c>
    </row>
    <row r="879" spans="1:11" s="1" customFormat="1" x14ac:dyDescent="0.25">
      <c r="A879" t="s">
        <v>10878</v>
      </c>
      <c r="B879" t="s">
        <v>10879</v>
      </c>
      <c r="C879" s="88"/>
      <c r="D879" s="105"/>
      <c r="E879">
        <v>0</v>
      </c>
      <c r="F879" t="s">
        <v>10880</v>
      </c>
      <c r="G879" t="s">
        <v>10879</v>
      </c>
      <c r="H879" t="s">
        <v>5004</v>
      </c>
      <c r="I879" t="s">
        <v>10879</v>
      </c>
      <c r="J879" t="s">
        <v>10880</v>
      </c>
      <c r="K879" t="s">
        <v>7747</v>
      </c>
    </row>
    <row r="880" spans="1:11" s="1" customFormat="1" x14ac:dyDescent="0.25">
      <c r="A880" t="s">
        <v>10881</v>
      </c>
      <c r="B880" t="s">
        <v>10882</v>
      </c>
      <c r="C880" s="88"/>
      <c r="D880" s="105"/>
      <c r="E880"/>
      <c r="F880" t="s">
        <v>10884</v>
      </c>
      <c r="G880" t="s">
        <v>10883</v>
      </c>
      <c r="H880" t="s">
        <v>5004</v>
      </c>
      <c r="I880" t="s">
        <v>10882</v>
      </c>
      <c r="J880" t="s">
        <v>10884</v>
      </c>
      <c r="K880" t="s">
        <v>7804</v>
      </c>
    </row>
    <row r="881" spans="1:11" s="1" customFormat="1" x14ac:dyDescent="0.25">
      <c r="A881" t="s">
        <v>10885</v>
      </c>
      <c r="B881" t="s">
        <v>10886</v>
      </c>
      <c r="C881" s="88"/>
      <c r="D881" s="105"/>
      <c r="E881">
        <v>2112</v>
      </c>
      <c r="F881" t="s">
        <v>10888</v>
      </c>
      <c r="G881" t="s">
        <v>10886</v>
      </c>
      <c r="H881" t="s">
        <v>10887</v>
      </c>
      <c r="I881" t="s">
        <v>10886</v>
      </c>
      <c r="J881" t="s">
        <v>10888</v>
      </c>
      <c r="K881" t="s">
        <v>12513</v>
      </c>
    </row>
    <row r="882" spans="1:11" s="1" customFormat="1" x14ac:dyDescent="0.25">
      <c r="A882" t="s">
        <v>10889</v>
      </c>
      <c r="B882" t="s">
        <v>10890</v>
      </c>
      <c r="C882" s="88"/>
      <c r="D882" s="105"/>
      <c r="E882">
        <v>0</v>
      </c>
      <c r="F882" t="s">
        <v>10891</v>
      </c>
      <c r="G882" t="s">
        <v>10890</v>
      </c>
      <c r="H882" t="s">
        <v>10887</v>
      </c>
      <c r="I882" t="s">
        <v>10890</v>
      </c>
      <c r="J882" t="s">
        <v>10891</v>
      </c>
      <c r="K882" t="s">
        <v>7437</v>
      </c>
    </row>
    <row r="883" spans="1:11" s="1" customFormat="1" x14ac:dyDescent="0.25">
      <c r="A883" t="s">
        <v>10892</v>
      </c>
      <c r="B883" t="s">
        <v>10893</v>
      </c>
      <c r="C883" s="88"/>
      <c r="D883" s="105"/>
      <c r="E883">
        <v>334</v>
      </c>
      <c r="F883" t="s">
        <v>10894</v>
      </c>
      <c r="G883" t="s">
        <v>10893</v>
      </c>
      <c r="H883" t="s">
        <v>10887</v>
      </c>
      <c r="I883" t="s">
        <v>10893</v>
      </c>
      <c r="J883" t="s">
        <v>10894</v>
      </c>
      <c r="K883" t="s">
        <v>10893</v>
      </c>
    </row>
    <row r="884" spans="1:11" s="1" customFormat="1" x14ac:dyDescent="0.25">
      <c r="A884" t="s">
        <v>10895</v>
      </c>
      <c r="B884" t="s">
        <v>10896</v>
      </c>
      <c r="C884" s="88"/>
      <c r="D884" s="105"/>
      <c r="E884">
        <v>877</v>
      </c>
      <c r="F884" t="s">
        <v>10897</v>
      </c>
      <c r="G884" t="s">
        <v>8142</v>
      </c>
      <c r="H884" t="s">
        <v>10887</v>
      </c>
      <c r="I884" t="s">
        <v>10896</v>
      </c>
      <c r="J884" t="s">
        <v>10897</v>
      </c>
      <c r="K884" t="s">
        <v>12581</v>
      </c>
    </row>
    <row r="885" spans="1:11" s="1" customFormat="1" x14ac:dyDescent="0.25">
      <c r="A885" t="s">
        <v>10898</v>
      </c>
      <c r="B885" t="s">
        <v>10899</v>
      </c>
      <c r="C885" s="88"/>
      <c r="D885" s="105"/>
      <c r="E885">
        <v>0</v>
      </c>
      <c r="F885" t="s">
        <v>10900</v>
      </c>
      <c r="G885" t="s">
        <v>10899</v>
      </c>
      <c r="H885" t="s">
        <v>10887</v>
      </c>
      <c r="I885" t="s">
        <v>10899</v>
      </c>
      <c r="J885" t="s">
        <v>10900</v>
      </c>
      <c r="K885" t="s">
        <v>10893</v>
      </c>
    </row>
    <row r="886" spans="1:11" s="1" customFormat="1" x14ac:dyDescent="0.25">
      <c r="A886" t="s">
        <v>10901</v>
      </c>
      <c r="B886" t="s">
        <v>10902</v>
      </c>
      <c r="C886" s="88"/>
      <c r="D886" s="105"/>
      <c r="E886">
        <v>0</v>
      </c>
      <c r="F886" t="s">
        <v>10904</v>
      </c>
      <c r="G886" t="s">
        <v>10903</v>
      </c>
      <c r="H886" t="s">
        <v>10887</v>
      </c>
      <c r="I886" t="s">
        <v>10902</v>
      </c>
      <c r="J886" t="s">
        <v>10904</v>
      </c>
      <c r="K886" t="s">
        <v>12582</v>
      </c>
    </row>
    <row r="887" spans="1:11" s="1" customFormat="1" x14ac:dyDescent="0.25">
      <c r="A887" t="s">
        <v>10905</v>
      </c>
      <c r="B887" t="s">
        <v>10149</v>
      </c>
      <c r="C887" s="88"/>
      <c r="D887" s="105"/>
      <c r="E887">
        <v>0</v>
      </c>
      <c r="F887" t="s">
        <v>10906</v>
      </c>
      <c r="G887" t="s">
        <v>10149</v>
      </c>
      <c r="H887" t="s">
        <v>10887</v>
      </c>
      <c r="I887" t="s">
        <v>10149</v>
      </c>
      <c r="J887" t="s">
        <v>10906</v>
      </c>
      <c r="K887" t="s">
        <v>10914</v>
      </c>
    </row>
    <row r="888" spans="1:11" s="1" customFormat="1" x14ac:dyDescent="0.25">
      <c r="A888" t="s">
        <v>10907</v>
      </c>
      <c r="B888" t="s">
        <v>10908</v>
      </c>
      <c r="C888" s="88"/>
      <c r="D888" s="105"/>
      <c r="E888">
        <v>200</v>
      </c>
      <c r="F888" t="s">
        <v>10909</v>
      </c>
      <c r="G888" t="s">
        <v>10908</v>
      </c>
      <c r="H888" t="s">
        <v>10887</v>
      </c>
      <c r="I888" t="s">
        <v>10908</v>
      </c>
      <c r="J888" t="s">
        <v>10909</v>
      </c>
      <c r="K888" t="s">
        <v>12581</v>
      </c>
    </row>
    <row r="889" spans="1:11" s="1" customFormat="1" x14ac:dyDescent="0.25">
      <c r="A889" t="s">
        <v>10910</v>
      </c>
      <c r="B889" t="s">
        <v>10911</v>
      </c>
      <c r="C889" s="88"/>
      <c r="D889" s="105"/>
      <c r="E889">
        <v>376</v>
      </c>
      <c r="F889" t="s">
        <v>10912</v>
      </c>
      <c r="G889" t="s">
        <v>10911</v>
      </c>
      <c r="H889" t="s">
        <v>10887</v>
      </c>
      <c r="I889" t="s">
        <v>10911</v>
      </c>
      <c r="J889" t="s">
        <v>10912</v>
      </c>
      <c r="K889" t="s">
        <v>10970</v>
      </c>
    </row>
    <row r="890" spans="1:11" s="1" customFormat="1" x14ac:dyDescent="0.25">
      <c r="A890" t="s">
        <v>10913</v>
      </c>
      <c r="B890" t="s">
        <v>10914</v>
      </c>
      <c r="C890" s="88"/>
      <c r="D890" s="105"/>
      <c r="E890">
        <v>710</v>
      </c>
      <c r="F890" t="s">
        <v>10915</v>
      </c>
      <c r="G890" t="s">
        <v>10914</v>
      </c>
      <c r="H890" t="s">
        <v>10887</v>
      </c>
      <c r="I890" t="s">
        <v>10914</v>
      </c>
      <c r="J890" t="s">
        <v>10915</v>
      </c>
      <c r="K890" t="s">
        <v>10914</v>
      </c>
    </row>
    <row r="891" spans="1:11" s="1" customFormat="1" x14ac:dyDescent="0.25">
      <c r="A891" t="s">
        <v>10916</v>
      </c>
      <c r="B891" t="s">
        <v>10917</v>
      </c>
      <c r="C891" s="88"/>
      <c r="D891" s="105"/>
      <c r="E891">
        <v>584</v>
      </c>
      <c r="F891" t="s">
        <v>10918</v>
      </c>
      <c r="G891" t="s">
        <v>10917</v>
      </c>
      <c r="H891" t="s">
        <v>10887</v>
      </c>
      <c r="I891" t="s">
        <v>10917</v>
      </c>
      <c r="J891" t="s">
        <v>10918</v>
      </c>
      <c r="K891" t="s">
        <v>8028</v>
      </c>
    </row>
    <row r="892" spans="1:11" s="1" customFormat="1" x14ac:dyDescent="0.25">
      <c r="A892" t="s">
        <v>10919</v>
      </c>
      <c r="B892" t="s">
        <v>10920</v>
      </c>
      <c r="C892" s="88"/>
      <c r="D892" s="105"/>
      <c r="E892">
        <v>254</v>
      </c>
      <c r="F892" t="s">
        <v>10921</v>
      </c>
      <c r="G892" t="s">
        <v>10920</v>
      </c>
      <c r="H892" t="s">
        <v>10887</v>
      </c>
      <c r="I892" t="s">
        <v>10920</v>
      </c>
      <c r="J892" t="s">
        <v>10921</v>
      </c>
      <c r="K892" t="s">
        <v>12561</v>
      </c>
    </row>
    <row r="893" spans="1:11" s="1" customFormat="1" x14ac:dyDescent="0.25">
      <c r="A893" t="s">
        <v>10922</v>
      </c>
      <c r="B893" t="s">
        <v>10923</v>
      </c>
      <c r="C893" s="88"/>
      <c r="D893" s="105"/>
      <c r="E893">
        <v>0</v>
      </c>
      <c r="F893" t="s">
        <v>10924</v>
      </c>
      <c r="G893" t="s">
        <v>7437</v>
      </c>
      <c r="H893" t="s">
        <v>10887</v>
      </c>
      <c r="I893" t="s">
        <v>10923</v>
      </c>
      <c r="J893" t="s">
        <v>10924</v>
      </c>
      <c r="K893" t="s">
        <v>7437</v>
      </c>
    </row>
    <row r="894" spans="1:11" s="1" customFormat="1" x14ac:dyDescent="0.25">
      <c r="A894" t="s">
        <v>10925</v>
      </c>
      <c r="B894" t="s">
        <v>10926</v>
      </c>
      <c r="C894" s="88"/>
      <c r="D894" s="105"/>
      <c r="E894">
        <v>133</v>
      </c>
      <c r="F894" t="s">
        <v>10928</v>
      </c>
      <c r="G894" t="s">
        <v>10927</v>
      </c>
      <c r="H894" t="s">
        <v>10887</v>
      </c>
      <c r="I894" t="s">
        <v>10926</v>
      </c>
      <c r="J894" t="s">
        <v>10928</v>
      </c>
      <c r="K894" t="s">
        <v>10951</v>
      </c>
    </row>
    <row r="895" spans="1:11" s="1" customFormat="1" x14ac:dyDescent="0.25">
      <c r="A895" t="s">
        <v>10929</v>
      </c>
      <c r="B895" t="s">
        <v>10930</v>
      </c>
      <c r="C895" s="88"/>
      <c r="D895" s="105"/>
      <c r="E895">
        <v>0</v>
      </c>
      <c r="F895" t="s">
        <v>10931</v>
      </c>
      <c r="G895" t="s">
        <v>10930</v>
      </c>
      <c r="H895" t="s">
        <v>10887</v>
      </c>
      <c r="I895" t="s">
        <v>10930</v>
      </c>
      <c r="J895" t="s">
        <v>10931</v>
      </c>
      <c r="K895" t="s">
        <v>10063</v>
      </c>
    </row>
    <row r="896" spans="1:11" s="1" customFormat="1" x14ac:dyDescent="0.25">
      <c r="A896" t="s">
        <v>10932</v>
      </c>
      <c r="B896" t="s">
        <v>10933</v>
      </c>
      <c r="C896" s="88"/>
      <c r="D896" s="105"/>
      <c r="E896">
        <v>0</v>
      </c>
      <c r="F896" t="s">
        <v>10934</v>
      </c>
      <c r="G896" t="s">
        <v>10933</v>
      </c>
      <c r="H896" t="s">
        <v>10887</v>
      </c>
      <c r="I896" t="s">
        <v>10933</v>
      </c>
      <c r="J896" t="s">
        <v>10934</v>
      </c>
      <c r="K896" t="s">
        <v>10989</v>
      </c>
    </row>
    <row r="897" spans="1:11" s="1" customFormat="1" x14ac:dyDescent="0.25">
      <c r="A897" t="s">
        <v>10935</v>
      </c>
      <c r="B897" t="s">
        <v>10936</v>
      </c>
      <c r="C897" s="88"/>
      <c r="D897" s="105"/>
      <c r="E897">
        <v>1000</v>
      </c>
      <c r="F897" t="s">
        <v>10938</v>
      </c>
      <c r="G897" t="s">
        <v>10937</v>
      </c>
      <c r="H897" t="s">
        <v>10887</v>
      </c>
      <c r="I897" t="s">
        <v>10936</v>
      </c>
      <c r="J897" t="s">
        <v>10938</v>
      </c>
      <c r="K897" t="s">
        <v>12581</v>
      </c>
    </row>
    <row r="898" spans="1:11" s="1" customFormat="1" x14ac:dyDescent="0.25">
      <c r="A898" t="s">
        <v>10939</v>
      </c>
      <c r="B898" t="s">
        <v>10940</v>
      </c>
      <c r="C898" s="88"/>
      <c r="D898" s="105"/>
      <c r="E898">
        <v>1690</v>
      </c>
      <c r="F898" t="s">
        <v>10942</v>
      </c>
      <c r="G898" t="s">
        <v>10941</v>
      </c>
      <c r="H898" t="s">
        <v>10887</v>
      </c>
      <c r="I898" t="s">
        <v>10940</v>
      </c>
      <c r="J898" t="s">
        <v>10942</v>
      </c>
      <c r="K898" t="s">
        <v>10941</v>
      </c>
    </row>
    <row r="899" spans="1:11" s="1" customFormat="1" x14ac:dyDescent="0.25">
      <c r="A899" t="s">
        <v>10943</v>
      </c>
      <c r="B899" t="s">
        <v>10944</v>
      </c>
      <c r="C899" s="88"/>
      <c r="D899" s="105"/>
      <c r="E899">
        <v>0</v>
      </c>
      <c r="F899" t="s">
        <v>10945</v>
      </c>
      <c r="G899" t="s">
        <v>10944</v>
      </c>
      <c r="H899" t="s">
        <v>10887</v>
      </c>
      <c r="I899" t="s">
        <v>10944</v>
      </c>
      <c r="J899" t="s">
        <v>10945</v>
      </c>
      <c r="K899" t="s">
        <v>12583</v>
      </c>
    </row>
    <row r="900" spans="1:11" s="1" customFormat="1" x14ac:dyDescent="0.25">
      <c r="A900" t="s">
        <v>10946</v>
      </c>
      <c r="B900" t="s">
        <v>10947</v>
      </c>
      <c r="C900" s="88"/>
      <c r="D900" s="105"/>
      <c r="E900">
        <v>1842</v>
      </c>
      <c r="F900" t="s">
        <v>10949</v>
      </c>
      <c r="G900" t="s">
        <v>10948</v>
      </c>
      <c r="H900" t="s">
        <v>10887</v>
      </c>
      <c r="I900" t="s">
        <v>10947</v>
      </c>
      <c r="J900" t="s">
        <v>10949</v>
      </c>
      <c r="K900" t="s">
        <v>10989</v>
      </c>
    </row>
    <row r="901" spans="1:11" s="1" customFormat="1" x14ac:dyDescent="0.25">
      <c r="A901" t="s">
        <v>10950</v>
      </c>
      <c r="B901" t="s">
        <v>10951</v>
      </c>
      <c r="C901" s="88"/>
      <c r="D901" s="105"/>
      <c r="E901">
        <v>384</v>
      </c>
      <c r="F901" t="s">
        <v>10953</v>
      </c>
      <c r="G901" t="s">
        <v>10952</v>
      </c>
      <c r="H901" t="s">
        <v>10887</v>
      </c>
      <c r="I901" t="s">
        <v>10951</v>
      </c>
      <c r="J901" t="s">
        <v>10953</v>
      </c>
      <c r="K901" t="s">
        <v>10951</v>
      </c>
    </row>
    <row r="902" spans="1:11" s="1" customFormat="1" x14ac:dyDescent="0.25">
      <c r="A902" t="s">
        <v>10954</v>
      </c>
      <c r="B902" t="s">
        <v>10955</v>
      </c>
      <c r="C902" s="88"/>
      <c r="D902" s="105"/>
      <c r="E902">
        <v>100</v>
      </c>
      <c r="F902" t="s">
        <v>10956</v>
      </c>
      <c r="G902" t="s">
        <v>10955</v>
      </c>
      <c r="H902" t="s">
        <v>10887</v>
      </c>
      <c r="I902" t="s">
        <v>10955</v>
      </c>
      <c r="J902" t="s">
        <v>10956</v>
      </c>
      <c r="K902" t="s">
        <v>10992</v>
      </c>
    </row>
    <row r="903" spans="1:11" s="1" customFormat="1" x14ac:dyDescent="0.25">
      <c r="A903" t="s">
        <v>10957</v>
      </c>
      <c r="B903" t="s">
        <v>10958</v>
      </c>
      <c r="C903" s="88"/>
      <c r="D903" s="105"/>
      <c r="E903">
        <v>650</v>
      </c>
      <c r="F903" t="s">
        <v>10959</v>
      </c>
      <c r="G903" t="s">
        <v>10958</v>
      </c>
      <c r="H903" t="s">
        <v>10887</v>
      </c>
      <c r="I903" t="s">
        <v>10958</v>
      </c>
      <c r="J903" t="s">
        <v>10959</v>
      </c>
      <c r="K903" t="s">
        <v>10989</v>
      </c>
    </row>
    <row r="904" spans="1:11" s="1" customFormat="1" x14ac:dyDescent="0.25">
      <c r="A904" t="s">
        <v>10960</v>
      </c>
      <c r="B904" t="s">
        <v>10961</v>
      </c>
      <c r="C904" s="88"/>
      <c r="D904" s="105"/>
      <c r="E904">
        <v>1</v>
      </c>
      <c r="F904" t="s">
        <v>10962</v>
      </c>
      <c r="G904" t="s">
        <v>8028</v>
      </c>
      <c r="H904" t="s">
        <v>10887</v>
      </c>
      <c r="I904" t="s">
        <v>10961</v>
      </c>
      <c r="J904" t="s">
        <v>10962</v>
      </c>
      <c r="K904" t="s">
        <v>8028</v>
      </c>
    </row>
    <row r="905" spans="1:11" s="1" customFormat="1" x14ac:dyDescent="0.25">
      <c r="A905" t="s">
        <v>10963</v>
      </c>
      <c r="B905" t="s">
        <v>7653</v>
      </c>
      <c r="C905" s="88"/>
      <c r="D905" s="105"/>
      <c r="E905">
        <v>351</v>
      </c>
      <c r="F905" t="s">
        <v>10964</v>
      </c>
      <c r="G905" t="s">
        <v>7653</v>
      </c>
      <c r="H905" t="s">
        <v>10887</v>
      </c>
      <c r="I905" t="s">
        <v>7653</v>
      </c>
      <c r="J905" t="s">
        <v>10964</v>
      </c>
      <c r="K905" t="s">
        <v>10951</v>
      </c>
    </row>
    <row r="906" spans="1:11" s="1" customFormat="1" x14ac:dyDescent="0.25">
      <c r="A906" t="s">
        <v>10965</v>
      </c>
      <c r="B906" t="s">
        <v>10966</v>
      </c>
      <c r="C906" s="88"/>
      <c r="D906" s="105"/>
      <c r="E906">
        <v>1</v>
      </c>
      <c r="F906" t="s">
        <v>10967</v>
      </c>
      <c r="G906" t="s">
        <v>10966</v>
      </c>
      <c r="H906" t="s">
        <v>10887</v>
      </c>
      <c r="I906" t="s">
        <v>10966</v>
      </c>
      <c r="J906" t="s">
        <v>10967</v>
      </c>
      <c r="K906" t="s">
        <v>10966</v>
      </c>
    </row>
    <row r="907" spans="1:11" s="1" customFormat="1" x14ac:dyDescent="0.25">
      <c r="A907" t="s">
        <v>10968</v>
      </c>
      <c r="B907" t="s">
        <v>10969</v>
      </c>
      <c r="C907" s="88"/>
      <c r="D907" s="105"/>
      <c r="E907">
        <v>205</v>
      </c>
      <c r="F907" t="s">
        <v>10971</v>
      </c>
      <c r="G907" t="s">
        <v>10970</v>
      </c>
      <c r="H907" t="s">
        <v>10887</v>
      </c>
      <c r="I907" t="s">
        <v>10969</v>
      </c>
      <c r="J907" t="s">
        <v>10971</v>
      </c>
      <c r="K907" t="s">
        <v>10970</v>
      </c>
    </row>
    <row r="908" spans="1:11" s="1" customFormat="1" x14ac:dyDescent="0.25">
      <c r="A908" t="s">
        <v>10972</v>
      </c>
      <c r="B908" t="s">
        <v>10973</v>
      </c>
      <c r="C908" s="88"/>
      <c r="D908" s="105"/>
      <c r="E908">
        <v>0</v>
      </c>
      <c r="F908" t="s">
        <v>10974</v>
      </c>
      <c r="G908" t="s">
        <v>10886</v>
      </c>
      <c r="H908" t="s">
        <v>10887</v>
      </c>
      <c r="I908" t="s">
        <v>10973</v>
      </c>
      <c r="J908" t="s">
        <v>10974</v>
      </c>
      <c r="K908" t="s">
        <v>12513</v>
      </c>
    </row>
    <row r="909" spans="1:11" s="1" customFormat="1" x14ac:dyDescent="0.25">
      <c r="A909" t="s">
        <v>10975</v>
      </c>
      <c r="B909" t="s">
        <v>10976</v>
      </c>
      <c r="C909" s="88"/>
      <c r="D909" s="105"/>
      <c r="E909">
        <v>3842</v>
      </c>
      <c r="F909" t="s">
        <v>10977</v>
      </c>
      <c r="G909" t="s">
        <v>10886</v>
      </c>
      <c r="H909" t="s">
        <v>10887</v>
      </c>
      <c r="I909" t="s">
        <v>10976</v>
      </c>
      <c r="J909" t="s">
        <v>10977</v>
      </c>
      <c r="K909" t="s">
        <v>12513</v>
      </c>
    </row>
    <row r="910" spans="1:11" s="1" customFormat="1" x14ac:dyDescent="0.25">
      <c r="A910" t="s">
        <v>10978</v>
      </c>
      <c r="B910" t="s">
        <v>10979</v>
      </c>
      <c r="C910" s="88"/>
      <c r="D910" s="105"/>
      <c r="E910">
        <v>100</v>
      </c>
      <c r="F910" t="s">
        <v>10981</v>
      </c>
      <c r="G910" t="s">
        <v>10980</v>
      </c>
      <c r="H910" t="s">
        <v>10887</v>
      </c>
      <c r="I910" t="s">
        <v>10979</v>
      </c>
      <c r="J910" t="s">
        <v>10981</v>
      </c>
      <c r="K910" t="s">
        <v>10951</v>
      </c>
    </row>
    <row r="911" spans="1:11" s="1" customFormat="1" x14ac:dyDescent="0.25">
      <c r="A911" t="s">
        <v>10982</v>
      </c>
      <c r="B911" t="s">
        <v>10983</v>
      </c>
      <c r="C911" s="88"/>
      <c r="D911" s="105"/>
      <c r="E911">
        <v>0</v>
      </c>
      <c r="F911" t="s">
        <v>10984</v>
      </c>
      <c r="G911" t="s">
        <v>10983</v>
      </c>
      <c r="H911" t="s">
        <v>10887</v>
      </c>
      <c r="I911" t="s">
        <v>10983</v>
      </c>
      <c r="J911" t="s">
        <v>10984</v>
      </c>
      <c r="K911" t="s">
        <v>10966</v>
      </c>
    </row>
    <row r="912" spans="1:11" s="1" customFormat="1" x14ac:dyDescent="0.25">
      <c r="A912" t="s">
        <v>10985</v>
      </c>
      <c r="B912" t="s">
        <v>10986</v>
      </c>
      <c r="C912" s="88"/>
      <c r="D912" s="105"/>
      <c r="E912">
        <v>115</v>
      </c>
      <c r="F912" t="s">
        <v>10987</v>
      </c>
      <c r="G912" t="s">
        <v>10986</v>
      </c>
      <c r="H912" t="s">
        <v>10887</v>
      </c>
      <c r="I912" t="s">
        <v>10986</v>
      </c>
      <c r="J912" t="s">
        <v>10987</v>
      </c>
      <c r="K912" t="s">
        <v>12561</v>
      </c>
    </row>
    <row r="913" spans="1:11" s="1" customFormat="1" x14ac:dyDescent="0.25">
      <c r="A913" t="s">
        <v>10988</v>
      </c>
      <c r="B913" t="s">
        <v>10989</v>
      </c>
      <c r="C913" s="88"/>
      <c r="D913" s="105"/>
      <c r="E913">
        <v>500</v>
      </c>
      <c r="F913" t="s">
        <v>10990</v>
      </c>
      <c r="G913" t="s">
        <v>10989</v>
      </c>
      <c r="H913" t="s">
        <v>10887</v>
      </c>
      <c r="I913" t="s">
        <v>10989</v>
      </c>
      <c r="J913" t="s">
        <v>10990</v>
      </c>
      <c r="K913" t="s">
        <v>10989</v>
      </c>
    </row>
    <row r="914" spans="1:11" s="1" customFormat="1" x14ac:dyDescent="0.25">
      <c r="A914" t="s">
        <v>10991</v>
      </c>
      <c r="B914" t="s">
        <v>10992</v>
      </c>
      <c r="C914" s="3"/>
      <c r="D914" s="105"/>
      <c r="E914">
        <v>691</v>
      </c>
      <c r="F914" t="s">
        <v>10993</v>
      </c>
      <c r="G914" t="s">
        <v>10992</v>
      </c>
      <c r="H914" t="s">
        <v>10887</v>
      </c>
      <c r="I914" t="s">
        <v>10992</v>
      </c>
      <c r="J914" t="s">
        <v>10993</v>
      </c>
      <c r="K914" t="s">
        <v>10992</v>
      </c>
    </row>
    <row r="915" spans="1:11" s="1" customFormat="1" x14ac:dyDescent="0.25">
      <c r="A915" t="s">
        <v>10994</v>
      </c>
      <c r="B915" t="s">
        <v>9150</v>
      </c>
      <c r="C915" s="3"/>
      <c r="D915" s="105"/>
      <c r="E915">
        <v>200</v>
      </c>
      <c r="F915" t="s">
        <v>10995</v>
      </c>
      <c r="G915" t="s">
        <v>9150</v>
      </c>
      <c r="H915" t="s">
        <v>10887</v>
      </c>
      <c r="I915" t="s">
        <v>9150</v>
      </c>
      <c r="J915" t="s">
        <v>10995</v>
      </c>
      <c r="K915" t="s">
        <v>10893</v>
      </c>
    </row>
    <row r="916" spans="1:11" s="1" customFormat="1" x14ac:dyDescent="0.25">
      <c r="A916" t="s">
        <v>10996</v>
      </c>
      <c r="B916" t="s">
        <v>8276</v>
      </c>
      <c r="C916" s="3"/>
      <c r="D916" s="105"/>
      <c r="E916">
        <v>561</v>
      </c>
      <c r="F916" t="s">
        <v>10997</v>
      </c>
      <c r="G916" t="s">
        <v>8276</v>
      </c>
      <c r="H916" t="s">
        <v>10887</v>
      </c>
      <c r="I916" t="s">
        <v>8276</v>
      </c>
      <c r="J916" t="s">
        <v>10997</v>
      </c>
      <c r="K916" t="s">
        <v>8276</v>
      </c>
    </row>
    <row r="917" spans="1:11" s="1" customFormat="1" x14ac:dyDescent="0.25">
      <c r="A917" t="s">
        <v>10998</v>
      </c>
      <c r="B917" t="s">
        <v>10999</v>
      </c>
      <c r="C917" s="3"/>
      <c r="D917" s="105"/>
      <c r="E917">
        <v>0</v>
      </c>
      <c r="F917" t="s">
        <v>11000</v>
      </c>
      <c r="G917" t="s">
        <v>10999</v>
      </c>
      <c r="H917" t="s">
        <v>10887</v>
      </c>
      <c r="I917" t="s">
        <v>10999</v>
      </c>
      <c r="J917" t="s">
        <v>11000</v>
      </c>
      <c r="K917" t="s">
        <v>10989</v>
      </c>
    </row>
    <row r="918" spans="1:11" s="1" customFormat="1" x14ac:dyDescent="0.25">
      <c r="A918" t="s">
        <v>11001</v>
      </c>
      <c r="B918" t="s">
        <v>8707</v>
      </c>
      <c r="C918" s="3"/>
      <c r="D918" s="105"/>
      <c r="E918">
        <v>297</v>
      </c>
      <c r="F918" t="s">
        <v>11002</v>
      </c>
      <c r="G918" t="s">
        <v>8707</v>
      </c>
      <c r="H918" t="s">
        <v>10887</v>
      </c>
      <c r="I918" t="s">
        <v>8707</v>
      </c>
      <c r="J918" t="s">
        <v>11002</v>
      </c>
      <c r="K918" t="s">
        <v>12583</v>
      </c>
    </row>
    <row r="919" spans="1:11" s="1" customFormat="1" x14ac:dyDescent="0.25">
      <c r="A919" t="s">
        <v>11003</v>
      </c>
      <c r="B919" t="s">
        <v>11004</v>
      </c>
      <c r="C919" s="3"/>
      <c r="D919" s="105"/>
      <c r="E919">
        <v>0</v>
      </c>
      <c r="F919" t="s">
        <v>11005</v>
      </c>
      <c r="G919" t="s">
        <v>11004</v>
      </c>
      <c r="H919" t="s">
        <v>10887</v>
      </c>
      <c r="I919" t="s">
        <v>11004</v>
      </c>
      <c r="J919" t="s">
        <v>11005</v>
      </c>
      <c r="K919" t="s">
        <v>12582</v>
      </c>
    </row>
    <row r="920" spans="1:11" s="1" customFormat="1" x14ac:dyDescent="0.25">
      <c r="A920" t="s">
        <v>11006</v>
      </c>
      <c r="B920" t="s">
        <v>11007</v>
      </c>
      <c r="C920" s="3"/>
      <c r="D920" s="105"/>
      <c r="E920">
        <v>0</v>
      </c>
      <c r="F920" t="s">
        <v>11008</v>
      </c>
      <c r="G920" t="s">
        <v>11007</v>
      </c>
      <c r="H920" t="s">
        <v>10887</v>
      </c>
      <c r="I920" t="s">
        <v>11007</v>
      </c>
      <c r="J920" t="s">
        <v>11008</v>
      </c>
      <c r="K920" t="s">
        <v>10914</v>
      </c>
    </row>
    <row r="921" spans="1:11" s="1" customFormat="1" x14ac:dyDescent="0.25">
      <c r="A921" t="s">
        <v>10372</v>
      </c>
      <c r="B921" t="s">
        <v>10373</v>
      </c>
      <c r="C921" s="3"/>
      <c r="D921" s="105"/>
      <c r="E921">
        <v>1401</v>
      </c>
      <c r="F921" t="s">
        <v>10374</v>
      </c>
      <c r="G921" t="s">
        <v>10373</v>
      </c>
      <c r="H921" t="s">
        <v>8200</v>
      </c>
      <c r="I921" t="s">
        <v>10373</v>
      </c>
      <c r="J921" t="s">
        <v>10374</v>
      </c>
      <c r="K921" t="s">
        <v>12584</v>
      </c>
    </row>
    <row r="922" spans="1:11" s="1" customFormat="1" x14ac:dyDescent="0.25">
      <c r="A922" t="s">
        <v>10375</v>
      </c>
      <c r="B922" t="s">
        <v>10376</v>
      </c>
      <c r="C922" s="3"/>
      <c r="D922" s="105"/>
      <c r="E922">
        <v>100</v>
      </c>
      <c r="F922" t="s">
        <v>10377</v>
      </c>
      <c r="G922" t="s">
        <v>10376</v>
      </c>
      <c r="H922" t="s">
        <v>8200</v>
      </c>
      <c r="I922" t="s">
        <v>10376</v>
      </c>
      <c r="J922" t="s">
        <v>10377</v>
      </c>
      <c r="K922" t="s">
        <v>10415</v>
      </c>
    </row>
    <row r="923" spans="1:11" s="1" customFormat="1" x14ac:dyDescent="0.25">
      <c r="A923" t="s">
        <v>10378</v>
      </c>
      <c r="B923" t="s">
        <v>10379</v>
      </c>
      <c r="C923" s="3"/>
      <c r="D923" s="105"/>
      <c r="E923">
        <v>0</v>
      </c>
      <c r="F923" t="s">
        <v>10380</v>
      </c>
      <c r="G923" t="s">
        <v>10379</v>
      </c>
      <c r="H923" t="s">
        <v>8200</v>
      </c>
      <c r="I923" t="s">
        <v>10379</v>
      </c>
      <c r="J923" t="s">
        <v>10380</v>
      </c>
      <c r="K923" t="s">
        <v>12585</v>
      </c>
    </row>
    <row r="924" spans="1:11" s="1" customFormat="1" x14ac:dyDescent="0.25">
      <c r="A924" t="s">
        <v>10381</v>
      </c>
      <c r="B924" t="s">
        <v>10382</v>
      </c>
      <c r="C924" s="3"/>
      <c r="D924" s="105"/>
      <c r="E924">
        <v>0</v>
      </c>
      <c r="F924" t="s">
        <v>10383</v>
      </c>
      <c r="G924" t="s">
        <v>10382</v>
      </c>
      <c r="H924" t="s">
        <v>8200</v>
      </c>
      <c r="I924" t="s">
        <v>10382</v>
      </c>
      <c r="J924" t="s">
        <v>10383</v>
      </c>
      <c r="K924" t="s">
        <v>13236</v>
      </c>
    </row>
    <row r="925" spans="1:11" s="1" customFormat="1" x14ac:dyDescent="0.25">
      <c r="A925" t="s">
        <v>10384</v>
      </c>
      <c r="B925" t="s">
        <v>8200</v>
      </c>
      <c r="C925" s="3"/>
      <c r="D925" s="105"/>
      <c r="E925">
        <v>920</v>
      </c>
      <c r="F925" t="s">
        <v>10386</v>
      </c>
      <c r="G925" t="s">
        <v>8200</v>
      </c>
      <c r="H925" t="s">
        <v>8200</v>
      </c>
      <c r="I925" t="s">
        <v>8200</v>
      </c>
      <c r="J925" t="s">
        <v>10386</v>
      </c>
      <c r="K925" t="s">
        <v>8200</v>
      </c>
    </row>
    <row r="926" spans="1:11" s="1" customFormat="1" x14ac:dyDescent="0.25">
      <c r="A926" t="s">
        <v>10387</v>
      </c>
      <c r="B926" t="s">
        <v>10388</v>
      </c>
      <c r="C926" s="3"/>
      <c r="D926" s="105"/>
      <c r="E926">
        <v>0</v>
      </c>
      <c r="F926" t="s">
        <v>10390</v>
      </c>
      <c r="G926" t="s">
        <v>10389</v>
      </c>
      <c r="H926" t="s">
        <v>8200</v>
      </c>
      <c r="I926" t="s">
        <v>10388</v>
      </c>
      <c r="J926" t="s">
        <v>10390</v>
      </c>
      <c r="K926" t="s">
        <v>13236</v>
      </c>
    </row>
    <row r="927" spans="1:11" s="1" customFormat="1" x14ac:dyDescent="0.25">
      <c r="A927" t="s">
        <v>10391</v>
      </c>
      <c r="B927" t="s">
        <v>10392</v>
      </c>
      <c r="C927" s="3"/>
      <c r="D927" s="105"/>
      <c r="E927">
        <v>0</v>
      </c>
      <c r="F927" t="s">
        <v>10393</v>
      </c>
      <c r="G927" t="s">
        <v>10392</v>
      </c>
      <c r="H927" t="s">
        <v>8200</v>
      </c>
      <c r="I927" t="s">
        <v>10392</v>
      </c>
      <c r="J927" t="s">
        <v>10393</v>
      </c>
      <c r="K927" t="s">
        <v>12586</v>
      </c>
    </row>
    <row r="928" spans="1:11" s="1" customFormat="1" x14ac:dyDescent="0.25">
      <c r="A928" t="s">
        <v>10394</v>
      </c>
      <c r="B928" t="s">
        <v>10395</v>
      </c>
      <c r="C928" s="3"/>
      <c r="D928" s="105"/>
      <c r="E928">
        <v>795</v>
      </c>
      <c r="F928" t="s">
        <v>10396</v>
      </c>
      <c r="G928" t="s">
        <v>10395</v>
      </c>
      <c r="H928" t="s">
        <v>8200</v>
      </c>
      <c r="I928" t="s">
        <v>10395</v>
      </c>
      <c r="J928" t="s">
        <v>10396</v>
      </c>
      <c r="K928" t="s">
        <v>13236</v>
      </c>
    </row>
    <row r="929" spans="1:11" s="1" customFormat="1" x14ac:dyDescent="0.25">
      <c r="A929" t="s">
        <v>10397</v>
      </c>
      <c r="B929" t="s">
        <v>10398</v>
      </c>
      <c r="C929" s="3"/>
      <c r="D929" s="105"/>
      <c r="E929">
        <v>0</v>
      </c>
      <c r="F929" t="s">
        <v>10400</v>
      </c>
      <c r="G929" t="s">
        <v>10399</v>
      </c>
      <c r="H929" t="s">
        <v>8200</v>
      </c>
      <c r="I929" t="s">
        <v>10398</v>
      </c>
      <c r="J929" t="s">
        <v>10400</v>
      </c>
      <c r="K929" t="s">
        <v>12587</v>
      </c>
    </row>
    <row r="930" spans="1:11" s="1" customFormat="1" x14ac:dyDescent="0.25">
      <c r="A930" t="s">
        <v>10401</v>
      </c>
      <c r="B930" t="s">
        <v>9191</v>
      </c>
      <c r="C930" s="3"/>
      <c r="D930" s="105"/>
      <c r="E930">
        <v>0</v>
      </c>
      <c r="F930" t="s">
        <v>10402</v>
      </c>
      <c r="G930" t="s">
        <v>9191</v>
      </c>
      <c r="H930" t="s">
        <v>8200</v>
      </c>
      <c r="I930" t="s">
        <v>9191</v>
      </c>
      <c r="J930" t="s">
        <v>10402</v>
      </c>
      <c r="K930" t="s">
        <v>12584</v>
      </c>
    </row>
    <row r="931" spans="1:11" s="1" customFormat="1" x14ac:dyDescent="0.25">
      <c r="A931" t="s">
        <v>10403</v>
      </c>
      <c r="B931" t="s">
        <v>10404</v>
      </c>
      <c r="C931" s="3"/>
      <c r="D931" s="105"/>
      <c r="E931">
        <v>118</v>
      </c>
      <c r="F931" t="s">
        <v>10405</v>
      </c>
      <c r="G931" t="s">
        <v>10404</v>
      </c>
      <c r="H931" t="s">
        <v>8200</v>
      </c>
      <c r="I931" t="s">
        <v>10404</v>
      </c>
      <c r="J931" t="s">
        <v>10405</v>
      </c>
      <c r="K931" t="s">
        <v>13236</v>
      </c>
    </row>
    <row r="932" spans="1:11" s="1" customFormat="1" x14ac:dyDescent="0.25">
      <c r="A932" t="s">
        <v>10406</v>
      </c>
      <c r="B932" t="s">
        <v>13203</v>
      </c>
      <c r="C932" s="3"/>
      <c r="D932" s="105"/>
      <c r="E932"/>
      <c r="F932" t="s">
        <v>10407</v>
      </c>
      <c r="G932" t="s">
        <v>13231</v>
      </c>
      <c r="H932" t="s">
        <v>8200</v>
      </c>
      <c r="I932" t="s">
        <v>13203</v>
      </c>
      <c r="J932" t="s">
        <v>10407</v>
      </c>
      <c r="K932" t="s">
        <v>10415</v>
      </c>
    </row>
    <row r="933" spans="1:11" s="1" customFormat="1" x14ac:dyDescent="0.25">
      <c r="A933" t="s">
        <v>10408</v>
      </c>
      <c r="B933" t="s">
        <v>10409</v>
      </c>
      <c r="C933" s="3"/>
      <c r="D933" s="105"/>
      <c r="E933">
        <v>100</v>
      </c>
      <c r="F933" t="s">
        <v>10410</v>
      </c>
      <c r="G933" t="s">
        <v>10409</v>
      </c>
      <c r="H933" t="s">
        <v>8200</v>
      </c>
      <c r="I933" t="s">
        <v>10409</v>
      </c>
      <c r="J933" t="s">
        <v>10410</v>
      </c>
      <c r="K933" t="s">
        <v>12586</v>
      </c>
    </row>
    <row r="934" spans="1:11" s="1" customFormat="1" x14ac:dyDescent="0.25">
      <c r="A934" t="s">
        <v>10411</v>
      </c>
      <c r="B934" t="s">
        <v>10412</v>
      </c>
      <c r="C934" s="88"/>
      <c r="D934" s="105"/>
      <c r="E934">
        <v>0</v>
      </c>
      <c r="F934" t="s">
        <v>10413</v>
      </c>
      <c r="G934" t="s">
        <v>10412</v>
      </c>
      <c r="H934" t="s">
        <v>8200</v>
      </c>
      <c r="I934" t="s">
        <v>10412</v>
      </c>
      <c r="J934" t="s">
        <v>10413</v>
      </c>
      <c r="K934" t="s">
        <v>10415</v>
      </c>
    </row>
    <row r="935" spans="1:11" s="1" customFormat="1" x14ac:dyDescent="0.25">
      <c r="A935" t="s">
        <v>10414</v>
      </c>
      <c r="B935" t="s">
        <v>10415</v>
      </c>
      <c r="C935" s="88"/>
      <c r="D935" s="105"/>
      <c r="E935">
        <v>245</v>
      </c>
      <c r="F935" t="s">
        <v>10416</v>
      </c>
      <c r="G935" t="s">
        <v>10415</v>
      </c>
      <c r="H935" t="s">
        <v>8200</v>
      </c>
      <c r="I935" t="s">
        <v>10415</v>
      </c>
      <c r="J935" t="s">
        <v>10416</v>
      </c>
      <c r="K935" t="s">
        <v>10415</v>
      </c>
    </row>
    <row r="936" spans="1:11" s="1" customFormat="1" x14ac:dyDescent="0.25">
      <c r="A936" t="s">
        <v>10417</v>
      </c>
      <c r="B936" t="s">
        <v>10418</v>
      </c>
      <c r="C936" s="88"/>
      <c r="D936" s="105"/>
      <c r="E936">
        <v>143</v>
      </c>
      <c r="F936" t="s">
        <v>10419</v>
      </c>
      <c r="G936" t="s">
        <v>10418</v>
      </c>
      <c r="H936" t="s">
        <v>8200</v>
      </c>
      <c r="I936" t="s">
        <v>10418</v>
      </c>
      <c r="J936" t="s">
        <v>10419</v>
      </c>
      <c r="K936" t="s">
        <v>13236</v>
      </c>
    </row>
    <row r="937" spans="1:11" s="1" customFormat="1" x14ac:dyDescent="0.25">
      <c r="A937" t="s">
        <v>10420</v>
      </c>
      <c r="B937" t="s">
        <v>10421</v>
      </c>
      <c r="C937" s="88"/>
      <c r="D937" s="105"/>
      <c r="E937">
        <v>0</v>
      </c>
      <c r="F937" t="s">
        <v>10423</v>
      </c>
      <c r="G937" t="s">
        <v>10422</v>
      </c>
      <c r="H937" t="s">
        <v>8200</v>
      </c>
      <c r="I937" t="s">
        <v>10421</v>
      </c>
      <c r="J937" t="s">
        <v>10423</v>
      </c>
      <c r="K937" t="s">
        <v>12584</v>
      </c>
    </row>
    <row r="938" spans="1:11" s="1" customFormat="1" x14ac:dyDescent="0.25">
      <c r="A938" t="s">
        <v>10424</v>
      </c>
      <c r="B938" t="s">
        <v>10425</v>
      </c>
      <c r="C938" s="88"/>
      <c r="D938" s="105"/>
      <c r="E938">
        <v>195</v>
      </c>
      <c r="F938" t="s">
        <v>10427</v>
      </c>
      <c r="G938" t="s">
        <v>10426</v>
      </c>
      <c r="H938" t="s">
        <v>8200</v>
      </c>
      <c r="I938" t="s">
        <v>10425</v>
      </c>
      <c r="J938" t="s">
        <v>10427</v>
      </c>
      <c r="K938" t="s">
        <v>12586</v>
      </c>
    </row>
    <row r="939" spans="1:11" s="1" customFormat="1" x14ac:dyDescent="0.25">
      <c r="A939" t="s">
        <v>10428</v>
      </c>
      <c r="B939" t="s">
        <v>10429</v>
      </c>
      <c r="C939" s="88"/>
      <c r="D939" s="105"/>
      <c r="E939">
        <v>0</v>
      </c>
      <c r="F939" t="s">
        <v>10431</v>
      </c>
      <c r="G939" t="s">
        <v>10430</v>
      </c>
      <c r="H939" t="s">
        <v>8200</v>
      </c>
      <c r="I939" t="s">
        <v>10429</v>
      </c>
      <c r="J939" t="s">
        <v>10431</v>
      </c>
      <c r="K939" t="s">
        <v>13236</v>
      </c>
    </row>
    <row r="940" spans="1:11" s="1" customFormat="1" x14ac:dyDescent="0.25">
      <c r="A940" t="s">
        <v>10432</v>
      </c>
      <c r="B940" t="s">
        <v>10433</v>
      </c>
      <c r="C940" s="88"/>
      <c r="D940" s="105"/>
      <c r="E940">
        <v>0</v>
      </c>
      <c r="F940" t="s">
        <v>10434</v>
      </c>
      <c r="G940" t="s">
        <v>10433</v>
      </c>
      <c r="H940" t="s">
        <v>8200</v>
      </c>
      <c r="I940" t="s">
        <v>10433</v>
      </c>
      <c r="J940" t="s">
        <v>10434</v>
      </c>
      <c r="K940" t="s">
        <v>12585</v>
      </c>
    </row>
    <row r="941" spans="1:11" s="1" customFormat="1" x14ac:dyDescent="0.25">
      <c r="A941" t="s">
        <v>10435</v>
      </c>
      <c r="B941" t="s">
        <v>10436</v>
      </c>
      <c r="C941" s="88"/>
      <c r="D941" s="105"/>
      <c r="E941"/>
      <c r="F941" t="s">
        <v>10437</v>
      </c>
      <c r="G941" t="s">
        <v>10436</v>
      </c>
      <c r="H941" t="s">
        <v>8200</v>
      </c>
      <c r="I941" t="s">
        <v>10436</v>
      </c>
      <c r="J941" t="s">
        <v>10437</v>
      </c>
      <c r="K941" t="s">
        <v>8200</v>
      </c>
    </row>
    <row r="942" spans="1:11" s="1" customFormat="1" x14ac:dyDescent="0.25">
      <c r="A942" t="s">
        <v>10438</v>
      </c>
      <c r="B942" t="s">
        <v>10439</v>
      </c>
      <c r="C942" s="88"/>
      <c r="D942" s="105"/>
      <c r="E942"/>
      <c r="F942" t="s">
        <v>10441</v>
      </c>
      <c r="G942" t="s">
        <v>10440</v>
      </c>
      <c r="H942" t="s">
        <v>8200</v>
      </c>
      <c r="I942" t="s">
        <v>10439</v>
      </c>
      <c r="J942" t="s">
        <v>10441</v>
      </c>
      <c r="K942" t="s">
        <v>12586</v>
      </c>
    </row>
    <row r="943" spans="1:11" s="1" customFormat="1" x14ac:dyDescent="0.25">
      <c r="A943" t="s">
        <v>10442</v>
      </c>
      <c r="B943" t="s">
        <v>10443</v>
      </c>
      <c r="C943" s="88"/>
      <c r="D943" s="105"/>
      <c r="E943"/>
      <c r="F943" t="s">
        <v>10444</v>
      </c>
      <c r="G943" t="s">
        <v>10443</v>
      </c>
      <c r="H943" t="s">
        <v>8200</v>
      </c>
      <c r="I943" t="s">
        <v>10443</v>
      </c>
      <c r="J943" t="s">
        <v>10444</v>
      </c>
      <c r="K943" t="s">
        <v>8200</v>
      </c>
    </row>
    <row r="944" spans="1:11" s="1" customFormat="1" x14ac:dyDescent="0.25">
      <c r="A944" t="s">
        <v>10445</v>
      </c>
      <c r="B944" t="s">
        <v>10446</v>
      </c>
      <c r="C944" s="88"/>
      <c r="D944" s="105"/>
      <c r="E944">
        <v>0</v>
      </c>
      <c r="F944" t="s">
        <v>10447</v>
      </c>
      <c r="G944" t="s">
        <v>10446</v>
      </c>
      <c r="H944" t="s">
        <v>8200</v>
      </c>
      <c r="I944" t="s">
        <v>10446</v>
      </c>
      <c r="J944" t="s">
        <v>10447</v>
      </c>
      <c r="K944" t="s">
        <v>12585</v>
      </c>
    </row>
    <row r="945" spans="1:11" s="1" customFormat="1" x14ac:dyDescent="0.25">
      <c r="A945" t="s">
        <v>10448</v>
      </c>
      <c r="B945" t="s">
        <v>13244</v>
      </c>
      <c r="C945" s="88"/>
      <c r="D945" s="105"/>
      <c r="E945">
        <v>0</v>
      </c>
      <c r="F945" t="s">
        <v>10449</v>
      </c>
      <c r="G945" t="s">
        <v>10373</v>
      </c>
      <c r="H945" t="s">
        <v>8200</v>
      </c>
      <c r="I945" t="s">
        <v>13244</v>
      </c>
      <c r="J945" t="s">
        <v>10449</v>
      </c>
      <c r="K945" t="s">
        <v>12584</v>
      </c>
    </row>
    <row r="946" spans="1:11" s="1" customFormat="1" x14ac:dyDescent="0.25">
      <c r="A946" t="s">
        <v>10450</v>
      </c>
      <c r="B946" t="s">
        <v>10451</v>
      </c>
      <c r="C946" s="88"/>
      <c r="D946" s="105"/>
      <c r="E946">
        <v>0</v>
      </c>
      <c r="F946" t="s">
        <v>10452</v>
      </c>
      <c r="G946" t="s">
        <v>10451</v>
      </c>
      <c r="H946" t="s">
        <v>8200</v>
      </c>
      <c r="I946" t="s">
        <v>10451</v>
      </c>
      <c r="J946" t="s">
        <v>10452</v>
      </c>
      <c r="K946" t="s">
        <v>10415</v>
      </c>
    </row>
    <row r="947" spans="1:11" s="1" customFormat="1" x14ac:dyDescent="0.25">
      <c r="A947" t="s">
        <v>10453</v>
      </c>
      <c r="B947" t="s">
        <v>10454</v>
      </c>
      <c r="C947" s="88"/>
      <c r="D947" s="105"/>
      <c r="E947">
        <v>0</v>
      </c>
      <c r="F947" t="s">
        <v>10456</v>
      </c>
      <c r="G947" t="s">
        <v>10455</v>
      </c>
      <c r="H947" t="s">
        <v>8200</v>
      </c>
      <c r="I947" t="s">
        <v>10454</v>
      </c>
      <c r="J947" t="s">
        <v>10456</v>
      </c>
      <c r="K947" t="s">
        <v>13236</v>
      </c>
    </row>
    <row r="948" spans="1:11" s="1" customFormat="1" x14ac:dyDescent="0.25">
      <c r="A948" t="s">
        <v>11009</v>
      </c>
      <c r="B948" t="s">
        <v>11010</v>
      </c>
      <c r="C948" s="88"/>
      <c r="D948" s="105"/>
      <c r="E948">
        <v>101</v>
      </c>
      <c r="F948" t="s">
        <v>11011</v>
      </c>
      <c r="G948" t="s">
        <v>11010</v>
      </c>
      <c r="H948" t="s">
        <v>11010</v>
      </c>
      <c r="I948" t="s">
        <v>11010</v>
      </c>
      <c r="J948" t="s">
        <v>11011</v>
      </c>
      <c r="K948" t="s">
        <v>12588</v>
      </c>
    </row>
    <row r="949" spans="1:11" s="1" customFormat="1" x14ac:dyDescent="0.25">
      <c r="A949" t="s">
        <v>11012</v>
      </c>
      <c r="B949" t="s">
        <v>11013</v>
      </c>
      <c r="C949" s="88"/>
      <c r="D949" s="105"/>
      <c r="E949">
        <v>560</v>
      </c>
      <c r="F949" t="s">
        <v>11014</v>
      </c>
      <c r="G949" t="s">
        <v>11013</v>
      </c>
      <c r="H949" t="s">
        <v>11010</v>
      </c>
      <c r="I949" t="s">
        <v>11013</v>
      </c>
      <c r="J949" t="s">
        <v>11014</v>
      </c>
      <c r="K949" t="s">
        <v>11013</v>
      </c>
    </row>
    <row r="950" spans="1:11" s="1" customFormat="1" x14ac:dyDescent="0.25">
      <c r="A950" t="s">
        <v>11015</v>
      </c>
      <c r="B950" t="s">
        <v>11016</v>
      </c>
      <c r="C950" s="88"/>
      <c r="D950" s="105"/>
      <c r="E950">
        <v>202</v>
      </c>
      <c r="F950" t="s">
        <v>11017</v>
      </c>
      <c r="G950" t="s">
        <v>11016</v>
      </c>
      <c r="H950" t="s">
        <v>11010</v>
      </c>
      <c r="I950" t="s">
        <v>11016</v>
      </c>
      <c r="J950" t="s">
        <v>11017</v>
      </c>
      <c r="K950" t="s">
        <v>12589</v>
      </c>
    </row>
    <row r="951" spans="1:11" s="1" customFormat="1" x14ac:dyDescent="0.25">
      <c r="A951" t="s">
        <v>11018</v>
      </c>
      <c r="B951" t="s">
        <v>11019</v>
      </c>
      <c r="C951" s="88"/>
      <c r="D951" s="105"/>
      <c r="E951">
        <v>370</v>
      </c>
      <c r="F951" t="s">
        <v>11020</v>
      </c>
      <c r="G951" t="s">
        <v>11019</v>
      </c>
      <c r="H951" t="s">
        <v>11010</v>
      </c>
      <c r="I951" t="s">
        <v>11019</v>
      </c>
      <c r="J951" t="s">
        <v>11020</v>
      </c>
      <c r="K951" t="s">
        <v>12588</v>
      </c>
    </row>
    <row r="952" spans="1:11" s="1" customFormat="1" x14ac:dyDescent="0.25">
      <c r="A952" t="s">
        <v>11021</v>
      </c>
      <c r="B952" t="s">
        <v>11022</v>
      </c>
      <c r="C952" s="88"/>
      <c r="D952" s="105"/>
      <c r="E952">
        <v>518</v>
      </c>
      <c r="F952" t="s">
        <v>11023</v>
      </c>
      <c r="G952" t="s">
        <v>11022</v>
      </c>
      <c r="H952" t="s">
        <v>11010</v>
      </c>
      <c r="I952" t="s">
        <v>11022</v>
      </c>
      <c r="J952" t="s">
        <v>11023</v>
      </c>
      <c r="K952" t="s">
        <v>11022</v>
      </c>
    </row>
    <row r="953" spans="1:11" s="1" customFormat="1" x14ac:dyDescent="0.25">
      <c r="A953" t="s">
        <v>11024</v>
      </c>
      <c r="B953" t="s">
        <v>11025</v>
      </c>
      <c r="C953" s="88"/>
      <c r="D953" s="105"/>
      <c r="E953">
        <v>0</v>
      </c>
      <c r="F953" t="s">
        <v>11026</v>
      </c>
      <c r="G953" t="s">
        <v>11025</v>
      </c>
      <c r="H953" t="s">
        <v>11010</v>
      </c>
      <c r="I953" t="s">
        <v>11025</v>
      </c>
      <c r="J953" t="s">
        <v>11026</v>
      </c>
      <c r="K953" t="s">
        <v>11060</v>
      </c>
    </row>
    <row r="954" spans="1:11" s="1" customFormat="1" x14ac:dyDescent="0.25">
      <c r="A954" t="s">
        <v>11027</v>
      </c>
      <c r="B954" t="s">
        <v>11028</v>
      </c>
      <c r="C954" s="88"/>
      <c r="D954" s="105"/>
      <c r="E954">
        <v>660</v>
      </c>
      <c r="F954" t="s">
        <v>11029</v>
      </c>
      <c r="G954" t="s">
        <v>11028</v>
      </c>
      <c r="H954" t="s">
        <v>11010</v>
      </c>
      <c r="I954" t="s">
        <v>11028</v>
      </c>
      <c r="J954" t="s">
        <v>11029</v>
      </c>
      <c r="K954" t="s">
        <v>12588</v>
      </c>
    </row>
    <row r="955" spans="1:11" s="1" customFormat="1" x14ac:dyDescent="0.25">
      <c r="A955" t="s">
        <v>11030</v>
      </c>
      <c r="B955" t="s">
        <v>11031</v>
      </c>
      <c r="C955" s="88"/>
      <c r="D955" s="105"/>
      <c r="E955">
        <v>0</v>
      </c>
      <c r="F955" t="s">
        <v>11032</v>
      </c>
      <c r="G955" t="s">
        <v>11031</v>
      </c>
      <c r="H955" t="s">
        <v>11010</v>
      </c>
      <c r="I955" t="s">
        <v>11031</v>
      </c>
      <c r="J955" t="s">
        <v>11032</v>
      </c>
      <c r="K955" t="s">
        <v>13237</v>
      </c>
    </row>
    <row r="956" spans="1:11" s="1" customFormat="1" x14ac:dyDescent="0.25">
      <c r="A956" t="s">
        <v>11033</v>
      </c>
      <c r="B956" t="s">
        <v>11034</v>
      </c>
      <c r="C956" s="88"/>
      <c r="D956" s="105"/>
      <c r="E956">
        <v>305</v>
      </c>
      <c r="F956" t="s">
        <v>11035</v>
      </c>
      <c r="G956" t="s">
        <v>11034</v>
      </c>
      <c r="H956" t="s">
        <v>11010</v>
      </c>
      <c r="I956" t="s">
        <v>11034</v>
      </c>
      <c r="J956" t="s">
        <v>11035</v>
      </c>
      <c r="K956" t="s">
        <v>12590</v>
      </c>
    </row>
    <row r="957" spans="1:11" s="1" customFormat="1" x14ac:dyDescent="0.25">
      <c r="A957" t="s">
        <v>11036</v>
      </c>
      <c r="B957" t="s">
        <v>11037</v>
      </c>
      <c r="C957" s="88"/>
      <c r="D957" s="105"/>
      <c r="E957">
        <v>0</v>
      </c>
      <c r="F957" t="s">
        <v>11038</v>
      </c>
      <c r="G957" t="s">
        <v>11037</v>
      </c>
      <c r="H957" t="s">
        <v>11010</v>
      </c>
      <c r="I957" t="s">
        <v>11037</v>
      </c>
      <c r="J957" t="s">
        <v>11038</v>
      </c>
      <c r="K957" t="s">
        <v>11037</v>
      </c>
    </row>
    <row r="958" spans="1:11" s="1" customFormat="1" x14ac:dyDescent="0.25">
      <c r="A958" t="s">
        <v>11039</v>
      </c>
      <c r="B958" t="s">
        <v>11040</v>
      </c>
      <c r="C958" s="88"/>
      <c r="D958" s="105"/>
      <c r="E958">
        <v>168</v>
      </c>
      <c r="F958" t="s">
        <v>11041</v>
      </c>
      <c r="G958" t="s">
        <v>11040</v>
      </c>
      <c r="H958" t="s">
        <v>11010</v>
      </c>
      <c r="I958" t="s">
        <v>11040</v>
      </c>
      <c r="J958" t="s">
        <v>11041</v>
      </c>
      <c r="K958" t="s">
        <v>12591</v>
      </c>
    </row>
    <row r="959" spans="1:11" s="1" customFormat="1" x14ac:dyDescent="0.25">
      <c r="A959" t="s">
        <v>11042</v>
      </c>
      <c r="B959" t="s">
        <v>11043</v>
      </c>
      <c r="C959" s="88"/>
      <c r="D959" s="105"/>
      <c r="E959">
        <v>0</v>
      </c>
      <c r="F959" t="s">
        <v>11044</v>
      </c>
      <c r="G959" t="s">
        <v>11043</v>
      </c>
      <c r="H959" t="s">
        <v>11010</v>
      </c>
      <c r="I959" t="s">
        <v>11043</v>
      </c>
      <c r="J959" t="s">
        <v>11044</v>
      </c>
      <c r="K959" t="s">
        <v>11043</v>
      </c>
    </row>
    <row r="960" spans="1:11" s="1" customFormat="1" x14ac:dyDescent="0.25">
      <c r="A960" t="s">
        <v>11045</v>
      </c>
      <c r="B960" t="s">
        <v>11046</v>
      </c>
      <c r="C960" s="88"/>
      <c r="D960" s="105"/>
      <c r="E960">
        <v>497</v>
      </c>
      <c r="F960" t="s">
        <v>11047</v>
      </c>
      <c r="G960" t="s">
        <v>11046</v>
      </c>
      <c r="H960" t="s">
        <v>11010</v>
      </c>
      <c r="I960" t="s">
        <v>11046</v>
      </c>
      <c r="J960" t="s">
        <v>11047</v>
      </c>
      <c r="K960" t="s">
        <v>12588</v>
      </c>
    </row>
    <row r="961" spans="1:11" s="1" customFormat="1" x14ac:dyDescent="0.25">
      <c r="A961" t="s">
        <v>11048</v>
      </c>
      <c r="B961" t="s">
        <v>13204</v>
      </c>
      <c r="C961" s="88"/>
      <c r="D961" s="105"/>
      <c r="E961">
        <v>0</v>
      </c>
      <c r="F961" t="s">
        <v>11049</v>
      </c>
      <c r="G961" t="s">
        <v>13204</v>
      </c>
      <c r="H961" t="s">
        <v>11010</v>
      </c>
      <c r="I961" t="s">
        <v>13204</v>
      </c>
      <c r="J961" t="s">
        <v>11049</v>
      </c>
      <c r="K961" t="s">
        <v>13204</v>
      </c>
    </row>
    <row r="962" spans="1:11" s="1" customFormat="1" x14ac:dyDescent="0.25">
      <c r="A962" t="s">
        <v>11050</v>
      </c>
      <c r="B962" t="s">
        <v>11051</v>
      </c>
      <c r="C962" s="88"/>
      <c r="D962" s="105"/>
      <c r="E962">
        <v>160</v>
      </c>
      <c r="F962" t="s">
        <v>11052</v>
      </c>
      <c r="G962" t="s">
        <v>11051</v>
      </c>
      <c r="H962" t="s">
        <v>11010</v>
      </c>
      <c r="I962" t="s">
        <v>11051</v>
      </c>
      <c r="J962" t="s">
        <v>11052</v>
      </c>
      <c r="K962" t="s">
        <v>12588</v>
      </c>
    </row>
    <row r="963" spans="1:11" s="1" customFormat="1" x14ac:dyDescent="0.25">
      <c r="A963" t="s">
        <v>11053</v>
      </c>
      <c r="B963" t="s">
        <v>11054</v>
      </c>
      <c r="C963" s="88"/>
      <c r="D963" s="105"/>
      <c r="E963">
        <v>115</v>
      </c>
      <c r="F963" t="s">
        <v>11055</v>
      </c>
      <c r="G963" t="s">
        <v>11054</v>
      </c>
      <c r="H963" t="s">
        <v>11010</v>
      </c>
      <c r="I963" t="s">
        <v>11054</v>
      </c>
      <c r="J963" t="s">
        <v>11055</v>
      </c>
      <c r="K963" t="s">
        <v>12588</v>
      </c>
    </row>
    <row r="964" spans="1:11" s="1" customFormat="1" x14ac:dyDescent="0.25">
      <c r="A964" t="s">
        <v>11056</v>
      </c>
      <c r="B964" t="s">
        <v>11057</v>
      </c>
      <c r="C964" s="88"/>
      <c r="D964" s="105"/>
      <c r="E964">
        <v>0</v>
      </c>
      <c r="F964" t="s">
        <v>11058</v>
      </c>
      <c r="G964" t="s">
        <v>11057</v>
      </c>
      <c r="H964" t="s">
        <v>11010</v>
      </c>
      <c r="I964" t="s">
        <v>11057</v>
      </c>
      <c r="J964" t="s">
        <v>11058</v>
      </c>
      <c r="K964" t="s">
        <v>12588</v>
      </c>
    </row>
    <row r="965" spans="1:11" s="1" customFormat="1" x14ac:dyDescent="0.25">
      <c r="A965" t="s">
        <v>11059</v>
      </c>
      <c r="B965" t="s">
        <v>11060</v>
      </c>
      <c r="C965" s="88"/>
      <c r="D965" s="105"/>
      <c r="E965">
        <v>324</v>
      </c>
      <c r="F965" t="s">
        <v>11061</v>
      </c>
      <c r="G965" t="s">
        <v>11060</v>
      </c>
      <c r="H965" t="s">
        <v>11010</v>
      </c>
      <c r="I965" t="s">
        <v>11060</v>
      </c>
      <c r="J965" t="s">
        <v>11061</v>
      </c>
      <c r="K965" t="s">
        <v>11060</v>
      </c>
    </row>
    <row r="966" spans="1:11" s="1" customFormat="1" x14ac:dyDescent="0.25">
      <c r="A966" t="s">
        <v>11062</v>
      </c>
      <c r="B966" t="s">
        <v>11063</v>
      </c>
      <c r="C966" s="88"/>
      <c r="D966" s="105"/>
      <c r="E966">
        <v>602</v>
      </c>
      <c r="F966" t="s">
        <v>11064</v>
      </c>
      <c r="G966" t="s">
        <v>11063</v>
      </c>
      <c r="H966" t="s">
        <v>11010</v>
      </c>
      <c r="I966" t="s">
        <v>11063</v>
      </c>
      <c r="J966" t="s">
        <v>11064</v>
      </c>
      <c r="K966" t="s">
        <v>12592</v>
      </c>
    </row>
    <row r="967" spans="1:11" s="1" customFormat="1" x14ac:dyDescent="0.25">
      <c r="A967" t="s">
        <v>11065</v>
      </c>
      <c r="B967" t="s">
        <v>11066</v>
      </c>
      <c r="C967" s="88"/>
      <c r="D967" s="105"/>
      <c r="E967">
        <v>690</v>
      </c>
      <c r="F967" t="s">
        <v>11067</v>
      </c>
      <c r="G967" t="s">
        <v>11066</v>
      </c>
      <c r="H967" t="s">
        <v>11010</v>
      </c>
      <c r="I967" t="s">
        <v>11066</v>
      </c>
      <c r="J967" t="s">
        <v>11067</v>
      </c>
      <c r="K967" t="s">
        <v>12593</v>
      </c>
    </row>
    <row r="968" spans="1:11" s="1" customFormat="1" x14ac:dyDescent="0.25">
      <c r="A968" t="s">
        <v>11068</v>
      </c>
      <c r="B968" t="s">
        <v>11069</v>
      </c>
      <c r="C968" s="88"/>
      <c r="D968" s="105"/>
      <c r="E968">
        <v>0</v>
      </c>
      <c r="F968" t="s">
        <v>11070</v>
      </c>
      <c r="G968" t="s">
        <v>11069</v>
      </c>
      <c r="H968" t="s">
        <v>11010</v>
      </c>
      <c r="I968" t="s">
        <v>11069</v>
      </c>
      <c r="J968" t="s">
        <v>11070</v>
      </c>
      <c r="K968" t="s">
        <v>12594</v>
      </c>
    </row>
    <row r="969" spans="1:11" s="1" customFormat="1" x14ac:dyDescent="0.25">
      <c r="A969" t="s">
        <v>11071</v>
      </c>
      <c r="B969" t="s">
        <v>11072</v>
      </c>
      <c r="C969" s="88"/>
      <c r="D969" s="105"/>
      <c r="E969">
        <v>121</v>
      </c>
      <c r="F969" t="s">
        <v>11073</v>
      </c>
      <c r="G969" t="s">
        <v>11072</v>
      </c>
      <c r="H969" t="s">
        <v>11010</v>
      </c>
      <c r="I969" t="s">
        <v>11072</v>
      </c>
      <c r="J969" t="s">
        <v>11073</v>
      </c>
      <c r="K969" t="s">
        <v>12594</v>
      </c>
    </row>
    <row r="970" spans="1:11" s="1" customFormat="1" x14ac:dyDescent="0.25">
      <c r="A970" t="s">
        <v>11074</v>
      </c>
      <c r="B970" t="s">
        <v>11075</v>
      </c>
      <c r="C970" s="88"/>
      <c r="D970" s="105"/>
      <c r="E970">
        <v>90</v>
      </c>
      <c r="F970" t="s">
        <v>11076</v>
      </c>
      <c r="G970" t="s">
        <v>11075</v>
      </c>
      <c r="H970" t="s">
        <v>11010</v>
      </c>
      <c r="I970" t="s">
        <v>11075</v>
      </c>
      <c r="J970" t="s">
        <v>11076</v>
      </c>
      <c r="K970" t="s">
        <v>12595</v>
      </c>
    </row>
    <row r="971" spans="1:11" s="1" customFormat="1" x14ac:dyDescent="0.25">
      <c r="A971" t="s">
        <v>11077</v>
      </c>
      <c r="B971" t="s">
        <v>11078</v>
      </c>
      <c r="C971" s="88"/>
      <c r="D971" s="105"/>
      <c r="E971">
        <v>0</v>
      </c>
      <c r="F971" t="s">
        <v>11079</v>
      </c>
      <c r="G971" t="s">
        <v>11078</v>
      </c>
      <c r="H971" t="s">
        <v>11010</v>
      </c>
      <c r="I971" t="s">
        <v>11078</v>
      </c>
      <c r="J971" t="s">
        <v>11079</v>
      </c>
      <c r="K971" t="s">
        <v>12589</v>
      </c>
    </row>
    <row r="972" spans="1:11" s="1" customFormat="1" x14ac:dyDescent="0.25">
      <c r="A972" t="s">
        <v>11080</v>
      </c>
      <c r="B972" t="s">
        <v>13205</v>
      </c>
      <c r="C972" s="88"/>
      <c r="D972" s="105"/>
      <c r="E972">
        <v>0</v>
      </c>
      <c r="F972" t="s">
        <v>11081</v>
      </c>
      <c r="G972" t="s">
        <v>13205</v>
      </c>
      <c r="H972" t="s">
        <v>11010</v>
      </c>
      <c r="I972" t="s">
        <v>13205</v>
      </c>
      <c r="J972" t="s">
        <v>11081</v>
      </c>
      <c r="K972" t="s">
        <v>13204</v>
      </c>
    </row>
    <row r="973" spans="1:11" s="1" customFormat="1" x14ac:dyDescent="0.25">
      <c r="A973" t="s">
        <v>11082</v>
      </c>
      <c r="B973" t="s">
        <v>11083</v>
      </c>
      <c r="C973" s="88"/>
      <c r="D973" s="105"/>
      <c r="E973">
        <v>175</v>
      </c>
      <c r="F973" t="s">
        <v>11086</v>
      </c>
      <c r="G973" t="s">
        <v>11084</v>
      </c>
      <c r="H973" t="s">
        <v>11085</v>
      </c>
      <c r="I973" t="s">
        <v>11083</v>
      </c>
      <c r="J973" t="s">
        <v>11086</v>
      </c>
      <c r="K973" t="s">
        <v>12596</v>
      </c>
    </row>
    <row r="974" spans="1:11" s="1" customFormat="1" x14ac:dyDescent="0.25">
      <c r="A974" t="s">
        <v>11087</v>
      </c>
      <c r="B974" t="s">
        <v>11088</v>
      </c>
      <c r="C974" s="88"/>
      <c r="D974" s="105"/>
      <c r="E974">
        <v>1450</v>
      </c>
      <c r="F974" t="s">
        <v>11089</v>
      </c>
      <c r="G974" t="s">
        <v>11084</v>
      </c>
      <c r="H974" t="s">
        <v>11085</v>
      </c>
      <c r="I974" t="s">
        <v>11088</v>
      </c>
      <c r="J974" t="s">
        <v>11089</v>
      </c>
      <c r="K974" t="s">
        <v>12596</v>
      </c>
    </row>
    <row r="975" spans="1:11" s="1" customFormat="1" x14ac:dyDescent="0.25">
      <c r="A975" t="s">
        <v>11090</v>
      </c>
      <c r="B975" t="s">
        <v>11091</v>
      </c>
      <c r="C975" s="88"/>
      <c r="D975" s="105"/>
      <c r="E975">
        <v>100</v>
      </c>
      <c r="F975" t="s">
        <v>11092</v>
      </c>
      <c r="G975" t="s">
        <v>11091</v>
      </c>
      <c r="H975" t="s">
        <v>11085</v>
      </c>
      <c r="I975" t="s">
        <v>11091</v>
      </c>
      <c r="J975" t="s">
        <v>11092</v>
      </c>
      <c r="K975" t="s">
        <v>11103</v>
      </c>
    </row>
    <row r="976" spans="1:11" s="1" customFormat="1" x14ac:dyDescent="0.25">
      <c r="A976" t="s">
        <v>11093</v>
      </c>
      <c r="B976" t="s">
        <v>11094</v>
      </c>
      <c r="C976" s="88"/>
      <c r="D976" s="105"/>
      <c r="E976">
        <v>100</v>
      </c>
      <c r="F976" t="s">
        <v>11096</v>
      </c>
      <c r="G976" t="s">
        <v>11095</v>
      </c>
      <c r="H976" t="s">
        <v>11085</v>
      </c>
      <c r="I976" t="s">
        <v>11094</v>
      </c>
      <c r="J976" t="s">
        <v>11096</v>
      </c>
      <c r="K976" t="s">
        <v>7437</v>
      </c>
    </row>
    <row r="977" spans="1:11" s="1" customFormat="1" x14ac:dyDescent="0.25">
      <c r="A977" t="s">
        <v>11097</v>
      </c>
      <c r="B977" t="s">
        <v>11098</v>
      </c>
      <c r="C977" s="88"/>
      <c r="D977" s="105"/>
      <c r="E977">
        <v>900</v>
      </c>
      <c r="F977" t="s">
        <v>11099</v>
      </c>
      <c r="G977" t="s">
        <v>11098</v>
      </c>
      <c r="H977" t="s">
        <v>11085</v>
      </c>
      <c r="I977" t="s">
        <v>11098</v>
      </c>
      <c r="J977" t="s">
        <v>11099</v>
      </c>
      <c r="K977" t="s">
        <v>7437</v>
      </c>
    </row>
    <row r="978" spans="1:11" s="1" customFormat="1" x14ac:dyDescent="0.25">
      <c r="A978" t="s">
        <v>11100</v>
      </c>
      <c r="B978" t="s">
        <v>13206</v>
      </c>
      <c r="C978" s="88"/>
      <c r="D978" s="105"/>
      <c r="E978"/>
      <c r="F978" t="s">
        <v>11101</v>
      </c>
      <c r="G978" t="s">
        <v>13206</v>
      </c>
      <c r="H978" t="s">
        <v>11085</v>
      </c>
      <c r="I978" t="s">
        <v>13206</v>
      </c>
      <c r="J978" t="s">
        <v>11101</v>
      </c>
      <c r="K978" t="s">
        <v>13206</v>
      </c>
    </row>
    <row r="979" spans="1:11" s="1" customFormat="1" x14ac:dyDescent="0.25">
      <c r="A979" t="s">
        <v>11102</v>
      </c>
      <c r="B979" t="s">
        <v>11103</v>
      </c>
      <c r="C979" s="88"/>
      <c r="D979" s="105"/>
      <c r="E979"/>
      <c r="F979" t="s">
        <v>11104</v>
      </c>
      <c r="G979" t="s">
        <v>11103</v>
      </c>
      <c r="H979" t="s">
        <v>11085</v>
      </c>
      <c r="I979" t="s">
        <v>11103</v>
      </c>
      <c r="J979" t="s">
        <v>11104</v>
      </c>
      <c r="K979" t="s">
        <v>11103</v>
      </c>
    </row>
    <row r="980" spans="1:11" s="1" customFormat="1" x14ac:dyDescent="0.25">
      <c r="A980" t="s">
        <v>11105</v>
      </c>
      <c r="B980" t="s">
        <v>11106</v>
      </c>
      <c r="C980" s="88"/>
      <c r="D980" s="105"/>
      <c r="E980">
        <v>2860</v>
      </c>
      <c r="F980" t="s">
        <v>11107</v>
      </c>
      <c r="G980" t="s">
        <v>11106</v>
      </c>
      <c r="H980" t="s">
        <v>11085</v>
      </c>
      <c r="I980" t="s">
        <v>11106</v>
      </c>
      <c r="J980" t="s">
        <v>11107</v>
      </c>
      <c r="K980" t="s">
        <v>12596</v>
      </c>
    </row>
    <row r="981" spans="1:11" s="1" customFormat="1" x14ac:dyDescent="0.25">
      <c r="A981" t="s">
        <v>11108</v>
      </c>
      <c r="B981" t="s">
        <v>11109</v>
      </c>
      <c r="C981" s="88"/>
      <c r="D981" s="105"/>
      <c r="E981">
        <v>168</v>
      </c>
      <c r="F981" t="s">
        <v>11110</v>
      </c>
      <c r="G981" t="s">
        <v>11109</v>
      </c>
      <c r="H981" t="s">
        <v>11085</v>
      </c>
      <c r="I981" t="s">
        <v>11109</v>
      </c>
      <c r="J981" t="s">
        <v>11110</v>
      </c>
      <c r="K981" t="s">
        <v>9809</v>
      </c>
    </row>
    <row r="982" spans="1:11" s="1" customFormat="1" x14ac:dyDescent="0.25">
      <c r="A982" t="s">
        <v>11111</v>
      </c>
      <c r="B982" t="s">
        <v>11112</v>
      </c>
      <c r="C982" s="88"/>
      <c r="D982" s="105"/>
      <c r="E982">
        <v>201</v>
      </c>
      <c r="F982" t="s">
        <v>11113</v>
      </c>
      <c r="G982" t="s">
        <v>11112</v>
      </c>
      <c r="H982" t="s">
        <v>11085</v>
      </c>
      <c r="I982" t="s">
        <v>11112</v>
      </c>
      <c r="J982" t="s">
        <v>11113</v>
      </c>
      <c r="K982" t="s">
        <v>9809</v>
      </c>
    </row>
    <row r="983" spans="1:11" s="1" customFormat="1" x14ac:dyDescent="0.25">
      <c r="A983" t="s">
        <v>11114</v>
      </c>
      <c r="B983" t="s">
        <v>11115</v>
      </c>
      <c r="C983" s="88"/>
      <c r="D983" s="105"/>
      <c r="E983">
        <v>240</v>
      </c>
      <c r="F983" t="s">
        <v>11116</v>
      </c>
      <c r="G983" t="s">
        <v>11115</v>
      </c>
      <c r="H983" t="s">
        <v>11085</v>
      </c>
      <c r="I983" t="s">
        <v>11115</v>
      </c>
      <c r="J983" t="s">
        <v>11116</v>
      </c>
      <c r="K983" t="s">
        <v>9809</v>
      </c>
    </row>
    <row r="984" spans="1:11" s="1" customFormat="1" x14ac:dyDescent="0.25">
      <c r="A984" t="s">
        <v>11117</v>
      </c>
      <c r="B984" t="s">
        <v>11118</v>
      </c>
      <c r="C984" s="88"/>
      <c r="D984" s="105"/>
      <c r="E984">
        <v>225</v>
      </c>
      <c r="F984" t="s">
        <v>11119</v>
      </c>
      <c r="G984" t="s">
        <v>11118</v>
      </c>
      <c r="H984" t="s">
        <v>11085</v>
      </c>
      <c r="I984" t="s">
        <v>11118</v>
      </c>
      <c r="J984" t="s">
        <v>11119</v>
      </c>
      <c r="K984" t="s">
        <v>9809</v>
      </c>
    </row>
    <row r="985" spans="1:11" s="1" customFormat="1" x14ac:dyDescent="0.25">
      <c r="A985" t="s">
        <v>11120</v>
      </c>
      <c r="B985" t="s">
        <v>11121</v>
      </c>
      <c r="C985" s="88"/>
      <c r="D985" s="105"/>
      <c r="E985">
        <v>141</v>
      </c>
      <c r="F985" t="s">
        <v>11122</v>
      </c>
      <c r="G985" t="s">
        <v>11121</v>
      </c>
      <c r="H985" t="s">
        <v>11085</v>
      </c>
      <c r="I985" t="s">
        <v>11121</v>
      </c>
      <c r="J985" t="s">
        <v>11122</v>
      </c>
      <c r="K985" t="s">
        <v>7462</v>
      </c>
    </row>
    <row r="986" spans="1:11" s="1" customFormat="1" x14ac:dyDescent="0.25">
      <c r="A986" t="s">
        <v>11123</v>
      </c>
      <c r="B986" t="s">
        <v>11124</v>
      </c>
      <c r="C986" s="88"/>
      <c r="D986" s="105"/>
      <c r="E986">
        <v>22</v>
      </c>
      <c r="F986" t="s">
        <v>11125</v>
      </c>
      <c r="G986" t="s">
        <v>11124</v>
      </c>
      <c r="H986" t="s">
        <v>11085</v>
      </c>
      <c r="I986" t="s">
        <v>11124</v>
      </c>
      <c r="J986" t="s">
        <v>11125</v>
      </c>
      <c r="K986" t="s">
        <v>9809</v>
      </c>
    </row>
    <row r="987" spans="1:11" s="1" customFormat="1" x14ac:dyDescent="0.25">
      <c r="A987" t="s">
        <v>11126</v>
      </c>
      <c r="B987" t="s">
        <v>11127</v>
      </c>
      <c r="C987" s="88"/>
      <c r="D987" s="105"/>
      <c r="E987">
        <v>5</v>
      </c>
      <c r="F987" t="s">
        <v>11128</v>
      </c>
      <c r="G987" t="s">
        <v>11127</v>
      </c>
      <c r="H987" t="s">
        <v>11085</v>
      </c>
      <c r="I987" t="s">
        <v>11127</v>
      </c>
      <c r="J987" t="s">
        <v>11128</v>
      </c>
      <c r="K987" t="s">
        <v>9809</v>
      </c>
    </row>
    <row r="988" spans="1:11" s="1" customFormat="1" x14ac:dyDescent="0.25">
      <c r="A988" t="s">
        <v>11129</v>
      </c>
      <c r="B988" t="s">
        <v>11130</v>
      </c>
      <c r="C988" s="88"/>
      <c r="D988" s="105"/>
      <c r="E988">
        <v>50</v>
      </c>
      <c r="F988" t="s">
        <v>11131</v>
      </c>
      <c r="G988" t="s">
        <v>11130</v>
      </c>
      <c r="H988" t="s">
        <v>11085</v>
      </c>
      <c r="I988" t="s">
        <v>11130</v>
      </c>
      <c r="J988" t="s">
        <v>11131</v>
      </c>
      <c r="K988" t="s">
        <v>9809</v>
      </c>
    </row>
    <row r="989" spans="1:11" s="1" customFormat="1" x14ac:dyDescent="0.25">
      <c r="A989" t="s">
        <v>11132</v>
      </c>
      <c r="B989" t="s">
        <v>11133</v>
      </c>
      <c r="C989" s="88"/>
      <c r="D989" s="105"/>
      <c r="E989">
        <v>180</v>
      </c>
      <c r="F989" t="s">
        <v>11135</v>
      </c>
      <c r="G989" t="s">
        <v>11134</v>
      </c>
      <c r="H989" t="s">
        <v>11085</v>
      </c>
      <c r="I989" t="s">
        <v>11133</v>
      </c>
      <c r="J989" t="s">
        <v>11135</v>
      </c>
      <c r="K989" t="s">
        <v>9809</v>
      </c>
    </row>
    <row r="990" spans="1:11" s="1" customFormat="1" x14ac:dyDescent="0.25">
      <c r="A990" t="s">
        <v>11136</v>
      </c>
      <c r="B990" t="s">
        <v>11137</v>
      </c>
      <c r="C990" s="88"/>
      <c r="D990" s="105"/>
      <c r="E990">
        <v>400</v>
      </c>
      <c r="F990" t="s">
        <v>11139</v>
      </c>
      <c r="G990" t="s">
        <v>11138</v>
      </c>
      <c r="H990" t="s">
        <v>11085</v>
      </c>
      <c r="I990" t="s">
        <v>11137</v>
      </c>
      <c r="J990" t="s">
        <v>11139</v>
      </c>
      <c r="K990" t="s">
        <v>9809</v>
      </c>
    </row>
    <row r="991" spans="1:11" s="1" customFormat="1" x14ac:dyDescent="0.25">
      <c r="A991" t="s">
        <v>11140</v>
      </c>
      <c r="B991" t="s">
        <v>11141</v>
      </c>
      <c r="C991" s="88"/>
      <c r="D991" s="105"/>
      <c r="E991">
        <v>1462</v>
      </c>
      <c r="F991" t="s">
        <v>11142</v>
      </c>
      <c r="G991" t="s">
        <v>9809</v>
      </c>
      <c r="H991" t="s">
        <v>11085</v>
      </c>
      <c r="I991" t="s">
        <v>11141</v>
      </c>
      <c r="J991" t="s">
        <v>11142</v>
      </c>
      <c r="K991" t="s">
        <v>9809</v>
      </c>
    </row>
    <row r="992" spans="1:11" s="1" customFormat="1" x14ac:dyDescent="0.25">
      <c r="A992" t="s">
        <v>11143</v>
      </c>
      <c r="B992" t="s">
        <v>11144</v>
      </c>
      <c r="C992" s="88"/>
      <c r="D992" s="105"/>
      <c r="E992">
        <v>970</v>
      </c>
      <c r="F992" t="s">
        <v>11146</v>
      </c>
      <c r="G992" t="s">
        <v>11145</v>
      </c>
      <c r="H992" t="s">
        <v>11085</v>
      </c>
      <c r="I992" t="s">
        <v>11144</v>
      </c>
      <c r="J992" t="s">
        <v>11146</v>
      </c>
      <c r="K992" t="s">
        <v>9809</v>
      </c>
    </row>
    <row r="993" spans="1:11" s="1" customFormat="1" x14ac:dyDescent="0.25">
      <c r="A993" t="s">
        <v>11147</v>
      </c>
      <c r="B993" t="s">
        <v>11148</v>
      </c>
      <c r="C993" s="88"/>
      <c r="D993" s="105"/>
      <c r="E993">
        <v>580</v>
      </c>
      <c r="F993" t="s">
        <v>11149</v>
      </c>
      <c r="G993" t="s">
        <v>11148</v>
      </c>
      <c r="H993" t="s">
        <v>11085</v>
      </c>
      <c r="I993" t="s">
        <v>11148</v>
      </c>
      <c r="J993" t="s">
        <v>11149</v>
      </c>
      <c r="K993" t="s">
        <v>9809</v>
      </c>
    </row>
    <row r="994" spans="1:11" s="1" customFormat="1" x14ac:dyDescent="0.25">
      <c r="A994" t="s">
        <v>11150</v>
      </c>
      <c r="B994" t="s">
        <v>11151</v>
      </c>
      <c r="C994" s="88"/>
      <c r="D994" s="105"/>
      <c r="E994">
        <v>98</v>
      </c>
      <c r="F994" t="s">
        <v>11152</v>
      </c>
      <c r="G994" t="s">
        <v>11151</v>
      </c>
      <c r="H994" t="s">
        <v>11085</v>
      </c>
      <c r="I994" t="s">
        <v>11151</v>
      </c>
      <c r="J994" t="s">
        <v>11152</v>
      </c>
      <c r="K994" t="s">
        <v>9809</v>
      </c>
    </row>
    <row r="995" spans="1:11" s="1" customFormat="1" x14ac:dyDescent="0.25">
      <c r="A995" t="s">
        <v>11153</v>
      </c>
      <c r="B995" t="s">
        <v>11154</v>
      </c>
      <c r="C995" s="88"/>
      <c r="D995" s="105"/>
      <c r="E995">
        <v>446</v>
      </c>
      <c r="F995" t="s">
        <v>11155</v>
      </c>
      <c r="G995" t="s">
        <v>11154</v>
      </c>
      <c r="H995" t="s">
        <v>11085</v>
      </c>
      <c r="I995" t="s">
        <v>11154</v>
      </c>
      <c r="J995" t="s">
        <v>11155</v>
      </c>
      <c r="K995" t="s">
        <v>9809</v>
      </c>
    </row>
    <row r="996" spans="1:11" s="1" customFormat="1" x14ac:dyDescent="0.25">
      <c r="A996" t="s">
        <v>11156</v>
      </c>
      <c r="B996" t="s">
        <v>11157</v>
      </c>
      <c r="C996" s="88"/>
      <c r="D996" s="105"/>
      <c r="E996">
        <v>151</v>
      </c>
      <c r="F996" t="s">
        <v>11158</v>
      </c>
      <c r="G996" t="s">
        <v>11157</v>
      </c>
      <c r="H996" t="s">
        <v>11085</v>
      </c>
      <c r="I996" t="s">
        <v>11157</v>
      </c>
      <c r="J996" t="s">
        <v>11158</v>
      </c>
      <c r="K996" t="s">
        <v>12531</v>
      </c>
    </row>
    <row r="997" spans="1:11" s="1" customFormat="1" x14ac:dyDescent="0.25">
      <c r="A997" t="s">
        <v>11159</v>
      </c>
      <c r="B997" t="s">
        <v>11160</v>
      </c>
      <c r="C997" s="88"/>
      <c r="D997" s="105"/>
      <c r="E997">
        <v>1298</v>
      </c>
      <c r="F997" t="s">
        <v>11161</v>
      </c>
      <c r="G997" t="s">
        <v>11160</v>
      </c>
      <c r="H997" t="s">
        <v>11085</v>
      </c>
      <c r="I997" t="s">
        <v>11160</v>
      </c>
      <c r="J997" t="s">
        <v>11161</v>
      </c>
      <c r="K997" t="s">
        <v>7462</v>
      </c>
    </row>
    <row r="998" spans="1:11" s="1" customFormat="1" x14ac:dyDescent="0.25">
      <c r="A998" t="s">
        <v>11162</v>
      </c>
      <c r="B998" t="s">
        <v>11163</v>
      </c>
      <c r="C998" s="88"/>
      <c r="D998" s="105"/>
      <c r="E998">
        <v>100</v>
      </c>
      <c r="F998" t="s">
        <v>11164</v>
      </c>
      <c r="G998" t="s">
        <v>11163</v>
      </c>
      <c r="H998" t="s">
        <v>11085</v>
      </c>
      <c r="I998" t="s">
        <v>11163</v>
      </c>
      <c r="J998" t="s">
        <v>11164</v>
      </c>
      <c r="K998" t="s">
        <v>7462</v>
      </c>
    </row>
    <row r="999" spans="1:11" s="1" customFormat="1" x14ac:dyDescent="0.25">
      <c r="A999" t="s">
        <v>11165</v>
      </c>
      <c r="B999" t="s">
        <v>11166</v>
      </c>
      <c r="C999" s="88"/>
      <c r="D999" s="105"/>
      <c r="E999">
        <v>100</v>
      </c>
      <c r="F999" t="s">
        <v>11167</v>
      </c>
      <c r="G999" t="s">
        <v>11166</v>
      </c>
      <c r="H999" t="s">
        <v>11085</v>
      </c>
      <c r="I999" t="s">
        <v>11166</v>
      </c>
      <c r="J999" t="s">
        <v>11167</v>
      </c>
      <c r="K999" t="s">
        <v>7462</v>
      </c>
    </row>
    <row r="1000" spans="1:11" s="1" customFormat="1" x14ac:dyDescent="0.25">
      <c r="A1000" t="s">
        <v>11168</v>
      </c>
      <c r="B1000" t="s">
        <v>11169</v>
      </c>
      <c r="C1000" s="88"/>
      <c r="D1000" s="105"/>
      <c r="E1000">
        <v>687</v>
      </c>
      <c r="F1000" t="s">
        <v>11170</v>
      </c>
      <c r="G1000" t="s">
        <v>11169</v>
      </c>
      <c r="H1000" t="s">
        <v>11085</v>
      </c>
      <c r="I1000" t="s">
        <v>11169</v>
      </c>
      <c r="J1000" t="s">
        <v>11170</v>
      </c>
      <c r="K1000" t="s">
        <v>7437</v>
      </c>
    </row>
    <row r="1001" spans="1:11" s="1" customFormat="1" x14ac:dyDescent="0.25">
      <c r="A1001" t="s">
        <v>11171</v>
      </c>
      <c r="B1001" t="s">
        <v>11172</v>
      </c>
      <c r="C1001" s="88"/>
      <c r="D1001" s="105"/>
      <c r="E1001">
        <v>305</v>
      </c>
      <c r="F1001" t="s">
        <v>11173</v>
      </c>
      <c r="G1001" t="s">
        <v>11172</v>
      </c>
      <c r="H1001" t="s">
        <v>11085</v>
      </c>
      <c r="I1001" t="s">
        <v>11172</v>
      </c>
      <c r="J1001" t="s">
        <v>11173</v>
      </c>
      <c r="K1001" t="s">
        <v>12597</v>
      </c>
    </row>
    <row r="1002" spans="1:11" s="1" customFormat="1" x14ac:dyDescent="0.25">
      <c r="A1002" t="s">
        <v>11174</v>
      </c>
      <c r="B1002" t="s">
        <v>7782</v>
      </c>
      <c r="C1002" s="88"/>
      <c r="D1002" s="105"/>
      <c r="E1002">
        <v>377</v>
      </c>
      <c r="F1002" t="s">
        <v>11175</v>
      </c>
      <c r="G1002" t="s">
        <v>7784</v>
      </c>
      <c r="H1002" t="s">
        <v>11085</v>
      </c>
      <c r="I1002" t="s">
        <v>7782</v>
      </c>
      <c r="J1002" t="s">
        <v>11175</v>
      </c>
      <c r="K1002" t="s">
        <v>8199</v>
      </c>
    </row>
    <row r="1003" spans="1:11" s="1" customFormat="1" x14ac:dyDescent="0.25">
      <c r="A1003" t="s">
        <v>11176</v>
      </c>
      <c r="B1003" t="s">
        <v>11177</v>
      </c>
      <c r="C1003" s="88"/>
      <c r="D1003" s="105"/>
      <c r="E1003">
        <v>495</v>
      </c>
      <c r="F1003" t="s">
        <v>11178</v>
      </c>
      <c r="G1003" t="s">
        <v>11177</v>
      </c>
      <c r="H1003" t="s">
        <v>11085</v>
      </c>
      <c r="I1003" t="s">
        <v>11177</v>
      </c>
      <c r="J1003" t="s">
        <v>11178</v>
      </c>
      <c r="K1003" t="s">
        <v>12598</v>
      </c>
    </row>
    <row r="1004" spans="1:11" s="1" customFormat="1" x14ac:dyDescent="0.25">
      <c r="A1004" t="s">
        <v>11179</v>
      </c>
      <c r="B1004" t="s">
        <v>11180</v>
      </c>
      <c r="C1004" s="88"/>
      <c r="D1004" s="105"/>
      <c r="E1004">
        <v>189</v>
      </c>
      <c r="F1004" t="s">
        <v>11181</v>
      </c>
      <c r="G1004" t="s">
        <v>11180</v>
      </c>
      <c r="H1004" t="s">
        <v>11085</v>
      </c>
      <c r="I1004" t="s">
        <v>11180</v>
      </c>
      <c r="J1004" t="s">
        <v>11181</v>
      </c>
      <c r="K1004" t="s">
        <v>12597</v>
      </c>
    </row>
    <row r="1005" spans="1:11" s="1" customFormat="1" x14ac:dyDescent="0.25">
      <c r="A1005" t="s">
        <v>11182</v>
      </c>
      <c r="B1005" t="s">
        <v>11183</v>
      </c>
      <c r="C1005" s="88"/>
      <c r="D1005" s="105"/>
      <c r="E1005">
        <v>622</v>
      </c>
      <c r="F1005" t="s">
        <v>11184</v>
      </c>
      <c r="G1005" t="s">
        <v>11183</v>
      </c>
      <c r="H1005" t="s">
        <v>11085</v>
      </c>
      <c r="I1005" t="s">
        <v>11183</v>
      </c>
      <c r="J1005" t="s">
        <v>11184</v>
      </c>
      <c r="K1005" t="s">
        <v>11183</v>
      </c>
    </row>
    <row r="1006" spans="1:11" s="1" customFormat="1" x14ac:dyDescent="0.25">
      <c r="A1006" t="s">
        <v>11185</v>
      </c>
      <c r="B1006" t="s">
        <v>11186</v>
      </c>
      <c r="C1006" s="88"/>
      <c r="D1006" s="105"/>
      <c r="E1006"/>
      <c r="F1006" t="s">
        <v>11187</v>
      </c>
      <c r="G1006" t="s">
        <v>11186</v>
      </c>
      <c r="H1006" t="s">
        <v>11085</v>
      </c>
      <c r="I1006" t="s">
        <v>11186</v>
      </c>
      <c r="J1006" t="s">
        <v>11187</v>
      </c>
      <c r="K1006" t="s">
        <v>12599</v>
      </c>
    </row>
    <row r="1007" spans="1:11" s="1" customFormat="1" x14ac:dyDescent="0.25">
      <c r="A1007" t="s">
        <v>11188</v>
      </c>
      <c r="B1007" t="s">
        <v>11189</v>
      </c>
      <c r="C1007" s="88"/>
      <c r="D1007" s="105"/>
      <c r="E1007">
        <v>0</v>
      </c>
      <c r="F1007" t="s">
        <v>11191</v>
      </c>
      <c r="G1007" t="s">
        <v>11190</v>
      </c>
      <c r="H1007" t="s">
        <v>11085</v>
      </c>
      <c r="I1007" t="s">
        <v>11189</v>
      </c>
      <c r="J1007" t="s">
        <v>11191</v>
      </c>
      <c r="K1007" t="s">
        <v>7361</v>
      </c>
    </row>
    <row r="1008" spans="1:11" s="1" customFormat="1" x14ac:dyDescent="0.25">
      <c r="A1008" t="s">
        <v>11192</v>
      </c>
      <c r="B1008" t="s">
        <v>11193</v>
      </c>
      <c r="C1008" s="88"/>
      <c r="D1008" s="105"/>
      <c r="E1008">
        <v>0</v>
      </c>
      <c r="F1008" t="s">
        <v>11194</v>
      </c>
      <c r="G1008" t="s">
        <v>11193</v>
      </c>
      <c r="H1008" t="s">
        <v>11085</v>
      </c>
      <c r="I1008" t="s">
        <v>11193</v>
      </c>
      <c r="J1008" t="s">
        <v>11194</v>
      </c>
      <c r="K1008" t="s">
        <v>7361</v>
      </c>
    </row>
    <row r="1009" spans="1:26" s="1" customFormat="1" x14ac:dyDescent="0.25">
      <c r="A1009" t="s">
        <v>11195</v>
      </c>
      <c r="B1009" t="s">
        <v>11196</v>
      </c>
      <c r="C1009" s="88"/>
      <c r="D1009" s="105"/>
      <c r="E1009">
        <v>500</v>
      </c>
      <c r="F1009" t="s">
        <v>11198</v>
      </c>
      <c r="G1009" t="s">
        <v>11197</v>
      </c>
      <c r="H1009" t="s">
        <v>11085</v>
      </c>
      <c r="I1009" t="s">
        <v>11196</v>
      </c>
      <c r="J1009" t="s">
        <v>11198</v>
      </c>
      <c r="K1009" t="s">
        <v>12597</v>
      </c>
    </row>
    <row r="1010" spans="1:26" s="1" customFormat="1" x14ac:dyDescent="0.25">
      <c r="A1010" t="s">
        <v>11199</v>
      </c>
      <c r="B1010" t="s">
        <v>11200</v>
      </c>
      <c r="C1010" s="88"/>
      <c r="D1010" s="105"/>
      <c r="E1010">
        <v>605</v>
      </c>
      <c r="F1010" t="s">
        <v>11202</v>
      </c>
      <c r="G1010" t="s">
        <v>11201</v>
      </c>
      <c r="H1010" t="s">
        <v>11085</v>
      </c>
      <c r="I1010" t="s">
        <v>11200</v>
      </c>
      <c r="J1010" t="s">
        <v>11202</v>
      </c>
      <c r="K1010" t="s">
        <v>7462</v>
      </c>
    </row>
    <row r="1011" spans="1:26" s="1" customFormat="1" x14ac:dyDescent="0.25">
      <c r="A1011" t="s">
        <v>11203</v>
      </c>
      <c r="B1011" t="s">
        <v>11204</v>
      </c>
      <c r="C1011" s="88"/>
      <c r="D1011" s="105"/>
      <c r="E1011">
        <v>764</v>
      </c>
      <c r="F1011" t="s">
        <v>11205</v>
      </c>
      <c r="G1011" t="s">
        <v>11204</v>
      </c>
      <c r="H1011" t="s">
        <v>11085</v>
      </c>
      <c r="I1011" t="s">
        <v>11204</v>
      </c>
      <c r="J1011" t="s">
        <v>11205</v>
      </c>
      <c r="K1011" t="s">
        <v>12531</v>
      </c>
    </row>
    <row r="1012" spans="1:26" s="1" customFormat="1" x14ac:dyDescent="0.25">
      <c r="A1012" t="s">
        <v>11206</v>
      </c>
      <c r="B1012" t="s">
        <v>11207</v>
      </c>
      <c r="C1012" s="88"/>
      <c r="D1012" s="105"/>
      <c r="E1012">
        <v>134</v>
      </c>
      <c r="F1012" t="s">
        <v>11208</v>
      </c>
      <c r="G1012" t="s">
        <v>11127</v>
      </c>
      <c r="H1012" t="s">
        <v>11085</v>
      </c>
      <c r="I1012" t="s">
        <v>11207</v>
      </c>
      <c r="J1012" t="s">
        <v>11208</v>
      </c>
      <c r="K1012" t="s">
        <v>9809</v>
      </c>
    </row>
    <row r="1013" spans="1:26" s="1" customFormat="1" x14ac:dyDescent="0.25">
      <c r="A1013" t="s">
        <v>11209</v>
      </c>
      <c r="B1013" t="s">
        <v>11210</v>
      </c>
      <c r="C1013" s="88"/>
      <c r="D1013" s="105"/>
      <c r="E1013">
        <v>830</v>
      </c>
      <c r="F1013" t="s">
        <v>11211</v>
      </c>
      <c r="G1013" t="s">
        <v>11084</v>
      </c>
      <c r="H1013" t="s">
        <v>11085</v>
      </c>
      <c r="I1013" t="s">
        <v>11210</v>
      </c>
      <c r="J1013" t="s">
        <v>11211</v>
      </c>
      <c r="K1013" t="s">
        <v>12596</v>
      </c>
    </row>
    <row r="1014" spans="1:26" s="1" customFormat="1" x14ac:dyDescent="0.25">
      <c r="A1014" t="s">
        <v>11571</v>
      </c>
      <c r="B1014" t="s">
        <v>8088</v>
      </c>
      <c r="C1014" s="88"/>
      <c r="D1014" s="105"/>
      <c r="E1014">
        <v>2430</v>
      </c>
      <c r="F1014" t="s">
        <v>11572</v>
      </c>
      <c r="G1014" t="s">
        <v>8088</v>
      </c>
      <c r="H1014" t="s">
        <v>8088</v>
      </c>
      <c r="I1014" t="s">
        <v>8088</v>
      </c>
      <c r="J1014" t="s">
        <v>11572</v>
      </c>
      <c r="K1014" t="s">
        <v>12600</v>
      </c>
    </row>
    <row r="1015" spans="1:26" s="1" customFormat="1" x14ac:dyDescent="0.25">
      <c r="A1015" t="s">
        <v>11573</v>
      </c>
      <c r="B1015" t="s">
        <v>10052</v>
      </c>
      <c r="C1015" s="88"/>
      <c r="D1015" s="105"/>
      <c r="E1015">
        <v>1863</v>
      </c>
      <c r="F1015" t="s">
        <v>11574</v>
      </c>
      <c r="G1015" t="s">
        <v>8088</v>
      </c>
      <c r="H1015" t="s">
        <v>8088</v>
      </c>
      <c r="I1015" t="s">
        <v>10052</v>
      </c>
      <c r="J1015" t="s">
        <v>11574</v>
      </c>
      <c r="K1015" t="s">
        <v>12600</v>
      </c>
    </row>
    <row r="1016" spans="1:26" s="1" customFormat="1" x14ac:dyDescent="0.25">
      <c r="A1016" t="s">
        <v>11575</v>
      </c>
      <c r="B1016" t="s">
        <v>10174</v>
      </c>
      <c r="C1016" s="88"/>
      <c r="D1016" s="105"/>
      <c r="E1016">
        <v>1408</v>
      </c>
      <c r="F1016" t="s">
        <v>11576</v>
      </c>
      <c r="G1016" t="s">
        <v>8088</v>
      </c>
      <c r="H1016" t="s">
        <v>8088</v>
      </c>
      <c r="I1016" t="s">
        <v>10174</v>
      </c>
      <c r="J1016" t="s">
        <v>11576</v>
      </c>
      <c r="K1016" t="s">
        <v>12600</v>
      </c>
    </row>
    <row r="1017" spans="1:26" s="1" customFormat="1" x14ac:dyDescent="0.25">
      <c r="A1017" t="s">
        <v>11577</v>
      </c>
      <c r="B1017" t="s">
        <v>10055</v>
      </c>
      <c r="C1017" s="88"/>
      <c r="D1017" s="105"/>
      <c r="E1017">
        <v>3501</v>
      </c>
      <c r="F1017" t="s">
        <v>11578</v>
      </c>
      <c r="G1017" t="s">
        <v>8088</v>
      </c>
      <c r="H1017" t="s">
        <v>8088</v>
      </c>
      <c r="I1017" t="s">
        <v>10055</v>
      </c>
      <c r="J1017" t="s">
        <v>11578</v>
      </c>
      <c r="K1017" t="s">
        <v>12600</v>
      </c>
    </row>
    <row r="1018" spans="1:26" s="1" customFormat="1" x14ac:dyDescent="0.25">
      <c r="A1018" t="s">
        <v>11579</v>
      </c>
      <c r="B1018" t="s">
        <v>10181</v>
      </c>
      <c r="C1018" s="88"/>
      <c r="D1018" s="105"/>
      <c r="E1018">
        <v>2999</v>
      </c>
      <c r="F1018" t="s">
        <v>11580</v>
      </c>
      <c r="G1018" t="s">
        <v>8088</v>
      </c>
      <c r="H1018" t="s">
        <v>8088</v>
      </c>
      <c r="I1018" t="s">
        <v>10181</v>
      </c>
      <c r="J1018" t="s">
        <v>11580</v>
      </c>
      <c r="K1018" t="s">
        <v>12600</v>
      </c>
    </row>
    <row r="1019" spans="1:26" s="1" customFormat="1" x14ac:dyDescent="0.25">
      <c r="A1019" t="s">
        <v>11581</v>
      </c>
      <c r="B1019" t="s">
        <v>11582</v>
      </c>
      <c r="C1019" s="88"/>
      <c r="D1019" s="105"/>
      <c r="E1019">
        <v>7276</v>
      </c>
      <c r="F1019" t="s">
        <v>11583</v>
      </c>
      <c r="G1019" t="s">
        <v>8088</v>
      </c>
      <c r="H1019" t="s">
        <v>8088</v>
      </c>
      <c r="I1019" t="s">
        <v>11582</v>
      </c>
      <c r="J1019" t="s">
        <v>11583</v>
      </c>
      <c r="K1019" t="s">
        <v>12600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11584</v>
      </c>
      <c r="B1020" t="s">
        <v>11585</v>
      </c>
      <c r="C1020" s="88"/>
      <c r="D1020" s="105"/>
      <c r="E1020">
        <v>5347</v>
      </c>
      <c r="F1020" t="s">
        <v>11586</v>
      </c>
      <c r="G1020" t="s">
        <v>8088</v>
      </c>
      <c r="H1020" t="s">
        <v>8088</v>
      </c>
      <c r="I1020" t="s">
        <v>11585</v>
      </c>
      <c r="J1020" t="s">
        <v>11586</v>
      </c>
      <c r="K1020" t="s">
        <v>12600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11587</v>
      </c>
      <c r="B1021" t="s">
        <v>11588</v>
      </c>
      <c r="C1021" s="88"/>
      <c r="D1021" s="105"/>
      <c r="E1021">
        <v>6855</v>
      </c>
      <c r="F1021" t="s">
        <v>11589</v>
      </c>
      <c r="G1021" t="s">
        <v>8088</v>
      </c>
      <c r="H1021" t="s">
        <v>8088</v>
      </c>
      <c r="I1021" t="s">
        <v>11588</v>
      </c>
      <c r="J1021" t="s">
        <v>11589</v>
      </c>
      <c r="K1021" t="s">
        <v>12600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11590</v>
      </c>
      <c r="B1022" t="s">
        <v>11591</v>
      </c>
      <c r="C1022" s="88"/>
      <c r="D1022" s="105"/>
      <c r="E1022">
        <v>7699</v>
      </c>
      <c r="F1022" t="s">
        <v>11592</v>
      </c>
      <c r="G1022" t="s">
        <v>8088</v>
      </c>
      <c r="H1022" t="s">
        <v>8088</v>
      </c>
      <c r="I1022" t="s">
        <v>11591</v>
      </c>
      <c r="J1022" t="s">
        <v>11592</v>
      </c>
      <c r="K1022" t="s">
        <v>12600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11593</v>
      </c>
      <c r="B1023" t="s">
        <v>11594</v>
      </c>
      <c r="C1023" s="88"/>
      <c r="D1023" s="105"/>
      <c r="E1023">
        <v>1405</v>
      </c>
      <c r="F1023" t="s">
        <v>11595</v>
      </c>
      <c r="G1023" t="s">
        <v>11594</v>
      </c>
      <c r="H1023" t="s">
        <v>8088</v>
      </c>
      <c r="I1023" t="s">
        <v>11594</v>
      </c>
      <c r="J1023" t="s">
        <v>11595</v>
      </c>
      <c r="K1023" t="s">
        <v>10992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11596</v>
      </c>
      <c r="B1024" t="s">
        <v>11597</v>
      </c>
      <c r="C1024" s="88"/>
      <c r="D1024" s="105"/>
      <c r="E1024">
        <v>348</v>
      </c>
      <c r="F1024" t="s">
        <v>11598</v>
      </c>
      <c r="G1024" t="s">
        <v>11597</v>
      </c>
      <c r="H1024" t="s">
        <v>8088</v>
      </c>
      <c r="I1024" t="s">
        <v>11597</v>
      </c>
      <c r="J1024" t="s">
        <v>11598</v>
      </c>
      <c r="K1024" t="s">
        <v>12601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11599</v>
      </c>
      <c r="B1025" t="s">
        <v>11600</v>
      </c>
      <c r="C1025" s="88"/>
      <c r="D1025" s="105"/>
      <c r="E1025">
        <v>380</v>
      </c>
      <c r="F1025" t="s">
        <v>11601</v>
      </c>
      <c r="G1025" t="s">
        <v>11600</v>
      </c>
      <c r="H1025" t="s">
        <v>8088</v>
      </c>
      <c r="I1025" t="s">
        <v>11600</v>
      </c>
      <c r="J1025" t="s">
        <v>11601</v>
      </c>
      <c r="K1025" t="s">
        <v>12602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11602</v>
      </c>
      <c r="B1026" t="s">
        <v>11603</v>
      </c>
      <c r="C1026" s="88"/>
      <c r="D1026" s="105"/>
      <c r="E1026">
        <v>151</v>
      </c>
      <c r="F1026" t="s">
        <v>11604</v>
      </c>
      <c r="G1026" t="s">
        <v>11603</v>
      </c>
      <c r="H1026" t="s">
        <v>8088</v>
      </c>
      <c r="I1026" t="s">
        <v>11603</v>
      </c>
      <c r="J1026" t="s">
        <v>11604</v>
      </c>
      <c r="K1026" t="s">
        <v>8902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11605</v>
      </c>
      <c r="B1027" t="s">
        <v>11606</v>
      </c>
      <c r="C1027" s="88"/>
      <c r="D1027" s="105"/>
      <c r="E1027">
        <v>98</v>
      </c>
      <c r="F1027" t="s">
        <v>11607</v>
      </c>
      <c r="G1027" t="s">
        <v>11606</v>
      </c>
      <c r="H1027" t="s">
        <v>8088</v>
      </c>
      <c r="I1027" t="s">
        <v>11606</v>
      </c>
      <c r="J1027" t="s">
        <v>11607</v>
      </c>
      <c r="K1027" t="s">
        <v>12601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11608</v>
      </c>
      <c r="B1028" t="s">
        <v>7462</v>
      </c>
      <c r="C1028" s="88"/>
      <c r="D1028" s="105"/>
      <c r="E1028">
        <v>692</v>
      </c>
      <c r="F1028" t="s">
        <v>11609</v>
      </c>
      <c r="G1028" t="s">
        <v>7462</v>
      </c>
      <c r="H1028" t="s">
        <v>8088</v>
      </c>
      <c r="I1028" t="s">
        <v>7462</v>
      </c>
      <c r="J1028" t="s">
        <v>11609</v>
      </c>
      <c r="K1028" t="s">
        <v>12603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11610</v>
      </c>
      <c r="B1029" t="s">
        <v>11530</v>
      </c>
      <c r="C1029" s="88"/>
      <c r="D1029" s="105"/>
      <c r="E1029">
        <v>131</v>
      </c>
      <c r="F1029" t="s">
        <v>11611</v>
      </c>
      <c r="G1029" t="s">
        <v>11530</v>
      </c>
      <c r="H1029" t="s">
        <v>8088</v>
      </c>
      <c r="I1029" t="s">
        <v>11530</v>
      </c>
      <c r="J1029" t="s">
        <v>11611</v>
      </c>
      <c r="K1029" t="s">
        <v>12602</v>
      </c>
    </row>
    <row r="1030" spans="1:26" s="1" customFormat="1" x14ac:dyDescent="0.25">
      <c r="A1030" t="s">
        <v>11612</v>
      </c>
      <c r="B1030" t="s">
        <v>11613</v>
      </c>
      <c r="C1030" s="88"/>
      <c r="D1030" s="105"/>
      <c r="E1030">
        <v>227</v>
      </c>
      <c r="F1030" t="s">
        <v>11615</v>
      </c>
      <c r="G1030" t="s">
        <v>10903</v>
      </c>
      <c r="H1030" t="s">
        <v>8088</v>
      </c>
      <c r="I1030" t="s">
        <v>11613</v>
      </c>
      <c r="J1030" t="s">
        <v>11615</v>
      </c>
      <c r="K1030" t="s">
        <v>12602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11616</v>
      </c>
      <c r="B1031" t="s">
        <v>11617</v>
      </c>
      <c r="C1031" s="88"/>
      <c r="D1031" s="105"/>
      <c r="E1031">
        <v>1098</v>
      </c>
      <c r="F1031" t="s">
        <v>11618</v>
      </c>
      <c r="G1031" t="s">
        <v>11617</v>
      </c>
      <c r="H1031" t="s">
        <v>8088</v>
      </c>
      <c r="I1031" t="s">
        <v>11617</v>
      </c>
      <c r="J1031" t="s">
        <v>11618</v>
      </c>
      <c r="K1031" t="s">
        <v>12602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11619</v>
      </c>
      <c r="B1032" t="s">
        <v>11620</v>
      </c>
      <c r="C1032" s="88"/>
      <c r="D1032" s="105"/>
      <c r="E1032">
        <v>512</v>
      </c>
      <c r="F1032" t="s">
        <v>11621</v>
      </c>
      <c r="G1032" t="s">
        <v>11620</v>
      </c>
      <c r="H1032" t="s">
        <v>8088</v>
      </c>
      <c r="I1032" t="s">
        <v>11620</v>
      </c>
      <c r="J1032" t="s">
        <v>11621</v>
      </c>
      <c r="K1032" t="s">
        <v>11839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11622</v>
      </c>
      <c r="B1033" t="s">
        <v>11623</v>
      </c>
      <c r="C1033" s="88"/>
      <c r="D1033" s="105"/>
      <c r="E1033">
        <v>0</v>
      </c>
      <c r="F1033" t="s">
        <v>11624</v>
      </c>
      <c r="G1033" t="s">
        <v>11623</v>
      </c>
      <c r="H1033" t="s">
        <v>8088</v>
      </c>
      <c r="I1033" t="s">
        <v>11623</v>
      </c>
      <c r="J1033" t="s">
        <v>11624</v>
      </c>
      <c r="K1033" t="s">
        <v>12604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11625</v>
      </c>
      <c r="B1034" t="s">
        <v>11626</v>
      </c>
      <c r="C1034" s="88"/>
      <c r="D1034" s="105"/>
      <c r="E1034">
        <v>146</v>
      </c>
      <c r="F1034" t="s">
        <v>11627</v>
      </c>
      <c r="G1034" t="s">
        <v>11626</v>
      </c>
      <c r="H1034" t="s">
        <v>8088</v>
      </c>
      <c r="I1034" t="s">
        <v>11626</v>
      </c>
      <c r="J1034" t="s">
        <v>11627</v>
      </c>
      <c r="K1034" t="s">
        <v>8902</v>
      </c>
    </row>
    <row r="1035" spans="1:26" s="1" customFormat="1" x14ac:dyDescent="0.25">
      <c r="A1035" t="s">
        <v>11628</v>
      </c>
      <c r="B1035" t="s">
        <v>11629</v>
      </c>
      <c r="C1035" s="88"/>
      <c r="D1035" s="105"/>
      <c r="E1035">
        <v>100</v>
      </c>
      <c r="F1035" t="s">
        <v>11631</v>
      </c>
      <c r="G1035" t="s">
        <v>11630</v>
      </c>
      <c r="H1035" t="s">
        <v>8088</v>
      </c>
      <c r="I1035" t="s">
        <v>11629</v>
      </c>
      <c r="J1035" t="s">
        <v>11631</v>
      </c>
      <c r="K1035" t="s">
        <v>12601</v>
      </c>
    </row>
    <row r="1036" spans="1:26" s="1" customFormat="1" x14ac:dyDescent="0.25">
      <c r="A1036" t="s">
        <v>11632</v>
      </c>
      <c r="B1036" t="s">
        <v>11633</v>
      </c>
      <c r="C1036" s="88"/>
      <c r="D1036" s="105"/>
      <c r="E1036">
        <v>968</v>
      </c>
      <c r="F1036" t="s">
        <v>11634</v>
      </c>
      <c r="G1036" t="s">
        <v>11633</v>
      </c>
      <c r="H1036" t="s">
        <v>8088</v>
      </c>
      <c r="I1036" t="s">
        <v>11633</v>
      </c>
      <c r="J1036" t="s">
        <v>11634</v>
      </c>
      <c r="K1036" t="s">
        <v>7315</v>
      </c>
    </row>
    <row r="1037" spans="1:26" s="1" customFormat="1" x14ac:dyDescent="0.25">
      <c r="A1037" t="s">
        <v>11635</v>
      </c>
      <c r="B1037" t="s">
        <v>11636</v>
      </c>
      <c r="C1037" s="88"/>
      <c r="D1037" s="105"/>
      <c r="E1037">
        <v>1657</v>
      </c>
      <c r="F1037" t="s">
        <v>11637</v>
      </c>
      <c r="G1037" t="s">
        <v>11636</v>
      </c>
      <c r="H1037" t="s">
        <v>8088</v>
      </c>
      <c r="I1037" t="s">
        <v>11636</v>
      </c>
      <c r="J1037" t="s">
        <v>11637</v>
      </c>
      <c r="K1037" t="s">
        <v>12602</v>
      </c>
    </row>
    <row r="1038" spans="1:26" s="1" customFormat="1" x14ac:dyDescent="0.25">
      <c r="A1038" t="s">
        <v>11638</v>
      </c>
      <c r="B1038" t="s">
        <v>13207</v>
      </c>
      <c r="C1038" s="88"/>
      <c r="D1038" s="105"/>
      <c r="E1038">
        <v>799</v>
      </c>
      <c r="F1038" t="s">
        <v>11639</v>
      </c>
      <c r="G1038" t="s">
        <v>13207</v>
      </c>
      <c r="H1038" t="s">
        <v>8088</v>
      </c>
      <c r="I1038" t="s">
        <v>13207</v>
      </c>
      <c r="J1038" t="s">
        <v>11639</v>
      </c>
      <c r="K1038" t="s">
        <v>7315</v>
      </c>
    </row>
    <row r="1039" spans="1:26" s="1" customFormat="1" x14ac:dyDescent="0.25">
      <c r="A1039" t="s">
        <v>11640</v>
      </c>
      <c r="B1039" t="s">
        <v>9806</v>
      </c>
      <c r="C1039" s="88"/>
      <c r="D1039" s="105"/>
      <c r="E1039">
        <v>175</v>
      </c>
      <c r="F1039" t="s">
        <v>11641</v>
      </c>
      <c r="G1039" t="s">
        <v>9806</v>
      </c>
      <c r="H1039" t="s">
        <v>8088</v>
      </c>
      <c r="I1039" t="s">
        <v>9806</v>
      </c>
      <c r="J1039" t="s">
        <v>11641</v>
      </c>
      <c r="K1039" t="s">
        <v>7315</v>
      </c>
    </row>
    <row r="1040" spans="1:26" s="1" customFormat="1" x14ac:dyDescent="0.25">
      <c r="A1040" t="s">
        <v>11642</v>
      </c>
      <c r="B1040" t="s">
        <v>11643</v>
      </c>
      <c r="C1040" s="88"/>
      <c r="D1040" s="105"/>
      <c r="E1040">
        <v>420</v>
      </c>
      <c r="F1040" t="s">
        <v>11644</v>
      </c>
      <c r="G1040" t="s">
        <v>11643</v>
      </c>
      <c r="H1040" t="s">
        <v>8088</v>
      </c>
      <c r="I1040" t="s">
        <v>11643</v>
      </c>
      <c r="J1040" t="s">
        <v>11644</v>
      </c>
      <c r="K1040" t="s">
        <v>12602</v>
      </c>
    </row>
    <row r="1041" spans="1:26" s="1" customFormat="1" x14ac:dyDescent="0.25">
      <c r="A1041" t="s">
        <v>11645</v>
      </c>
      <c r="B1041" t="s">
        <v>11646</v>
      </c>
      <c r="C1041" s="88"/>
      <c r="D1041" s="105"/>
      <c r="E1041">
        <v>399</v>
      </c>
      <c r="F1041" t="s">
        <v>11647</v>
      </c>
      <c r="G1041" t="s">
        <v>11646</v>
      </c>
      <c r="H1041" t="s">
        <v>8088</v>
      </c>
      <c r="I1041" t="s">
        <v>11646</v>
      </c>
      <c r="J1041" t="s">
        <v>11647</v>
      </c>
      <c r="K1041" t="s">
        <v>12605</v>
      </c>
    </row>
    <row r="1042" spans="1:26" s="1" customFormat="1" x14ac:dyDescent="0.25">
      <c r="A1042" t="s">
        <v>11648</v>
      </c>
      <c r="B1042" t="s">
        <v>11649</v>
      </c>
      <c r="C1042" s="88"/>
      <c r="D1042" s="105"/>
      <c r="E1042">
        <v>1231</v>
      </c>
      <c r="F1042" t="s">
        <v>11650</v>
      </c>
      <c r="G1042" t="s">
        <v>11649</v>
      </c>
      <c r="H1042" t="s">
        <v>8088</v>
      </c>
      <c r="I1042" t="s">
        <v>11649</v>
      </c>
      <c r="J1042" t="s">
        <v>11650</v>
      </c>
      <c r="K1042" t="s">
        <v>12605</v>
      </c>
    </row>
    <row r="1043" spans="1:26" s="1" customFormat="1" x14ac:dyDescent="0.25">
      <c r="A1043" t="s">
        <v>11651</v>
      </c>
      <c r="B1043" t="s">
        <v>11652</v>
      </c>
      <c r="C1043" s="88"/>
      <c r="D1043" s="105"/>
      <c r="E1043">
        <v>1161</v>
      </c>
      <c r="F1043" t="s">
        <v>11653</v>
      </c>
      <c r="G1043" t="s">
        <v>11652</v>
      </c>
      <c r="H1043" t="s">
        <v>8088</v>
      </c>
      <c r="I1043" t="s">
        <v>11652</v>
      </c>
      <c r="J1043" t="s">
        <v>11653</v>
      </c>
      <c r="K1043" t="s">
        <v>7315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11654</v>
      </c>
      <c r="B1044" t="s">
        <v>11655</v>
      </c>
      <c r="C1044" s="88"/>
      <c r="D1044" s="105"/>
      <c r="E1044">
        <v>204</v>
      </c>
      <c r="F1044" t="s">
        <v>11656</v>
      </c>
      <c r="G1044" t="s">
        <v>11655</v>
      </c>
      <c r="H1044" t="s">
        <v>8088</v>
      </c>
      <c r="I1044" t="s">
        <v>11655</v>
      </c>
      <c r="J1044" t="s">
        <v>11656</v>
      </c>
      <c r="K1044" t="s">
        <v>12605</v>
      </c>
    </row>
    <row r="1045" spans="1:26" s="1" customFormat="1" x14ac:dyDescent="0.25">
      <c r="A1045" t="s">
        <v>11657</v>
      </c>
      <c r="B1045" t="s">
        <v>11658</v>
      </c>
      <c r="C1045" s="88"/>
      <c r="D1045" s="105"/>
      <c r="E1045">
        <v>655</v>
      </c>
      <c r="F1045" t="s">
        <v>11659</v>
      </c>
      <c r="G1045" t="s">
        <v>11658</v>
      </c>
      <c r="H1045" t="s">
        <v>8088</v>
      </c>
      <c r="I1045" t="s">
        <v>11658</v>
      </c>
      <c r="J1045" t="s">
        <v>11659</v>
      </c>
      <c r="K1045" t="s">
        <v>12603</v>
      </c>
    </row>
    <row r="1046" spans="1:26" s="1" customFormat="1" x14ac:dyDescent="0.25">
      <c r="A1046" t="s">
        <v>11660</v>
      </c>
      <c r="B1046" t="s">
        <v>11661</v>
      </c>
      <c r="C1046" s="88"/>
      <c r="D1046" s="105"/>
      <c r="E1046">
        <v>1983</v>
      </c>
      <c r="F1046" t="s">
        <v>11662</v>
      </c>
      <c r="G1046" t="s">
        <v>11661</v>
      </c>
      <c r="H1046" t="s">
        <v>8088</v>
      </c>
      <c r="I1046" t="s">
        <v>11661</v>
      </c>
      <c r="J1046" t="s">
        <v>11662</v>
      </c>
      <c r="K1046" t="s">
        <v>12605</v>
      </c>
    </row>
    <row r="1047" spans="1:26" s="1" customFormat="1" x14ac:dyDescent="0.25">
      <c r="A1047" t="s">
        <v>11663</v>
      </c>
      <c r="B1047" t="s">
        <v>11664</v>
      </c>
      <c r="C1047" s="88"/>
      <c r="D1047" s="105"/>
      <c r="E1047">
        <v>100</v>
      </c>
      <c r="F1047" t="s">
        <v>11665</v>
      </c>
      <c r="G1047" t="s">
        <v>11664</v>
      </c>
      <c r="H1047" t="s">
        <v>8088</v>
      </c>
      <c r="I1047" t="s">
        <v>11664</v>
      </c>
      <c r="J1047" t="s">
        <v>11665</v>
      </c>
      <c r="K1047" t="s">
        <v>12601</v>
      </c>
    </row>
    <row r="1048" spans="1:26" s="1" customFormat="1" x14ac:dyDescent="0.25">
      <c r="A1048" t="s">
        <v>11666</v>
      </c>
      <c r="B1048" t="s">
        <v>11667</v>
      </c>
      <c r="C1048" s="88"/>
      <c r="D1048" s="105"/>
      <c r="E1048">
        <v>735</v>
      </c>
      <c r="F1048" t="s">
        <v>11668</v>
      </c>
      <c r="G1048" t="s">
        <v>11667</v>
      </c>
      <c r="H1048" t="s">
        <v>8088</v>
      </c>
      <c r="I1048" t="s">
        <v>11667</v>
      </c>
      <c r="J1048" t="s">
        <v>11668</v>
      </c>
      <c r="K1048" t="s">
        <v>12602</v>
      </c>
    </row>
    <row r="1049" spans="1:26" s="1" customFormat="1" x14ac:dyDescent="0.25">
      <c r="A1049" t="s">
        <v>11669</v>
      </c>
      <c r="B1049" t="s">
        <v>11670</v>
      </c>
      <c r="C1049" s="88"/>
      <c r="D1049" s="105"/>
      <c r="E1049">
        <v>961</v>
      </c>
      <c r="F1049" t="s">
        <v>11671</v>
      </c>
      <c r="G1049" t="s">
        <v>11670</v>
      </c>
      <c r="H1049" t="s">
        <v>8088</v>
      </c>
      <c r="I1049" t="s">
        <v>11670</v>
      </c>
      <c r="J1049" t="s">
        <v>11671</v>
      </c>
      <c r="K1049" t="s">
        <v>12602</v>
      </c>
    </row>
    <row r="1050" spans="1:26" s="1" customFormat="1" x14ac:dyDescent="0.25">
      <c r="A1050" t="s">
        <v>11672</v>
      </c>
      <c r="B1050" t="s">
        <v>11673</v>
      </c>
      <c r="C1050" s="88"/>
      <c r="D1050" s="105"/>
      <c r="E1050">
        <v>134</v>
      </c>
      <c r="F1050" t="s">
        <v>11675</v>
      </c>
      <c r="G1050" t="s">
        <v>11674</v>
      </c>
      <c r="H1050" t="s">
        <v>8088</v>
      </c>
      <c r="I1050" t="s">
        <v>11673</v>
      </c>
      <c r="J1050" t="s">
        <v>11675</v>
      </c>
      <c r="K1050" t="s">
        <v>7505</v>
      </c>
    </row>
    <row r="1051" spans="1:26" s="1" customFormat="1" x14ac:dyDescent="0.25">
      <c r="A1051" t="s">
        <v>11676</v>
      </c>
      <c r="B1051" t="s">
        <v>11677</v>
      </c>
      <c r="C1051" s="88"/>
      <c r="D1051" s="105"/>
      <c r="E1051">
        <v>550</v>
      </c>
      <c r="F1051" t="s">
        <v>11678</v>
      </c>
      <c r="G1051" t="s">
        <v>11677</v>
      </c>
      <c r="H1051" t="s">
        <v>8088</v>
      </c>
      <c r="I1051" t="s">
        <v>11677</v>
      </c>
      <c r="J1051" t="s">
        <v>11678</v>
      </c>
      <c r="K1051" t="s">
        <v>12604</v>
      </c>
    </row>
    <row r="1052" spans="1:26" s="1" customFormat="1" x14ac:dyDescent="0.25">
      <c r="A1052" t="s">
        <v>11679</v>
      </c>
      <c r="B1052" t="s">
        <v>11680</v>
      </c>
      <c r="C1052" s="88"/>
      <c r="D1052" s="105"/>
      <c r="E1052">
        <v>327</v>
      </c>
      <c r="F1052" t="s">
        <v>11681</v>
      </c>
      <c r="G1052" t="s">
        <v>11680</v>
      </c>
      <c r="H1052" t="s">
        <v>8088</v>
      </c>
      <c r="I1052" t="s">
        <v>11680</v>
      </c>
      <c r="J1052" t="s">
        <v>11681</v>
      </c>
      <c r="K1052" t="s">
        <v>8902</v>
      </c>
    </row>
    <row r="1053" spans="1:26" s="1" customFormat="1" x14ac:dyDescent="0.25">
      <c r="A1053" t="s">
        <v>11682</v>
      </c>
      <c r="B1053" t="s">
        <v>11683</v>
      </c>
      <c r="C1053" s="88"/>
      <c r="D1053" s="105"/>
      <c r="E1053">
        <v>157</v>
      </c>
      <c r="F1053" t="s">
        <v>11685</v>
      </c>
      <c r="G1053" t="s">
        <v>11684</v>
      </c>
      <c r="H1053" t="s">
        <v>8088</v>
      </c>
      <c r="I1053" t="s">
        <v>11683</v>
      </c>
      <c r="J1053" t="s">
        <v>11685</v>
      </c>
      <c r="K1053" t="s">
        <v>12601</v>
      </c>
    </row>
    <row r="1054" spans="1:26" s="1" customFormat="1" x14ac:dyDescent="0.25">
      <c r="A1054" t="s">
        <v>11686</v>
      </c>
      <c r="B1054" t="s">
        <v>11687</v>
      </c>
      <c r="C1054" s="88"/>
      <c r="D1054" s="105"/>
      <c r="E1054">
        <v>1636</v>
      </c>
      <c r="F1054" t="s">
        <v>11688</v>
      </c>
      <c r="G1054" t="s">
        <v>11687</v>
      </c>
      <c r="H1054" t="s">
        <v>8088</v>
      </c>
      <c r="I1054" t="s">
        <v>11687</v>
      </c>
      <c r="J1054" t="s">
        <v>11688</v>
      </c>
      <c r="K1054" t="s">
        <v>12605</v>
      </c>
    </row>
    <row r="1055" spans="1:26" s="1" customFormat="1" x14ac:dyDescent="0.25">
      <c r="A1055" t="s">
        <v>11689</v>
      </c>
      <c r="B1055" t="s">
        <v>8334</v>
      </c>
      <c r="C1055" s="88"/>
      <c r="D1055" s="105"/>
      <c r="E1055">
        <v>560</v>
      </c>
      <c r="F1055" t="s">
        <v>11690</v>
      </c>
      <c r="G1055" t="s">
        <v>8334</v>
      </c>
      <c r="H1055" t="s">
        <v>8088</v>
      </c>
      <c r="I1055" t="s">
        <v>8334</v>
      </c>
      <c r="J1055" t="s">
        <v>11690</v>
      </c>
      <c r="K1055" t="s">
        <v>12602</v>
      </c>
    </row>
    <row r="1056" spans="1:26" s="1" customFormat="1" x14ac:dyDescent="0.25">
      <c r="A1056" t="s">
        <v>11691</v>
      </c>
      <c r="B1056" t="s">
        <v>11692</v>
      </c>
      <c r="C1056" s="88"/>
      <c r="D1056" s="105"/>
      <c r="E1056">
        <v>180</v>
      </c>
      <c r="F1056" t="s">
        <v>11693</v>
      </c>
      <c r="G1056" t="s">
        <v>11692</v>
      </c>
      <c r="H1056" t="s">
        <v>8088</v>
      </c>
      <c r="I1056" t="s">
        <v>11692</v>
      </c>
      <c r="J1056" t="s">
        <v>11693</v>
      </c>
      <c r="K1056" t="s">
        <v>7315</v>
      </c>
    </row>
    <row r="1057" spans="1:11" s="1" customFormat="1" x14ac:dyDescent="0.25">
      <c r="A1057" t="s">
        <v>11694</v>
      </c>
      <c r="B1057" t="s">
        <v>11695</v>
      </c>
      <c r="C1057" s="88"/>
      <c r="D1057" s="105"/>
      <c r="E1057">
        <v>304</v>
      </c>
      <c r="F1057" t="s">
        <v>11696</v>
      </c>
      <c r="G1057" t="s">
        <v>11695</v>
      </c>
      <c r="H1057" t="s">
        <v>8088</v>
      </c>
      <c r="I1057" t="s">
        <v>11695</v>
      </c>
      <c r="J1057" t="s">
        <v>11696</v>
      </c>
      <c r="K1057" t="s">
        <v>7505</v>
      </c>
    </row>
    <row r="1058" spans="1:11" s="1" customFormat="1" x14ac:dyDescent="0.25">
      <c r="A1058" t="s">
        <v>11697</v>
      </c>
      <c r="B1058" t="s">
        <v>11698</v>
      </c>
      <c r="C1058" s="88"/>
      <c r="D1058" s="105"/>
      <c r="E1058">
        <v>100</v>
      </c>
      <c r="F1058" t="s">
        <v>11699</v>
      </c>
      <c r="G1058" t="s">
        <v>11698</v>
      </c>
      <c r="H1058" t="s">
        <v>8088</v>
      </c>
      <c r="I1058" t="s">
        <v>11698</v>
      </c>
      <c r="J1058" t="s">
        <v>11699</v>
      </c>
      <c r="K1058" t="s">
        <v>11839</v>
      </c>
    </row>
    <row r="1059" spans="1:11" s="1" customFormat="1" x14ac:dyDescent="0.25">
      <c r="A1059" t="s">
        <v>11700</v>
      </c>
      <c r="B1059" t="s">
        <v>11701</v>
      </c>
      <c r="C1059" s="88"/>
      <c r="D1059" s="105"/>
      <c r="E1059">
        <v>1198</v>
      </c>
      <c r="F1059" t="s">
        <v>11702</v>
      </c>
      <c r="G1059" t="s">
        <v>11701</v>
      </c>
      <c r="H1059" t="s">
        <v>8088</v>
      </c>
      <c r="I1059" t="s">
        <v>11701</v>
      </c>
      <c r="J1059" t="s">
        <v>11702</v>
      </c>
      <c r="K1059" t="s">
        <v>12600</v>
      </c>
    </row>
    <row r="1060" spans="1:11" s="1" customFormat="1" x14ac:dyDescent="0.25">
      <c r="A1060" t="s">
        <v>11703</v>
      </c>
      <c r="B1060" t="s">
        <v>11704</v>
      </c>
      <c r="C1060" s="88"/>
      <c r="D1060" s="105"/>
      <c r="E1060">
        <v>834</v>
      </c>
      <c r="F1060" t="s">
        <v>11705</v>
      </c>
      <c r="G1060" t="s">
        <v>11704</v>
      </c>
      <c r="H1060" t="s">
        <v>8088</v>
      </c>
      <c r="I1060" t="s">
        <v>11704</v>
      </c>
      <c r="J1060" t="s">
        <v>11705</v>
      </c>
      <c r="K1060" t="s">
        <v>12603</v>
      </c>
    </row>
    <row r="1061" spans="1:11" s="1" customFormat="1" x14ac:dyDescent="0.25">
      <c r="A1061" t="s">
        <v>11706</v>
      </c>
      <c r="B1061" t="s">
        <v>11707</v>
      </c>
      <c r="C1061" s="88"/>
      <c r="D1061" s="105"/>
      <c r="E1061">
        <v>1</v>
      </c>
      <c r="F1061" t="s">
        <v>11708</v>
      </c>
      <c r="G1061" t="s">
        <v>11707</v>
      </c>
      <c r="H1061" t="s">
        <v>8088</v>
      </c>
      <c r="I1061" t="s">
        <v>11707</v>
      </c>
      <c r="J1061" t="s">
        <v>11708</v>
      </c>
      <c r="K1061" t="s">
        <v>12601</v>
      </c>
    </row>
    <row r="1062" spans="1:11" s="1" customFormat="1" x14ac:dyDescent="0.25">
      <c r="A1062" t="s">
        <v>11709</v>
      </c>
      <c r="B1062" t="s">
        <v>11710</v>
      </c>
      <c r="C1062" s="88"/>
      <c r="D1062" s="105"/>
      <c r="E1062">
        <v>307</v>
      </c>
      <c r="F1062" t="s">
        <v>11711</v>
      </c>
      <c r="G1062" t="s">
        <v>11710</v>
      </c>
      <c r="H1062" t="s">
        <v>8088</v>
      </c>
      <c r="I1062" t="s">
        <v>11710</v>
      </c>
      <c r="J1062" t="s">
        <v>11711</v>
      </c>
      <c r="K1062" t="s">
        <v>12600</v>
      </c>
    </row>
    <row r="1063" spans="1:11" s="1" customFormat="1" x14ac:dyDescent="0.25">
      <c r="A1063" t="s">
        <v>11712</v>
      </c>
      <c r="B1063" t="s">
        <v>11713</v>
      </c>
      <c r="C1063" s="88"/>
      <c r="D1063" s="105"/>
      <c r="E1063">
        <v>1454</v>
      </c>
      <c r="F1063" t="s">
        <v>11714</v>
      </c>
      <c r="G1063" t="s">
        <v>11713</v>
      </c>
      <c r="H1063" t="s">
        <v>8088</v>
      </c>
      <c r="I1063" t="s">
        <v>11713</v>
      </c>
      <c r="J1063" t="s">
        <v>11714</v>
      </c>
      <c r="K1063" t="s">
        <v>12602</v>
      </c>
    </row>
    <row r="1064" spans="1:11" s="1" customFormat="1" x14ac:dyDescent="0.25">
      <c r="A1064" t="s">
        <v>11715</v>
      </c>
      <c r="B1064" t="s">
        <v>11716</v>
      </c>
      <c r="C1064" s="88"/>
      <c r="D1064" s="105"/>
      <c r="E1064">
        <v>360</v>
      </c>
      <c r="F1064" t="s">
        <v>11717</v>
      </c>
      <c r="G1064" t="s">
        <v>11716</v>
      </c>
      <c r="H1064" t="s">
        <v>8088</v>
      </c>
      <c r="I1064" t="s">
        <v>11716</v>
      </c>
      <c r="J1064" t="s">
        <v>11717</v>
      </c>
      <c r="K1064" t="s">
        <v>7315</v>
      </c>
    </row>
    <row r="1065" spans="1:11" s="1" customFormat="1" x14ac:dyDescent="0.25">
      <c r="A1065" t="s">
        <v>11718</v>
      </c>
      <c r="B1065" t="s">
        <v>11719</v>
      </c>
      <c r="C1065" s="88"/>
      <c r="D1065" s="105"/>
      <c r="E1065">
        <v>420</v>
      </c>
      <c r="F1065" t="s">
        <v>11720</v>
      </c>
      <c r="G1065" t="s">
        <v>11719</v>
      </c>
      <c r="H1065" t="s">
        <v>8088</v>
      </c>
      <c r="I1065" t="s">
        <v>11719</v>
      </c>
      <c r="J1065" t="s">
        <v>11720</v>
      </c>
      <c r="K1065" t="s">
        <v>7315</v>
      </c>
    </row>
    <row r="1066" spans="1:11" s="1" customFormat="1" x14ac:dyDescent="0.25">
      <c r="A1066" t="s">
        <v>11721</v>
      </c>
      <c r="B1066" t="s">
        <v>11722</v>
      </c>
      <c r="C1066" s="88"/>
      <c r="D1066" s="105"/>
      <c r="E1066">
        <v>762</v>
      </c>
      <c r="F1066" t="s">
        <v>11723</v>
      </c>
      <c r="G1066" t="s">
        <v>11722</v>
      </c>
      <c r="H1066" t="s">
        <v>8088</v>
      </c>
      <c r="I1066" t="s">
        <v>11722</v>
      </c>
      <c r="J1066" t="s">
        <v>11723</v>
      </c>
      <c r="K1066" t="s">
        <v>12602</v>
      </c>
    </row>
    <row r="1067" spans="1:11" s="1" customFormat="1" x14ac:dyDescent="0.25">
      <c r="A1067" t="s">
        <v>11724</v>
      </c>
      <c r="B1067" t="s">
        <v>11725</v>
      </c>
      <c r="C1067" s="88"/>
      <c r="D1067" s="105"/>
      <c r="E1067">
        <v>902</v>
      </c>
      <c r="F1067" t="s">
        <v>11726</v>
      </c>
      <c r="G1067" t="s">
        <v>11725</v>
      </c>
      <c r="H1067" t="s">
        <v>8088</v>
      </c>
      <c r="I1067" t="s">
        <v>11725</v>
      </c>
      <c r="J1067" t="s">
        <v>11726</v>
      </c>
      <c r="K1067" t="s">
        <v>12603</v>
      </c>
    </row>
    <row r="1068" spans="1:11" s="1" customFormat="1" x14ac:dyDescent="0.25">
      <c r="A1068" t="s">
        <v>11727</v>
      </c>
      <c r="B1068" t="s">
        <v>11728</v>
      </c>
      <c r="C1068" s="88"/>
      <c r="D1068" s="105"/>
      <c r="E1068">
        <v>396</v>
      </c>
      <c r="F1068" t="s">
        <v>11729</v>
      </c>
      <c r="G1068" t="s">
        <v>11728</v>
      </c>
      <c r="H1068" t="s">
        <v>8088</v>
      </c>
      <c r="I1068" t="s">
        <v>11728</v>
      </c>
      <c r="J1068" t="s">
        <v>11729</v>
      </c>
      <c r="K1068" t="s">
        <v>7505</v>
      </c>
    </row>
    <row r="1069" spans="1:11" s="1" customFormat="1" x14ac:dyDescent="0.25">
      <c r="A1069" t="s">
        <v>11730</v>
      </c>
      <c r="B1069" t="s">
        <v>11731</v>
      </c>
      <c r="C1069" s="88"/>
      <c r="D1069" s="105"/>
      <c r="E1069">
        <v>0</v>
      </c>
      <c r="F1069" t="s">
        <v>11732</v>
      </c>
      <c r="G1069" t="s">
        <v>11731</v>
      </c>
      <c r="H1069" t="s">
        <v>8088</v>
      </c>
      <c r="I1069" t="s">
        <v>11731</v>
      </c>
      <c r="J1069" t="s">
        <v>11732</v>
      </c>
      <c r="K1069" t="s">
        <v>11839</v>
      </c>
    </row>
    <row r="1070" spans="1:11" s="1" customFormat="1" x14ac:dyDescent="0.25">
      <c r="A1070" t="s">
        <v>11733</v>
      </c>
      <c r="B1070" t="s">
        <v>11734</v>
      </c>
      <c r="C1070" s="88"/>
      <c r="D1070" s="105"/>
      <c r="E1070">
        <v>247</v>
      </c>
      <c r="F1070" t="s">
        <v>11735</v>
      </c>
      <c r="G1070" t="s">
        <v>11734</v>
      </c>
      <c r="H1070" t="s">
        <v>8088</v>
      </c>
      <c r="I1070" t="s">
        <v>11734</v>
      </c>
      <c r="J1070" t="s">
        <v>11735</v>
      </c>
      <c r="K1070" t="s">
        <v>12601</v>
      </c>
    </row>
    <row r="1071" spans="1:11" s="1" customFormat="1" x14ac:dyDescent="0.25">
      <c r="A1071" t="s">
        <v>11736</v>
      </c>
      <c r="B1071" t="s">
        <v>11737</v>
      </c>
      <c r="C1071" s="88"/>
      <c r="D1071" s="105"/>
      <c r="E1071">
        <v>162</v>
      </c>
      <c r="F1071" t="s">
        <v>11738</v>
      </c>
      <c r="G1071" t="s">
        <v>11737</v>
      </c>
      <c r="H1071" t="s">
        <v>8088</v>
      </c>
      <c r="I1071" t="s">
        <v>11737</v>
      </c>
      <c r="J1071" t="s">
        <v>11738</v>
      </c>
      <c r="K1071" t="s">
        <v>8902</v>
      </c>
    </row>
    <row r="1072" spans="1:11" s="1" customFormat="1" x14ac:dyDescent="0.25">
      <c r="A1072" t="s">
        <v>11739</v>
      </c>
      <c r="B1072" t="s">
        <v>11740</v>
      </c>
      <c r="C1072" s="88"/>
      <c r="D1072" s="105"/>
      <c r="E1072">
        <v>897</v>
      </c>
      <c r="F1072" t="s">
        <v>11741</v>
      </c>
      <c r="G1072" t="s">
        <v>11740</v>
      </c>
      <c r="H1072" t="s">
        <v>8088</v>
      </c>
      <c r="I1072" t="s">
        <v>11740</v>
      </c>
      <c r="J1072" t="s">
        <v>11741</v>
      </c>
      <c r="K1072" t="s">
        <v>7315</v>
      </c>
    </row>
    <row r="1073" spans="1:11" s="1" customFormat="1" x14ac:dyDescent="0.25">
      <c r="A1073" t="s">
        <v>11742</v>
      </c>
      <c r="B1073" t="s">
        <v>11743</v>
      </c>
      <c r="C1073" s="88"/>
      <c r="D1073" s="105"/>
      <c r="E1073">
        <v>428</v>
      </c>
      <c r="F1073" t="s">
        <v>11744</v>
      </c>
      <c r="G1073" t="s">
        <v>11743</v>
      </c>
      <c r="H1073" t="s">
        <v>8088</v>
      </c>
      <c r="I1073" t="s">
        <v>11743</v>
      </c>
      <c r="J1073" t="s">
        <v>11744</v>
      </c>
      <c r="K1073" t="s">
        <v>12602</v>
      </c>
    </row>
    <row r="1074" spans="1:11" s="1" customFormat="1" x14ac:dyDescent="0.25">
      <c r="A1074" t="s">
        <v>11745</v>
      </c>
      <c r="B1074" t="s">
        <v>11746</v>
      </c>
      <c r="C1074" s="88"/>
      <c r="D1074" s="105"/>
      <c r="E1074">
        <v>396</v>
      </c>
      <c r="F1074" t="s">
        <v>11747</v>
      </c>
      <c r="G1074" t="s">
        <v>11746</v>
      </c>
      <c r="H1074" t="s">
        <v>8088</v>
      </c>
      <c r="I1074" t="s">
        <v>11746</v>
      </c>
      <c r="J1074" t="s">
        <v>11747</v>
      </c>
      <c r="K1074" t="s">
        <v>12600</v>
      </c>
    </row>
    <row r="1075" spans="1:11" s="1" customFormat="1" x14ac:dyDescent="0.25">
      <c r="A1075" t="s">
        <v>11748</v>
      </c>
      <c r="B1075" t="s">
        <v>11749</v>
      </c>
      <c r="C1075" s="88"/>
      <c r="D1075" s="106"/>
      <c r="E1075">
        <v>1007</v>
      </c>
      <c r="F1075" t="s">
        <v>11750</v>
      </c>
      <c r="G1075" t="s">
        <v>11749</v>
      </c>
      <c r="H1075" t="s">
        <v>8088</v>
      </c>
      <c r="I1075" t="s">
        <v>11749</v>
      </c>
      <c r="J1075" t="s">
        <v>11750</v>
      </c>
      <c r="K1075" t="s">
        <v>7315</v>
      </c>
    </row>
    <row r="1076" spans="1:11" s="1" customFormat="1" x14ac:dyDescent="0.25">
      <c r="A1076" t="s">
        <v>11751</v>
      </c>
      <c r="B1076" t="s">
        <v>8251</v>
      </c>
      <c r="C1076" s="88"/>
      <c r="D1076" s="105"/>
      <c r="E1076">
        <v>1552</v>
      </c>
      <c r="F1076" t="s">
        <v>11752</v>
      </c>
      <c r="G1076" t="s">
        <v>8251</v>
      </c>
      <c r="H1076" t="s">
        <v>8088</v>
      </c>
      <c r="I1076" t="s">
        <v>8251</v>
      </c>
      <c r="J1076" t="s">
        <v>11752</v>
      </c>
      <c r="K1076" t="s">
        <v>12605</v>
      </c>
    </row>
    <row r="1077" spans="1:11" s="1" customFormat="1" x14ac:dyDescent="0.25">
      <c r="A1077" t="s">
        <v>11753</v>
      </c>
      <c r="B1077" t="s">
        <v>11754</v>
      </c>
      <c r="C1077" s="88"/>
      <c r="D1077" s="105"/>
      <c r="E1077">
        <v>0</v>
      </c>
      <c r="F1077" t="s">
        <v>11755</v>
      </c>
      <c r="G1077" t="s">
        <v>11754</v>
      </c>
      <c r="H1077" t="s">
        <v>8088</v>
      </c>
      <c r="I1077" t="s">
        <v>11754</v>
      </c>
      <c r="J1077" t="s">
        <v>11755</v>
      </c>
      <c r="K1077" t="s">
        <v>12605</v>
      </c>
    </row>
    <row r="1078" spans="1:11" s="1" customFormat="1" x14ac:dyDescent="0.25">
      <c r="A1078" t="s">
        <v>11756</v>
      </c>
      <c r="B1078" t="s">
        <v>11757</v>
      </c>
      <c r="C1078" s="88"/>
      <c r="D1078" s="105"/>
      <c r="E1078">
        <v>50</v>
      </c>
      <c r="F1078" t="s">
        <v>11759</v>
      </c>
      <c r="G1078" t="s">
        <v>11758</v>
      </c>
      <c r="H1078" t="s">
        <v>8088</v>
      </c>
      <c r="I1078" t="s">
        <v>11757</v>
      </c>
      <c r="J1078" t="s">
        <v>11759</v>
      </c>
      <c r="K1078" t="s">
        <v>12601</v>
      </c>
    </row>
    <row r="1079" spans="1:11" s="1" customFormat="1" x14ac:dyDescent="0.25">
      <c r="A1079" t="s">
        <v>11760</v>
      </c>
      <c r="B1079" t="s">
        <v>9144</v>
      </c>
      <c r="C1079" s="88"/>
      <c r="D1079" s="105"/>
      <c r="E1079">
        <v>1155</v>
      </c>
      <c r="F1079" t="s">
        <v>11761</v>
      </c>
      <c r="G1079" t="s">
        <v>9144</v>
      </c>
      <c r="H1079" t="s">
        <v>8088</v>
      </c>
      <c r="I1079" t="s">
        <v>9144</v>
      </c>
      <c r="J1079" t="s">
        <v>11761</v>
      </c>
      <c r="K1079" t="s">
        <v>12600</v>
      </c>
    </row>
    <row r="1080" spans="1:11" s="1" customFormat="1" x14ac:dyDescent="0.25">
      <c r="A1080" t="s">
        <v>11762</v>
      </c>
      <c r="B1080" t="s">
        <v>11763</v>
      </c>
      <c r="C1080" s="88"/>
      <c r="D1080" s="105"/>
      <c r="E1080">
        <v>104</v>
      </c>
      <c r="F1080" t="s">
        <v>11764</v>
      </c>
      <c r="G1080" t="s">
        <v>11763</v>
      </c>
      <c r="H1080" t="s">
        <v>8088</v>
      </c>
      <c r="I1080" t="s">
        <v>11763</v>
      </c>
      <c r="J1080" t="s">
        <v>11764</v>
      </c>
      <c r="K1080" t="s">
        <v>12601</v>
      </c>
    </row>
    <row r="1081" spans="1:11" s="1" customFormat="1" x14ac:dyDescent="0.25">
      <c r="A1081" t="s">
        <v>11765</v>
      </c>
      <c r="B1081" t="s">
        <v>10474</v>
      </c>
      <c r="C1081" s="88"/>
      <c r="D1081" s="105"/>
      <c r="E1081">
        <v>745</v>
      </c>
      <c r="F1081" t="s">
        <v>11766</v>
      </c>
      <c r="G1081" t="s">
        <v>10474</v>
      </c>
      <c r="H1081" t="s">
        <v>8088</v>
      </c>
      <c r="I1081" t="s">
        <v>10474</v>
      </c>
      <c r="J1081" t="s">
        <v>11766</v>
      </c>
      <c r="K1081" t="s">
        <v>12603</v>
      </c>
    </row>
    <row r="1082" spans="1:11" s="1" customFormat="1" x14ac:dyDescent="0.25">
      <c r="A1082" t="s">
        <v>11767</v>
      </c>
      <c r="B1082" t="s">
        <v>11768</v>
      </c>
      <c r="C1082" s="88"/>
      <c r="D1082" s="105"/>
      <c r="E1082">
        <v>996</v>
      </c>
      <c r="F1082" t="s">
        <v>11769</v>
      </c>
      <c r="G1082" t="s">
        <v>11768</v>
      </c>
      <c r="H1082" t="s">
        <v>8088</v>
      </c>
      <c r="I1082" t="s">
        <v>11768</v>
      </c>
      <c r="J1082" t="s">
        <v>11769</v>
      </c>
      <c r="K1082" t="s">
        <v>10992</v>
      </c>
    </row>
    <row r="1083" spans="1:11" s="1" customFormat="1" x14ac:dyDescent="0.25">
      <c r="A1083" t="s">
        <v>11770</v>
      </c>
      <c r="B1083" t="s">
        <v>11771</v>
      </c>
      <c r="C1083" s="88"/>
      <c r="D1083" s="105"/>
      <c r="E1083">
        <v>163</v>
      </c>
      <c r="F1083" t="s">
        <v>11773</v>
      </c>
      <c r="G1083" t="s">
        <v>11772</v>
      </c>
      <c r="H1083" t="s">
        <v>8088</v>
      </c>
      <c r="I1083" t="s">
        <v>11771</v>
      </c>
      <c r="J1083" t="s">
        <v>11773</v>
      </c>
      <c r="K1083" t="s">
        <v>12605</v>
      </c>
    </row>
    <row r="1084" spans="1:11" s="1" customFormat="1" x14ac:dyDescent="0.25">
      <c r="A1084" t="s">
        <v>11774</v>
      </c>
      <c r="B1084" t="s">
        <v>11775</v>
      </c>
      <c r="C1084" s="88"/>
      <c r="D1084" s="105"/>
      <c r="E1084">
        <v>550</v>
      </c>
      <c r="F1084" t="s">
        <v>11776</v>
      </c>
      <c r="G1084" t="s">
        <v>11775</v>
      </c>
      <c r="H1084" t="s">
        <v>8088</v>
      </c>
      <c r="I1084" t="s">
        <v>11775</v>
      </c>
      <c r="J1084" t="s">
        <v>11776</v>
      </c>
      <c r="K1084" t="s">
        <v>12605</v>
      </c>
    </row>
    <row r="1085" spans="1:11" s="1" customFormat="1" x14ac:dyDescent="0.25">
      <c r="A1085" t="s">
        <v>11777</v>
      </c>
      <c r="B1085" t="s">
        <v>11778</v>
      </c>
      <c r="C1085" s="88"/>
      <c r="D1085" s="105"/>
      <c r="E1085">
        <v>624</v>
      </c>
      <c r="F1085" t="s">
        <v>11779</v>
      </c>
      <c r="G1085" t="s">
        <v>11778</v>
      </c>
      <c r="H1085" t="s">
        <v>8088</v>
      </c>
      <c r="I1085" t="s">
        <v>11778</v>
      </c>
      <c r="J1085" t="s">
        <v>11779</v>
      </c>
      <c r="K1085" t="s">
        <v>12605</v>
      </c>
    </row>
    <row r="1086" spans="1:11" s="1" customFormat="1" x14ac:dyDescent="0.25">
      <c r="A1086" t="s">
        <v>11780</v>
      </c>
      <c r="B1086" t="s">
        <v>8902</v>
      </c>
      <c r="C1086" s="88"/>
      <c r="D1086" s="105"/>
      <c r="E1086">
        <v>915</v>
      </c>
      <c r="F1086" t="s">
        <v>11781</v>
      </c>
      <c r="G1086" t="s">
        <v>8902</v>
      </c>
      <c r="H1086" t="s">
        <v>8088</v>
      </c>
      <c r="I1086" t="s">
        <v>8902</v>
      </c>
      <c r="J1086" t="s">
        <v>11781</v>
      </c>
      <c r="K1086" t="s">
        <v>8902</v>
      </c>
    </row>
    <row r="1087" spans="1:11" s="1" customFormat="1" x14ac:dyDescent="0.25">
      <c r="A1087" t="s">
        <v>11782</v>
      </c>
      <c r="B1087" t="s">
        <v>11783</v>
      </c>
      <c r="C1087" s="88"/>
      <c r="D1087" s="105"/>
      <c r="E1087"/>
      <c r="F1087" t="s">
        <v>11784</v>
      </c>
      <c r="G1087" t="s">
        <v>11783</v>
      </c>
      <c r="H1087" t="s">
        <v>8088</v>
      </c>
      <c r="I1087" t="s">
        <v>11783</v>
      </c>
      <c r="J1087" t="s">
        <v>11784</v>
      </c>
      <c r="K1087" t="s">
        <v>8917</v>
      </c>
    </row>
    <row r="1088" spans="1:11" s="1" customFormat="1" x14ac:dyDescent="0.25">
      <c r="A1088" t="s">
        <v>11785</v>
      </c>
      <c r="B1088" t="s">
        <v>10992</v>
      </c>
      <c r="C1088" s="88"/>
      <c r="D1088" s="105"/>
      <c r="E1088">
        <v>1839</v>
      </c>
      <c r="F1088" t="s">
        <v>11786</v>
      </c>
      <c r="G1088" t="s">
        <v>10992</v>
      </c>
      <c r="H1088" t="s">
        <v>8088</v>
      </c>
      <c r="I1088" t="s">
        <v>10992</v>
      </c>
      <c r="J1088" t="s">
        <v>11786</v>
      </c>
      <c r="K1088" t="s">
        <v>10992</v>
      </c>
    </row>
    <row r="1089" spans="1:11" s="1" customFormat="1" x14ac:dyDescent="0.25">
      <c r="A1089" t="s">
        <v>11787</v>
      </c>
      <c r="B1089" t="s">
        <v>11788</v>
      </c>
      <c r="C1089" s="88"/>
      <c r="D1089" s="105"/>
      <c r="E1089">
        <v>577</v>
      </c>
      <c r="F1089" t="s">
        <v>11789</v>
      </c>
      <c r="G1089" t="s">
        <v>11788</v>
      </c>
      <c r="H1089" t="s">
        <v>8088</v>
      </c>
      <c r="I1089" t="s">
        <v>11788</v>
      </c>
      <c r="J1089" t="s">
        <v>11789</v>
      </c>
      <c r="K1089" t="s">
        <v>12605</v>
      </c>
    </row>
    <row r="1090" spans="1:11" s="1" customFormat="1" x14ac:dyDescent="0.25">
      <c r="A1090" t="s">
        <v>11790</v>
      </c>
      <c r="B1090" t="s">
        <v>11791</v>
      </c>
      <c r="C1090" s="88"/>
      <c r="D1090" s="105"/>
      <c r="E1090">
        <v>1298</v>
      </c>
      <c r="F1090" t="s">
        <v>11792</v>
      </c>
      <c r="G1090" t="s">
        <v>11791</v>
      </c>
      <c r="H1090" t="s">
        <v>8088</v>
      </c>
      <c r="I1090" t="s">
        <v>11791</v>
      </c>
      <c r="J1090" t="s">
        <v>11792</v>
      </c>
      <c r="K1090" t="s">
        <v>7315</v>
      </c>
    </row>
    <row r="1091" spans="1:11" s="1" customFormat="1" x14ac:dyDescent="0.25">
      <c r="A1091" t="s">
        <v>11793</v>
      </c>
      <c r="B1091" t="s">
        <v>11794</v>
      </c>
      <c r="C1091" s="88"/>
      <c r="D1091" s="105"/>
      <c r="E1091">
        <v>1401</v>
      </c>
      <c r="F1091" t="s">
        <v>11795</v>
      </c>
      <c r="G1091" t="s">
        <v>11794</v>
      </c>
      <c r="H1091" t="s">
        <v>8088</v>
      </c>
      <c r="I1091" t="s">
        <v>11794</v>
      </c>
      <c r="J1091" t="s">
        <v>11795</v>
      </c>
      <c r="K1091" t="s">
        <v>12600</v>
      </c>
    </row>
    <row r="1092" spans="1:11" s="1" customFormat="1" x14ac:dyDescent="0.25">
      <c r="A1092" t="s">
        <v>11796</v>
      </c>
      <c r="B1092" t="s">
        <v>7505</v>
      </c>
      <c r="C1092" s="88"/>
      <c r="D1092" s="105"/>
      <c r="E1092">
        <v>2340</v>
      </c>
      <c r="F1092" t="s">
        <v>11797</v>
      </c>
      <c r="G1092" t="s">
        <v>7505</v>
      </c>
      <c r="H1092" t="s">
        <v>8088</v>
      </c>
      <c r="I1092" t="s">
        <v>7505</v>
      </c>
      <c r="J1092" t="s">
        <v>11797</v>
      </c>
      <c r="K1092" t="s">
        <v>7505</v>
      </c>
    </row>
    <row r="1093" spans="1:11" s="1" customFormat="1" x14ac:dyDescent="0.25">
      <c r="A1093" t="s">
        <v>11798</v>
      </c>
      <c r="B1093" t="s">
        <v>11799</v>
      </c>
      <c r="C1093" s="88"/>
      <c r="D1093" s="105"/>
      <c r="E1093">
        <v>785</v>
      </c>
      <c r="F1093" t="s">
        <v>11800</v>
      </c>
      <c r="G1093" t="s">
        <v>11799</v>
      </c>
      <c r="H1093" t="s">
        <v>8088</v>
      </c>
      <c r="I1093" t="s">
        <v>11799</v>
      </c>
      <c r="J1093" t="s">
        <v>11800</v>
      </c>
      <c r="K1093" t="s">
        <v>7315</v>
      </c>
    </row>
    <row r="1094" spans="1:11" s="1" customFormat="1" x14ac:dyDescent="0.25">
      <c r="A1094" t="s">
        <v>11801</v>
      </c>
      <c r="B1094" t="s">
        <v>8707</v>
      </c>
      <c r="C1094" s="88"/>
      <c r="D1094" s="105"/>
      <c r="E1094">
        <v>144</v>
      </c>
      <c r="F1094" t="s">
        <v>11802</v>
      </c>
      <c r="G1094" t="s">
        <v>8707</v>
      </c>
      <c r="H1094" t="s">
        <v>8088</v>
      </c>
      <c r="I1094" t="s">
        <v>8707</v>
      </c>
      <c r="J1094" t="s">
        <v>11802</v>
      </c>
      <c r="K1094" t="s">
        <v>12601</v>
      </c>
    </row>
    <row r="1095" spans="1:11" s="1" customFormat="1" x14ac:dyDescent="0.25">
      <c r="A1095" t="s">
        <v>11803</v>
      </c>
      <c r="B1095" t="s">
        <v>11804</v>
      </c>
      <c r="C1095" s="88"/>
      <c r="D1095" s="105"/>
      <c r="E1095">
        <v>645</v>
      </c>
      <c r="F1095" t="s">
        <v>11806</v>
      </c>
      <c r="G1095" t="s">
        <v>11805</v>
      </c>
      <c r="H1095" t="s">
        <v>8088</v>
      </c>
      <c r="I1095" t="s">
        <v>11804</v>
      </c>
      <c r="J1095" t="s">
        <v>11806</v>
      </c>
      <c r="K1095" t="s">
        <v>12605</v>
      </c>
    </row>
    <row r="1096" spans="1:11" s="1" customFormat="1" x14ac:dyDescent="0.25">
      <c r="A1096" t="s">
        <v>11807</v>
      </c>
      <c r="B1096" t="s">
        <v>11808</v>
      </c>
      <c r="C1096" s="88"/>
      <c r="D1096" s="105"/>
      <c r="E1096">
        <v>88</v>
      </c>
      <c r="F1096" t="s">
        <v>11809</v>
      </c>
      <c r="G1096" t="s">
        <v>11808</v>
      </c>
      <c r="H1096" t="s">
        <v>8088</v>
      </c>
      <c r="I1096" t="s">
        <v>11808</v>
      </c>
      <c r="J1096" t="s">
        <v>11809</v>
      </c>
      <c r="K1096" t="s">
        <v>12601</v>
      </c>
    </row>
    <row r="1097" spans="1:11" s="1" customFormat="1" x14ac:dyDescent="0.25">
      <c r="A1097" t="s">
        <v>11810</v>
      </c>
      <c r="B1097" t="s">
        <v>9156</v>
      </c>
      <c r="C1097" s="88"/>
      <c r="D1097" s="105"/>
      <c r="E1097">
        <v>331</v>
      </c>
      <c r="F1097" t="s">
        <v>11812</v>
      </c>
      <c r="G1097" t="s">
        <v>11811</v>
      </c>
      <c r="H1097" t="s">
        <v>8088</v>
      </c>
      <c r="I1097" t="s">
        <v>9156</v>
      </c>
      <c r="J1097" t="s">
        <v>11812</v>
      </c>
      <c r="K1097" t="s">
        <v>12604</v>
      </c>
    </row>
    <row r="1098" spans="1:11" s="1" customFormat="1" x14ac:dyDescent="0.25">
      <c r="A1098" t="s">
        <v>11813</v>
      </c>
      <c r="B1098" t="s">
        <v>10144</v>
      </c>
      <c r="C1098" s="88"/>
      <c r="D1098" s="105"/>
      <c r="E1098">
        <v>2517</v>
      </c>
      <c r="F1098" t="s">
        <v>11814</v>
      </c>
      <c r="G1098" t="s">
        <v>10144</v>
      </c>
      <c r="H1098" t="s">
        <v>8088</v>
      </c>
      <c r="I1098" t="s">
        <v>10144</v>
      </c>
      <c r="J1098" t="s">
        <v>11814</v>
      </c>
      <c r="K1098" t="s">
        <v>12600</v>
      </c>
    </row>
    <row r="1099" spans="1:11" s="1" customFormat="1" x14ac:dyDescent="0.25">
      <c r="A1099" t="s">
        <v>11815</v>
      </c>
      <c r="B1099" t="s">
        <v>7592</v>
      </c>
      <c r="C1099" s="88"/>
      <c r="D1099" s="105"/>
      <c r="E1099">
        <v>1287</v>
      </c>
      <c r="F1099" t="s">
        <v>11816</v>
      </c>
      <c r="G1099" t="s">
        <v>7592</v>
      </c>
      <c r="H1099" t="s">
        <v>8088</v>
      </c>
      <c r="I1099" t="s">
        <v>7592</v>
      </c>
      <c r="J1099" t="s">
        <v>11816</v>
      </c>
      <c r="K1099" t="s">
        <v>12605</v>
      </c>
    </row>
    <row r="1100" spans="1:11" s="1" customFormat="1" x14ac:dyDescent="0.25">
      <c r="A1100" t="s">
        <v>11817</v>
      </c>
      <c r="B1100" t="s">
        <v>11818</v>
      </c>
      <c r="C1100" s="88"/>
      <c r="D1100" s="105"/>
      <c r="E1100">
        <v>1635</v>
      </c>
      <c r="F1100" t="s">
        <v>11819</v>
      </c>
      <c r="G1100" t="s">
        <v>11818</v>
      </c>
      <c r="H1100" t="s">
        <v>8088</v>
      </c>
      <c r="I1100" t="s">
        <v>11818</v>
      </c>
      <c r="J1100" t="s">
        <v>11819</v>
      </c>
      <c r="K1100" t="s">
        <v>7315</v>
      </c>
    </row>
    <row r="1101" spans="1:11" s="1" customFormat="1" x14ac:dyDescent="0.25">
      <c r="A1101" t="s">
        <v>11820</v>
      </c>
      <c r="B1101" t="s">
        <v>11821</v>
      </c>
      <c r="C1101" s="88"/>
      <c r="D1101" s="105"/>
      <c r="E1101">
        <v>598</v>
      </c>
      <c r="F1101" t="s">
        <v>11822</v>
      </c>
      <c r="G1101" t="s">
        <v>11821</v>
      </c>
      <c r="H1101" t="s">
        <v>8088</v>
      </c>
      <c r="I1101" t="s">
        <v>11821</v>
      </c>
      <c r="J1101" t="s">
        <v>11822</v>
      </c>
      <c r="K1101" t="s">
        <v>8902</v>
      </c>
    </row>
    <row r="1102" spans="1:11" s="1" customFormat="1" x14ac:dyDescent="0.25">
      <c r="A1102" t="s">
        <v>11823</v>
      </c>
      <c r="B1102" t="s">
        <v>11824</v>
      </c>
      <c r="C1102" s="88"/>
      <c r="D1102" s="105"/>
      <c r="E1102">
        <v>192</v>
      </c>
      <c r="F1102" t="s">
        <v>11825</v>
      </c>
      <c r="G1102" t="s">
        <v>11824</v>
      </c>
      <c r="H1102" t="s">
        <v>8088</v>
      </c>
      <c r="I1102" t="s">
        <v>11824</v>
      </c>
      <c r="J1102" t="s">
        <v>11825</v>
      </c>
      <c r="K1102" t="s">
        <v>12601</v>
      </c>
    </row>
    <row r="1103" spans="1:11" s="1" customFormat="1" x14ac:dyDescent="0.25">
      <c r="A1103" t="s">
        <v>11826</v>
      </c>
      <c r="B1103" t="s">
        <v>11827</v>
      </c>
      <c r="C1103" s="88"/>
      <c r="D1103" s="105"/>
      <c r="E1103">
        <v>1498</v>
      </c>
      <c r="F1103" t="s">
        <v>11828</v>
      </c>
      <c r="G1103" t="s">
        <v>11827</v>
      </c>
      <c r="H1103" t="s">
        <v>8088</v>
      </c>
      <c r="I1103" t="s">
        <v>11827</v>
      </c>
      <c r="J1103" t="s">
        <v>11828</v>
      </c>
      <c r="K1103" t="s">
        <v>12602</v>
      </c>
    </row>
    <row r="1104" spans="1:11" s="1" customFormat="1" x14ac:dyDescent="0.25">
      <c r="A1104" t="s">
        <v>11829</v>
      </c>
      <c r="B1104" t="s">
        <v>11830</v>
      </c>
      <c r="C1104" s="88"/>
      <c r="D1104" s="105"/>
      <c r="E1104">
        <v>777</v>
      </c>
      <c r="F1104" t="s">
        <v>11831</v>
      </c>
      <c r="G1104" t="s">
        <v>11830</v>
      </c>
      <c r="H1104" t="s">
        <v>8088</v>
      </c>
      <c r="I1104" t="s">
        <v>11830</v>
      </c>
      <c r="J1104" t="s">
        <v>11831</v>
      </c>
      <c r="K1104" t="s">
        <v>12602</v>
      </c>
    </row>
    <row r="1105" spans="1:11" s="1" customFormat="1" x14ac:dyDescent="0.25">
      <c r="A1105" t="s">
        <v>11832</v>
      </c>
      <c r="B1105" t="s">
        <v>11833</v>
      </c>
      <c r="C1105" s="88"/>
      <c r="D1105" s="105"/>
      <c r="E1105">
        <v>512</v>
      </c>
      <c r="F1105" t="s">
        <v>11834</v>
      </c>
      <c r="G1105" t="s">
        <v>11833</v>
      </c>
      <c r="H1105" t="s">
        <v>8088</v>
      </c>
      <c r="I1105" t="s">
        <v>11833</v>
      </c>
      <c r="J1105" t="s">
        <v>11834</v>
      </c>
      <c r="K1105" t="s">
        <v>12601</v>
      </c>
    </row>
    <row r="1106" spans="1:11" s="1" customFormat="1" x14ac:dyDescent="0.25">
      <c r="A1106" t="s">
        <v>11835</v>
      </c>
      <c r="B1106" t="s">
        <v>11836</v>
      </c>
      <c r="C1106" s="88"/>
      <c r="D1106" s="105"/>
      <c r="E1106">
        <v>1118</v>
      </c>
      <c r="F1106" t="s">
        <v>11837</v>
      </c>
      <c r="G1106" t="s">
        <v>11836</v>
      </c>
      <c r="H1106" t="s">
        <v>8088</v>
      </c>
      <c r="I1106" t="s">
        <v>11836</v>
      </c>
      <c r="J1106" t="s">
        <v>11837</v>
      </c>
      <c r="K1106" t="s">
        <v>7361</v>
      </c>
    </row>
    <row r="1107" spans="1:11" s="1" customFormat="1" x14ac:dyDescent="0.25">
      <c r="A1107" t="s">
        <v>11838</v>
      </c>
      <c r="B1107" t="s">
        <v>11839</v>
      </c>
      <c r="C1107" s="88"/>
      <c r="D1107" s="105"/>
      <c r="E1107">
        <v>1905</v>
      </c>
      <c r="F1107" t="s">
        <v>11840</v>
      </c>
      <c r="G1107" t="s">
        <v>11839</v>
      </c>
      <c r="H1107" t="s">
        <v>8088</v>
      </c>
      <c r="I1107" t="s">
        <v>11839</v>
      </c>
      <c r="J1107" t="s">
        <v>11840</v>
      </c>
      <c r="K1107" t="s">
        <v>11839</v>
      </c>
    </row>
    <row r="1108" spans="1:11" s="1" customFormat="1" x14ac:dyDescent="0.25">
      <c r="A1108" t="s">
        <v>11841</v>
      </c>
      <c r="B1108" t="s">
        <v>11842</v>
      </c>
      <c r="C1108" s="88"/>
      <c r="D1108" s="105"/>
      <c r="E1108"/>
      <c r="F1108" t="s">
        <v>11843</v>
      </c>
      <c r="G1108" t="s">
        <v>11842</v>
      </c>
      <c r="H1108" t="s">
        <v>8088</v>
      </c>
      <c r="I1108" t="s">
        <v>11842</v>
      </c>
      <c r="J1108" t="s">
        <v>11843</v>
      </c>
      <c r="K1108" t="s">
        <v>7505</v>
      </c>
    </row>
    <row r="1109" spans="1:11" s="1" customFormat="1" x14ac:dyDescent="0.25">
      <c r="A1109" t="s">
        <v>11844</v>
      </c>
      <c r="B1109" t="s">
        <v>11845</v>
      </c>
      <c r="C1109" s="88"/>
      <c r="D1109" s="105"/>
      <c r="E1109">
        <v>602</v>
      </c>
      <c r="F1109" t="s">
        <v>11846</v>
      </c>
      <c r="G1109" t="s">
        <v>11845</v>
      </c>
      <c r="H1109" t="s">
        <v>8088</v>
      </c>
      <c r="I1109" t="s">
        <v>11845</v>
      </c>
      <c r="J1109" t="s">
        <v>11846</v>
      </c>
      <c r="K1109" t="s">
        <v>7505</v>
      </c>
    </row>
    <row r="1110" spans="1:11" s="1" customFormat="1" x14ac:dyDescent="0.25">
      <c r="A1110" t="s">
        <v>11847</v>
      </c>
      <c r="B1110" t="s">
        <v>11848</v>
      </c>
      <c r="C1110" s="88"/>
      <c r="D1110" s="105"/>
      <c r="E1110">
        <v>100</v>
      </c>
      <c r="F1110" t="s">
        <v>11849</v>
      </c>
      <c r="G1110" t="s">
        <v>11848</v>
      </c>
      <c r="H1110" t="s">
        <v>8088</v>
      </c>
      <c r="I1110" t="s">
        <v>11848</v>
      </c>
      <c r="J1110" t="s">
        <v>11849</v>
      </c>
      <c r="K1110" t="s">
        <v>12601</v>
      </c>
    </row>
    <row r="1111" spans="1:11" s="1" customFormat="1" x14ac:dyDescent="0.25">
      <c r="A1111" t="s">
        <v>11850</v>
      </c>
      <c r="B1111" t="s">
        <v>11851</v>
      </c>
      <c r="C1111" s="88"/>
      <c r="D1111" s="105"/>
      <c r="E1111">
        <v>200</v>
      </c>
      <c r="F1111" t="s">
        <v>11852</v>
      </c>
      <c r="G1111" t="s">
        <v>11851</v>
      </c>
      <c r="H1111" t="s">
        <v>8088</v>
      </c>
      <c r="I1111" t="s">
        <v>11851</v>
      </c>
      <c r="J1111" t="s">
        <v>11852</v>
      </c>
      <c r="K1111" t="s">
        <v>12603</v>
      </c>
    </row>
    <row r="1112" spans="1:11" s="1" customFormat="1" x14ac:dyDescent="0.25">
      <c r="A1112" t="s">
        <v>11853</v>
      </c>
      <c r="B1112" t="s">
        <v>11854</v>
      </c>
      <c r="C1112" s="88"/>
      <c r="D1112" s="105"/>
      <c r="E1112">
        <v>0</v>
      </c>
      <c r="F1112" t="s">
        <v>11855</v>
      </c>
      <c r="G1112" t="s">
        <v>11854</v>
      </c>
      <c r="H1112" t="s">
        <v>8088</v>
      </c>
      <c r="I1112" t="s">
        <v>11854</v>
      </c>
      <c r="J1112" t="s">
        <v>11855</v>
      </c>
      <c r="K1112" t="s">
        <v>12603</v>
      </c>
    </row>
    <row r="1113" spans="1:11" s="1" customFormat="1" x14ac:dyDescent="0.25">
      <c r="A1113" t="s">
        <v>11856</v>
      </c>
      <c r="B1113" t="s">
        <v>11857</v>
      </c>
      <c r="C1113" s="88"/>
      <c r="D1113" s="105"/>
      <c r="E1113">
        <v>1290</v>
      </c>
      <c r="F1113" t="s">
        <v>11858</v>
      </c>
      <c r="G1113" t="s">
        <v>11857</v>
      </c>
      <c r="H1113" t="s">
        <v>8088</v>
      </c>
      <c r="I1113" t="s">
        <v>11857</v>
      </c>
      <c r="J1113" t="s">
        <v>11858</v>
      </c>
      <c r="K1113" t="s">
        <v>12603</v>
      </c>
    </row>
    <row r="1114" spans="1:11" s="1" customFormat="1" x14ac:dyDescent="0.25">
      <c r="A1114" t="s">
        <v>11859</v>
      </c>
      <c r="B1114" t="s">
        <v>11860</v>
      </c>
      <c r="C1114" s="88"/>
      <c r="D1114" s="105"/>
      <c r="E1114">
        <v>362</v>
      </c>
      <c r="F1114" t="s">
        <v>11861</v>
      </c>
      <c r="G1114" t="s">
        <v>11860</v>
      </c>
      <c r="H1114" t="s">
        <v>8088</v>
      </c>
      <c r="I1114" t="s">
        <v>11860</v>
      </c>
      <c r="J1114" t="s">
        <v>11861</v>
      </c>
      <c r="K1114" t="s">
        <v>8902</v>
      </c>
    </row>
    <row r="1115" spans="1:11" s="1" customFormat="1" x14ac:dyDescent="0.25">
      <c r="A1115" t="s">
        <v>11862</v>
      </c>
      <c r="B1115" t="s">
        <v>11863</v>
      </c>
      <c r="C1115" s="88"/>
      <c r="D1115" s="105"/>
      <c r="E1115">
        <v>735</v>
      </c>
      <c r="F1115" t="s">
        <v>11864</v>
      </c>
      <c r="G1115" t="s">
        <v>11863</v>
      </c>
      <c r="H1115" t="s">
        <v>8088</v>
      </c>
      <c r="I1115" t="s">
        <v>11863</v>
      </c>
      <c r="J1115" t="s">
        <v>11864</v>
      </c>
      <c r="K1115" t="s">
        <v>7361</v>
      </c>
    </row>
    <row r="1116" spans="1:11" s="1" customFormat="1" x14ac:dyDescent="0.25">
      <c r="A1116" t="s">
        <v>11865</v>
      </c>
      <c r="B1116" t="s">
        <v>11866</v>
      </c>
      <c r="C1116" s="88"/>
      <c r="D1116" s="105"/>
      <c r="E1116">
        <v>755</v>
      </c>
      <c r="F1116" t="s">
        <v>11867</v>
      </c>
      <c r="G1116" t="s">
        <v>11866</v>
      </c>
      <c r="H1116" t="s">
        <v>8088</v>
      </c>
      <c r="I1116" t="s">
        <v>11866</v>
      </c>
      <c r="J1116" t="s">
        <v>11867</v>
      </c>
      <c r="K1116" t="s">
        <v>12601</v>
      </c>
    </row>
    <row r="1117" spans="1:11" s="1" customFormat="1" x14ac:dyDescent="0.25">
      <c r="A1117" t="s">
        <v>11868</v>
      </c>
      <c r="B1117" t="s">
        <v>11869</v>
      </c>
      <c r="C1117" s="88"/>
      <c r="D1117" s="105"/>
      <c r="E1117">
        <v>2558</v>
      </c>
      <c r="F1117" t="s">
        <v>11870</v>
      </c>
      <c r="G1117" t="s">
        <v>8088</v>
      </c>
      <c r="H1117" t="s">
        <v>8088</v>
      </c>
      <c r="I1117" t="s">
        <v>11869</v>
      </c>
      <c r="J1117" t="s">
        <v>11870</v>
      </c>
      <c r="K1117" t="s">
        <v>12600</v>
      </c>
    </row>
    <row r="1118" spans="1:11" s="1" customFormat="1" x14ac:dyDescent="0.25">
      <c r="A1118" t="s">
        <v>11871</v>
      </c>
      <c r="B1118" t="s">
        <v>11872</v>
      </c>
      <c r="C1118" s="88"/>
      <c r="D1118" s="105"/>
      <c r="E1118">
        <v>721</v>
      </c>
      <c r="F1118" t="s">
        <v>11873</v>
      </c>
      <c r="G1118" t="s">
        <v>11614</v>
      </c>
      <c r="H1118" t="s">
        <v>8088</v>
      </c>
      <c r="I1118" t="s">
        <v>11872</v>
      </c>
      <c r="J1118" t="s">
        <v>11873</v>
      </c>
      <c r="K1118" t="s">
        <v>11614</v>
      </c>
    </row>
    <row r="1119" spans="1:11" s="1" customFormat="1" x14ac:dyDescent="0.25">
      <c r="A1119" t="s">
        <v>11874</v>
      </c>
      <c r="B1119" t="s">
        <v>11875</v>
      </c>
      <c r="C1119" s="88"/>
      <c r="D1119" s="105"/>
      <c r="E1119">
        <v>1755</v>
      </c>
      <c r="F1119" t="s">
        <v>11876</v>
      </c>
      <c r="G1119" t="s">
        <v>11614</v>
      </c>
      <c r="H1119" t="s">
        <v>8088</v>
      </c>
      <c r="I1119" t="s">
        <v>11875</v>
      </c>
      <c r="J1119" t="s">
        <v>11876</v>
      </c>
      <c r="K1119" t="s">
        <v>11614</v>
      </c>
    </row>
    <row r="1120" spans="1:11" s="1" customFormat="1" x14ac:dyDescent="0.25">
      <c r="A1120" t="s">
        <v>11877</v>
      </c>
      <c r="B1120" t="s">
        <v>11878</v>
      </c>
      <c r="C1120" s="88"/>
      <c r="D1120" s="105"/>
      <c r="E1120">
        <v>2401</v>
      </c>
      <c r="F1120" t="s">
        <v>11879</v>
      </c>
      <c r="G1120" t="s">
        <v>11614</v>
      </c>
      <c r="H1120" t="s">
        <v>8088</v>
      </c>
      <c r="I1120" t="s">
        <v>11878</v>
      </c>
      <c r="J1120" t="s">
        <v>11879</v>
      </c>
      <c r="K1120" t="s">
        <v>11614</v>
      </c>
    </row>
    <row r="1121" spans="1:11" s="1" customFormat="1" x14ac:dyDescent="0.25">
      <c r="A1121" t="s">
        <v>11880</v>
      </c>
      <c r="B1121" t="s">
        <v>11881</v>
      </c>
      <c r="C1121" s="88"/>
      <c r="D1121" s="105"/>
      <c r="E1121">
        <v>1676</v>
      </c>
      <c r="F1121" t="s">
        <v>11882</v>
      </c>
      <c r="G1121" t="s">
        <v>11614</v>
      </c>
      <c r="H1121" t="s">
        <v>8088</v>
      </c>
      <c r="I1121" t="s">
        <v>11881</v>
      </c>
      <c r="J1121" t="s">
        <v>11882</v>
      </c>
      <c r="K1121" t="s">
        <v>11614</v>
      </c>
    </row>
    <row r="1122" spans="1:11" s="1" customFormat="1" x14ac:dyDescent="0.25">
      <c r="A1122" t="s">
        <v>11883</v>
      </c>
      <c r="B1122" t="s">
        <v>11884</v>
      </c>
      <c r="C1122" s="88"/>
      <c r="D1122" s="105"/>
      <c r="E1122">
        <v>182</v>
      </c>
      <c r="F1122" t="s">
        <v>11885</v>
      </c>
      <c r="G1122" t="s">
        <v>11614</v>
      </c>
      <c r="H1122" t="s">
        <v>8088</v>
      </c>
      <c r="I1122" t="s">
        <v>11884</v>
      </c>
      <c r="J1122" t="s">
        <v>11885</v>
      </c>
      <c r="K1122" t="s">
        <v>11614</v>
      </c>
    </row>
    <row r="1123" spans="1:11" s="1" customFormat="1" x14ac:dyDescent="0.25">
      <c r="A1123" t="s">
        <v>11886</v>
      </c>
      <c r="B1123" t="s">
        <v>11887</v>
      </c>
      <c r="C1123" s="88"/>
      <c r="D1123" s="105"/>
      <c r="E1123">
        <v>1199</v>
      </c>
      <c r="F1123" t="s">
        <v>11888</v>
      </c>
      <c r="G1123" t="s">
        <v>11614</v>
      </c>
      <c r="H1123" t="s">
        <v>8088</v>
      </c>
      <c r="I1123" t="s">
        <v>11887</v>
      </c>
      <c r="J1123" t="s">
        <v>11888</v>
      </c>
      <c r="K1123" t="s">
        <v>11614</v>
      </c>
    </row>
    <row r="1124" spans="1:11" s="1" customFormat="1" x14ac:dyDescent="0.25">
      <c r="A1124" t="s">
        <v>11889</v>
      </c>
      <c r="B1124" t="s">
        <v>11890</v>
      </c>
      <c r="C1124" s="88"/>
      <c r="D1124" s="105"/>
      <c r="E1124">
        <v>967</v>
      </c>
      <c r="F1124" t="s">
        <v>11891</v>
      </c>
      <c r="G1124" t="s">
        <v>11614</v>
      </c>
      <c r="H1124" t="s">
        <v>8088</v>
      </c>
      <c r="I1124" t="s">
        <v>11890</v>
      </c>
      <c r="J1124" t="s">
        <v>11891</v>
      </c>
      <c r="K1124" t="s">
        <v>11614</v>
      </c>
    </row>
    <row r="1125" spans="1:11" s="1" customFormat="1" x14ac:dyDescent="0.25">
      <c r="A1125" t="s">
        <v>11892</v>
      </c>
      <c r="B1125" t="s">
        <v>11893</v>
      </c>
      <c r="C1125" s="88"/>
      <c r="D1125" s="105"/>
      <c r="E1125">
        <v>1144</v>
      </c>
      <c r="F1125" t="s">
        <v>11894</v>
      </c>
      <c r="G1125" t="s">
        <v>11614</v>
      </c>
      <c r="H1125" t="s">
        <v>8088</v>
      </c>
      <c r="I1125" t="s">
        <v>11893</v>
      </c>
      <c r="J1125" t="s">
        <v>11894</v>
      </c>
      <c r="K1125" t="s">
        <v>11614</v>
      </c>
    </row>
    <row r="1126" spans="1:11" s="1" customFormat="1" x14ac:dyDescent="0.25">
      <c r="A1126" t="s">
        <v>11895</v>
      </c>
      <c r="B1126" t="s">
        <v>11896</v>
      </c>
      <c r="C1126" s="88"/>
      <c r="D1126" s="105"/>
      <c r="E1126">
        <v>5516</v>
      </c>
      <c r="F1126" t="s">
        <v>11897</v>
      </c>
      <c r="G1126" t="s">
        <v>11614</v>
      </c>
      <c r="H1126" t="s">
        <v>8088</v>
      </c>
      <c r="I1126" t="s">
        <v>11896</v>
      </c>
      <c r="J1126" t="s">
        <v>11897</v>
      </c>
      <c r="K1126" t="s">
        <v>11614</v>
      </c>
    </row>
    <row r="1127" spans="1:11" s="1" customFormat="1" x14ac:dyDescent="0.25">
      <c r="A1127" t="s">
        <v>11898</v>
      </c>
      <c r="B1127" t="s">
        <v>11899</v>
      </c>
      <c r="C1127" s="88"/>
      <c r="D1127" s="105"/>
      <c r="E1127">
        <v>6365</v>
      </c>
      <c r="F1127" t="s">
        <v>11900</v>
      </c>
      <c r="G1127" t="s">
        <v>11614</v>
      </c>
      <c r="H1127" t="s">
        <v>8088</v>
      </c>
      <c r="I1127" t="s">
        <v>11899</v>
      </c>
      <c r="J1127" t="s">
        <v>11900</v>
      </c>
      <c r="K1127" t="s">
        <v>11614</v>
      </c>
    </row>
    <row r="1128" spans="1:11" s="1" customFormat="1" x14ac:dyDescent="0.25">
      <c r="A1128" t="s">
        <v>11901</v>
      </c>
      <c r="B1128" t="s">
        <v>11902</v>
      </c>
      <c r="C1128" s="88"/>
      <c r="D1128" s="105"/>
      <c r="E1128">
        <v>1702</v>
      </c>
      <c r="F1128" t="s">
        <v>11903</v>
      </c>
      <c r="G1128" t="s">
        <v>11614</v>
      </c>
      <c r="H1128" t="s">
        <v>8088</v>
      </c>
      <c r="I1128" t="s">
        <v>11902</v>
      </c>
      <c r="J1128" t="s">
        <v>11903</v>
      </c>
      <c r="K1128" t="s">
        <v>11614</v>
      </c>
    </row>
    <row r="1129" spans="1:11" s="1" customFormat="1" x14ac:dyDescent="0.25">
      <c r="A1129" t="s">
        <v>11904</v>
      </c>
      <c r="B1129" t="s">
        <v>11905</v>
      </c>
      <c r="C1129" s="88"/>
      <c r="D1129" s="105"/>
      <c r="E1129">
        <v>4588</v>
      </c>
      <c r="F1129" t="s">
        <v>11906</v>
      </c>
      <c r="G1129" t="s">
        <v>11614</v>
      </c>
      <c r="H1129" t="s">
        <v>8088</v>
      </c>
      <c r="I1129" t="s">
        <v>11905</v>
      </c>
      <c r="J1129" t="s">
        <v>11906</v>
      </c>
      <c r="K1129" t="s">
        <v>11614</v>
      </c>
    </row>
    <row r="1130" spans="1:11" s="1" customFormat="1" x14ac:dyDescent="0.25">
      <c r="A1130" t="s">
        <v>11907</v>
      </c>
      <c r="B1130" t="s">
        <v>11908</v>
      </c>
      <c r="C1130" s="88"/>
      <c r="D1130" s="105"/>
      <c r="E1130">
        <v>1651</v>
      </c>
      <c r="F1130" t="s">
        <v>11909</v>
      </c>
      <c r="G1130" t="s">
        <v>11614</v>
      </c>
      <c r="H1130" t="s">
        <v>8088</v>
      </c>
      <c r="I1130" t="s">
        <v>11908</v>
      </c>
      <c r="J1130" t="s">
        <v>11909</v>
      </c>
      <c r="K1130" t="s">
        <v>11614</v>
      </c>
    </row>
    <row r="1131" spans="1:11" s="1" customFormat="1" x14ac:dyDescent="0.25">
      <c r="A1131" t="s">
        <v>11910</v>
      </c>
      <c r="B1131" t="s">
        <v>11911</v>
      </c>
      <c r="C1131" s="88"/>
      <c r="D1131" s="105"/>
      <c r="E1131">
        <v>3502</v>
      </c>
      <c r="F1131" t="s">
        <v>11912</v>
      </c>
      <c r="G1131" t="s">
        <v>11614</v>
      </c>
      <c r="H1131" t="s">
        <v>8088</v>
      </c>
      <c r="I1131" t="s">
        <v>11911</v>
      </c>
      <c r="J1131" t="s">
        <v>11912</v>
      </c>
      <c r="K1131" t="s">
        <v>11614</v>
      </c>
    </row>
    <row r="1132" spans="1:11" s="1" customFormat="1" x14ac:dyDescent="0.25">
      <c r="A1132" t="s">
        <v>11913</v>
      </c>
      <c r="B1132" t="s">
        <v>11914</v>
      </c>
      <c r="C1132" s="88"/>
      <c r="D1132" s="105"/>
      <c r="E1132">
        <v>818</v>
      </c>
      <c r="F1132" t="s">
        <v>11915</v>
      </c>
      <c r="G1132" t="s">
        <v>11614</v>
      </c>
      <c r="H1132" t="s">
        <v>8088</v>
      </c>
      <c r="I1132" t="s">
        <v>11914</v>
      </c>
      <c r="J1132" t="s">
        <v>11915</v>
      </c>
      <c r="K1132" t="s">
        <v>11614</v>
      </c>
    </row>
    <row r="1133" spans="1:11" s="1" customFormat="1" x14ac:dyDescent="0.25">
      <c r="A1133" t="s">
        <v>11916</v>
      </c>
      <c r="B1133" t="s">
        <v>11917</v>
      </c>
      <c r="C1133" s="88"/>
      <c r="D1133" s="105"/>
      <c r="E1133">
        <v>2215</v>
      </c>
      <c r="F1133" t="s">
        <v>11918</v>
      </c>
      <c r="G1133" t="s">
        <v>11614</v>
      </c>
      <c r="H1133" t="s">
        <v>8088</v>
      </c>
      <c r="I1133" t="s">
        <v>11917</v>
      </c>
      <c r="J1133" t="s">
        <v>11918</v>
      </c>
      <c r="K1133" t="s">
        <v>11614</v>
      </c>
    </row>
    <row r="1134" spans="1:11" s="1" customFormat="1" x14ac:dyDescent="0.25">
      <c r="A1134" t="s">
        <v>11919</v>
      </c>
      <c r="B1134" t="s">
        <v>11920</v>
      </c>
      <c r="C1134" s="88"/>
      <c r="D1134" s="105"/>
      <c r="E1134">
        <v>7003</v>
      </c>
      <c r="F1134" t="s">
        <v>11921</v>
      </c>
      <c r="G1134" t="s">
        <v>11614</v>
      </c>
      <c r="H1134" t="s">
        <v>8088</v>
      </c>
      <c r="I1134" t="s">
        <v>11920</v>
      </c>
      <c r="J1134" t="s">
        <v>11921</v>
      </c>
      <c r="K1134" t="s">
        <v>11614</v>
      </c>
    </row>
    <row r="1135" spans="1:11" s="1" customFormat="1" x14ac:dyDescent="0.25">
      <c r="A1135" t="s">
        <v>11922</v>
      </c>
      <c r="B1135" t="s">
        <v>11923</v>
      </c>
      <c r="C1135" s="88"/>
      <c r="D1135" s="105"/>
      <c r="E1135">
        <v>5501</v>
      </c>
      <c r="F1135" t="s">
        <v>11924</v>
      </c>
      <c r="G1135" t="s">
        <v>11614</v>
      </c>
      <c r="H1135" t="s">
        <v>8088</v>
      </c>
      <c r="I1135" t="s">
        <v>11923</v>
      </c>
      <c r="J1135" t="s">
        <v>11924</v>
      </c>
      <c r="K1135" t="s">
        <v>11614</v>
      </c>
    </row>
    <row r="1136" spans="1:11" s="1" customFormat="1" x14ac:dyDescent="0.25">
      <c r="A1136" t="s">
        <v>11925</v>
      </c>
      <c r="B1136" t="s">
        <v>11926</v>
      </c>
      <c r="C1136" s="88"/>
      <c r="D1136" s="105"/>
      <c r="E1136">
        <v>447</v>
      </c>
      <c r="F1136" t="s">
        <v>11927</v>
      </c>
      <c r="G1136" t="s">
        <v>11926</v>
      </c>
      <c r="H1136" t="s">
        <v>8088</v>
      </c>
      <c r="I1136" t="s">
        <v>11926</v>
      </c>
      <c r="J1136" t="s">
        <v>11927</v>
      </c>
      <c r="K1136" t="s">
        <v>11614</v>
      </c>
    </row>
    <row r="1137" spans="1:11" s="1" customFormat="1" x14ac:dyDescent="0.25">
      <c r="A1137" t="s">
        <v>11928</v>
      </c>
      <c r="B1137" t="s">
        <v>11929</v>
      </c>
      <c r="C1137" s="88"/>
      <c r="D1137" s="105"/>
      <c r="E1137">
        <v>963</v>
      </c>
      <c r="F1137" t="s">
        <v>11930</v>
      </c>
      <c r="G1137" t="s">
        <v>11929</v>
      </c>
      <c r="H1137" t="s">
        <v>8088</v>
      </c>
      <c r="I1137" t="s">
        <v>11929</v>
      </c>
      <c r="J1137" t="s">
        <v>11930</v>
      </c>
      <c r="K1137" t="s">
        <v>7393</v>
      </c>
    </row>
    <row r="1138" spans="1:11" s="1" customFormat="1" x14ac:dyDescent="0.25">
      <c r="A1138" t="s">
        <v>11931</v>
      </c>
      <c r="B1138" t="s">
        <v>11932</v>
      </c>
      <c r="C1138" s="88"/>
      <c r="D1138" s="105"/>
      <c r="E1138">
        <v>421</v>
      </c>
      <c r="F1138" t="s">
        <v>11933</v>
      </c>
      <c r="G1138" t="s">
        <v>11932</v>
      </c>
      <c r="H1138" t="s">
        <v>8088</v>
      </c>
      <c r="I1138" t="s">
        <v>11932</v>
      </c>
      <c r="J1138" t="s">
        <v>11933</v>
      </c>
      <c r="K1138" t="s">
        <v>11614</v>
      </c>
    </row>
    <row r="1139" spans="1:11" s="1" customFormat="1" x14ac:dyDescent="0.25">
      <c r="A1139" t="s">
        <v>11934</v>
      </c>
      <c r="B1139" t="s">
        <v>11935</v>
      </c>
      <c r="C1139" s="88"/>
      <c r="D1139" s="107"/>
      <c r="E1139">
        <v>200</v>
      </c>
      <c r="F1139" t="s">
        <v>11936</v>
      </c>
      <c r="G1139" t="s">
        <v>11935</v>
      </c>
      <c r="H1139" t="s">
        <v>8088</v>
      </c>
      <c r="I1139" t="s">
        <v>11935</v>
      </c>
      <c r="J1139" t="s">
        <v>11936</v>
      </c>
      <c r="K1139" t="s">
        <v>12606</v>
      </c>
    </row>
    <row r="1140" spans="1:11" s="1" customFormat="1" x14ac:dyDescent="0.25">
      <c r="A1140" t="s">
        <v>11937</v>
      </c>
      <c r="B1140" t="s">
        <v>11938</v>
      </c>
      <c r="C1140" s="88"/>
      <c r="D1140" s="105"/>
      <c r="E1140"/>
      <c r="F1140" t="s">
        <v>11939</v>
      </c>
      <c r="G1140" t="s">
        <v>11938</v>
      </c>
      <c r="H1140" t="s">
        <v>8088</v>
      </c>
      <c r="I1140" t="s">
        <v>11938</v>
      </c>
      <c r="J1140" t="s">
        <v>11939</v>
      </c>
      <c r="K1140" t="s">
        <v>7633</v>
      </c>
    </row>
    <row r="1141" spans="1:11" s="1" customFormat="1" x14ac:dyDescent="0.25">
      <c r="A1141" t="s">
        <v>11940</v>
      </c>
      <c r="B1141" t="s">
        <v>11941</v>
      </c>
      <c r="C1141" s="88"/>
      <c r="D1141" s="105"/>
      <c r="E1141">
        <v>1531</v>
      </c>
      <c r="F1141" t="s">
        <v>11942</v>
      </c>
      <c r="G1141" t="s">
        <v>11941</v>
      </c>
      <c r="H1141" t="s">
        <v>8088</v>
      </c>
      <c r="I1141" t="s">
        <v>11941</v>
      </c>
      <c r="J1141" t="s">
        <v>11942</v>
      </c>
      <c r="K1141" t="s">
        <v>8917</v>
      </c>
    </row>
    <row r="1142" spans="1:11" s="1" customFormat="1" x14ac:dyDescent="0.25">
      <c r="A1142" t="s">
        <v>11943</v>
      </c>
      <c r="B1142" t="s">
        <v>11944</v>
      </c>
      <c r="C1142" s="88"/>
      <c r="D1142" s="105"/>
      <c r="E1142">
        <v>530</v>
      </c>
      <c r="F1142" t="s">
        <v>11945</v>
      </c>
      <c r="G1142" t="s">
        <v>11944</v>
      </c>
      <c r="H1142" t="s">
        <v>8088</v>
      </c>
      <c r="I1142" t="s">
        <v>11944</v>
      </c>
      <c r="J1142" t="s">
        <v>11945</v>
      </c>
      <c r="K1142" t="s">
        <v>11614</v>
      </c>
    </row>
    <row r="1143" spans="1:11" s="1" customFormat="1" x14ac:dyDescent="0.25">
      <c r="A1143" t="s">
        <v>11946</v>
      </c>
      <c r="B1143" t="s">
        <v>11947</v>
      </c>
      <c r="C1143" s="88"/>
      <c r="D1143" s="105"/>
      <c r="E1143">
        <v>47</v>
      </c>
      <c r="F1143" t="s">
        <v>11948</v>
      </c>
      <c r="G1143" t="s">
        <v>11947</v>
      </c>
      <c r="H1143" t="s">
        <v>8088</v>
      </c>
      <c r="I1143" t="s">
        <v>11947</v>
      </c>
      <c r="J1143" t="s">
        <v>11948</v>
      </c>
      <c r="K1143" t="s">
        <v>7633</v>
      </c>
    </row>
    <row r="1144" spans="1:11" s="1" customFormat="1" x14ac:dyDescent="0.25">
      <c r="A1144" t="s">
        <v>11949</v>
      </c>
      <c r="B1144" t="s">
        <v>11950</v>
      </c>
      <c r="C1144" s="88"/>
      <c r="D1144" s="105"/>
      <c r="E1144">
        <v>660</v>
      </c>
      <c r="F1144" t="s">
        <v>11951</v>
      </c>
      <c r="G1144" t="s">
        <v>11950</v>
      </c>
      <c r="H1144" t="s">
        <v>8088</v>
      </c>
      <c r="I1144" t="s">
        <v>11950</v>
      </c>
      <c r="J1144" t="s">
        <v>11951</v>
      </c>
      <c r="K1144" t="s">
        <v>7633</v>
      </c>
    </row>
    <row r="1145" spans="1:11" s="1" customFormat="1" x14ac:dyDescent="0.25">
      <c r="A1145" t="s">
        <v>11952</v>
      </c>
      <c r="B1145" t="s">
        <v>11953</v>
      </c>
      <c r="C1145" s="88"/>
      <c r="D1145" s="105"/>
      <c r="E1145">
        <v>201</v>
      </c>
      <c r="F1145" t="s">
        <v>11954</v>
      </c>
      <c r="G1145" t="s">
        <v>11953</v>
      </c>
      <c r="H1145" t="s">
        <v>8088</v>
      </c>
      <c r="I1145" t="s">
        <v>11953</v>
      </c>
      <c r="J1145" t="s">
        <v>11954</v>
      </c>
      <c r="K1145" t="s">
        <v>7633</v>
      </c>
    </row>
    <row r="1146" spans="1:11" s="1" customFormat="1" x14ac:dyDescent="0.25">
      <c r="A1146" t="s">
        <v>11955</v>
      </c>
      <c r="B1146" t="s">
        <v>11956</v>
      </c>
      <c r="C1146" s="88"/>
      <c r="D1146" s="105"/>
      <c r="E1146">
        <v>100</v>
      </c>
      <c r="F1146" t="s">
        <v>11957</v>
      </c>
      <c r="G1146" t="s">
        <v>11956</v>
      </c>
      <c r="H1146" t="s">
        <v>8088</v>
      </c>
      <c r="I1146" t="s">
        <v>11956</v>
      </c>
      <c r="J1146" t="s">
        <v>11957</v>
      </c>
      <c r="K1146" t="s">
        <v>7393</v>
      </c>
    </row>
    <row r="1147" spans="1:11" s="1" customFormat="1" x14ac:dyDescent="0.25">
      <c r="A1147" t="s">
        <v>11958</v>
      </c>
      <c r="B1147" t="s">
        <v>11959</v>
      </c>
      <c r="C1147" s="88"/>
      <c r="D1147" s="105"/>
      <c r="E1147">
        <v>90</v>
      </c>
      <c r="F1147" t="s">
        <v>11960</v>
      </c>
      <c r="G1147" t="s">
        <v>11959</v>
      </c>
      <c r="H1147" t="s">
        <v>8088</v>
      </c>
      <c r="I1147" t="s">
        <v>11959</v>
      </c>
      <c r="J1147" t="s">
        <v>11960</v>
      </c>
      <c r="K1147" t="s">
        <v>8917</v>
      </c>
    </row>
    <row r="1148" spans="1:11" s="1" customFormat="1" x14ac:dyDescent="0.25">
      <c r="A1148" t="s">
        <v>11961</v>
      </c>
      <c r="B1148" t="s">
        <v>13208</v>
      </c>
      <c r="C1148" s="88"/>
      <c r="D1148" s="105"/>
      <c r="E1148">
        <v>96</v>
      </c>
      <c r="F1148" t="s">
        <v>11962</v>
      </c>
      <c r="G1148" t="s">
        <v>13208</v>
      </c>
      <c r="H1148" t="s">
        <v>8088</v>
      </c>
      <c r="I1148" t="s">
        <v>13208</v>
      </c>
      <c r="J1148" t="s">
        <v>11962</v>
      </c>
      <c r="K1148" t="s">
        <v>12607</v>
      </c>
    </row>
    <row r="1149" spans="1:11" s="1" customFormat="1" x14ac:dyDescent="0.25">
      <c r="A1149" t="s">
        <v>11963</v>
      </c>
      <c r="B1149" t="s">
        <v>13209</v>
      </c>
      <c r="C1149" s="88"/>
      <c r="D1149" s="105"/>
      <c r="E1149">
        <v>558</v>
      </c>
      <c r="F1149" t="s">
        <v>11964</v>
      </c>
      <c r="G1149" t="s">
        <v>13209</v>
      </c>
      <c r="H1149" t="s">
        <v>8088</v>
      </c>
      <c r="I1149" t="s">
        <v>13209</v>
      </c>
      <c r="J1149" t="s">
        <v>11964</v>
      </c>
      <c r="K1149" t="s">
        <v>12606</v>
      </c>
    </row>
    <row r="1150" spans="1:11" s="1" customFormat="1" x14ac:dyDescent="0.25">
      <c r="A1150" t="s">
        <v>11965</v>
      </c>
      <c r="B1150" t="s">
        <v>11966</v>
      </c>
      <c r="C1150" s="88"/>
      <c r="D1150" s="105"/>
      <c r="E1150">
        <v>679</v>
      </c>
      <c r="F1150" t="s">
        <v>11967</v>
      </c>
      <c r="G1150" t="s">
        <v>11966</v>
      </c>
      <c r="H1150" t="s">
        <v>8088</v>
      </c>
      <c r="I1150" t="s">
        <v>11966</v>
      </c>
      <c r="J1150" t="s">
        <v>11967</v>
      </c>
      <c r="K1150" t="s">
        <v>12606</v>
      </c>
    </row>
    <row r="1151" spans="1:11" s="1" customFormat="1" x14ac:dyDescent="0.25">
      <c r="A1151" t="s">
        <v>11968</v>
      </c>
      <c r="B1151" t="s">
        <v>11969</v>
      </c>
      <c r="C1151" s="88"/>
      <c r="D1151" s="105"/>
      <c r="E1151">
        <v>855</v>
      </c>
      <c r="F1151" t="s">
        <v>11970</v>
      </c>
      <c r="G1151" t="s">
        <v>11969</v>
      </c>
      <c r="H1151" t="s">
        <v>8088</v>
      </c>
      <c r="I1151" t="s">
        <v>11969</v>
      </c>
      <c r="J1151" t="s">
        <v>11970</v>
      </c>
      <c r="K1151" t="s">
        <v>10110</v>
      </c>
    </row>
    <row r="1152" spans="1:11" s="1" customFormat="1" x14ac:dyDescent="0.25">
      <c r="A1152" t="s">
        <v>11971</v>
      </c>
      <c r="B1152" t="s">
        <v>13210</v>
      </c>
      <c r="C1152" s="88"/>
      <c r="D1152" s="105"/>
      <c r="E1152">
        <v>413</v>
      </c>
      <c r="F1152" t="s">
        <v>11972</v>
      </c>
      <c r="G1152" t="s">
        <v>13210</v>
      </c>
      <c r="H1152" t="s">
        <v>8088</v>
      </c>
      <c r="I1152" t="s">
        <v>13210</v>
      </c>
      <c r="J1152" t="s">
        <v>11972</v>
      </c>
      <c r="K1152" t="s">
        <v>10110</v>
      </c>
    </row>
    <row r="1153" spans="1:11" s="1" customFormat="1" x14ac:dyDescent="0.25">
      <c r="A1153" t="s">
        <v>11973</v>
      </c>
      <c r="B1153" t="s">
        <v>11974</v>
      </c>
      <c r="C1153" s="88"/>
      <c r="D1153" s="105"/>
      <c r="E1153">
        <v>473</v>
      </c>
      <c r="F1153" t="s">
        <v>11975</v>
      </c>
      <c r="G1153" t="s">
        <v>11974</v>
      </c>
      <c r="H1153" t="s">
        <v>8088</v>
      </c>
      <c r="I1153" t="s">
        <v>11974</v>
      </c>
      <c r="J1153" t="s">
        <v>11975</v>
      </c>
      <c r="K1153" t="s">
        <v>12606</v>
      </c>
    </row>
    <row r="1154" spans="1:11" s="1" customFormat="1" x14ac:dyDescent="0.25">
      <c r="A1154" t="s">
        <v>11976</v>
      </c>
      <c r="B1154" t="s">
        <v>11977</v>
      </c>
      <c r="C1154" s="88"/>
      <c r="D1154" s="105"/>
      <c r="E1154">
        <v>791</v>
      </c>
      <c r="F1154" t="s">
        <v>11978</v>
      </c>
      <c r="G1154" t="s">
        <v>11977</v>
      </c>
      <c r="H1154" t="s">
        <v>8088</v>
      </c>
      <c r="I1154" t="s">
        <v>11977</v>
      </c>
      <c r="J1154" t="s">
        <v>11978</v>
      </c>
      <c r="K1154" t="s">
        <v>12606</v>
      </c>
    </row>
    <row r="1155" spans="1:11" s="1" customFormat="1" x14ac:dyDescent="0.25">
      <c r="A1155" t="s">
        <v>11979</v>
      </c>
      <c r="B1155" t="s">
        <v>11980</v>
      </c>
      <c r="C1155" s="88"/>
      <c r="D1155" s="105"/>
      <c r="E1155">
        <v>2371</v>
      </c>
      <c r="F1155" t="s">
        <v>11981</v>
      </c>
      <c r="G1155" t="s">
        <v>11980</v>
      </c>
      <c r="H1155" t="s">
        <v>8088</v>
      </c>
      <c r="I1155" t="s">
        <v>11980</v>
      </c>
      <c r="J1155" t="s">
        <v>11981</v>
      </c>
      <c r="K1155" t="s">
        <v>7633</v>
      </c>
    </row>
    <row r="1156" spans="1:11" s="1" customFormat="1" x14ac:dyDescent="0.25">
      <c r="A1156" t="s">
        <v>11982</v>
      </c>
      <c r="B1156" t="s">
        <v>13211</v>
      </c>
      <c r="C1156" s="88"/>
      <c r="D1156" s="105"/>
      <c r="E1156">
        <v>735</v>
      </c>
      <c r="F1156" t="s">
        <v>11983</v>
      </c>
      <c r="G1156" t="s">
        <v>13211</v>
      </c>
      <c r="H1156" t="s">
        <v>8088</v>
      </c>
      <c r="I1156" t="s">
        <v>13211</v>
      </c>
      <c r="J1156" t="s">
        <v>11983</v>
      </c>
      <c r="K1156" t="s">
        <v>7633</v>
      </c>
    </row>
    <row r="1157" spans="1:11" s="1" customFormat="1" x14ac:dyDescent="0.25">
      <c r="A1157" t="s">
        <v>11984</v>
      </c>
      <c r="B1157" t="s">
        <v>11985</v>
      </c>
      <c r="C1157" s="88"/>
      <c r="D1157" s="105"/>
      <c r="E1157">
        <v>1743</v>
      </c>
      <c r="F1157" t="s">
        <v>11986</v>
      </c>
      <c r="G1157" t="s">
        <v>11985</v>
      </c>
      <c r="H1157" t="s">
        <v>8088</v>
      </c>
      <c r="I1157" t="s">
        <v>11985</v>
      </c>
      <c r="J1157" t="s">
        <v>11986</v>
      </c>
      <c r="K1157" t="s">
        <v>7633</v>
      </c>
    </row>
    <row r="1158" spans="1:11" s="1" customFormat="1" x14ac:dyDescent="0.25">
      <c r="A1158" t="s">
        <v>11987</v>
      </c>
      <c r="B1158" t="s">
        <v>11988</v>
      </c>
      <c r="C1158" s="88"/>
      <c r="D1158" s="105"/>
      <c r="E1158">
        <v>570</v>
      </c>
      <c r="F1158" t="s">
        <v>11989</v>
      </c>
      <c r="G1158" t="s">
        <v>11988</v>
      </c>
      <c r="H1158" t="s">
        <v>8088</v>
      </c>
      <c r="I1158" t="s">
        <v>11988</v>
      </c>
      <c r="J1158" t="s">
        <v>11989</v>
      </c>
      <c r="K1158" t="s">
        <v>12606</v>
      </c>
    </row>
    <row r="1159" spans="1:11" s="1" customFormat="1" x14ac:dyDescent="0.25">
      <c r="A1159" t="s">
        <v>11990</v>
      </c>
      <c r="B1159" t="s">
        <v>11991</v>
      </c>
      <c r="C1159" s="88"/>
      <c r="D1159" s="105"/>
      <c r="E1159">
        <v>253</v>
      </c>
      <c r="F1159" t="s">
        <v>11992</v>
      </c>
      <c r="G1159" t="s">
        <v>11991</v>
      </c>
      <c r="H1159" t="s">
        <v>8088</v>
      </c>
      <c r="I1159" t="s">
        <v>11991</v>
      </c>
      <c r="J1159" t="s">
        <v>11992</v>
      </c>
      <c r="K1159" t="s">
        <v>11614</v>
      </c>
    </row>
    <row r="1160" spans="1:11" s="1" customFormat="1" x14ac:dyDescent="0.25">
      <c r="A1160" t="s">
        <v>11993</v>
      </c>
      <c r="B1160" t="s">
        <v>11994</v>
      </c>
      <c r="C1160" s="88"/>
      <c r="D1160" s="105"/>
      <c r="E1160">
        <v>765</v>
      </c>
      <c r="F1160" t="s">
        <v>11995</v>
      </c>
      <c r="G1160" t="s">
        <v>11994</v>
      </c>
      <c r="H1160" t="s">
        <v>8088</v>
      </c>
      <c r="I1160" t="s">
        <v>11994</v>
      </c>
      <c r="J1160" t="s">
        <v>11995</v>
      </c>
      <c r="K1160" t="s">
        <v>12607</v>
      </c>
    </row>
    <row r="1161" spans="1:11" s="1" customFormat="1" x14ac:dyDescent="0.25">
      <c r="A1161" t="s">
        <v>11996</v>
      </c>
      <c r="B1161" t="s">
        <v>11997</v>
      </c>
      <c r="C1161" s="88"/>
      <c r="D1161" s="105"/>
      <c r="E1161">
        <v>100</v>
      </c>
      <c r="F1161" t="s">
        <v>11998</v>
      </c>
      <c r="G1161" t="s">
        <v>11997</v>
      </c>
      <c r="H1161" t="s">
        <v>8088</v>
      </c>
      <c r="I1161" t="s">
        <v>11997</v>
      </c>
      <c r="J1161" t="s">
        <v>11998</v>
      </c>
      <c r="K1161" t="s">
        <v>12606</v>
      </c>
    </row>
    <row r="1162" spans="1:11" s="1" customFormat="1" x14ac:dyDescent="0.25">
      <c r="A1162" t="s">
        <v>11999</v>
      </c>
      <c r="B1162" t="s">
        <v>12000</v>
      </c>
      <c r="C1162" s="88"/>
      <c r="D1162" s="105"/>
      <c r="E1162">
        <v>688</v>
      </c>
      <c r="F1162" t="s">
        <v>12001</v>
      </c>
      <c r="G1162" t="s">
        <v>12000</v>
      </c>
      <c r="H1162" t="s">
        <v>8088</v>
      </c>
      <c r="I1162" t="s">
        <v>12000</v>
      </c>
      <c r="J1162" t="s">
        <v>12001</v>
      </c>
      <c r="K1162" t="s">
        <v>12606</v>
      </c>
    </row>
    <row r="1163" spans="1:11" s="1" customFormat="1" x14ac:dyDescent="0.25">
      <c r="A1163" t="s">
        <v>12002</v>
      </c>
      <c r="B1163" t="s">
        <v>12003</v>
      </c>
      <c r="C1163" s="88"/>
      <c r="D1163" s="105"/>
      <c r="E1163">
        <v>195</v>
      </c>
      <c r="F1163" t="s">
        <v>12005</v>
      </c>
      <c r="G1163" t="s">
        <v>12004</v>
      </c>
      <c r="H1163" t="s">
        <v>8088</v>
      </c>
      <c r="I1163" t="s">
        <v>12003</v>
      </c>
      <c r="J1163" t="s">
        <v>12005</v>
      </c>
      <c r="K1163" t="s">
        <v>7393</v>
      </c>
    </row>
    <row r="1164" spans="1:11" s="1" customFormat="1" x14ac:dyDescent="0.25">
      <c r="A1164" t="s">
        <v>12006</v>
      </c>
      <c r="B1164" t="s">
        <v>12007</v>
      </c>
      <c r="C1164" s="88"/>
      <c r="D1164" s="105"/>
      <c r="E1164">
        <v>642</v>
      </c>
      <c r="F1164" t="s">
        <v>12008</v>
      </c>
      <c r="G1164" t="s">
        <v>12007</v>
      </c>
      <c r="H1164" t="s">
        <v>8088</v>
      </c>
      <c r="I1164" t="s">
        <v>12007</v>
      </c>
      <c r="J1164" t="s">
        <v>12008</v>
      </c>
      <c r="K1164" t="s">
        <v>11614</v>
      </c>
    </row>
    <row r="1165" spans="1:11" s="1" customFormat="1" x14ac:dyDescent="0.25">
      <c r="A1165" t="s">
        <v>12009</v>
      </c>
      <c r="B1165" t="s">
        <v>12010</v>
      </c>
      <c r="C1165" s="88"/>
      <c r="D1165" s="105"/>
      <c r="E1165">
        <v>1235</v>
      </c>
      <c r="F1165" t="s">
        <v>12011</v>
      </c>
      <c r="G1165" t="s">
        <v>12010</v>
      </c>
      <c r="H1165" t="s">
        <v>8088</v>
      </c>
      <c r="I1165" t="s">
        <v>12010</v>
      </c>
      <c r="J1165" t="s">
        <v>12011</v>
      </c>
      <c r="K1165" t="s">
        <v>12606</v>
      </c>
    </row>
    <row r="1166" spans="1:11" s="1" customFormat="1" x14ac:dyDescent="0.25">
      <c r="A1166" t="s">
        <v>12012</v>
      </c>
      <c r="B1166" t="s">
        <v>12013</v>
      </c>
      <c r="C1166" s="88"/>
      <c r="D1166" s="105"/>
      <c r="E1166">
        <v>145</v>
      </c>
      <c r="F1166" t="s">
        <v>12014</v>
      </c>
      <c r="G1166" t="s">
        <v>10779</v>
      </c>
      <c r="H1166" t="s">
        <v>8088</v>
      </c>
      <c r="I1166" t="s">
        <v>12013</v>
      </c>
      <c r="J1166" t="s">
        <v>12014</v>
      </c>
      <c r="K1166" t="s">
        <v>10110</v>
      </c>
    </row>
    <row r="1167" spans="1:11" s="1" customFormat="1" x14ac:dyDescent="0.25">
      <c r="A1167" t="s">
        <v>12015</v>
      </c>
      <c r="B1167" t="s">
        <v>12016</v>
      </c>
      <c r="C1167" s="88"/>
      <c r="D1167" s="105"/>
      <c r="E1167">
        <v>645</v>
      </c>
      <c r="F1167" t="s">
        <v>12017</v>
      </c>
      <c r="G1167" t="s">
        <v>12016</v>
      </c>
      <c r="H1167" t="s">
        <v>8088</v>
      </c>
      <c r="I1167" t="s">
        <v>12016</v>
      </c>
      <c r="J1167" t="s">
        <v>12017</v>
      </c>
      <c r="K1167" t="s">
        <v>10110</v>
      </c>
    </row>
    <row r="1168" spans="1:11" s="1" customFormat="1" x14ac:dyDescent="0.25">
      <c r="A1168" t="s">
        <v>12018</v>
      </c>
      <c r="B1168" t="s">
        <v>12019</v>
      </c>
      <c r="C1168" s="88"/>
      <c r="D1168" s="105"/>
      <c r="E1168">
        <v>1454</v>
      </c>
      <c r="F1168" t="s">
        <v>12020</v>
      </c>
      <c r="G1168" t="s">
        <v>12019</v>
      </c>
      <c r="H1168" t="s">
        <v>8088</v>
      </c>
      <c r="I1168" t="s">
        <v>12019</v>
      </c>
      <c r="J1168" t="s">
        <v>12020</v>
      </c>
      <c r="K1168" t="s">
        <v>11614</v>
      </c>
    </row>
    <row r="1169" spans="1:11" s="1" customFormat="1" x14ac:dyDescent="0.25">
      <c r="A1169" t="s">
        <v>12021</v>
      </c>
      <c r="B1169" t="s">
        <v>12022</v>
      </c>
      <c r="C1169" s="88"/>
      <c r="D1169" s="105"/>
      <c r="E1169">
        <v>705</v>
      </c>
      <c r="F1169" t="s">
        <v>12023</v>
      </c>
      <c r="G1169" t="s">
        <v>12022</v>
      </c>
      <c r="H1169" t="s">
        <v>8088</v>
      </c>
      <c r="I1169" t="s">
        <v>12022</v>
      </c>
      <c r="J1169" t="s">
        <v>12023</v>
      </c>
      <c r="K1169" t="s">
        <v>7633</v>
      </c>
    </row>
    <row r="1170" spans="1:11" s="1" customFormat="1" x14ac:dyDescent="0.25">
      <c r="A1170" t="s">
        <v>12024</v>
      </c>
      <c r="B1170" t="s">
        <v>12025</v>
      </c>
      <c r="C1170" s="88"/>
      <c r="D1170" s="105"/>
      <c r="E1170">
        <v>159</v>
      </c>
      <c r="F1170" t="s">
        <v>12026</v>
      </c>
      <c r="G1170" t="s">
        <v>12025</v>
      </c>
      <c r="H1170" t="s">
        <v>8088</v>
      </c>
      <c r="I1170" t="s">
        <v>12025</v>
      </c>
      <c r="J1170" t="s">
        <v>12026</v>
      </c>
      <c r="K1170" t="s">
        <v>7393</v>
      </c>
    </row>
    <row r="1171" spans="1:11" s="1" customFormat="1" x14ac:dyDescent="0.25">
      <c r="A1171" t="s">
        <v>12027</v>
      </c>
      <c r="B1171" t="s">
        <v>12028</v>
      </c>
      <c r="C1171" s="88"/>
      <c r="D1171" s="105"/>
      <c r="E1171">
        <v>1096</v>
      </c>
      <c r="F1171" t="s">
        <v>12029</v>
      </c>
      <c r="G1171" t="s">
        <v>12028</v>
      </c>
      <c r="H1171" t="s">
        <v>8088</v>
      </c>
      <c r="I1171" t="s">
        <v>12028</v>
      </c>
      <c r="J1171" t="s">
        <v>12029</v>
      </c>
      <c r="K1171" t="s">
        <v>11614</v>
      </c>
    </row>
    <row r="1172" spans="1:11" s="1" customFormat="1" x14ac:dyDescent="0.25">
      <c r="A1172" t="s">
        <v>12030</v>
      </c>
      <c r="B1172" t="s">
        <v>12031</v>
      </c>
      <c r="C1172" s="88"/>
      <c r="D1172" s="105"/>
      <c r="E1172">
        <v>234</v>
      </c>
      <c r="F1172" t="s">
        <v>12032</v>
      </c>
      <c r="G1172" t="s">
        <v>12031</v>
      </c>
      <c r="H1172" t="s">
        <v>8088</v>
      </c>
      <c r="I1172" t="s">
        <v>12031</v>
      </c>
      <c r="J1172" t="s">
        <v>12032</v>
      </c>
      <c r="K1172" t="s">
        <v>12606</v>
      </c>
    </row>
    <row r="1173" spans="1:11" s="1" customFormat="1" x14ac:dyDescent="0.25">
      <c r="A1173" t="s">
        <v>12033</v>
      </c>
      <c r="B1173" t="s">
        <v>12034</v>
      </c>
      <c r="C1173" s="88"/>
      <c r="D1173" s="105"/>
      <c r="E1173">
        <v>302</v>
      </c>
      <c r="F1173" t="s">
        <v>12036</v>
      </c>
      <c r="G1173" t="s">
        <v>12035</v>
      </c>
      <c r="H1173" t="s">
        <v>8088</v>
      </c>
      <c r="I1173" t="s">
        <v>12034</v>
      </c>
      <c r="J1173" t="s">
        <v>12036</v>
      </c>
      <c r="K1173" t="s">
        <v>7393</v>
      </c>
    </row>
    <row r="1174" spans="1:11" s="1" customFormat="1" x14ac:dyDescent="0.25">
      <c r="A1174" t="s">
        <v>12037</v>
      </c>
      <c r="B1174" t="s">
        <v>12038</v>
      </c>
      <c r="C1174" s="88"/>
      <c r="D1174" s="105"/>
      <c r="E1174">
        <v>254</v>
      </c>
      <c r="F1174" t="s">
        <v>12039</v>
      </c>
      <c r="G1174" t="s">
        <v>12038</v>
      </c>
      <c r="H1174" t="s">
        <v>8088</v>
      </c>
      <c r="I1174" t="s">
        <v>12038</v>
      </c>
      <c r="J1174" t="s">
        <v>12039</v>
      </c>
      <c r="K1174" t="s">
        <v>7393</v>
      </c>
    </row>
    <row r="1175" spans="1:11" s="1" customFormat="1" x14ac:dyDescent="0.25">
      <c r="A1175" t="s">
        <v>12040</v>
      </c>
      <c r="B1175" t="s">
        <v>12041</v>
      </c>
      <c r="C1175" s="88"/>
      <c r="D1175" s="105"/>
      <c r="E1175">
        <v>485</v>
      </c>
      <c r="F1175" t="s">
        <v>12042</v>
      </c>
      <c r="G1175" t="s">
        <v>12041</v>
      </c>
      <c r="H1175" t="s">
        <v>8088</v>
      </c>
      <c r="I1175" t="s">
        <v>12041</v>
      </c>
      <c r="J1175" t="s">
        <v>12042</v>
      </c>
      <c r="K1175" t="s">
        <v>12606</v>
      </c>
    </row>
    <row r="1176" spans="1:11" s="1" customFormat="1" x14ac:dyDescent="0.25">
      <c r="A1176" t="s">
        <v>12043</v>
      </c>
      <c r="B1176" t="s">
        <v>12044</v>
      </c>
      <c r="C1176" s="88"/>
      <c r="D1176" s="105"/>
      <c r="E1176">
        <v>856</v>
      </c>
      <c r="F1176" t="s">
        <v>12045</v>
      </c>
      <c r="G1176" t="s">
        <v>12044</v>
      </c>
      <c r="H1176" t="s">
        <v>8088</v>
      </c>
      <c r="I1176" t="s">
        <v>12044</v>
      </c>
      <c r="J1176" t="s">
        <v>12045</v>
      </c>
      <c r="K1176" t="s">
        <v>8917</v>
      </c>
    </row>
    <row r="1177" spans="1:11" s="1" customFormat="1" x14ac:dyDescent="0.25">
      <c r="A1177" t="s">
        <v>12046</v>
      </c>
      <c r="B1177" t="s">
        <v>12047</v>
      </c>
      <c r="C1177" s="88"/>
      <c r="D1177" s="105"/>
      <c r="E1177">
        <v>459</v>
      </c>
      <c r="F1177" t="s">
        <v>12048</v>
      </c>
      <c r="G1177" t="s">
        <v>12047</v>
      </c>
      <c r="H1177" t="s">
        <v>8088</v>
      </c>
      <c r="I1177" t="s">
        <v>12047</v>
      </c>
      <c r="J1177" t="s">
        <v>12048</v>
      </c>
      <c r="K1177" t="s">
        <v>8917</v>
      </c>
    </row>
    <row r="1178" spans="1:11" s="1" customFormat="1" x14ac:dyDescent="0.25">
      <c r="A1178" t="s">
        <v>12049</v>
      </c>
      <c r="B1178" t="s">
        <v>12050</v>
      </c>
      <c r="C1178" s="88"/>
      <c r="D1178" s="105"/>
      <c r="E1178">
        <v>626</v>
      </c>
      <c r="F1178" t="s">
        <v>12051</v>
      </c>
      <c r="G1178" t="s">
        <v>12050</v>
      </c>
      <c r="H1178" t="s">
        <v>8088</v>
      </c>
      <c r="I1178" t="s">
        <v>12050</v>
      </c>
      <c r="J1178" t="s">
        <v>12051</v>
      </c>
      <c r="K1178" t="s">
        <v>7633</v>
      </c>
    </row>
    <row r="1179" spans="1:11" s="1" customFormat="1" x14ac:dyDescent="0.25">
      <c r="A1179" t="s">
        <v>12052</v>
      </c>
      <c r="B1179" t="s">
        <v>12053</v>
      </c>
      <c r="C1179" s="88"/>
      <c r="D1179" s="105"/>
      <c r="E1179">
        <v>554</v>
      </c>
      <c r="F1179" t="s">
        <v>12054</v>
      </c>
      <c r="G1179" t="s">
        <v>12053</v>
      </c>
      <c r="H1179" t="s">
        <v>8088</v>
      </c>
      <c r="I1179" t="s">
        <v>12053</v>
      </c>
      <c r="J1179" t="s">
        <v>12054</v>
      </c>
      <c r="K1179" t="s">
        <v>7633</v>
      </c>
    </row>
    <row r="1180" spans="1:11" s="1" customFormat="1" x14ac:dyDescent="0.25">
      <c r="A1180" t="s">
        <v>12055</v>
      </c>
      <c r="B1180" t="s">
        <v>12056</v>
      </c>
      <c r="C1180" s="88"/>
      <c r="D1180" s="105"/>
      <c r="E1180">
        <v>498</v>
      </c>
      <c r="F1180" t="s">
        <v>12057</v>
      </c>
      <c r="G1180" t="s">
        <v>12056</v>
      </c>
      <c r="H1180" t="s">
        <v>8088</v>
      </c>
      <c r="I1180" t="s">
        <v>12056</v>
      </c>
      <c r="J1180" t="s">
        <v>12057</v>
      </c>
      <c r="K1180" t="s">
        <v>12606</v>
      </c>
    </row>
    <row r="1181" spans="1:11" s="1" customFormat="1" x14ac:dyDescent="0.25">
      <c r="A1181" t="s">
        <v>12058</v>
      </c>
      <c r="B1181" t="s">
        <v>12059</v>
      </c>
      <c r="C1181" s="88"/>
      <c r="D1181" s="105"/>
      <c r="E1181">
        <v>136</v>
      </c>
      <c r="F1181" t="s">
        <v>12060</v>
      </c>
      <c r="G1181" t="s">
        <v>12059</v>
      </c>
      <c r="H1181" t="s">
        <v>8088</v>
      </c>
      <c r="I1181" t="s">
        <v>12059</v>
      </c>
      <c r="J1181" t="s">
        <v>12060</v>
      </c>
      <c r="K1181" t="s">
        <v>12606</v>
      </c>
    </row>
    <row r="1182" spans="1:11" s="1" customFormat="1" x14ac:dyDescent="0.25">
      <c r="A1182" t="s">
        <v>12061</v>
      </c>
      <c r="B1182" t="s">
        <v>12062</v>
      </c>
      <c r="C1182" s="88"/>
      <c r="D1182" s="105"/>
      <c r="E1182">
        <v>385</v>
      </c>
      <c r="F1182" t="s">
        <v>12063</v>
      </c>
      <c r="G1182" t="s">
        <v>12062</v>
      </c>
      <c r="H1182" t="s">
        <v>8088</v>
      </c>
      <c r="I1182" t="s">
        <v>12062</v>
      </c>
      <c r="J1182" t="s">
        <v>12063</v>
      </c>
      <c r="K1182" t="s">
        <v>12606</v>
      </c>
    </row>
    <row r="1183" spans="1:11" s="1" customFormat="1" x14ac:dyDescent="0.25">
      <c r="A1183" t="s">
        <v>12064</v>
      </c>
      <c r="B1183" t="s">
        <v>12065</v>
      </c>
      <c r="C1183" s="88"/>
      <c r="D1183" s="105"/>
      <c r="E1183">
        <v>698</v>
      </c>
      <c r="F1183" t="s">
        <v>12066</v>
      </c>
      <c r="G1183" t="s">
        <v>12065</v>
      </c>
      <c r="H1183" t="s">
        <v>8088</v>
      </c>
      <c r="I1183" t="s">
        <v>12065</v>
      </c>
      <c r="J1183" t="s">
        <v>12066</v>
      </c>
      <c r="K1183" t="s">
        <v>8917</v>
      </c>
    </row>
    <row r="1184" spans="1:11" s="1" customFormat="1" x14ac:dyDescent="0.25">
      <c r="A1184" t="s">
        <v>12067</v>
      </c>
      <c r="B1184" t="s">
        <v>12068</v>
      </c>
      <c r="C1184" s="88"/>
      <c r="D1184" s="105"/>
      <c r="E1184">
        <v>397</v>
      </c>
      <c r="F1184" t="s">
        <v>12069</v>
      </c>
      <c r="G1184" t="s">
        <v>12068</v>
      </c>
      <c r="H1184" t="s">
        <v>8088</v>
      </c>
      <c r="I1184" t="s">
        <v>12068</v>
      </c>
      <c r="J1184" t="s">
        <v>12069</v>
      </c>
      <c r="K1184" t="s">
        <v>12606</v>
      </c>
    </row>
    <row r="1185" spans="1:11" s="1" customFormat="1" x14ac:dyDescent="0.25">
      <c r="A1185" t="s">
        <v>12070</v>
      </c>
      <c r="B1185" t="s">
        <v>12071</v>
      </c>
      <c r="C1185" s="88"/>
      <c r="D1185" s="105"/>
      <c r="E1185">
        <v>217</v>
      </c>
      <c r="F1185" t="s">
        <v>12072</v>
      </c>
      <c r="G1185" t="s">
        <v>12071</v>
      </c>
      <c r="H1185" t="s">
        <v>8088</v>
      </c>
      <c r="I1185" t="s">
        <v>12071</v>
      </c>
      <c r="J1185" t="s">
        <v>12072</v>
      </c>
      <c r="K1185" t="s">
        <v>12607</v>
      </c>
    </row>
    <row r="1186" spans="1:11" s="1" customFormat="1" x14ac:dyDescent="0.25">
      <c r="A1186" t="s">
        <v>12073</v>
      </c>
      <c r="B1186" t="s">
        <v>12074</v>
      </c>
      <c r="C1186" s="88"/>
      <c r="D1186" s="105"/>
      <c r="E1186">
        <v>1178</v>
      </c>
      <c r="F1186" t="s">
        <v>12075</v>
      </c>
      <c r="G1186" t="s">
        <v>12074</v>
      </c>
      <c r="H1186" t="s">
        <v>8088</v>
      </c>
      <c r="I1186" t="s">
        <v>12074</v>
      </c>
      <c r="J1186" t="s">
        <v>12075</v>
      </c>
      <c r="K1186" t="s">
        <v>7393</v>
      </c>
    </row>
    <row r="1187" spans="1:11" s="1" customFormat="1" x14ac:dyDescent="0.25">
      <c r="A1187" t="s">
        <v>12076</v>
      </c>
      <c r="B1187" t="s">
        <v>12077</v>
      </c>
      <c r="C1187" s="88"/>
      <c r="D1187" s="105"/>
      <c r="E1187">
        <v>963</v>
      </c>
      <c r="F1187" t="s">
        <v>12079</v>
      </c>
      <c r="G1187" t="s">
        <v>12078</v>
      </c>
      <c r="H1187" t="s">
        <v>8088</v>
      </c>
      <c r="I1187" t="s">
        <v>12077</v>
      </c>
      <c r="J1187" t="s">
        <v>12079</v>
      </c>
      <c r="K1187" t="s">
        <v>7393</v>
      </c>
    </row>
    <row r="1188" spans="1:11" s="1" customFormat="1" x14ac:dyDescent="0.25">
      <c r="A1188" t="s">
        <v>12080</v>
      </c>
      <c r="B1188" t="s">
        <v>12081</v>
      </c>
      <c r="C1188" s="88"/>
      <c r="D1188" s="105"/>
      <c r="E1188">
        <v>1199</v>
      </c>
      <c r="F1188" t="s">
        <v>12082</v>
      </c>
      <c r="G1188" t="s">
        <v>12081</v>
      </c>
      <c r="H1188" t="s">
        <v>8088</v>
      </c>
      <c r="I1188" t="s">
        <v>12081</v>
      </c>
      <c r="J1188" t="s">
        <v>12082</v>
      </c>
      <c r="K1188" t="s">
        <v>11614</v>
      </c>
    </row>
    <row r="1189" spans="1:11" s="1" customFormat="1" x14ac:dyDescent="0.25">
      <c r="A1189" t="s">
        <v>12083</v>
      </c>
      <c r="B1189" t="s">
        <v>12084</v>
      </c>
      <c r="C1189" s="88"/>
      <c r="D1189" s="105"/>
      <c r="E1189">
        <v>821</v>
      </c>
      <c r="F1189" t="s">
        <v>12085</v>
      </c>
      <c r="G1189" t="s">
        <v>12084</v>
      </c>
      <c r="H1189" t="s">
        <v>8088</v>
      </c>
      <c r="I1189" t="s">
        <v>12084</v>
      </c>
      <c r="J1189" t="s">
        <v>12085</v>
      </c>
      <c r="K1189" t="s">
        <v>7393</v>
      </c>
    </row>
    <row r="1190" spans="1:11" s="1" customFormat="1" x14ac:dyDescent="0.25">
      <c r="A1190" t="s">
        <v>12086</v>
      </c>
      <c r="B1190" t="s">
        <v>12087</v>
      </c>
      <c r="C1190" s="88"/>
      <c r="D1190" s="105"/>
      <c r="E1190">
        <v>884</v>
      </c>
      <c r="F1190" t="s">
        <v>12089</v>
      </c>
      <c r="G1190" t="s">
        <v>12088</v>
      </c>
      <c r="H1190" t="s">
        <v>8088</v>
      </c>
      <c r="I1190" t="s">
        <v>12087</v>
      </c>
      <c r="J1190" t="s">
        <v>12089</v>
      </c>
      <c r="K1190" t="s">
        <v>10110</v>
      </c>
    </row>
    <row r="1191" spans="1:11" s="1" customFormat="1" x14ac:dyDescent="0.25">
      <c r="A1191" t="s">
        <v>12090</v>
      </c>
      <c r="B1191" t="s">
        <v>12091</v>
      </c>
      <c r="C1191" s="88"/>
      <c r="D1191" s="105"/>
      <c r="E1191">
        <v>345</v>
      </c>
      <c r="F1191" t="s">
        <v>12092</v>
      </c>
      <c r="G1191" t="s">
        <v>12091</v>
      </c>
      <c r="H1191" t="s">
        <v>8088</v>
      </c>
      <c r="I1191" t="s">
        <v>12091</v>
      </c>
      <c r="J1191" t="s">
        <v>12092</v>
      </c>
      <c r="K1191" t="s">
        <v>10110</v>
      </c>
    </row>
    <row r="1192" spans="1:11" s="1" customFormat="1" x14ac:dyDescent="0.25">
      <c r="A1192" t="s">
        <v>12093</v>
      </c>
      <c r="B1192" t="s">
        <v>12094</v>
      </c>
      <c r="C1192" s="88"/>
      <c r="D1192" s="105"/>
      <c r="E1192">
        <v>161</v>
      </c>
      <c r="F1192" t="s">
        <v>12095</v>
      </c>
      <c r="G1192" t="s">
        <v>12094</v>
      </c>
      <c r="H1192" t="s">
        <v>8088</v>
      </c>
      <c r="I1192" t="s">
        <v>12094</v>
      </c>
      <c r="J1192" t="s">
        <v>12095</v>
      </c>
      <c r="K1192" t="s">
        <v>10110</v>
      </c>
    </row>
    <row r="1193" spans="1:11" s="1" customFormat="1" x14ac:dyDescent="0.25">
      <c r="A1193" t="s">
        <v>12096</v>
      </c>
      <c r="B1193" t="s">
        <v>12097</v>
      </c>
      <c r="C1193" s="88"/>
      <c r="D1193" s="105"/>
      <c r="E1193">
        <v>530</v>
      </c>
      <c r="F1193" t="s">
        <v>12098</v>
      </c>
      <c r="G1193" t="s">
        <v>12097</v>
      </c>
      <c r="H1193" t="s">
        <v>8088</v>
      </c>
      <c r="I1193" t="s">
        <v>12097</v>
      </c>
      <c r="J1193" t="s">
        <v>12098</v>
      </c>
      <c r="K1193" t="s">
        <v>7393</v>
      </c>
    </row>
    <row r="1194" spans="1:11" s="1" customFormat="1" x14ac:dyDescent="0.25">
      <c r="A1194" t="s">
        <v>12099</v>
      </c>
      <c r="B1194" t="s">
        <v>12100</v>
      </c>
      <c r="C1194" s="88"/>
      <c r="D1194" s="105"/>
      <c r="E1194">
        <v>298</v>
      </c>
      <c r="F1194" t="s">
        <v>12101</v>
      </c>
      <c r="G1194" t="s">
        <v>12100</v>
      </c>
      <c r="H1194" t="s">
        <v>8088</v>
      </c>
      <c r="I1194" t="s">
        <v>12100</v>
      </c>
      <c r="J1194" t="s">
        <v>12101</v>
      </c>
      <c r="K1194" t="s">
        <v>12606</v>
      </c>
    </row>
    <row r="1195" spans="1:11" s="1" customFormat="1" x14ac:dyDescent="0.25">
      <c r="A1195" t="s">
        <v>12102</v>
      </c>
      <c r="B1195" t="s">
        <v>12103</v>
      </c>
      <c r="C1195" s="88"/>
      <c r="D1195" s="105"/>
      <c r="E1195">
        <v>117</v>
      </c>
      <c r="F1195" t="s">
        <v>12104</v>
      </c>
      <c r="G1195" t="s">
        <v>12103</v>
      </c>
      <c r="H1195" t="s">
        <v>8088</v>
      </c>
      <c r="I1195" t="s">
        <v>12103</v>
      </c>
      <c r="J1195" t="s">
        <v>12104</v>
      </c>
      <c r="K1195" t="s">
        <v>12607</v>
      </c>
    </row>
    <row r="1196" spans="1:11" s="1" customFormat="1" x14ac:dyDescent="0.25">
      <c r="A1196" t="s">
        <v>12105</v>
      </c>
      <c r="B1196" t="s">
        <v>12106</v>
      </c>
      <c r="C1196" s="88"/>
      <c r="D1196" s="105"/>
      <c r="E1196">
        <v>344</v>
      </c>
      <c r="F1196" t="s">
        <v>12107</v>
      </c>
      <c r="G1196" t="s">
        <v>12106</v>
      </c>
      <c r="H1196" t="s">
        <v>8088</v>
      </c>
      <c r="I1196" t="s">
        <v>12106</v>
      </c>
      <c r="J1196" t="s">
        <v>12107</v>
      </c>
      <c r="K1196" t="s">
        <v>12606</v>
      </c>
    </row>
    <row r="1197" spans="1:11" s="1" customFormat="1" x14ac:dyDescent="0.25">
      <c r="A1197" t="s">
        <v>12108</v>
      </c>
      <c r="B1197" t="s">
        <v>12109</v>
      </c>
      <c r="C1197" s="88"/>
      <c r="D1197" s="105"/>
      <c r="E1197">
        <v>575</v>
      </c>
      <c r="F1197" t="s">
        <v>12110</v>
      </c>
      <c r="G1197" t="s">
        <v>12109</v>
      </c>
      <c r="H1197" t="s">
        <v>8088</v>
      </c>
      <c r="I1197" t="s">
        <v>12109</v>
      </c>
      <c r="J1197" t="s">
        <v>12110</v>
      </c>
      <c r="K1197" t="s">
        <v>7633</v>
      </c>
    </row>
    <row r="1198" spans="1:11" s="1" customFormat="1" x14ac:dyDescent="0.25">
      <c r="A1198" t="s">
        <v>12111</v>
      </c>
      <c r="B1198" t="s">
        <v>12112</v>
      </c>
      <c r="C1198" s="88"/>
      <c r="D1198" s="105"/>
      <c r="E1198">
        <v>99</v>
      </c>
      <c r="F1198" t="s">
        <v>12113</v>
      </c>
      <c r="G1198" t="s">
        <v>12112</v>
      </c>
      <c r="H1198" t="s">
        <v>8088</v>
      </c>
      <c r="I1198" t="s">
        <v>12112</v>
      </c>
      <c r="J1198" t="s">
        <v>12113</v>
      </c>
      <c r="K1198" t="s">
        <v>12606</v>
      </c>
    </row>
    <row r="1199" spans="1:11" s="1" customFormat="1" x14ac:dyDescent="0.25">
      <c r="A1199" t="s">
        <v>12114</v>
      </c>
      <c r="B1199" t="s">
        <v>12115</v>
      </c>
      <c r="C1199" s="88"/>
      <c r="D1199" s="105"/>
      <c r="E1199">
        <v>416</v>
      </c>
      <c r="F1199" t="s">
        <v>12116</v>
      </c>
      <c r="G1199" t="s">
        <v>12115</v>
      </c>
      <c r="H1199" t="s">
        <v>8088</v>
      </c>
      <c r="I1199" t="s">
        <v>12115</v>
      </c>
      <c r="J1199" t="s">
        <v>12116</v>
      </c>
      <c r="K1199" t="s">
        <v>10110</v>
      </c>
    </row>
    <row r="1200" spans="1:11" s="1" customFormat="1" x14ac:dyDescent="0.25">
      <c r="A1200" t="s">
        <v>12117</v>
      </c>
      <c r="B1200" t="s">
        <v>12118</v>
      </c>
      <c r="C1200" s="88"/>
      <c r="D1200" s="105"/>
      <c r="E1200">
        <v>1081</v>
      </c>
      <c r="F1200" t="s">
        <v>12119</v>
      </c>
      <c r="G1200" t="s">
        <v>12118</v>
      </c>
      <c r="H1200" t="s">
        <v>8088</v>
      </c>
      <c r="I1200" t="s">
        <v>12118</v>
      </c>
      <c r="J1200" t="s">
        <v>12119</v>
      </c>
      <c r="K1200" t="s">
        <v>7633</v>
      </c>
    </row>
    <row r="1201" spans="1:11" s="1" customFormat="1" x14ac:dyDescent="0.25">
      <c r="A1201" t="s">
        <v>12120</v>
      </c>
      <c r="B1201" t="s">
        <v>10110</v>
      </c>
      <c r="C1201" s="88"/>
      <c r="D1201" s="105"/>
      <c r="E1201">
        <v>1202</v>
      </c>
      <c r="F1201" t="s">
        <v>12121</v>
      </c>
      <c r="G1201" t="s">
        <v>10110</v>
      </c>
      <c r="H1201" t="s">
        <v>8088</v>
      </c>
      <c r="I1201" t="s">
        <v>10110</v>
      </c>
      <c r="J1201" t="s">
        <v>12121</v>
      </c>
      <c r="K1201" t="s">
        <v>10110</v>
      </c>
    </row>
    <row r="1202" spans="1:11" s="1" customFormat="1" x14ac:dyDescent="0.25">
      <c r="A1202" t="s">
        <v>12122</v>
      </c>
      <c r="B1202" t="s">
        <v>12123</v>
      </c>
      <c r="C1202" s="88"/>
      <c r="D1202" s="105"/>
      <c r="E1202">
        <v>394</v>
      </c>
      <c r="F1202" t="s">
        <v>12124</v>
      </c>
      <c r="G1202" t="s">
        <v>12123</v>
      </c>
      <c r="H1202" t="s">
        <v>8088</v>
      </c>
      <c r="I1202" t="s">
        <v>12123</v>
      </c>
      <c r="J1202" t="s">
        <v>12124</v>
      </c>
      <c r="K1202" t="s">
        <v>12606</v>
      </c>
    </row>
    <row r="1203" spans="1:11" s="1" customFormat="1" x14ac:dyDescent="0.25">
      <c r="A1203" t="s">
        <v>12125</v>
      </c>
      <c r="B1203" t="s">
        <v>12126</v>
      </c>
      <c r="C1203" s="88"/>
      <c r="D1203" s="105"/>
      <c r="E1203">
        <v>1071</v>
      </c>
      <c r="F1203" t="s">
        <v>12127</v>
      </c>
      <c r="G1203" t="s">
        <v>12126</v>
      </c>
      <c r="H1203" t="s">
        <v>8088</v>
      </c>
      <c r="I1203" t="s">
        <v>12126</v>
      </c>
      <c r="J1203" t="s">
        <v>12127</v>
      </c>
      <c r="K1203" t="s">
        <v>12606</v>
      </c>
    </row>
    <row r="1204" spans="1:11" s="1" customFormat="1" x14ac:dyDescent="0.25">
      <c r="A1204" t="s">
        <v>12128</v>
      </c>
      <c r="B1204" t="s">
        <v>12129</v>
      </c>
      <c r="C1204" s="88"/>
      <c r="D1204" s="105"/>
      <c r="E1204">
        <v>468</v>
      </c>
      <c r="F1204" t="s">
        <v>12130</v>
      </c>
      <c r="G1204" t="s">
        <v>12129</v>
      </c>
      <c r="H1204" t="s">
        <v>8088</v>
      </c>
      <c r="I1204" t="s">
        <v>12129</v>
      </c>
      <c r="J1204" t="s">
        <v>12130</v>
      </c>
      <c r="K1204" t="s">
        <v>7393</v>
      </c>
    </row>
    <row r="1205" spans="1:11" s="1" customFormat="1" x14ac:dyDescent="0.25">
      <c r="A1205" t="s">
        <v>12131</v>
      </c>
      <c r="B1205" t="s">
        <v>12132</v>
      </c>
      <c r="C1205" s="88"/>
      <c r="D1205" s="105"/>
      <c r="E1205">
        <v>560</v>
      </c>
      <c r="F1205" t="s">
        <v>12133</v>
      </c>
      <c r="G1205" t="s">
        <v>12132</v>
      </c>
      <c r="H1205" t="s">
        <v>8088</v>
      </c>
      <c r="I1205" t="s">
        <v>12132</v>
      </c>
      <c r="J1205" t="s">
        <v>12133</v>
      </c>
      <c r="K1205" t="s">
        <v>12607</v>
      </c>
    </row>
    <row r="1206" spans="1:11" s="1" customFormat="1" x14ac:dyDescent="0.25">
      <c r="A1206" t="s">
        <v>12134</v>
      </c>
      <c r="B1206" t="s">
        <v>12135</v>
      </c>
      <c r="C1206" s="88"/>
      <c r="D1206" s="105"/>
      <c r="E1206">
        <v>344</v>
      </c>
      <c r="F1206" t="s">
        <v>12136</v>
      </c>
      <c r="G1206" t="s">
        <v>12135</v>
      </c>
      <c r="H1206" t="s">
        <v>8088</v>
      </c>
      <c r="I1206" t="s">
        <v>12135</v>
      </c>
      <c r="J1206" t="s">
        <v>12136</v>
      </c>
      <c r="K1206" t="s">
        <v>12606</v>
      </c>
    </row>
    <row r="1207" spans="1:11" s="1" customFormat="1" x14ac:dyDescent="0.25">
      <c r="A1207" t="s">
        <v>12137</v>
      </c>
      <c r="B1207" t="s">
        <v>12138</v>
      </c>
      <c r="C1207" s="88"/>
      <c r="D1207" s="105"/>
      <c r="E1207">
        <v>573</v>
      </c>
      <c r="F1207" t="s">
        <v>12139</v>
      </c>
      <c r="G1207" t="s">
        <v>12138</v>
      </c>
      <c r="H1207" t="s">
        <v>8088</v>
      </c>
      <c r="I1207" t="s">
        <v>12138</v>
      </c>
      <c r="J1207" t="s">
        <v>12139</v>
      </c>
      <c r="K1207" t="s">
        <v>10110</v>
      </c>
    </row>
    <row r="1208" spans="1:11" s="1" customFormat="1" x14ac:dyDescent="0.25">
      <c r="A1208" t="s">
        <v>12140</v>
      </c>
      <c r="B1208" t="s">
        <v>12141</v>
      </c>
      <c r="C1208" s="88"/>
      <c r="D1208" s="105"/>
      <c r="E1208">
        <v>180</v>
      </c>
      <c r="F1208" t="s">
        <v>12142</v>
      </c>
      <c r="G1208" t="s">
        <v>12141</v>
      </c>
      <c r="H1208" t="s">
        <v>8088</v>
      </c>
      <c r="I1208" t="s">
        <v>12141</v>
      </c>
      <c r="J1208" t="s">
        <v>12142</v>
      </c>
      <c r="K1208" t="s">
        <v>8917</v>
      </c>
    </row>
    <row r="1209" spans="1:11" s="1" customFormat="1" x14ac:dyDescent="0.25">
      <c r="A1209" t="s">
        <v>12143</v>
      </c>
      <c r="B1209" t="s">
        <v>12144</v>
      </c>
      <c r="C1209" s="88"/>
      <c r="D1209" s="105"/>
      <c r="E1209">
        <v>1096</v>
      </c>
      <c r="F1209" t="s">
        <v>12145</v>
      </c>
      <c r="G1209" t="s">
        <v>12144</v>
      </c>
      <c r="H1209" t="s">
        <v>8088</v>
      </c>
      <c r="I1209" t="s">
        <v>12144</v>
      </c>
      <c r="J1209" t="s">
        <v>12145</v>
      </c>
      <c r="K1209" t="s">
        <v>12607</v>
      </c>
    </row>
    <row r="1210" spans="1:11" s="1" customFormat="1" x14ac:dyDescent="0.25">
      <c r="A1210" t="s">
        <v>12146</v>
      </c>
      <c r="B1210" t="s">
        <v>12147</v>
      </c>
      <c r="C1210" s="88"/>
      <c r="D1210" s="105"/>
      <c r="E1210">
        <v>497</v>
      </c>
      <c r="F1210" t="s">
        <v>12148</v>
      </c>
      <c r="G1210" t="s">
        <v>12147</v>
      </c>
      <c r="H1210" t="s">
        <v>8088</v>
      </c>
      <c r="I1210" t="s">
        <v>12147</v>
      </c>
      <c r="J1210" t="s">
        <v>12148</v>
      </c>
      <c r="K1210" t="s">
        <v>12606</v>
      </c>
    </row>
    <row r="1211" spans="1:11" s="1" customFormat="1" x14ac:dyDescent="0.25">
      <c r="A1211" t="s">
        <v>12149</v>
      </c>
      <c r="B1211" t="s">
        <v>13212</v>
      </c>
      <c r="C1211" s="88"/>
      <c r="D1211" s="105"/>
      <c r="E1211">
        <v>446</v>
      </c>
      <c r="F1211" t="s">
        <v>12150</v>
      </c>
      <c r="G1211" t="s">
        <v>13212</v>
      </c>
      <c r="H1211" t="s">
        <v>8088</v>
      </c>
      <c r="I1211" t="s">
        <v>13212</v>
      </c>
      <c r="J1211" t="s">
        <v>12150</v>
      </c>
      <c r="K1211" t="s">
        <v>12606</v>
      </c>
    </row>
    <row r="1212" spans="1:11" s="1" customFormat="1" x14ac:dyDescent="0.25">
      <c r="A1212" t="s">
        <v>12151</v>
      </c>
      <c r="B1212" t="s">
        <v>12152</v>
      </c>
      <c r="C1212" s="88"/>
      <c r="D1212" s="105"/>
      <c r="E1212">
        <v>802</v>
      </c>
      <c r="F1212" t="s">
        <v>12153</v>
      </c>
      <c r="G1212" t="s">
        <v>12152</v>
      </c>
      <c r="H1212" t="s">
        <v>8088</v>
      </c>
      <c r="I1212" t="s">
        <v>12152</v>
      </c>
      <c r="J1212" t="s">
        <v>12153</v>
      </c>
      <c r="K1212" t="s">
        <v>7393</v>
      </c>
    </row>
    <row r="1213" spans="1:11" s="1" customFormat="1" x14ac:dyDescent="0.25">
      <c r="A1213" t="s">
        <v>12154</v>
      </c>
      <c r="B1213" t="s">
        <v>12155</v>
      </c>
      <c r="C1213" s="88"/>
      <c r="D1213" s="105"/>
      <c r="E1213">
        <v>401</v>
      </c>
      <c r="F1213" t="s">
        <v>12156</v>
      </c>
      <c r="G1213" t="s">
        <v>12155</v>
      </c>
      <c r="H1213" t="s">
        <v>8088</v>
      </c>
      <c r="I1213" t="s">
        <v>12155</v>
      </c>
      <c r="J1213" t="s">
        <v>12156</v>
      </c>
      <c r="K1213" t="s">
        <v>12607</v>
      </c>
    </row>
    <row r="1214" spans="1:11" s="1" customFormat="1" x14ac:dyDescent="0.25">
      <c r="A1214" t="s">
        <v>12157</v>
      </c>
      <c r="B1214" t="s">
        <v>12158</v>
      </c>
      <c r="C1214" s="88"/>
      <c r="D1214" s="105"/>
      <c r="E1214">
        <v>1972</v>
      </c>
      <c r="F1214" t="s">
        <v>12160</v>
      </c>
      <c r="G1214" t="s">
        <v>12159</v>
      </c>
      <c r="H1214" t="s">
        <v>8088</v>
      </c>
      <c r="I1214" t="s">
        <v>12158</v>
      </c>
      <c r="J1214" t="s">
        <v>12160</v>
      </c>
      <c r="K1214" t="s">
        <v>11614</v>
      </c>
    </row>
    <row r="1215" spans="1:11" s="1" customFormat="1" x14ac:dyDescent="0.25">
      <c r="A1215" t="s">
        <v>12161</v>
      </c>
      <c r="B1215" t="s">
        <v>12162</v>
      </c>
      <c r="C1215" s="88"/>
      <c r="D1215" s="105"/>
      <c r="E1215">
        <v>799</v>
      </c>
      <c r="F1215" t="s">
        <v>12163</v>
      </c>
      <c r="G1215" t="s">
        <v>12162</v>
      </c>
      <c r="H1215" t="s">
        <v>8088</v>
      </c>
      <c r="I1215" t="s">
        <v>12162</v>
      </c>
      <c r="J1215" t="s">
        <v>12163</v>
      </c>
      <c r="K1215" t="s">
        <v>10110</v>
      </c>
    </row>
    <row r="1216" spans="1:11" s="1" customFormat="1" x14ac:dyDescent="0.25">
      <c r="A1216" t="s">
        <v>12164</v>
      </c>
      <c r="B1216" t="s">
        <v>12165</v>
      </c>
      <c r="C1216" s="88"/>
      <c r="D1216" s="105"/>
      <c r="E1216">
        <v>680</v>
      </c>
      <c r="F1216" t="s">
        <v>12166</v>
      </c>
      <c r="G1216" t="s">
        <v>12165</v>
      </c>
      <c r="H1216" t="s">
        <v>8088</v>
      </c>
      <c r="I1216" t="s">
        <v>12165</v>
      </c>
      <c r="J1216" t="s">
        <v>12166</v>
      </c>
      <c r="K1216" t="s">
        <v>12606</v>
      </c>
    </row>
    <row r="1217" spans="1:11" s="1" customFormat="1" x14ac:dyDescent="0.25">
      <c r="A1217" t="s">
        <v>12167</v>
      </c>
      <c r="B1217" t="s">
        <v>12168</v>
      </c>
      <c r="C1217" s="88"/>
      <c r="D1217" s="105"/>
      <c r="E1217">
        <v>2124</v>
      </c>
      <c r="F1217" t="s">
        <v>12169</v>
      </c>
      <c r="G1217" t="s">
        <v>12168</v>
      </c>
      <c r="H1217" t="s">
        <v>8088</v>
      </c>
      <c r="I1217" t="s">
        <v>12168</v>
      </c>
      <c r="J1217" t="s">
        <v>12169</v>
      </c>
      <c r="K1217" t="s">
        <v>11614</v>
      </c>
    </row>
    <row r="1218" spans="1:11" s="1" customFormat="1" x14ac:dyDescent="0.25">
      <c r="A1218" t="s">
        <v>12170</v>
      </c>
      <c r="B1218" t="s">
        <v>12171</v>
      </c>
      <c r="C1218" s="88"/>
      <c r="D1218" s="105"/>
      <c r="E1218"/>
      <c r="F1218" t="s">
        <v>12172</v>
      </c>
      <c r="G1218" t="s">
        <v>12171</v>
      </c>
      <c r="H1218" t="s">
        <v>8088</v>
      </c>
      <c r="I1218" t="s">
        <v>12171</v>
      </c>
      <c r="J1218" t="s">
        <v>12172</v>
      </c>
      <c r="K1218" t="s">
        <v>7505</v>
      </c>
    </row>
    <row r="1219" spans="1:11" s="1" customFormat="1" x14ac:dyDescent="0.25">
      <c r="A1219" t="s">
        <v>12173</v>
      </c>
      <c r="B1219" t="s">
        <v>12174</v>
      </c>
      <c r="C1219" s="88"/>
      <c r="D1219" s="105"/>
      <c r="E1219"/>
      <c r="F1219" t="s">
        <v>12175</v>
      </c>
      <c r="G1219" t="s">
        <v>12174</v>
      </c>
      <c r="H1219" t="s">
        <v>8088</v>
      </c>
      <c r="I1219" t="s">
        <v>12174</v>
      </c>
      <c r="J1219" t="s">
        <v>12175</v>
      </c>
      <c r="K1219" t="s">
        <v>7505</v>
      </c>
    </row>
    <row r="1220" spans="1:11" s="1" customFormat="1" x14ac:dyDescent="0.25">
      <c r="A1220" t="s">
        <v>12176</v>
      </c>
      <c r="B1220" t="s">
        <v>12177</v>
      </c>
      <c r="C1220" s="88"/>
      <c r="D1220" s="105"/>
      <c r="E1220"/>
      <c r="F1220" t="s">
        <v>12178</v>
      </c>
      <c r="G1220" t="s">
        <v>12177</v>
      </c>
      <c r="H1220" t="s">
        <v>8088</v>
      </c>
      <c r="I1220" t="s">
        <v>12177</v>
      </c>
      <c r="J1220" t="s">
        <v>12178</v>
      </c>
      <c r="K1220" t="s">
        <v>12605</v>
      </c>
    </row>
    <row r="1221" spans="1:11" s="1" customFormat="1" x14ac:dyDescent="0.25">
      <c r="A1221" t="s">
        <v>12179</v>
      </c>
      <c r="B1221" t="s">
        <v>12180</v>
      </c>
      <c r="C1221" s="88"/>
      <c r="D1221" s="105"/>
      <c r="E1221">
        <v>0</v>
      </c>
      <c r="F1221" t="s">
        <v>12181</v>
      </c>
      <c r="G1221" t="s">
        <v>12180</v>
      </c>
      <c r="H1221" t="s">
        <v>8088</v>
      </c>
      <c r="I1221" t="s">
        <v>12180</v>
      </c>
      <c r="J1221" t="s">
        <v>12181</v>
      </c>
      <c r="K1221" t="s">
        <v>12603</v>
      </c>
    </row>
    <row r="1222" spans="1:11" s="1" customFormat="1" x14ac:dyDescent="0.25">
      <c r="A1222" t="s">
        <v>12182</v>
      </c>
      <c r="B1222" t="s">
        <v>12183</v>
      </c>
      <c r="C1222" s="88"/>
      <c r="D1222" s="105"/>
      <c r="E1222">
        <v>0</v>
      </c>
      <c r="F1222" t="s">
        <v>12184</v>
      </c>
      <c r="G1222" t="s">
        <v>12183</v>
      </c>
      <c r="H1222" t="s">
        <v>8088</v>
      </c>
      <c r="I1222" t="s">
        <v>12183</v>
      </c>
      <c r="J1222" t="s">
        <v>12184</v>
      </c>
      <c r="K1222" t="s">
        <v>12601</v>
      </c>
    </row>
    <row r="1223" spans="1:11" s="1" customFormat="1" x14ac:dyDescent="0.25">
      <c r="A1223" t="s">
        <v>12185</v>
      </c>
      <c r="B1223" t="s">
        <v>12186</v>
      </c>
      <c r="C1223" s="88"/>
      <c r="D1223" s="105"/>
      <c r="E1223">
        <v>1158</v>
      </c>
      <c r="F1223" t="s">
        <v>12187</v>
      </c>
      <c r="G1223" t="s">
        <v>12186</v>
      </c>
      <c r="H1223" t="s">
        <v>8088</v>
      </c>
      <c r="I1223" t="s">
        <v>12186</v>
      </c>
      <c r="J1223" t="s">
        <v>12187</v>
      </c>
      <c r="K1223" t="s">
        <v>12600</v>
      </c>
    </row>
    <row r="1224" spans="1:11" s="1" customFormat="1" x14ac:dyDescent="0.25">
      <c r="A1224" t="s">
        <v>12188</v>
      </c>
      <c r="B1224" t="s">
        <v>12189</v>
      </c>
      <c r="C1224" s="88"/>
      <c r="D1224" s="105"/>
      <c r="E1224">
        <v>829</v>
      </c>
      <c r="F1224" t="s">
        <v>12190</v>
      </c>
      <c r="G1224" t="s">
        <v>12189</v>
      </c>
      <c r="H1224" t="s">
        <v>8088</v>
      </c>
      <c r="I1224" t="s">
        <v>12189</v>
      </c>
      <c r="J1224" t="s">
        <v>12190</v>
      </c>
      <c r="K1224" t="s">
        <v>12607</v>
      </c>
    </row>
    <row r="1225" spans="1:11" s="1" customFormat="1" x14ac:dyDescent="0.25">
      <c r="A1225" t="s">
        <v>12191</v>
      </c>
      <c r="B1225" t="s">
        <v>10369</v>
      </c>
      <c r="C1225" s="88"/>
      <c r="D1225" s="105"/>
      <c r="E1225">
        <v>2622</v>
      </c>
      <c r="F1225" t="s">
        <v>12192</v>
      </c>
      <c r="G1225" t="s">
        <v>8088</v>
      </c>
      <c r="H1225" t="s">
        <v>8088</v>
      </c>
      <c r="I1225" t="s">
        <v>10369</v>
      </c>
      <c r="J1225" t="s">
        <v>12192</v>
      </c>
      <c r="K1225" t="s">
        <v>12600</v>
      </c>
    </row>
    <row r="1226" spans="1:11" s="1" customFormat="1" x14ac:dyDescent="0.25">
      <c r="A1226" t="s">
        <v>12193</v>
      </c>
      <c r="B1226" t="s">
        <v>13241</v>
      </c>
      <c r="C1226" s="88"/>
      <c r="D1226" s="105"/>
      <c r="E1226">
        <v>3320</v>
      </c>
      <c r="F1226" t="s">
        <v>12194</v>
      </c>
      <c r="G1226" t="s">
        <v>8088</v>
      </c>
      <c r="H1226" t="s">
        <v>8088</v>
      </c>
      <c r="I1226" t="s">
        <v>13241</v>
      </c>
      <c r="J1226" t="s">
        <v>12194</v>
      </c>
      <c r="K1226" t="s">
        <v>12600</v>
      </c>
    </row>
    <row r="1227" spans="1:11" s="1" customFormat="1" x14ac:dyDescent="0.25">
      <c r="A1227" t="s">
        <v>12195</v>
      </c>
      <c r="B1227" t="s">
        <v>8801</v>
      </c>
      <c r="C1227" s="88"/>
      <c r="D1227" s="105"/>
      <c r="E1227">
        <v>2761</v>
      </c>
      <c r="F1227" t="s">
        <v>12196</v>
      </c>
      <c r="G1227" t="s">
        <v>8088</v>
      </c>
      <c r="H1227" t="s">
        <v>8088</v>
      </c>
      <c r="I1227" t="s">
        <v>8801</v>
      </c>
      <c r="J1227" t="s">
        <v>12196</v>
      </c>
      <c r="K1227" t="s">
        <v>12600</v>
      </c>
    </row>
    <row r="1228" spans="1:11" s="1" customFormat="1" x14ac:dyDescent="0.25">
      <c r="A1228" t="s">
        <v>12342</v>
      </c>
      <c r="B1228" t="s">
        <v>9531</v>
      </c>
      <c r="C1228" s="88"/>
      <c r="D1228" s="105"/>
      <c r="E1228">
        <v>540</v>
      </c>
      <c r="F1228" t="s">
        <v>12344</v>
      </c>
      <c r="G1228" t="s">
        <v>12343</v>
      </c>
      <c r="H1228" t="s">
        <v>9531</v>
      </c>
      <c r="I1228" t="s">
        <v>9531</v>
      </c>
      <c r="J1228" t="s">
        <v>12344</v>
      </c>
      <c r="K1228" t="s">
        <v>12513</v>
      </c>
    </row>
    <row r="1229" spans="1:11" s="1" customFormat="1" x14ac:dyDescent="0.25">
      <c r="A1229" t="s">
        <v>12345</v>
      </c>
      <c r="B1229" t="s">
        <v>12346</v>
      </c>
      <c r="C1229" s="88"/>
      <c r="D1229" s="105"/>
      <c r="E1229">
        <v>815</v>
      </c>
      <c r="F1229" t="s">
        <v>12347</v>
      </c>
      <c r="G1229" t="s">
        <v>12343</v>
      </c>
      <c r="H1229" t="s">
        <v>9531</v>
      </c>
      <c r="I1229" t="s">
        <v>12346</v>
      </c>
      <c r="J1229" t="s">
        <v>12347</v>
      </c>
      <c r="K1229" t="s">
        <v>12513</v>
      </c>
    </row>
    <row r="1230" spans="1:11" s="1" customFormat="1" x14ac:dyDescent="0.25">
      <c r="A1230" t="s">
        <v>12348</v>
      </c>
      <c r="B1230" t="s">
        <v>12349</v>
      </c>
      <c r="C1230" s="88"/>
      <c r="D1230" s="105"/>
      <c r="E1230">
        <v>340</v>
      </c>
      <c r="F1230" t="s">
        <v>12350</v>
      </c>
      <c r="G1230" t="s">
        <v>12343</v>
      </c>
      <c r="H1230" t="s">
        <v>9531</v>
      </c>
      <c r="I1230" t="s">
        <v>12349</v>
      </c>
      <c r="J1230" t="s">
        <v>12350</v>
      </c>
      <c r="K1230" t="s">
        <v>12513</v>
      </c>
    </row>
    <row r="1231" spans="1:11" s="1" customFormat="1" x14ac:dyDescent="0.25">
      <c r="A1231" t="s">
        <v>12351</v>
      </c>
      <c r="B1231" t="s">
        <v>12352</v>
      </c>
      <c r="C1231" s="88"/>
      <c r="D1231" s="105"/>
      <c r="E1231">
        <v>477</v>
      </c>
      <c r="F1231" t="s">
        <v>12353</v>
      </c>
      <c r="G1231" t="s">
        <v>12343</v>
      </c>
      <c r="H1231" t="s">
        <v>9531</v>
      </c>
      <c r="I1231" t="s">
        <v>12352</v>
      </c>
      <c r="J1231" t="s">
        <v>12353</v>
      </c>
      <c r="K1231" t="s">
        <v>12513</v>
      </c>
    </row>
    <row r="1232" spans="1:11" s="1" customFormat="1" x14ac:dyDescent="0.25">
      <c r="A1232" t="s">
        <v>12354</v>
      </c>
      <c r="B1232" t="s">
        <v>12355</v>
      </c>
      <c r="C1232" s="88"/>
      <c r="D1232" s="105"/>
      <c r="E1232">
        <v>1</v>
      </c>
      <c r="F1232" t="s">
        <v>12356</v>
      </c>
      <c r="G1232" t="s">
        <v>12355</v>
      </c>
      <c r="H1232" t="s">
        <v>9531</v>
      </c>
      <c r="I1232" t="s">
        <v>12355</v>
      </c>
      <c r="J1232" t="s">
        <v>12356</v>
      </c>
      <c r="K1232" t="s">
        <v>12608</v>
      </c>
    </row>
    <row r="1233" spans="1:11" s="1" customFormat="1" x14ac:dyDescent="0.25">
      <c r="A1233" t="s">
        <v>12357</v>
      </c>
      <c r="B1233" t="s">
        <v>12358</v>
      </c>
      <c r="C1233" s="88"/>
      <c r="D1233" s="105"/>
      <c r="E1233">
        <v>930</v>
      </c>
      <c r="F1233" t="s">
        <v>12359</v>
      </c>
      <c r="G1233" t="s">
        <v>12358</v>
      </c>
      <c r="H1233" t="s">
        <v>9531</v>
      </c>
      <c r="I1233" t="s">
        <v>12358</v>
      </c>
      <c r="J1233" t="s">
        <v>12359</v>
      </c>
      <c r="K1233" t="s">
        <v>9781</v>
      </c>
    </row>
    <row r="1234" spans="1:11" s="1" customFormat="1" x14ac:dyDescent="0.25">
      <c r="A1234" t="s">
        <v>12360</v>
      </c>
      <c r="B1234" t="s">
        <v>12361</v>
      </c>
      <c r="C1234" s="88"/>
      <c r="D1234" s="105"/>
      <c r="E1234">
        <v>100</v>
      </c>
      <c r="F1234" t="s">
        <v>12362</v>
      </c>
      <c r="G1234" t="s">
        <v>12361</v>
      </c>
      <c r="H1234" t="s">
        <v>9531</v>
      </c>
      <c r="I1234" t="s">
        <v>12361</v>
      </c>
      <c r="J1234" t="s">
        <v>12362</v>
      </c>
      <c r="K1234" t="s">
        <v>12443</v>
      </c>
    </row>
    <row r="1235" spans="1:11" s="1" customFormat="1" x14ac:dyDescent="0.25">
      <c r="A1235" t="s">
        <v>12363</v>
      </c>
      <c r="B1235" t="s">
        <v>12364</v>
      </c>
      <c r="C1235" s="88"/>
      <c r="D1235" s="105"/>
      <c r="E1235">
        <v>200</v>
      </c>
      <c r="F1235" t="s">
        <v>12366</v>
      </c>
      <c r="G1235" t="s">
        <v>12365</v>
      </c>
      <c r="H1235" t="s">
        <v>9531</v>
      </c>
      <c r="I1235" t="s">
        <v>12364</v>
      </c>
      <c r="J1235" t="s">
        <v>12366</v>
      </c>
      <c r="K1235" t="s">
        <v>9781</v>
      </c>
    </row>
    <row r="1236" spans="1:11" s="1" customFormat="1" x14ac:dyDescent="0.25">
      <c r="A1236" t="s">
        <v>12367</v>
      </c>
      <c r="B1236" t="s">
        <v>7404</v>
      </c>
      <c r="C1236" s="88"/>
      <c r="D1236" s="105"/>
      <c r="E1236">
        <v>398</v>
      </c>
      <c r="F1236" t="s">
        <v>12368</v>
      </c>
      <c r="G1236" t="s">
        <v>7404</v>
      </c>
      <c r="H1236" t="s">
        <v>9531</v>
      </c>
      <c r="I1236" t="s">
        <v>7404</v>
      </c>
      <c r="J1236" t="s">
        <v>12368</v>
      </c>
      <c r="K1236" t="s">
        <v>12405</v>
      </c>
    </row>
    <row r="1237" spans="1:11" s="1" customFormat="1" x14ac:dyDescent="0.25">
      <c r="A1237" t="s">
        <v>12369</v>
      </c>
      <c r="B1237" t="s">
        <v>12370</v>
      </c>
      <c r="C1237" s="88"/>
      <c r="D1237" s="105"/>
      <c r="E1237"/>
      <c r="F1237" t="s">
        <v>12371</v>
      </c>
      <c r="G1237" t="s">
        <v>12370</v>
      </c>
      <c r="H1237" t="s">
        <v>9531</v>
      </c>
      <c r="I1237" t="s">
        <v>12370</v>
      </c>
      <c r="J1237" t="s">
        <v>12371</v>
      </c>
      <c r="K1237" t="s">
        <v>12370</v>
      </c>
    </row>
    <row r="1238" spans="1:11" s="1" customFormat="1" x14ac:dyDescent="0.25">
      <c r="A1238" t="s">
        <v>12372</v>
      </c>
      <c r="B1238" t="s">
        <v>12373</v>
      </c>
      <c r="C1238" s="88"/>
      <c r="D1238" s="105"/>
      <c r="E1238">
        <v>1</v>
      </c>
      <c r="F1238" t="s">
        <v>12375</v>
      </c>
      <c r="G1238" t="s">
        <v>12374</v>
      </c>
      <c r="H1238" t="s">
        <v>9531</v>
      </c>
      <c r="I1238" t="s">
        <v>12373</v>
      </c>
      <c r="J1238" t="s">
        <v>12375</v>
      </c>
      <c r="K1238" t="s">
        <v>12443</v>
      </c>
    </row>
    <row r="1239" spans="1:11" s="1" customFormat="1" x14ac:dyDescent="0.25">
      <c r="A1239" t="s">
        <v>12376</v>
      </c>
      <c r="B1239" t="s">
        <v>10063</v>
      </c>
      <c r="C1239" s="88"/>
      <c r="D1239" s="105"/>
      <c r="E1239">
        <v>305</v>
      </c>
      <c r="F1239" t="s">
        <v>12377</v>
      </c>
      <c r="G1239" t="s">
        <v>10063</v>
      </c>
      <c r="H1239" t="s">
        <v>9531</v>
      </c>
      <c r="I1239" t="s">
        <v>10063</v>
      </c>
      <c r="J1239" t="s">
        <v>12377</v>
      </c>
      <c r="K1239" t="s">
        <v>12609</v>
      </c>
    </row>
    <row r="1240" spans="1:11" s="1" customFormat="1" x14ac:dyDescent="0.25">
      <c r="A1240" t="s">
        <v>12378</v>
      </c>
      <c r="B1240" t="s">
        <v>12379</v>
      </c>
      <c r="C1240" s="88"/>
      <c r="D1240" s="105"/>
      <c r="E1240">
        <v>380</v>
      </c>
      <c r="F1240" t="s">
        <v>12380</v>
      </c>
      <c r="G1240" t="s">
        <v>12379</v>
      </c>
      <c r="H1240" t="s">
        <v>9531</v>
      </c>
      <c r="I1240" t="s">
        <v>12379</v>
      </c>
      <c r="J1240" t="s">
        <v>12380</v>
      </c>
      <c r="K1240" t="s">
        <v>12379</v>
      </c>
    </row>
    <row r="1241" spans="1:11" s="1" customFormat="1" x14ac:dyDescent="0.25">
      <c r="A1241" t="s">
        <v>12381</v>
      </c>
      <c r="B1241" t="s">
        <v>12382</v>
      </c>
      <c r="C1241" s="88"/>
      <c r="D1241" s="105"/>
      <c r="E1241">
        <v>12</v>
      </c>
      <c r="F1241" t="s">
        <v>12383</v>
      </c>
      <c r="G1241" t="s">
        <v>12382</v>
      </c>
      <c r="H1241" t="s">
        <v>9531</v>
      </c>
      <c r="I1241" t="s">
        <v>12382</v>
      </c>
      <c r="J1241" t="s">
        <v>12383</v>
      </c>
      <c r="K1241" t="s">
        <v>12382</v>
      </c>
    </row>
    <row r="1242" spans="1:11" s="1" customFormat="1" x14ac:dyDescent="0.25">
      <c r="A1242" t="s">
        <v>12384</v>
      </c>
      <c r="B1242" t="s">
        <v>12385</v>
      </c>
      <c r="C1242" s="88"/>
      <c r="D1242" s="105"/>
      <c r="E1242">
        <v>0</v>
      </c>
      <c r="F1242" t="s">
        <v>12386</v>
      </c>
      <c r="G1242" t="s">
        <v>11007</v>
      </c>
      <c r="H1242" t="s">
        <v>9531</v>
      </c>
      <c r="I1242" t="s">
        <v>12385</v>
      </c>
      <c r="J1242" t="s">
        <v>12386</v>
      </c>
      <c r="K1242" t="s">
        <v>12608</v>
      </c>
    </row>
    <row r="1243" spans="1:11" s="1" customFormat="1" x14ac:dyDescent="0.25">
      <c r="A1243" t="s">
        <v>12387</v>
      </c>
      <c r="B1243" t="s">
        <v>12388</v>
      </c>
      <c r="C1243" s="88"/>
      <c r="D1243" s="105"/>
      <c r="E1243">
        <v>170</v>
      </c>
      <c r="F1243" t="s">
        <v>12389</v>
      </c>
      <c r="G1243" t="s">
        <v>8279</v>
      </c>
      <c r="H1243" t="s">
        <v>9531</v>
      </c>
      <c r="I1243" t="s">
        <v>12388</v>
      </c>
      <c r="J1243" t="s">
        <v>12389</v>
      </c>
      <c r="K1243" t="s">
        <v>12424</v>
      </c>
    </row>
    <row r="1244" spans="1:11" s="1" customFormat="1" x14ac:dyDescent="0.25">
      <c r="A1244" t="s">
        <v>12390</v>
      </c>
      <c r="B1244" t="s">
        <v>8015</v>
      </c>
      <c r="C1244" s="88"/>
      <c r="D1244" s="105"/>
      <c r="E1244">
        <v>402</v>
      </c>
      <c r="F1244" t="s">
        <v>12391</v>
      </c>
      <c r="G1244" t="s">
        <v>8015</v>
      </c>
      <c r="H1244" t="s">
        <v>9531</v>
      </c>
      <c r="I1244" t="s">
        <v>8015</v>
      </c>
      <c r="J1244" t="s">
        <v>12391</v>
      </c>
      <c r="K1244" t="s">
        <v>7900</v>
      </c>
    </row>
    <row r="1245" spans="1:11" s="1" customFormat="1" x14ac:dyDescent="0.25">
      <c r="A1245" t="s">
        <v>12392</v>
      </c>
      <c r="B1245" t="s">
        <v>12393</v>
      </c>
      <c r="C1245" s="88"/>
      <c r="D1245" s="105"/>
      <c r="E1245">
        <v>142</v>
      </c>
      <c r="F1245" t="s">
        <v>12394</v>
      </c>
      <c r="G1245" t="s">
        <v>12393</v>
      </c>
      <c r="H1245" t="s">
        <v>9531</v>
      </c>
      <c r="I1245" t="s">
        <v>12393</v>
      </c>
      <c r="J1245" t="s">
        <v>12394</v>
      </c>
      <c r="K1245" t="s">
        <v>12393</v>
      </c>
    </row>
    <row r="1246" spans="1:11" s="1" customFormat="1" x14ac:dyDescent="0.25">
      <c r="A1246" t="s">
        <v>12395</v>
      </c>
      <c r="B1246" t="s">
        <v>12396</v>
      </c>
      <c r="C1246" s="88"/>
      <c r="D1246" s="105"/>
      <c r="E1246">
        <v>0</v>
      </c>
      <c r="F1246" t="s">
        <v>12397</v>
      </c>
      <c r="G1246" t="s">
        <v>12396</v>
      </c>
      <c r="H1246" t="s">
        <v>9531</v>
      </c>
      <c r="I1246" t="s">
        <v>12396</v>
      </c>
      <c r="J1246" t="s">
        <v>12397</v>
      </c>
      <c r="K1246" t="s">
        <v>12382</v>
      </c>
    </row>
    <row r="1247" spans="1:11" s="1" customFormat="1" x14ac:dyDescent="0.25">
      <c r="A1247" t="s">
        <v>12398</v>
      </c>
      <c r="B1247" t="s">
        <v>12399</v>
      </c>
      <c r="C1247" s="88"/>
      <c r="D1247" s="105"/>
      <c r="E1247">
        <v>1</v>
      </c>
      <c r="F1247" t="s">
        <v>12400</v>
      </c>
      <c r="G1247" t="s">
        <v>12399</v>
      </c>
      <c r="H1247" t="s">
        <v>9531</v>
      </c>
      <c r="I1247" t="s">
        <v>12399</v>
      </c>
      <c r="J1247" t="s">
        <v>12400</v>
      </c>
      <c r="K1247" t="s">
        <v>12370</v>
      </c>
    </row>
    <row r="1248" spans="1:11" s="1" customFormat="1" x14ac:dyDescent="0.25">
      <c r="A1248" t="s">
        <v>12401</v>
      </c>
      <c r="B1248" t="s">
        <v>12402</v>
      </c>
      <c r="C1248" s="88"/>
      <c r="D1248" s="105"/>
      <c r="E1248">
        <v>1</v>
      </c>
      <c r="F1248" t="s">
        <v>12403</v>
      </c>
      <c r="G1248" t="s">
        <v>12402</v>
      </c>
      <c r="H1248" t="s">
        <v>9531</v>
      </c>
      <c r="I1248" t="s">
        <v>12402</v>
      </c>
      <c r="J1248" t="s">
        <v>12403</v>
      </c>
      <c r="K1248" t="s">
        <v>9781</v>
      </c>
    </row>
    <row r="1249" spans="1:11" s="1" customFormat="1" x14ac:dyDescent="0.25">
      <c r="A1249" t="s">
        <v>12404</v>
      </c>
      <c r="B1249" t="s">
        <v>12405</v>
      </c>
      <c r="C1249" s="3"/>
      <c r="D1249" s="105"/>
      <c r="E1249"/>
      <c r="F1249" t="s">
        <v>12406</v>
      </c>
      <c r="G1249" t="s">
        <v>12405</v>
      </c>
      <c r="H1249" t="s">
        <v>9531</v>
      </c>
      <c r="I1249" t="s">
        <v>12405</v>
      </c>
      <c r="J1249" t="s">
        <v>12406</v>
      </c>
      <c r="K1249" t="s">
        <v>12405</v>
      </c>
    </row>
    <row r="1250" spans="1:11" s="1" customFormat="1" x14ac:dyDescent="0.25">
      <c r="A1250" t="s">
        <v>12407</v>
      </c>
      <c r="B1250" t="s">
        <v>12408</v>
      </c>
      <c r="C1250" s="3"/>
      <c r="D1250" s="105"/>
      <c r="E1250">
        <v>0</v>
      </c>
      <c r="F1250" t="s">
        <v>12409</v>
      </c>
      <c r="G1250" t="s">
        <v>12408</v>
      </c>
      <c r="H1250" t="s">
        <v>9531</v>
      </c>
      <c r="I1250" t="s">
        <v>12408</v>
      </c>
      <c r="J1250" t="s">
        <v>12409</v>
      </c>
      <c r="K1250" t="s">
        <v>9781</v>
      </c>
    </row>
    <row r="1251" spans="1:11" s="1" customFormat="1" x14ac:dyDescent="0.25">
      <c r="A1251" t="s">
        <v>12410</v>
      </c>
      <c r="B1251" t="s">
        <v>12411</v>
      </c>
      <c r="C1251" s="3"/>
      <c r="D1251" s="105"/>
      <c r="E1251">
        <v>125</v>
      </c>
      <c r="F1251" t="s">
        <v>12412</v>
      </c>
      <c r="G1251" t="s">
        <v>12411</v>
      </c>
      <c r="H1251" t="s">
        <v>9531</v>
      </c>
      <c r="I1251" t="s">
        <v>12411</v>
      </c>
      <c r="J1251" t="s">
        <v>12412</v>
      </c>
      <c r="K1251" t="s">
        <v>12411</v>
      </c>
    </row>
    <row r="1252" spans="1:11" s="1" customFormat="1" x14ac:dyDescent="0.25">
      <c r="A1252" t="s">
        <v>12413</v>
      </c>
      <c r="B1252" t="s">
        <v>12414</v>
      </c>
      <c r="C1252" s="3"/>
      <c r="D1252" s="105"/>
      <c r="E1252">
        <v>15</v>
      </c>
      <c r="F1252" t="s">
        <v>12415</v>
      </c>
      <c r="G1252" t="s">
        <v>12414</v>
      </c>
      <c r="H1252" t="s">
        <v>9531</v>
      </c>
      <c r="I1252" t="s">
        <v>12414</v>
      </c>
      <c r="J1252" t="s">
        <v>12415</v>
      </c>
      <c r="K1252" t="s">
        <v>12446</v>
      </c>
    </row>
    <row r="1253" spans="1:11" s="1" customFormat="1" x14ac:dyDescent="0.25">
      <c r="A1253" t="s">
        <v>12416</v>
      </c>
      <c r="B1253" t="s">
        <v>12417</v>
      </c>
      <c r="C1253" s="3"/>
      <c r="D1253" s="105"/>
      <c r="E1253">
        <v>199</v>
      </c>
      <c r="F1253" t="s">
        <v>12419</v>
      </c>
      <c r="G1253" t="s">
        <v>12418</v>
      </c>
      <c r="H1253" t="s">
        <v>9531</v>
      </c>
      <c r="I1253" t="s">
        <v>12417</v>
      </c>
      <c r="J1253" t="s">
        <v>12419</v>
      </c>
      <c r="K1253" t="s">
        <v>12411</v>
      </c>
    </row>
    <row r="1254" spans="1:11" s="1" customFormat="1" x14ac:dyDescent="0.25">
      <c r="A1254" t="s">
        <v>12420</v>
      </c>
      <c r="B1254" t="s">
        <v>12421</v>
      </c>
      <c r="C1254" s="3"/>
      <c r="D1254" s="105"/>
      <c r="E1254">
        <v>1</v>
      </c>
      <c r="F1254" t="s">
        <v>12422</v>
      </c>
      <c r="G1254" t="s">
        <v>12421</v>
      </c>
      <c r="H1254" t="s">
        <v>9531</v>
      </c>
      <c r="I1254" t="s">
        <v>12421</v>
      </c>
      <c r="J1254" t="s">
        <v>12422</v>
      </c>
      <c r="K1254" t="s">
        <v>12437</v>
      </c>
    </row>
    <row r="1255" spans="1:11" s="1" customFormat="1" x14ac:dyDescent="0.25">
      <c r="A1255" t="s">
        <v>12423</v>
      </c>
      <c r="B1255" t="s">
        <v>12424</v>
      </c>
      <c r="C1255" s="3"/>
      <c r="D1255" s="105"/>
      <c r="E1255">
        <v>247</v>
      </c>
      <c r="F1255" t="s">
        <v>12425</v>
      </c>
      <c r="G1255" t="s">
        <v>12424</v>
      </c>
      <c r="H1255" t="s">
        <v>9531</v>
      </c>
      <c r="I1255" t="s">
        <v>12424</v>
      </c>
      <c r="J1255" t="s">
        <v>12425</v>
      </c>
      <c r="K1255" t="s">
        <v>12424</v>
      </c>
    </row>
    <row r="1256" spans="1:11" s="1" customFormat="1" x14ac:dyDescent="0.25">
      <c r="A1256" t="s">
        <v>12426</v>
      </c>
      <c r="B1256" t="s">
        <v>12427</v>
      </c>
      <c r="C1256" s="3"/>
      <c r="D1256" s="105"/>
      <c r="E1256">
        <v>101</v>
      </c>
      <c r="F1256" t="s">
        <v>12428</v>
      </c>
      <c r="G1256" t="s">
        <v>12427</v>
      </c>
      <c r="H1256" t="s">
        <v>9531</v>
      </c>
      <c r="I1256" t="s">
        <v>12427</v>
      </c>
      <c r="J1256" t="s">
        <v>12428</v>
      </c>
      <c r="K1256" t="s">
        <v>9781</v>
      </c>
    </row>
    <row r="1257" spans="1:11" s="1" customFormat="1" x14ac:dyDescent="0.25">
      <c r="A1257" t="s">
        <v>12429</v>
      </c>
      <c r="B1257" t="s">
        <v>12430</v>
      </c>
      <c r="C1257" s="3"/>
      <c r="D1257" s="105"/>
      <c r="E1257">
        <v>240</v>
      </c>
      <c r="F1257" t="s">
        <v>12431</v>
      </c>
      <c r="G1257" t="s">
        <v>12430</v>
      </c>
      <c r="H1257" t="s">
        <v>9531</v>
      </c>
      <c r="I1257" t="s">
        <v>12430</v>
      </c>
      <c r="J1257" t="s">
        <v>12431</v>
      </c>
      <c r="K1257" t="s">
        <v>12411</v>
      </c>
    </row>
    <row r="1258" spans="1:11" s="1" customFormat="1" x14ac:dyDescent="0.25">
      <c r="A1258" t="s">
        <v>12432</v>
      </c>
      <c r="B1258" t="s">
        <v>12433</v>
      </c>
      <c r="C1258" s="3"/>
      <c r="D1258" s="105"/>
      <c r="E1258">
        <v>1</v>
      </c>
      <c r="F1258" t="s">
        <v>12435</v>
      </c>
      <c r="G1258" t="s">
        <v>12434</v>
      </c>
      <c r="H1258" t="s">
        <v>9531</v>
      </c>
      <c r="I1258" t="s">
        <v>12433</v>
      </c>
      <c r="J1258" t="s">
        <v>12435</v>
      </c>
      <c r="K1258" t="s">
        <v>12449</v>
      </c>
    </row>
    <row r="1259" spans="1:11" s="1" customFormat="1" x14ac:dyDescent="0.25">
      <c r="A1259" t="s">
        <v>12436</v>
      </c>
      <c r="B1259" t="s">
        <v>12437</v>
      </c>
      <c r="C1259" s="3"/>
      <c r="D1259" s="105"/>
      <c r="E1259">
        <v>455</v>
      </c>
      <c r="F1259" t="s">
        <v>12438</v>
      </c>
      <c r="G1259" t="s">
        <v>12437</v>
      </c>
      <c r="H1259" t="s">
        <v>9531</v>
      </c>
      <c r="I1259" t="s">
        <v>12437</v>
      </c>
      <c r="J1259" t="s">
        <v>12438</v>
      </c>
      <c r="K1259" t="s">
        <v>12437</v>
      </c>
    </row>
    <row r="1260" spans="1:11" s="1" customFormat="1" x14ac:dyDescent="0.25">
      <c r="A1260" t="s">
        <v>12439</v>
      </c>
      <c r="B1260" t="s">
        <v>12440</v>
      </c>
      <c r="C1260" s="3"/>
      <c r="D1260" s="105"/>
      <c r="E1260">
        <v>99</v>
      </c>
      <c r="F1260" t="s">
        <v>12441</v>
      </c>
      <c r="G1260" t="s">
        <v>12440</v>
      </c>
      <c r="H1260" t="s">
        <v>9531</v>
      </c>
      <c r="I1260" t="s">
        <v>12440</v>
      </c>
      <c r="J1260" t="s">
        <v>12441</v>
      </c>
      <c r="K1260" t="s">
        <v>12382</v>
      </c>
    </row>
    <row r="1261" spans="1:11" s="1" customFormat="1" x14ac:dyDescent="0.25">
      <c r="A1261" t="s">
        <v>12442</v>
      </c>
      <c r="B1261" t="s">
        <v>12443</v>
      </c>
      <c r="C1261" s="3"/>
      <c r="D1261" s="105"/>
      <c r="E1261">
        <v>1</v>
      </c>
      <c r="F1261" t="s">
        <v>12444</v>
      </c>
      <c r="G1261" t="s">
        <v>12443</v>
      </c>
      <c r="H1261" t="s">
        <v>9531</v>
      </c>
      <c r="I1261" t="s">
        <v>12443</v>
      </c>
      <c r="J1261" t="s">
        <v>12444</v>
      </c>
      <c r="K1261" t="s">
        <v>12443</v>
      </c>
    </row>
    <row r="1262" spans="1:11" s="1" customFormat="1" x14ac:dyDescent="0.25">
      <c r="A1262" t="s">
        <v>12445</v>
      </c>
      <c r="B1262" t="s">
        <v>12446</v>
      </c>
      <c r="C1262" s="3"/>
      <c r="D1262" s="105"/>
      <c r="E1262">
        <v>15</v>
      </c>
      <c r="F1262" t="s">
        <v>12447</v>
      </c>
      <c r="G1262" t="s">
        <v>12446</v>
      </c>
      <c r="H1262" t="s">
        <v>9531</v>
      </c>
      <c r="I1262" t="s">
        <v>12446</v>
      </c>
      <c r="J1262" t="s">
        <v>12447</v>
      </c>
      <c r="K1262" t="s">
        <v>12446</v>
      </c>
    </row>
    <row r="1263" spans="1:11" s="1" customFormat="1" x14ac:dyDescent="0.25">
      <c r="A1263" t="s">
        <v>12448</v>
      </c>
      <c r="B1263" t="s">
        <v>12449</v>
      </c>
      <c r="C1263" s="3"/>
      <c r="D1263" s="105"/>
      <c r="E1263"/>
      <c r="F1263" t="s">
        <v>12450</v>
      </c>
      <c r="G1263" t="s">
        <v>12449</v>
      </c>
      <c r="H1263" t="s">
        <v>9531</v>
      </c>
      <c r="I1263" t="s">
        <v>12449</v>
      </c>
      <c r="J1263" t="s">
        <v>12450</v>
      </c>
      <c r="K1263" t="s">
        <v>12449</v>
      </c>
    </row>
    <row r="1264" spans="1:11" s="1" customFormat="1" x14ac:dyDescent="0.25">
      <c r="A1264" t="s">
        <v>12451</v>
      </c>
      <c r="B1264" t="s">
        <v>12452</v>
      </c>
      <c r="C1264" s="3"/>
      <c r="D1264" s="105"/>
      <c r="E1264">
        <v>1</v>
      </c>
      <c r="F1264" t="s">
        <v>12454</v>
      </c>
      <c r="G1264" t="s">
        <v>12453</v>
      </c>
      <c r="H1264" t="s">
        <v>9531</v>
      </c>
      <c r="I1264" t="s">
        <v>12452</v>
      </c>
      <c r="J1264" t="s">
        <v>12454</v>
      </c>
      <c r="K1264" t="s">
        <v>12609</v>
      </c>
    </row>
    <row r="1265" spans="1:11" s="1" customFormat="1" x14ac:dyDescent="0.25">
      <c r="A1265" t="s">
        <v>12455</v>
      </c>
      <c r="B1265" t="s">
        <v>12456</v>
      </c>
      <c r="C1265" s="3"/>
      <c r="D1265" s="105"/>
      <c r="E1265">
        <v>101</v>
      </c>
      <c r="F1265" t="s">
        <v>12458</v>
      </c>
      <c r="G1265" t="s">
        <v>12457</v>
      </c>
      <c r="H1265" t="s">
        <v>9531</v>
      </c>
      <c r="I1265" t="s">
        <v>12456</v>
      </c>
      <c r="J1265" t="s">
        <v>12458</v>
      </c>
      <c r="K1265" t="s">
        <v>12424</v>
      </c>
    </row>
    <row r="1266" spans="1:11" s="1" customFormat="1" x14ac:dyDescent="0.25">
      <c r="A1266" t="s">
        <v>12459</v>
      </c>
      <c r="B1266" t="s">
        <v>12460</v>
      </c>
      <c r="C1266" s="3"/>
      <c r="D1266" s="105"/>
      <c r="E1266">
        <v>2021</v>
      </c>
      <c r="F1266" t="s">
        <v>12461</v>
      </c>
      <c r="G1266" t="s">
        <v>12460</v>
      </c>
      <c r="H1266" t="s">
        <v>9531</v>
      </c>
      <c r="I1266" t="s">
        <v>12460</v>
      </c>
      <c r="J1266" t="s">
        <v>12461</v>
      </c>
      <c r="K1266" t="s">
        <v>12460</v>
      </c>
    </row>
    <row r="1267" spans="1:11" s="1" customFormat="1" x14ac:dyDescent="0.25">
      <c r="A1267" t="s">
        <v>12462</v>
      </c>
      <c r="B1267" t="s">
        <v>12463</v>
      </c>
      <c r="C1267" s="3"/>
      <c r="D1267" s="105"/>
      <c r="E1267">
        <v>64</v>
      </c>
      <c r="F1267" t="s">
        <v>12464</v>
      </c>
      <c r="G1267" t="s">
        <v>12463</v>
      </c>
      <c r="H1267" t="s">
        <v>9531</v>
      </c>
      <c r="I1267" t="s">
        <v>12463</v>
      </c>
      <c r="J1267" t="s">
        <v>12464</v>
      </c>
      <c r="K1267" t="s">
        <v>9781</v>
      </c>
    </row>
    <row r="1268" spans="1:11" s="1" customFormat="1" x14ac:dyDescent="0.25">
      <c r="A1268" t="s">
        <v>12465</v>
      </c>
      <c r="B1268" t="s">
        <v>12466</v>
      </c>
      <c r="C1268" s="3"/>
      <c r="D1268" s="105"/>
      <c r="E1268"/>
      <c r="F1268" t="s">
        <v>12467</v>
      </c>
      <c r="G1268" t="s">
        <v>12466</v>
      </c>
      <c r="H1268" t="s">
        <v>9531</v>
      </c>
      <c r="I1268" t="s">
        <v>12466</v>
      </c>
      <c r="J1268" t="s">
        <v>12467</v>
      </c>
      <c r="K1268" t="s">
        <v>9781</v>
      </c>
    </row>
    <row r="1269" spans="1:11" s="1" customFormat="1" x14ac:dyDescent="0.25">
      <c r="A1269" t="s">
        <v>12468</v>
      </c>
      <c r="B1269" t="s">
        <v>12469</v>
      </c>
      <c r="C1269" s="88"/>
      <c r="D1269" s="105"/>
      <c r="E1269"/>
      <c r="F1269" t="s">
        <v>12470</v>
      </c>
      <c r="G1269" t="s">
        <v>12469</v>
      </c>
      <c r="H1269" t="s">
        <v>9531</v>
      </c>
      <c r="I1269" t="s">
        <v>12469</v>
      </c>
      <c r="J1269" t="s">
        <v>12470</v>
      </c>
      <c r="K1269" t="s">
        <v>12446</v>
      </c>
    </row>
    <row r="1270" spans="1:11" s="1" customFormat="1" x14ac:dyDescent="0.25">
      <c r="A1270" t="s">
        <v>12471</v>
      </c>
      <c r="B1270" t="s">
        <v>12472</v>
      </c>
      <c r="C1270" s="88"/>
      <c r="D1270" s="105"/>
      <c r="E1270"/>
      <c r="F1270" t="s">
        <v>12473</v>
      </c>
      <c r="G1270" t="s">
        <v>12472</v>
      </c>
      <c r="H1270" t="s">
        <v>9531</v>
      </c>
      <c r="I1270" t="s">
        <v>12472</v>
      </c>
      <c r="J1270" t="s">
        <v>12473</v>
      </c>
      <c r="K1270" t="s">
        <v>12437</v>
      </c>
    </row>
    <row r="1271" spans="1:11" s="1" customFormat="1" x14ac:dyDescent="0.25">
      <c r="A1271" t="s">
        <v>12474</v>
      </c>
      <c r="B1271" t="s">
        <v>12475</v>
      </c>
      <c r="C1271" s="88"/>
      <c r="D1271" s="105"/>
      <c r="E1271">
        <v>450</v>
      </c>
      <c r="F1271" t="s">
        <v>12476</v>
      </c>
      <c r="G1271" t="s">
        <v>12343</v>
      </c>
      <c r="H1271" t="s">
        <v>9531</v>
      </c>
      <c r="I1271" t="s">
        <v>12475</v>
      </c>
      <c r="J1271" t="s">
        <v>12476</v>
      </c>
      <c r="K1271" t="s">
        <v>12513</v>
      </c>
    </row>
    <row r="1272" spans="1:11" s="1" customFormat="1" x14ac:dyDescent="0.25">
      <c r="A1272" t="s">
        <v>9382</v>
      </c>
      <c r="B1272" t="s">
        <v>9383</v>
      </c>
      <c r="C1272" s="88"/>
      <c r="D1272" s="105"/>
      <c r="E1272">
        <v>180</v>
      </c>
      <c r="F1272" t="s">
        <v>9385</v>
      </c>
      <c r="G1272" t="s">
        <v>9383</v>
      </c>
      <c r="H1272" t="s">
        <v>9384</v>
      </c>
      <c r="I1272" t="s">
        <v>9383</v>
      </c>
      <c r="J1272" t="s">
        <v>9385</v>
      </c>
      <c r="K1272" t="s">
        <v>12610</v>
      </c>
    </row>
    <row r="1273" spans="1:11" s="1" customFormat="1" x14ac:dyDescent="0.25">
      <c r="A1273" t="s">
        <v>9386</v>
      </c>
      <c r="B1273" t="s">
        <v>9387</v>
      </c>
      <c r="C1273" s="88"/>
      <c r="D1273" s="105"/>
      <c r="E1273">
        <v>490</v>
      </c>
      <c r="F1273" t="s">
        <v>9388</v>
      </c>
      <c r="G1273" t="s">
        <v>9383</v>
      </c>
      <c r="H1273" t="s">
        <v>9384</v>
      </c>
      <c r="I1273" t="s">
        <v>9387</v>
      </c>
      <c r="J1273" t="s">
        <v>9388</v>
      </c>
      <c r="K1273" t="s">
        <v>12610</v>
      </c>
    </row>
    <row r="1274" spans="1:11" s="1" customFormat="1" x14ac:dyDescent="0.25">
      <c r="A1274" t="s">
        <v>9389</v>
      </c>
      <c r="B1274" t="s">
        <v>9390</v>
      </c>
      <c r="C1274" s="88"/>
      <c r="D1274" s="105"/>
      <c r="E1274">
        <v>801</v>
      </c>
      <c r="F1274" t="s">
        <v>9391</v>
      </c>
      <c r="G1274" t="s">
        <v>9383</v>
      </c>
      <c r="H1274" t="s">
        <v>9384</v>
      </c>
      <c r="I1274" t="s">
        <v>9390</v>
      </c>
      <c r="J1274" t="s">
        <v>9391</v>
      </c>
      <c r="K1274" t="s">
        <v>12610</v>
      </c>
    </row>
    <row r="1275" spans="1:11" s="1" customFormat="1" x14ac:dyDescent="0.25">
      <c r="A1275" t="s">
        <v>9392</v>
      </c>
      <c r="B1275" t="s">
        <v>9393</v>
      </c>
      <c r="C1275" s="88"/>
      <c r="D1275" s="105"/>
      <c r="E1275"/>
      <c r="F1275" t="s">
        <v>9394</v>
      </c>
      <c r="G1275" t="s">
        <v>9393</v>
      </c>
      <c r="H1275" t="s">
        <v>9384</v>
      </c>
      <c r="I1275" t="s">
        <v>9393</v>
      </c>
      <c r="J1275" t="s">
        <v>9394</v>
      </c>
      <c r="K1275" t="s">
        <v>12611</v>
      </c>
    </row>
    <row r="1276" spans="1:11" s="1" customFormat="1" x14ac:dyDescent="0.25">
      <c r="A1276" t="s">
        <v>9395</v>
      </c>
      <c r="B1276" t="s">
        <v>9396</v>
      </c>
      <c r="C1276" s="88"/>
      <c r="D1276" s="105"/>
      <c r="E1276">
        <v>0</v>
      </c>
      <c r="F1276" t="s">
        <v>9397</v>
      </c>
      <c r="G1276" t="s">
        <v>9396</v>
      </c>
      <c r="H1276" t="s">
        <v>9384</v>
      </c>
      <c r="I1276" t="s">
        <v>9396</v>
      </c>
      <c r="J1276" t="s">
        <v>9397</v>
      </c>
      <c r="K1276" t="s">
        <v>12611</v>
      </c>
    </row>
    <row r="1277" spans="1:11" s="1" customFormat="1" x14ac:dyDescent="0.25">
      <c r="A1277" t="s">
        <v>9398</v>
      </c>
      <c r="B1277" t="s">
        <v>9399</v>
      </c>
      <c r="C1277" s="88"/>
      <c r="D1277" s="105"/>
      <c r="E1277">
        <v>300</v>
      </c>
      <c r="F1277" t="s">
        <v>9400</v>
      </c>
      <c r="G1277" t="s">
        <v>9399</v>
      </c>
      <c r="H1277" t="s">
        <v>9384</v>
      </c>
      <c r="I1277" t="s">
        <v>9399</v>
      </c>
      <c r="J1277" t="s">
        <v>9400</v>
      </c>
      <c r="K1277" t="s">
        <v>7853</v>
      </c>
    </row>
    <row r="1278" spans="1:11" s="1" customFormat="1" x14ac:dyDescent="0.25">
      <c r="A1278" t="s">
        <v>9401</v>
      </c>
      <c r="B1278" t="s">
        <v>9402</v>
      </c>
      <c r="C1278" s="88"/>
      <c r="D1278" s="105"/>
      <c r="E1278">
        <v>0</v>
      </c>
      <c r="F1278" t="s">
        <v>9403</v>
      </c>
      <c r="G1278" t="s">
        <v>9402</v>
      </c>
      <c r="H1278" t="s">
        <v>9384</v>
      </c>
      <c r="I1278" t="s">
        <v>9402</v>
      </c>
      <c r="J1278" t="s">
        <v>9403</v>
      </c>
      <c r="K1278" t="s">
        <v>12612</v>
      </c>
    </row>
    <row r="1279" spans="1:11" s="1" customFormat="1" x14ac:dyDescent="0.25">
      <c r="A1279" t="s">
        <v>9404</v>
      </c>
      <c r="B1279" t="s">
        <v>9405</v>
      </c>
      <c r="C1279" s="88"/>
      <c r="D1279" s="105"/>
      <c r="E1279">
        <v>347</v>
      </c>
      <c r="F1279" t="s">
        <v>9406</v>
      </c>
      <c r="G1279" t="s">
        <v>9405</v>
      </c>
      <c r="H1279" t="s">
        <v>9384</v>
      </c>
      <c r="I1279" t="s">
        <v>9405</v>
      </c>
      <c r="J1279" t="s">
        <v>9406</v>
      </c>
      <c r="K1279" t="s">
        <v>12613</v>
      </c>
    </row>
    <row r="1280" spans="1:11" s="1" customFormat="1" x14ac:dyDescent="0.25">
      <c r="A1280" t="s">
        <v>9407</v>
      </c>
      <c r="B1280" t="s">
        <v>9408</v>
      </c>
      <c r="C1280" s="88"/>
      <c r="D1280" s="105"/>
      <c r="E1280">
        <v>1</v>
      </c>
      <c r="F1280" t="s">
        <v>9409</v>
      </c>
      <c r="G1280" t="s">
        <v>9408</v>
      </c>
      <c r="H1280" t="s">
        <v>9384</v>
      </c>
      <c r="I1280" t="s">
        <v>9408</v>
      </c>
      <c r="J1280" t="s">
        <v>9409</v>
      </c>
      <c r="K1280" t="s">
        <v>12613</v>
      </c>
    </row>
    <row r="1281" spans="1:11" s="1" customFormat="1" x14ac:dyDescent="0.25">
      <c r="A1281" t="s">
        <v>9410</v>
      </c>
      <c r="B1281" t="s">
        <v>9411</v>
      </c>
      <c r="C1281" s="88"/>
      <c r="D1281" s="105"/>
      <c r="E1281">
        <v>1315</v>
      </c>
      <c r="F1281" t="s">
        <v>9412</v>
      </c>
      <c r="G1281" t="s">
        <v>9411</v>
      </c>
      <c r="H1281" t="s">
        <v>9384</v>
      </c>
      <c r="I1281" t="s">
        <v>9411</v>
      </c>
      <c r="J1281" t="s">
        <v>9412</v>
      </c>
      <c r="K1281" t="s">
        <v>12610</v>
      </c>
    </row>
    <row r="1282" spans="1:11" s="1" customFormat="1" x14ac:dyDescent="0.25">
      <c r="A1282" t="s">
        <v>9413</v>
      </c>
      <c r="B1282" t="s">
        <v>9414</v>
      </c>
      <c r="C1282" s="88"/>
      <c r="D1282" s="105"/>
      <c r="E1282">
        <v>790</v>
      </c>
      <c r="F1282" t="s">
        <v>9415</v>
      </c>
      <c r="G1282" t="s">
        <v>9414</v>
      </c>
      <c r="H1282" t="s">
        <v>9384</v>
      </c>
      <c r="I1282" t="s">
        <v>9414</v>
      </c>
      <c r="J1282" t="s">
        <v>9415</v>
      </c>
      <c r="K1282" t="s">
        <v>12611</v>
      </c>
    </row>
    <row r="1283" spans="1:11" s="1" customFormat="1" x14ac:dyDescent="0.25">
      <c r="A1283" t="s">
        <v>9416</v>
      </c>
      <c r="B1283" t="s">
        <v>9417</v>
      </c>
      <c r="C1283" s="88"/>
      <c r="D1283" s="105"/>
      <c r="E1283">
        <v>240</v>
      </c>
      <c r="F1283" t="s">
        <v>9418</v>
      </c>
      <c r="G1283" t="s">
        <v>9417</v>
      </c>
      <c r="H1283" t="s">
        <v>9384</v>
      </c>
      <c r="I1283" t="s">
        <v>9417</v>
      </c>
      <c r="J1283" t="s">
        <v>9418</v>
      </c>
      <c r="K1283" t="s">
        <v>12613</v>
      </c>
    </row>
    <row r="1284" spans="1:11" s="1" customFormat="1" x14ac:dyDescent="0.25">
      <c r="A1284" t="s">
        <v>9419</v>
      </c>
      <c r="B1284" t="s">
        <v>7592</v>
      </c>
      <c r="C1284" s="88"/>
      <c r="D1284" s="105"/>
      <c r="E1284">
        <v>307</v>
      </c>
      <c r="F1284" t="s">
        <v>9420</v>
      </c>
      <c r="G1284" t="s">
        <v>7592</v>
      </c>
      <c r="H1284" t="s">
        <v>9384</v>
      </c>
      <c r="I1284" t="s">
        <v>7592</v>
      </c>
      <c r="J1284" t="s">
        <v>9420</v>
      </c>
      <c r="K1284" t="s">
        <v>7592</v>
      </c>
    </row>
    <row r="1285" spans="1:11" s="1" customFormat="1" x14ac:dyDescent="0.25">
      <c r="A1285" t="s">
        <v>9421</v>
      </c>
      <c r="B1285" t="s">
        <v>9422</v>
      </c>
      <c r="C1285" s="88"/>
      <c r="D1285" s="105"/>
      <c r="E1285">
        <v>99</v>
      </c>
      <c r="F1285" t="s">
        <v>9423</v>
      </c>
      <c r="G1285" t="s">
        <v>9422</v>
      </c>
      <c r="H1285" t="s">
        <v>9384</v>
      </c>
      <c r="I1285" t="s">
        <v>9422</v>
      </c>
      <c r="J1285" t="s">
        <v>9423</v>
      </c>
      <c r="K1285" t="s">
        <v>12612</v>
      </c>
    </row>
    <row r="1286" spans="1:11" s="1" customFormat="1" x14ac:dyDescent="0.25">
      <c r="A1286" t="s">
        <v>9424</v>
      </c>
      <c r="B1286" t="s">
        <v>9425</v>
      </c>
      <c r="C1286" s="88"/>
      <c r="D1286" s="105"/>
      <c r="E1286">
        <v>315</v>
      </c>
      <c r="F1286" t="s">
        <v>9426</v>
      </c>
      <c r="G1286" t="s">
        <v>9425</v>
      </c>
      <c r="H1286" t="s">
        <v>9384</v>
      </c>
      <c r="I1286" t="s">
        <v>9425</v>
      </c>
      <c r="J1286" t="s">
        <v>9426</v>
      </c>
      <c r="K1286" t="s">
        <v>8107</v>
      </c>
    </row>
    <row r="1287" spans="1:11" s="1" customFormat="1" x14ac:dyDescent="0.25">
      <c r="A1287" t="s">
        <v>9427</v>
      </c>
      <c r="B1287" t="s">
        <v>9428</v>
      </c>
      <c r="C1287" s="88"/>
      <c r="D1287" s="105"/>
      <c r="E1287">
        <v>0</v>
      </c>
      <c r="F1287" t="s">
        <v>9429</v>
      </c>
      <c r="G1287" t="s">
        <v>9428</v>
      </c>
      <c r="H1287" t="s">
        <v>9384</v>
      </c>
      <c r="I1287" t="s">
        <v>9428</v>
      </c>
      <c r="J1287" t="s">
        <v>9429</v>
      </c>
      <c r="K1287" t="s">
        <v>12614</v>
      </c>
    </row>
    <row r="1288" spans="1:11" s="1" customFormat="1" x14ac:dyDescent="0.25">
      <c r="A1288" t="s">
        <v>9430</v>
      </c>
      <c r="B1288" t="s">
        <v>9431</v>
      </c>
      <c r="C1288" s="88"/>
      <c r="D1288" s="105"/>
      <c r="E1288">
        <v>102</v>
      </c>
      <c r="F1288" t="s">
        <v>9432</v>
      </c>
      <c r="G1288" t="s">
        <v>9431</v>
      </c>
      <c r="H1288" t="s">
        <v>9384</v>
      </c>
      <c r="I1288" t="s">
        <v>9431</v>
      </c>
      <c r="J1288" t="s">
        <v>9432</v>
      </c>
      <c r="K1288" t="s">
        <v>9443</v>
      </c>
    </row>
    <row r="1289" spans="1:11" s="1" customFormat="1" x14ac:dyDescent="0.25">
      <c r="A1289" t="s">
        <v>9433</v>
      </c>
      <c r="B1289" t="s">
        <v>9434</v>
      </c>
      <c r="C1289" s="88"/>
      <c r="D1289" s="105"/>
      <c r="E1289">
        <v>801</v>
      </c>
      <c r="F1289" t="s">
        <v>9435</v>
      </c>
      <c r="G1289" t="s">
        <v>9434</v>
      </c>
      <c r="H1289" t="s">
        <v>9384</v>
      </c>
      <c r="I1289" t="s">
        <v>9434</v>
      </c>
      <c r="J1289" t="s">
        <v>9435</v>
      </c>
      <c r="K1289" t="s">
        <v>12614</v>
      </c>
    </row>
    <row r="1290" spans="1:11" s="1" customFormat="1" x14ac:dyDescent="0.25">
      <c r="A1290" t="s">
        <v>9436</v>
      </c>
      <c r="B1290" t="s">
        <v>9437</v>
      </c>
      <c r="C1290" s="88"/>
      <c r="D1290" s="105"/>
      <c r="E1290"/>
      <c r="F1290" t="s">
        <v>9438</v>
      </c>
      <c r="G1290" t="s">
        <v>9437</v>
      </c>
      <c r="H1290" t="s">
        <v>9384</v>
      </c>
      <c r="I1290" t="s">
        <v>9437</v>
      </c>
      <c r="J1290" t="s">
        <v>9438</v>
      </c>
      <c r="K1290" t="s">
        <v>12614</v>
      </c>
    </row>
    <row r="1291" spans="1:11" s="1" customFormat="1" x14ac:dyDescent="0.25">
      <c r="A1291" t="s">
        <v>9439</v>
      </c>
      <c r="B1291" t="s">
        <v>9440</v>
      </c>
      <c r="C1291" s="88"/>
      <c r="D1291" s="105"/>
      <c r="E1291">
        <v>1192</v>
      </c>
      <c r="F1291" t="s">
        <v>9441</v>
      </c>
      <c r="G1291" t="s">
        <v>9440</v>
      </c>
      <c r="H1291" t="s">
        <v>9384</v>
      </c>
      <c r="I1291" t="s">
        <v>9440</v>
      </c>
      <c r="J1291" t="s">
        <v>9441</v>
      </c>
      <c r="K1291" t="s">
        <v>12612</v>
      </c>
    </row>
    <row r="1292" spans="1:11" s="1" customFormat="1" x14ac:dyDescent="0.25">
      <c r="A1292" t="s">
        <v>9442</v>
      </c>
      <c r="B1292" t="s">
        <v>9443</v>
      </c>
      <c r="C1292" s="88"/>
      <c r="D1292" s="105"/>
      <c r="E1292">
        <v>114</v>
      </c>
      <c r="F1292" t="s">
        <v>9444</v>
      </c>
      <c r="G1292" t="s">
        <v>9443</v>
      </c>
      <c r="H1292" t="s">
        <v>9384</v>
      </c>
      <c r="I1292" t="s">
        <v>9443</v>
      </c>
      <c r="J1292" t="s">
        <v>9444</v>
      </c>
      <c r="K1292" t="s">
        <v>9443</v>
      </c>
    </row>
    <row r="1293" spans="1:11" s="1" customFormat="1" x14ac:dyDescent="0.25">
      <c r="A1293" t="s">
        <v>9445</v>
      </c>
      <c r="B1293" t="s">
        <v>9446</v>
      </c>
      <c r="C1293" s="88"/>
      <c r="D1293" s="105"/>
      <c r="E1293">
        <v>0</v>
      </c>
      <c r="F1293" t="s">
        <v>9447</v>
      </c>
      <c r="G1293" t="s">
        <v>9446</v>
      </c>
      <c r="H1293" t="s">
        <v>9384</v>
      </c>
      <c r="I1293" t="s">
        <v>9446</v>
      </c>
      <c r="J1293" t="s">
        <v>9447</v>
      </c>
      <c r="K1293" t="s">
        <v>9446</v>
      </c>
    </row>
    <row r="1294" spans="1:11" s="1" customFormat="1" x14ac:dyDescent="0.25">
      <c r="A1294" t="s">
        <v>9448</v>
      </c>
      <c r="B1294" t="s">
        <v>9449</v>
      </c>
      <c r="C1294" s="88"/>
      <c r="D1294" s="105"/>
      <c r="E1294">
        <v>293</v>
      </c>
      <c r="F1294" t="s">
        <v>9450</v>
      </c>
      <c r="G1294" t="s">
        <v>9449</v>
      </c>
      <c r="H1294" t="s">
        <v>9384</v>
      </c>
      <c r="I1294" t="s">
        <v>9449</v>
      </c>
      <c r="J1294" t="s">
        <v>9450</v>
      </c>
      <c r="K1294" t="s">
        <v>12615</v>
      </c>
    </row>
    <row r="1295" spans="1:11" s="1" customFormat="1" x14ac:dyDescent="0.25">
      <c r="A1295" t="s">
        <v>9451</v>
      </c>
      <c r="B1295" t="s">
        <v>9452</v>
      </c>
      <c r="C1295" s="88"/>
      <c r="D1295" s="105"/>
      <c r="E1295">
        <v>0</v>
      </c>
      <c r="F1295" t="s">
        <v>9453</v>
      </c>
      <c r="G1295" t="s">
        <v>9452</v>
      </c>
      <c r="H1295" t="s">
        <v>9384</v>
      </c>
      <c r="I1295" t="s">
        <v>9452</v>
      </c>
      <c r="J1295" t="s">
        <v>9453</v>
      </c>
      <c r="K1295" t="s">
        <v>12614</v>
      </c>
    </row>
    <row r="1296" spans="1:11" s="1" customFormat="1" x14ac:dyDescent="0.25">
      <c r="A1296" t="s">
        <v>9454</v>
      </c>
      <c r="B1296" t="s">
        <v>8107</v>
      </c>
      <c r="C1296" s="88"/>
      <c r="D1296" s="105"/>
      <c r="E1296">
        <v>22</v>
      </c>
      <c r="F1296" t="s">
        <v>9455</v>
      </c>
      <c r="G1296" t="s">
        <v>8107</v>
      </c>
      <c r="H1296" t="s">
        <v>9384</v>
      </c>
      <c r="I1296" t="s">
        <v>8107</v>
      </c>
      <c r="J1296" t="s">
        <v>9455</v>
      </c>
      <c r="K1296" t="s">
        <v>8107</v>
      </c>
    </row>
    <row r="1297" spans="1:11" s="1" customFormat="1" x14ac:dyDescent="0.25">
      <c r="A1297" t="s">
        <v>9456</v>
      </c>
      <c r="B1297" t="s">
        <v>9457</v>
      </c>
      <c r="C1297" s="88"/>
      <c r="D1297" s="105"/>
      <c r="E1297">
        <v>891</v>
      </c>
      <c r="F1297" t="s">
        <v>9458</v>
      </c>
      <c r="G1297" t="s">
        <v>9457</v>
      </c>
      <c r="H1297" t="s">
        <v>9384</v>
      </c>
      <c r="I1297" t="s">
        <v>9457</v>
      </c>
      <c r="J1297" t="s">
        <v>9458</v>
      </c>
      <c r="K1297" t="s">
        <v>13238</v>
      </c>
    </row>
    <row r="1298" spans="1:11" s="1" customFormat="1" x14ac:dyDescent="0.25">
      <c r="A1298" t="s">
        <v>9459</v>
      </c>
      <c r="B1298" t="s">
        <v>9460</v>
      </c>
      <c r="C1298" s="88"/>
      <c r="D1298" s="105"/>
      <c r="E1298">
        <v>0</v>
      </c>
      <c r="F1298" t="s">
        <v>9461</v>
      </c>
      <c r="G1298" t="s">
        <v>9460</v>
      </c>
      <c r="H1298" t="s">
        <v>9384</v>
      </c>
      <c r="I1298" t="s">
        <v>9460</v>
      </c>
      <c r="J1298" t="s">
        <v>9461</v>
      </c>
      <c r="K1298" t="s">
        <v>9460</v>
      </c>
    </row>
    <row r="1299" spans="1:11" s="1" customFormat="1" x14ac:dyDescent="0.25">
      <c r="A1299" t="s">
        <v>9462</v>
      </c>
      <c r="B1299" t="s">
        <v>9463</v>
      </c>
      <c r="C1299" s="88"/>
      <c r="D1299" s="105"/>
      <c r="E1299">
        <v>0</v>
      </c>
      <c r="F1299" t="s">
        <v>9464</v>
      </c>
      <c r="G1299" t="s">
        <v>9463</v>
      </c>
      <c r="H1299" t="s">
        <v>9384</v>
      </c>
      <c r="I1299" t="s">
        <v>9463</v>
      </c>
      <c r="J1299" t="s">
        <v>9464</v>
      </c>
      <c r="K1299" t="s">
        <v>12614</v>
      </c>
    </row>
    <row r="1300" spans="1:11" s="1" customFormat="1" x14ac:dyDescent="0.25">
      <c r="A1300" t="s">
        <v>12332</v>
      </c>
      <c r="B1300" t="s">
        <v>12333</v>
      </c>
      <c r="C1300" s="88"/>
      <c r="D1300" s="105"/>
      <c r="E1300">
        <v>968</v>
      </c>
      <c r="F1300" t="s">
        <v>12335</v>
      </c>
      <c r="G1300" t="s">
        <v>12333</v>
      </c>
      <c r="H1300" t="s">
        <v>12334</v>
      </c>
      <c r="I1300" t="s">
        <v>12333</v>
      </c>
      <c r="J1300" t="s">
        <v>12335</v>
      </c>
      <c r="K1300" t="s">
        <v>12333</v>
      </c>
    </row>
    <row r="1301" spans="1:11" s="1" customFormat="1" x14ac:dyDescent="0.25">
      <c r="A1301" t="s">
        <v>12336</v>
      </c>
      <c r="B1301" t="s">
        <v>12337</v>
      </c>
      <c r="C1301" s="88"/>
      <c r="D1301" s="105"/>
      <c r="E1301">
        <v>309</v>
      </c>
      <c r="F1301" t="s">
        <v>12338</v>
      </c>
      <c r="G1301" t="s">
        <v>12337</v>
      </c>
      <c r="H1301" t="s">
        <v>12334</v>
      </c>
      <c r="I1301" t="s">
        <v>12337</v>
      </c>
      <c r="J1301" t="s">
        <v>12338</v>
      </c>
      <c r="K1301" t="s">
        <v>12337</v>
      </c>
    </row>
    <row r="1302" spans="1:11" s="1" customFormat="1" x14ac:dyDescent="0.25">
      <c r="A1302" t="s">
        <v>12339</v>
      </c>
      <c r="B1302" t="s">
        <v>12340</v>
      </c>
      <c r="C1302" s="88"/>
      <c r="D1302" s="105"/>
      <c r="E1302">
        <v>360</v>
      </c>
      <c r="F1302" t="s">
        <v>12341</v>
      </c>
      <c r="G1302" t="s">
        <v>12340</v>
      </c>
      <c r="H1302" t="s">
        <v>12334</v>
      </c>
      <c r="I1302" t="s">
        <v>12340</v>
      </c>
      <c r="J1302" t="s">
        <v>12341</v>
      </c>
      <c r="K1302" t="s">
        <v>12333</v>
      </c>
    </row>
    <row r="1303" spans="1:11" s="1" customFormat="1" x14ac:dyDescent="0.25">
      <c r="A1303" t="s">
        <v>10048</v>
      </c>
      <c r="B1303" t="s">
        <v>8767</v>
      </c>
      <c r="C1303" s="88"/>
      <c r="D1303" s="105"/>
      <c r="E1303">
        <v>1098</v>
      </c>
      <c r="F1303" t="s">
        <v>10050</v>
      </c>
      <c r="G1303" t="s">
        <v>8767</v>
      </c>
      <c r="H1303" t="s">
        <v>8767</v>
      </c>
      <c r="I1303" t="s">
        <v>8767</v>
      </c>
      <c r="J1303" t="s">
        <v>10050</v>
      </c>
      <c r="K1303" t="s">
        <v>12513</v>
      </c>
    </row>
    <row r="1304" spans="1:11" s="1" customFormat="1" x14ac:dyDescent="0.25">
      <c r="A1304" t="s">
        <v>10051</v>
      </c>
      <c r="B1304" t="s">
        <v>10052</v>
      </c>
      <c r="C1304" s="88"/>
      <c r="D1304" s="105"/>
      <c r="E1304">
        <v>2295</v>
      </c>
      <c r="F1304" t="s">
        <v>10053</v>
      </c>
      <c r="G1304" t="s">
        <v>8767</v>
      </c>
      <c r="H1304" t="s">
        <v>8767</v>
      </c>
      <c r="I1304" t="s">
        <v>10052</v>
      </c>
      <c r="J1304" t="s">
        <v>10053</v>
      </c>
      <c r="K1304" t="s">
        <v>12513</v>
      </c>
    </row>
    <row r="1305" spans="1:11" s="1" customFormat="1" x14ac:dyDescent="0.25">
      <c r="A1305" t="s">
        <v>10054</v>
      </c>
      <c r="B1305" t="s">
        <v>10055</v>
      </c>
      <c r="C1305" s="88"/>
      <c r="D1305" s="105"/>
      <c r="E1305">
        <v>1890</v>
      </c>
      <c r="F1305" t="s">
        <v>10056</v>
      </c>
      <c r="G1305" t="s">
        <v>8767</v>
      </c>
      <c r="H1305" t="s">
        <v>8767</v>
      </c>
      <c r="I1305" t="s">
        <v>10055</v>
      </c>
      <c r="J1305" t="s">
        <v>10056</v>
      </c>
      <c r="K1305" t="s">
        <v>12513</v>
      </c>
    </row>
    <row r="1306" spans="1:11" s="1" customFormat="1" x14ac:dyDescent="0.25">
      <c r="A1306" t="s">
        <v>10057</v>
      </c>
      <c r="B1306" t="s">
        <v>7404</v>
      </c>
      <c r="C1306" s="88"/>
      <c r="D1306" s="105"/>
      <c r="E1306">
        <v>689</v>
      </c>
      <c r="F1306" t="s">
        <v>10058</v>
      </c>
      <c r="G1306" t="s">
        <v>7404</v>
      </c>
      <c r="H1306" t="s">
        <v>8767</v>
      </c>
      <c r="I1306" t="s">
        <v>7404</v>
      </c>
      <c r="J1306" t="s">
        <v>10058</v>
      </c>
      <c r="K1306" t="s">
        <v>7404</v>
      </c>
    </row>
    <row r="1307" spans="1:11" s="1" customFormat="1" x14ac:dyDescent="0.25">
      <c r="A1307" t="s">
        <v>10059</v>
      </c>
      <c r="B1307" t="s">
        <v>10060</v>
      </c>
      <c r="C1307" s="88"/>
      <c r="D1307" s="105"/>
      <c r="E1307">
        <v>0</v>
      </c>
      <c r="F1307" t="s">
        <v>10061</v>
      </c>
      <c r="G1307" t="s">
        <v>10060</v>
      </c>
      <c r="H1307" t="s">
        <v>8767</v>
      </c>
      <c r="I1307" t="s">
        <v>10060</v>
      </c>
      <c r="J1307" t="s">
        <v>10061</v>
      </c>
      <c r="K1307" t="s">
        <v>10118</v>
      </c>
    </row>
    <row r="1308" spans="1:11" s="1" customFormat="1" x14ac:dyDescent="0.25">
      <c r="A1308" t="s">
        <v>10062</v>
      </c>
      <c r="B1308" t="s">
        <v>10063</v>
      </c>
      <c r="C1308" s="88"/>
      <c r="D1308" s="105"/>
      <c r="E1308">
        <v>555</v>
      </c>
      <c r="F1308" t="s">
        <v>10064</v>
      </c>
      <c r="G1308" t="s">
        <v>10063</v>
      </c>
      <c r="H1308" t="s">
        <v>8767</v>
      </c>
      <c r="I1308" t="s">
        <v>10063</v>
      </c>
      <c r="J1308" t="s">
        <v>10064</v>
      </c>
      <c r="K1308" t="s">
        <v>10063</v>
      </c>
    </row>
    <row r="1309" spans="1:11" s="1" customFormat="1" x14ac:dyDescent="0.25">
      <c r="A1309" t="s">
        <v>10065</v>
      </c>
      <c r="B1309" t="s">
        <v>10066</v>
      </c>
      <c r="C1309" s="88"/>
      <c r="D1309" s="105"/>
      <c r="E1309">
        <v>1184</v>
      </c>
      <c r="F1309" t="s">
        <v>10067</v>
      </c>
      <c r="G1309" t="s">
        <v>10066</v>
      </c>
      <c r="H1309" t="s">
        <v>8767</v>
      </c>
      <c r="I1309" t="s">
        <v>10066</v>
      </c>
      <c r="J1309" t="s">
        <v>10067</v>
      </c>
      <c r="K1309" t="s">
        <v>10066</v>
      </c>
    </row>
    <row r="1310" spans="1:11" s="1" customFormat="1" x14ac:dyDescent="0.25">
      <c r="A1310" t="s">
        <v>10068</v>
      </c>
      <c r="B1310" t="s">
        <v>10069</v>
      </c>
      <c r="C1310" s="88"/>
      <c r="D1310" s="105"/>
      <c r="E1310">
        <v>810</v>
      </c>
      <c r="F1310" t="s">
        <v>10070</v>
      </c>
      <c r="G1310" t="s">
        <v>10069</v>
      </c>
      <c r="H1310" t="s">
        <v>8767</v>
      </c>
      <c r="I1310" t="s">
        <v>10069</v>
      </c>
      <c r="J1310" t="s">
        <v>10070</v>
      </c>
      <c r="K1310" t="s">
        <v>10069</v>
      </c>
    </row>
    <row r="1311" spans="1:11" s="1" customFormat="1" x14ac:dyDescent="0.25">
      <c r="A1311" t="s">
        <v>10071</v>
      </c>
      <c r="B1311" t="s">
        <v>13213</v>
      </c>
      <c r="C1311" s="88"/>
      <c r="D1311" s="105"/>
      <c r="E1311">
        <v>115</v>
      </c>
      <c r="F1311" t="s">
        <v>10073</v>
      </c>
      <c r="G1311" t="s">
        <v>10072</v>
      </c>
      <c r="H1311" t="s">
        <v>8767</v>
      </c>
      <c r="I1311" t="s">
        <v>13213</v>
      </c>
      <c r="J1311" t="s">
        <v>10073</v>
      </c>
      <c r="K1311" t="s">
        <v>12535</v>
      </c>
    </row>
    <row r="1312" spans="1:11" s="1" customFormat="1" x14ac:dyDescent="0.25">
      <c r="A1312" t="s">
        <v>10074</v>
      </c>
      <c r="B1312" t="s">
        <v>10075</v>
      </c>
      <c r="C1312" s="88"/>
      <c r="D1312" s="105"/>
      <c r="E1312">
        <v>942</v>
      </c>
      <c r="F1312" t="s">
        <v>10076</v>
      </c>
      <c r="G1312" t="s">
        <v>10075</v>
      </c>
      <c r="H1312" t="s">
        <v>8767</v>
      </c>
      <c r="I1312" t="s">
        <v>10075</v>
      </c>
      <c r="J1312" t="s">
        <v>10076</v>
      </c>
      <c r="K1312" t="s">
        <v>10075</v>
      </c>
    </row>
    <row r="1313" spans="1:11" s="1" customFormat="1" x14ac:dyDescent="0.25">
      <c r="A1313" t="s">
        <v>10077</v>
      </c>
      <c r="B1313" t="s">
        <v>10078</v>
      </c>
      <c r="C1313" s="88"/>
      <c r="D1313" s="105"/>
      <c r="E1313">
        <v>100</v>
      </c>
      <c r="F1313" t="s">
        <v>10079</v>
      </c>
      <c r="G1313" t="s">
        <v>10078</v>
      </c>
      <c r="H1313" t="s">
        <v>8767</v>
      </c>
      <c r="I1313" t="s">
        <v>10078</v>
      </c>
      <c r="J1313" t="s">
        <v>10079</v>
      </c>
      <c r="K1313" t="s">
        <v>12535</v>
      </c>
    </row>
    <row r="1314" spans="1:11" s="1" customFormat="1" x14ac:dyDescent="0.25">
      <c r="A1314" t="s">
        <v>10080</v>
      </c>
      <c r="B1314" t="s">
        <v>10081</v>
      </c>
      <c r="C1314" s="88"/>
      <c r="D1314" s="105"/>
      <c r="E1314">
        <v>0</v>
      </c>
      <c r="F1314" t="s">
        <v>10082</v>
      </c>
      <c r="G1314" t="s">
        <v>10081</v>
      </c>
      <c r="H1314" t="s">
        <v>8767</v>
      </c>
      <c r="I1314" t="s">
        <v>10081</v>
      </c>
      <c r="J1314" t="s">
        <v>10082</v>
      </c>
      <c r="K1314" t="s">
        <v>10081</v>
      </c>
    </row>
    <row r="1315" spans="1:11" s="1" customFormat="1" x14ac:dyDescent="0.25">
      <c r="A1315" t="s">
        <v>10083</v>
      </c>
      <c r="B1315" t="s">
        <v>7445</v>
      </c>
      <c r="C1315" s="88"/>
      <c r="D1315" s="105"/>
      <c r="E1315">
        <v>1801</v>
      </c>
      <c r="F1315" t="s">
        <v>10084</v>
      </c>
      <c r="G1315" t="s">
        <v>7445</v>
      </c>
      <c r="H1315" t="s">
        <v>8767</v>
      </c>
      <c r="I1315" t="s">
        <v>7445</v>
      </c>
      <c r="J1315" t="s">
        <v>10084</v>
      </c>
      <c r="K1315" t="s">
        <v>7445</v>
      </c>
    </row>
    <row r="1316" spans="1:11" s="1" customFormat="1" x14ac:dyDescent="0.25">
      <c r="A1316" t="s">
        <v>10085</v>
      </c>
      <c r="B1316" t="s">
        <v>10086</v>
      </c>
      <c r="C1316" s="88"/>
      <c r="D1316" s="105"/>
      <c r="E1316">
        <v>0</v>
      </c>
      <c r="F1316" t="s">
        <v>10087</v>
      </c>
      <c r="G1316" t="s">
        <v>10086</v>
      </c>
      <c r="H1316" t="s">
        <v>8767</v>
      </c>
      <c r="I1316" t="s">
        <v>10086</v>
      </c>
      <c r="J1316" t="s">
        <v>10087</v>
      </c>
      <c r="K1316" t="s">
        <v>7400</v>
      </c>
    </row>
    <row r="1317" spans="1:11" s="1" customFormat="1" x14ac:dyDescent="0.25">
      <c r="A1317" t="s">
        <v>10088</v>
      </c>
      <c r="B1317" t="s">
        <v>10089</v>
      </c>
      <c r="C1317" s="88"/>
      <c r="D1317" s="105"/>
      <c r="E1317">
        <v>0</v>
      </c>
      <c r="F1317" t="s">
        <v>10091</v>
      </c>
      <c r="G1317" t="s">
        <v>10090</v>
      </c>
      <c r="H1317" t="s">
        <v>8767</v>
      </c>
      <c r="I1317" t="s">
        <v>10089</v>
      </c>
      <c r="J1317" t="s">
        <v>10091</v>
      </c>
      <c r="K1317" t="s">
        <v>10118</v>
      </c>
    </row>
    <row r="1318" spans="1:11" s="1" customFormat="1" x14ac:dyDescent="0.25">
      <c r="A1318" t="s">
        <v>10092</v>
      </c>
      <c r="B1318" t="s">
        <v>10093</v>
      </c>
      <c r="C1318" s="88"/>
      <c r="D1318" s="105"/>
      <c r="E1318">
        <v>984</v>
      </c>
      <c r="F1318" t="s">
        <v>10094</v>
      </c>
      <c r="G1318" t="s">
        <v>10093</v>
      </c>
      <c r="H1318" t="s">
        <v>8767</v>
      </c>
      <c r="I1318" t="s">
        <v>10093</v>
      </c>
      <c r="J1318" t="s">
        <v>10094</v>
      </c>
      <c r="K1318" t="s">
        <v>10093</v>
      </c>
    </row>
    <row r="1319" spans="1:11" s="1" customFormat="1" x14ac:dyDescent="0.25">
      <c r="A1319" t="s">
        <v>10095</v>
      </c>
      <c r="B1319" t="s">
        <v>7840</v>
      </c>
      <c r="C1319" s="88"/>
      <c r="D1319" s="105"/>
      <c r="E1319">
        <v>599</v>
      </c>
      <c r="F1319" t="s">
        <v>10096</v>
      </c>
      <c r="G1319" t="s">
        <v>7840</v>
      </c>
      <c r="H1319" t="s">
        <v>8767</v>
      </c>
      <c r="I1319" t="s">
        <v>7840</v>
      </c>
      <c r="J1319" t="s">
        <v>10096</v>
      </c>
      <c r="K1319" t="s">
        <v>7840</v>
      </c>
    </row>
    <row r="1320" spans="1:11" s="1" customFormat="1" x14ac:dyDescent="0.25">
      <c r="A1320" t="s">
        <v>10097</v>
      </c>
      <c r="B1320" t="s">
        <v>10098</v>
      </c>
      <c r="C1320" s="88"/>
      <c r="D1320" s="105"/>
      <c r="E1320">
        <v>642</v>
      </c>
      <c r="F1320" t="s">
        <v>10099</v>
      </c>
      <c r="G1320" t="s">
        <v>10098</v>
      </c>
      <c r="H1320" t="s">
        <v>8767</v>
      </c>
      <c r="I1320" t="s">
        <v>10098</v>
      </c>
      <c r="J1320" t="s">
        <v>10099</v>
      </c>
      <c r="K1320" t="s">
        <v>10107</v>
      </c>
    </row>
    <row r="1321" spans="1:11" s="1" customFormat="1" x14ac:dyDescent="0.25">
      <c r="A1321" t="s">
        <v>10100</v>
      </c>
      <c r="B1321" t="s">
        <v>10101</v>
      </c>
      <c r="C1321" s="88"/>
      <c r="D1321" s="105"/>
      <c r="E1321">
        <v>0</v>
      </c>
      <c r="F1321" t="s">
        <v>10102</v>
      </c>
      <c r="G1321" t="s">
        <v>10101</v>
      </c>
      <c r="H1321" t="s">
        <v>8767</v>
      </c>
      <c r="I1321" t="s">
        <v>10101</v>
      </c>
      <c r="J1321" t="s">
        <v>10102</v>
      </c>
      <c r="K1321" t="s">
        <v>10152</v>
      </c>
    </row>
    <row r="1322" spans="1:11" s="1" customFormat="1" x14ac:dyDescent="0.25">
      <c r="A1322" t="s">
        <v>10103</v>
      </c>
      <c r="B1322" t="s">
        <v>10104</v>
      </c>
      <c r="C1322" s="88"/>
      <c r="D1322" s="105"/>
      <c r="E1322">
        <v>605</v>
      </c>
      <c r="F1322" t="s">
        <v>10105</v>
      </c>
      <c r="G1322" t="s">
        <v>10104</v>
      </c>
      <c r="H1322" t="s">
        <v>8767</v>
      </c>
      <c r="I1322" t="s">
        <v>10104</v>
      </c>
      <c r="J1322" t="s">
        <v>10105</v>
      </c>
      <c r="K1322" t="s">
        <v>10104</v>
      </c>
    </row>
    <row r="1323" spans="1:11" s="1" customFormat="1" x14ac:dyDescent="0.25">
      <c r="A1323" t="s">
        <v>10106</v>
      </c>
      <c r="B1323" t="s">
        <v>10107</v>
      </c>
      <c r="C1323" s="88"/>
      <c r="D1323" s="105"/>
      <c r="E1323">
        <v>0</v>
      </c>
      <c r="F1323" t="s">
        <v>10108</v>
      </c>
      <c r="G1323" t="s">
        <v>10107</v>
      </c>
      <c r="H1323" t="s">
        <v>8767</v>
      </c>
      <c r="I1323" t="s">
        <v>10107</v>
      </c>
      <c r="J1323" t="s">
        <v>10108</v>
      </c>
      <c r="K1323" t="s">
        <v>10107</v>
      </c>
    </row>
    <row r="1324" spans="1:11" s="1" customFormat="1" x14ac:dyDescent="0.25">
      <c r="A1324" t="s">
        <v>10109</v>
      </c>
      <c r="B1324" t="s">
        <v>10110</v>
      </c>
      <c r="C1324" s="88"/>
      <c r="D1324" s="105"/>
      <c r="E1324">
        <v>0</v>
      </c>
      <c r="F1324" t="s">
        <v>10111</v>
      </c>
      <c r="G1324" t="s">
        <v>10110</v>
      </c>
      <c r="H1324" t="s">
        <v>8767</v>
      </c>
      <c r="I1324" t="s">
        <v>10110</v>
      </c>
      <c r="J1324" t="s">
        <v>10111</v>
      </c>
      <c r="K1324" t="s">
        <v>10104</v>
      </c>
    </row>
    <row r="1325" spans="1:11" s="1" customFormat="1" x14ac:dyDescent="0.25">
      <c r="A1325" t="s">
        <v>10112</v>
      </c>
      <c r="B1325" t="s">
        <v>10113</v>
      </c>
      <c r="C1325" s="88"/>
      <c r="D1325" s="105"/>
      <c r="E1325">
        <v>687</v>
      </c>
      <c r="F1325" t="s">
        <v>10114</v>
      </c>
      <c r="G1325" t="s">
        <v>10113</v>
      </c>
      <c r="H1325" t="s">
        <v>8767</v>
      </c>
      <c r="I1325" t="s">
        <v>10113</v>
      </c>
      <c r="J1325" t="s">
        <v>10114</v>
      </c>
      <c r="K1325" t="s">
        <v>10113</v>
      </c>
    </row>
    <row r="1326" spans="1:11" s="1" customFormat="1" x14ac:dyDescent="0.25">
      <c r="A1326" t="s">
        <v>10115</v>
      </c>
      <c r="B1326" t="s">
        <v>7400</v>
      </c>
      <c r="C1326" s="88"/>
      <c r="D1326" s="105"/>
      <c r="E1326">
        <v>895</v>
      </c>
      <c r="F1326" t="s">
        <v>10116</v>
      </c>
      <c r="G1326" t="s">
        <v>7400</v>
      </c>
      <c r="H1326" t="s">
        <v>8767</v>
      </c>
      <c r="I1326" t="s">
        <v>7400</v>
      </c>
      <c r="J1326" t="s">
        <v>10116</v>
      </c>
      <c r="K1326" t="s">
        <v>7400</v>
      </c>
    </row>
    <row r="1327" spans="1:11" s="1" customFormat="1" x14ac:dyDescent="0.25">
      <c r="A1327" t="s">
        <v>10117</v>
      </c>
      <c r="B1327" t="s">
        <v>10118</v>
      </c>
      <c r="C1327" s="88"/>
      <c r="D1327" s="105"/>
      <c r="E1327">
        <v>850</v>
      </c>
      <c r="F1327" t="s">
        <v>10119</v>
      </c>
      <c r="G1327" t="s">
        <v>10118</v>
      </c>
      <c r="H1327" t="s">
        <v>8767</v>
      </c>
      <c r="I1327" t="s">
        <v>10118</v>
      </c>
      <c r="J1327" t="s">
        <v>10119</v>
      </c>
      <c r="K1327" t="s">
        <v>10118</v>
      </c>
    </row>
    <row r="1328" spans="1:11" s="1" customFormat="1" x14ac:dyDescent="0.25">
      <c r="A1328" t="s">
        <v>10120</v>
      </c>
      <c r="B1328" t="s">
        <v>8279</v>
      </c>
      <c r="C1328" s="88"/>
      <c r="D1328" s="105"/>
      <c r="E1328">
        <v>204</v>
      </c>
      <c r="F1328" t="s">
        <v>10121</v>
      </c>
      <c r="G1328" t="s">
        <v>8279</v>
      </c>
      <c r="H1328" t="s">
        <v>8767</v>
      </c>
      <c r="I1328" t="s">
        <v>8279</v>
      </c>
      <c r="J1328" t="s">
        <v>10121</v>
      </c>
      <c r="K1328" t="s">
        <v>9117</v>
      </c>
    </row>
    <row r="1329" spans="1:11" s="1" customFormat="1" x14ac:dyDescent="0.25">
      <c r="A1329" t="s">
        <v>10122</v>
      </c>
      <c r="B1329" t="s">
        <v>10123</v>
      </c>
      <c r="C1329" s="88"/>
      <c r="D1329" s="105"/>
      <c r="E1329"/>
      <c r="F1329" t="s">
        <v>10125</v>
      </c>
      <c r="G1329" t="s">
        <v>10124</v>
      </c>
      <c r="H1329" t="s">
        <v>8767</v>
      </c>
      <c r="I1329" t="s">
        <v>10123</v>
      </c>
      <c r="J1329" t="s">
        <v>10125</v>
      </c>
      <c r="K1329" t="s">
        <v>7840</v>
      </c>
    </row>
    <row r="1330" spans="1:11" s="1" customFormat="1" x14ac:dyDescent="0.25">
      <c r="A1330" t="s">
        <v>10126</v>
      </c>
      <c r="B1330" t="s">
        <v>10127</v>
      </c>
      <c r="C1330" s="88"/>
      <c r="D1330" s="105"/>
      <c r="E1330">
        <v>595</v>
      </c>
      <c r="F1330" t="s">
        <v>10128</v>
      </c>
      <c r="G1330" t="s">
        <v>10127</v>
      </c>
      <c r="H1330" t="s">
        <v>8767</v>
      </c>
      <c r="I1330" t="s">
        <v>10127</v>
      </c>
      <c r="J1330" t="s">
        <v>10128</v>
      </c>
      <c r="K1330" t="s">
        <v>7774</v>
      </c>
    </row>
    <row r="1331" spans="1:11" s="1" customFormat="1" x14ac:dyDescent="0.25">
      <c r="A1331" t="s">
        <v>10129</v>
      </c>
      <c r="B1331" t="s">
        <v>10130</v>
      </c>
      <c r="C1331" s="88"/>
      <c r="D1331" s="105"/>
      <c r="E1331">
        <v>1</v>
      </c>
      <c r="F1331" t="s">
        <v>10131</v>
      </c>
      <c r="G1331" t="s">
        <v>10130</v>
      </c>
      <c r="H1331" t="s">
        <v>8767</v>
      </c>
      <c r="I1331" t="s">
        <v>10130</v>
      </c>
      <c r="J1331" t="s">
        <v>10131</v>
      </c>
      <c r="K1331" t="s">
        <v>7445</v>
      </c>
    </row>
    <row r="1332" spans="1:11" s="1" customFormat="1" x14ac:dyDescent="0.25">
      <c r="A1332" t="s">
        <v>10132</v>
      </c>
      <c r="B1332" t="s">
        <v>10133</v>
      </c>
      <c r="C1332" s="88"/>
      <c r="D1332" s="105"/>
      <c r="E1332">
        <v>0</v>
      </c>
      <c r="F1332" t="s">
        <v>10134</v>
      </c>
      <c r="G1332" t="s">
        <v>10133</v>
      </c>
      <c r="H1332" t="s">
        <v>8767</v>
      </c>
      <c r="I1332" t="s">
        <v>10133</v>
      </c>
      <c r="J1332" t="s">
        <v>10134</v>
      </c>
      <c r="K1332" t="s">
        <v>10144</v>
      </c>
    </row>
    <row r="1333" spans="1:11" s="1" customFormat="1" x14ac:dyDescent="0.25">
      <c r="A1333" t="s">
        <v>10135</v>
      </c>
      <c r="B1333" t="s">
        <v>10136</v>
      </c>
      <c r="C1333" s="88"/>
      <c r="D1333" s="105"/>
      <c r="E1333">
        <v>2113</v>
      </c>
      <c r="F1333" t="s">
        <v>10138</v>
      </c>
      <c r="G1333" t="s">
        <v>10137</v>
      </c>
      <c r="H1333" t="s">
        <v>8767</v>
      </c>
      <c r="I1333" t="s">
        <v>10136</v>
      </c>
      <c r="J1333" t="s">
        <v>10138</v>
      </c>
      <c r="K1333" t="s">
        <v>10144</v>
      </c>
    </row>
    <row r="1334" spans="1:11" s="1" customFormat="1" x14ac:dyDescent="0.25">
      <c r="A1334" t="s">
        <v>10139</v>
      </c>
      <c r="B1334" t="s">
        <v>9854</v>
      </c>
      <c r="C1334" s="88"/>
      <c r="D1334" s="105"/>
      <c r="E1334">
        <v>798</v>
      </c>
      <c r="F1334" t="s">
        <v>10140</v>
      </c>
      <c r="G1334" t="s">
        <v>9854</v>
      </c>
      <c r="H1334" t="s">
        <v>8767</v>
      </c>
      <c r="I1334" t="s">
        <v>9854</v>
      </c>
      <c r="J1334" t="s">
        <v>10140</v>
      </c>
      <c r="K1334" t="s">
        <v>7315</v>
      </c>
    </row>
    <row r="1335" spans="1:11" s="1" customFormat="1" x14ac:dyDescent="0.25">
      <c r="A1335" t="s">
        <v>10141</v>
      </c>
      <c r="B1335" t="s">
        <v>9652</v>
      </c>
      <c r="C1335" s="88"/>
      <c r="D1335" s="105"/>
      <c r="E1335">
        <v>0</v>
      </c>
      <c r="F1335" t="s">
        <v>10142</v>
      </c>
      <c r="G1335" t="s">
        <v>9652</v>
      </c>
      <c r="H1335" t="s">
        <v>8767</v>
      </c>
      <c r="I1335" t="s">
        <v>9652</v>
      </c>
      <c r="J1335" t="s">
        <v>10142</v>
      </c>
      <c r="K1335" t="s">
        <v>7445</v>
      </c>
    </row>
    <row r="1336" spans="1:11" s="1" customFormat="1" x14ac:dyDescent="0.25">
      <c r="A1336" t="s">
        <v>10143</v>
      </c>
      <c r="B1336" t="s">
        <v>10144</v>
      </c>
      <c r="C1336" s="88"/>
      <c r="D1336" s="105"/>
      <c r="E1336">
        <v>805</v>
      </c>
      <c r="F1336" t="s">
        <v>10145</v>
      </c>
      <c r="G1336" t="s">
        <v>10144</v>
      </c>
      <c r="H1336" t="s">
        <v>8767</v>
      </c>
      <c r="I1336" t="s">
        <v>10144</v>
      </c>
      <c r="J1336" t="s">
        <v>10145</v>
      </c>
      <c r="K1336" t="s">
        <v>10144</v>
      </c>
    </row>
    <row r="1337" spans="1:11" s="1" customFormat="1" x14ac:dyDescent="0.25">
      <c r="A1337" t="s">
        <v>10146</v>
      </c>
      <c r="B1337" t="s">
        <v>8167</v>
      </c>
      <c r="C1337" s="88"/>
      <c r="D1337" s="105"/>
      <c r="E1337">
        <v>302</v>
      </c>
      <c r="F1337" t="s">
        <v>10147</v>
      </c>
      <c r="G1337" t="s">
        <v>8167</v>
      </c>
      <c r="H1337" t="s">
        <v>8767</v>
      </c>
      <c r="I1337" t="s">
        <v>8167</v>
      </c>
      <c r="J1337" t="s">
        <v>10147</v>
      </c>
      <c r="K1337" t="s">
        <v>7315</v>
      </c>
    </row>
    <row r="1338" spans="1:11" s="1" customFormat="1" x14ac:dyDescent="0.25">
      <c r="A1338" t="s">
        <v>10148</v>
      </c>
      <c r="B1338" t="s">
        <v>10149</v>
      </c>
      <c r="C1338" s="88"/>
      <c r="D1338" s="105"/>
      <c r="E1338">
        <v>0</v>
      </c>
      <c r="F1338" t="s">
        <v>10150</v>
      </c>
      <c r="G1338" t="s">
        <v>10149</v>
      </c>
      <c r="H1338" t="s">
        <v>8767</v>
      </c>
      <c r="I1338" t="s">
        <v>10149</v>
      </c>
      <c r="J1338" t="s">
        <v>10150</v>
      </c>
      <c r="K1338" t="s">
        <v>10161</v>
      </c>
    </row>
    <row r="1339" spans="1:11" s="1" customFormat="1" x14ac:dyDescent="0.25">
      <c r="A1339" t="s">
        <v>10151</v>
      </c>
      <c r="B1339" t="s">
        <v>10152</v>
      </c>
      <c r="C1339" s="88"/>
      <c r="D1339" s="105"/>
      <c r="E1339">
        <v>999</v>
      </c>
      <c r="F1339" t="s">
        <v>10153</v>
      </c>
      <c r="G1339" t="s">
        <v>10152</v>
      </c>
      <c r="H1339" t="s">
        <v>8767</v>
      </c>
      <c r="I1339" t="s">
        <v>10152</v>
      </c>
      <c r="J1339" t="s">
        <v>10153</v>
      </c>
      <c r="K1339" t="s">
        <v>10152</v>
      </c>
    </row>
    <row r="1340" spans="1:11" s="1" customFormat="1" x14ac:dyDescent="0.25">
      <c r="A1340" t="s">
        <v>10154</v>
      </c>
      <c r="B1340" t="s">
        <v>10155</v>
      </c>
      <c r="C1340" s="88"/>
      <c r="D1340" s="105"/>
      <c r="E1340">
        <v>501</v>
      </c>
      <c r="F1340" t="s">
        <v>10156</v>
      </c>
      <c r="G1340" t="s">
        <v>10155</v>
      </c>
      <c r="H1340" t="s">
        <v>8767</v>
      </c>
      <c r="I1340" t="s">
        <v>10155</v>
      </c>
      <c r="J1340" t="s">
        <v>10156</v>
      </c>
      <c r="K1340" t="s">
        <v>10158</v>
      </c>
    </row>
    <row r="1341" spans="1:11" s="1" customFormat="1" x14ac:dyDescent="0.25">
      <c r="A1341" t="s">
        <v>10157</v>
      </c>
      <c r="B1341" t="s">
        <v>10158</v>
      </c>
      <c r="C1341" s="88"/>
      <c r="D1341" s="105"/>
      <c r="E1341">
        <v>1199</v>
      </c>
      <c r="F1341" t="s">
        <v>10159</v>
      </c>
      <c r="G1341" t="s">
        <v>10158</v>
      </c>
      <c r="H1341" t="s">
        <v>8767</v>
      </c>
      <c r="I1341" t="s">
        <v>10158</v>
      </c>
      <c r="J1341" t="s">
        <v>10159</v>
      </c>
      <c r="K1341" t="s">
        <v>10158</v>
      </c>
    </row>
    <row r="1342" spans="1:11" s="1" customFormat="1" x14ac:dyDescent="0.25">
      <c r="A1342" t="s">
        <v>10160</v>
      </c>
      <c r="B1342" t="s">
        <v>10161</v>
      </c>
      <c r="C1342" s="88"/>
      <c r="D1342" s="105"/>
      <c r="E1342">
        <v>998</v>
      </c>
      <c r="F1342" t="s">
        <v>10162</v>
      </c>
      <c r="G1342" t="s">
        <v>10161</v>
      </c>
      <c r="H1342" t="s">
        <v>8767</v>
      </c>
      <c r="I1342" t="s">
        <v>10161</v>
      </c>
      <c r="J1342" t="s">
        <v>10162</v>
      </c>
      <c r="K1342" t="s">
        <v>10161</v>
      </c>
    </row>
    <row r="1343" spans="1:11" s="1" customFormat="1" x14ac:dyDescent="0.25">
      <c r="A1343" t="s">
        <v>10163</v>
      </c>
      <c r="B1343" t="s">
        <v>10164</v>
      </c>
      <c r="C1343" s="88"/>
      <c r="D1343" s="105"/>
      <c r="E1343">
        <v>1251</v>
      </c>
      <c r="F1343" t="s">
        <v>10165</v>
      </c>
      <c r="G1343" t="s">
        <v>10164</v>
      </c>
      <c r="H1343" t="s">
        <v>8767</v>
      </c>
      <c r="I1343" t="s">
        <v>10164</v>
      </c>
      <c r="J1343" t="s">
        <v>10165</v>
      </c>
      <c r="K1343" t="s">
        <v>10164</v>
      </c>
    </row>
    <row r="1344" spans="1:11" s="1" customFormat="1" x14ac:dyDescent="0.25">
      <c r="A1344" t="s">
        <v>10166</v>
      </c>
      <c r="B1344" t="s">
        <v>10167</v>
      </c>
      <c r="C1344" s="88"/>
      <c r="D1344" s="105"/>
      <c r="E1344">
        <v>798</v>
      </c>
      <c r="F1344" t="s">
        <v>10168</v>
      </c>
      <c r="G1344" t="s">
        <v>8767</v>
      </c>
      <c r="H1344" t="s">
        <v>8767</v>
      </c>
      <c r="I1344" t="s">
        <v>10167</v>
      </c>
      <c r="J1344" t="s">
        <v>10168</v>
      </c>
      <c r="K1344" t="s">
        <v>12513</v>
      </c>
    </row>
    <row r="1345" spans="1:11" s="1" customFormat="1" x14ac:dyDescent="0.25">
      <c r="A1345" t="s">
        <v>9465</v>
      </c>
      <c r="B1345" t="s">
        <v>7845</v>
      </c>
      <c r="C1345" s="88"/>
      <c r="D1345" s="105"/>
      <c r="E1345">
        <v>210</v>
      </c>
      <c r="F1345" t="s">
        <v>9466</v>
      </c>
      <c r="G1345" t="s">
        <v>7845</v>
      </c>
      <c r="H1345" t="s">
        <v>7845</v>
      </c>
      <c r="I1345" t="s">
        <v>7845</v>
      </c>
      <c r="J1345" t="s">
        <v>9466</v>
      </c>
      <c r="K1345" t="s">
        <v>12513</v>
      </c>
    </row>
    <row r="1346" spans="1:11" s="1" customFormat="1" x14ac:dyDescent="0.25">
      <c r="A1346" t="s">
        <v>9467</v>
      </c>
      <c r="B1346" t="s">
        <v>9468</v>
      </c>
      <c r="C1346" s="88"/>
      <c r="D1346" s="105"/>
      <c r="E1346">
        <v>3479</v>
      </c>
      <c r="F1346" t="s">
        <v>9469</v>
      </c>
      <c r="G1346" t="s">
        <v>7845</v>
      </c>
      <c r="H1346" t="s">
        <v>7845</v>
      </c>
      <c r="I1346" t="s">
        <v>9468</v>
      </c>
      <c r="J1346" t="s">
        <v>9469</v>
      </c>
      <c r="K1346" t="s">
        <v>12513</v>
      </c>
    </row>
    <row r="1347" spans="1:11" s="1" customFormat="1" x14ac:dyDescent="0.25">
      <c r="A1347" t="s">
        <v>9470</v>
      </c>
      <c r="B1347" t="s">
        <v>9471</v>
      </c>
      <c r="C1347" s="88"/>
      <c r="D1347" s="105"/>
      <c r="E1347">
        <v>2547</v>
      </c>
      <c r="F1347" t="s">
        <v>9472</v>
      </c>
      <c r="G1347" t="s">
        <v>7845</v>
      </c>
      <c r="H1347" t="s">
        <v>7845</v>
      </c>
      <c r="I1347" t="s">
        <v>9471</v>
      </c>
      <c r="J1347" t="s">
        <v>9472</v>
      </c>
      <c r="K1347" t="s">
        <v>12513</v>
      </c>
    </row>
    <row r="1348" spans="1:11" s="1" customFormat="1" x14ac:dyDescent="0.25">
      <c r="A1348" t="s">
        <v>9473</v>
      </c>
      <c r="B1348" t="s">
        <v>9474</v>
      </c>
      <c r="C1348" s="88"/>
      <c r="D1348" s="105"/>
      <c r="E1348">
        <v>1351</v>
      </c>
      <c r="F1348" t="s">
        <v>9475</v>
      </c>
      <c r="G1348" t="s">
        <v>7845</v>
      </c>
      <c r="H1348" t="s">
        <v>7845</v>
      </c>
      <c r="I1348" t="s">
        <v>9474</v>
      </c>
      <c r="J1348" t="s">
        <v>9475</v>
      </c>
      <c r="K1348" t="s">
        <v>12513</v>
      </c>
    </row>
    <row r="1349" spans="1:11" s="1" customFormat="1" x14ac:dyDescent="0.25">
      <c r="A1349" t="s">
        <v>9476</v>
      </c>
      <c r="B1349" t="s">
        <v>9477</v>
      </c>
      <c r="C1349" s="88"/>
      <c r="D1349" s="105"/>
      <c r="E1349">
        <v>6237</v>
      </c>
      <c r="F1349" t="s">
        <v>9478</v>
      </c>
      <c r="G1349" t="s">
        <v>7845</v>
      </c>
      <c r="H1349" t="s">
        <v>7845</v>
      </c>
      <c r="I1349" t="s">
        <v>9477</v>
      </c>
      <c r="J1349" t="s">
        <v>9478</v>
      </c>
      <c r="K1349" t="s">
        <v>12513</v>
      </c>
    </row>
    <row r="1350" spans="1:11" s="1" customFormat="1" x14ac:dyDescent="0.25">
      <c r="A1350" t="s">
        <v>9479</v>
      </c>
      <c r="B1350" t="s">
        <v>9480</v>
      </c>
      <c r="C1350" s="88"/>
      <c r="D1350" s="105"/>
      <c r="E1350">
        <v>3160</v>
      </c>
      <c r="F1350" t="s">
        <v>9481</v>
      </c>
      <c r="G1350" t="s">
        <v>7845</v>
      </c>
      <c r="H1350" t="s">
        <v>7845</v>
      </c>
      <c r="I1350" t="s">
        <v>9480</v>
      </c>
      <c r="J1350" t="s">
        <v>9481</v>
      </c>
      <c r="K1350" t="s">
        <v>12513</v>
      </c>
    </row>
    <row r="1351" spans="1:11" s="1" customFormat="1" x14ac:dyDescent="0.25">
      <c r="A1351" t="s">
        <v>9482</v>
      </c>
      <c r="B1351" t="s">
        <v>9483</v>
      </c>
      <c r="C1351" s="88"/>
      <c r="D1351" s="105"/>
      <c r="E1351">
        <v>3782</v>
      </c>
      <c r="F1351" t="s">
        <v>9484</v>
      </c>
      <c r="G1351" t="s">
        <v>7845</v>
      </c>
      <c r="H1351" t="s">
        <v>7845</v>
      </c>
      <c r="I1351" t="s">
        <v>9483</v>
      </c>
      <c r="J1351" t="s">
        <v>9484</v>
      </c>
      <c r="K1351" t="s">
        <v>12513</v>
      </c>
    </row>
    <row r="1352" spans="1:11" s="1" customFormat="1" x14ac:dyDescent="0.25">
      <c r="A1352" t="s">
        <v>9485</v>
      </c>
      <c r="B1352" t="s">
        <v>9486</v>
      </c>
      <c r="C1352" s="88"/>
      <c r="D1352" s="105"/>
      <c r="E1352">
        <v>2921</v>
      </c>
      <c r="F1352" t="s">
        <v>9487</v>
      </c>
      <c r="G1352" t="s">
        <v>7845</v>
      </c>
      <c r="H1352" t="s">
        <v>7845</v>
      </c>
      <c r="I1352" t="s">
        <v>9486</v>
      </c>
      <c r="J1352" t="s">
        <v>9487</v>
      </c>
      <c r="K1352" t="s">
        <v>12513</v>
      </c>
    </row>
    <row r="1353" spans="1:11" s="1" customFormat="1" x14ac:dyDescent="0.25">
      <c r="A1353" t="s">
        <v>9488</v>
      </c>
      <c r="B1353" t="s">
        <v>9489</v>
      </c>
      <c r="C1353" s="88"/>
      <c r="D1353" s="105"/>
      <c r="E1353">
        <v>251</v>
      </c>
      <c r="F1353" t="s">
        <v>9490</v>
      </c>
      <c r="G1353" t="s">
        <v>7845</v>
      </c>
      <c r="H1353" t="s">
        <v>7845</v>
      </c>
      <c r="I1353" t="s">
        <v>9489</v>
      </c>
      <c r="J1353" t="s">
        <v>9490</v>
      </c>
      <c r="K1353" t="s">
        <v>12513</v>
      </c>
    </row>
    <row r="1354" spans="1:11" s="1" customFormat="1" x14ac:dyDescent="0.25">
      <c r="A1354" t="s">
        <v>9491</v>
      </c>
      <c r="B1354" t="s">
        <v>9492</v>
      </c>
      <c r="C1354" s="88"/>
      <c r="D1354" s="105"/>
      <c r="E1354">
        <v>753</v>
      </c>
      <c r="F1354" t="s">
        <v>9493</v>
      </c>
      <c r="G1354" t="s">
        <v>7845</v>
      </c>
      <c r="H1354" t="s">
        <v>7845</v>
      </c>
      <c r="I1354" t="s">
        <v>9492</v>
      </c>
      <c r="J1354" t="s">
        <v>9493</v>
      </c>
      <c r="K1354" t="s">
        <v>12513</v>
      </c>
    </row>
    <row r="1355" spans="1:11" s="1" customFormat="1" x14ac:dyDescent="0.25">
      <c r="A1355" t="s">
        <v>9494</v>
      </c>
      <c r="B1355" t="s">
        <v>9495</v>
      </c>
      <c r="C1355" s="88"/>
      <c r="D1355" s="105"/>
      <c r="E1355">
        <v>3458</v>
      </c>
      <c r="F1355" t="s">
        <v>9496</v>
      </c>
      <c r="G1355" t="s">
        <v>7845</v>
      </c>
      <c r="H1355" t="s">
        <v>7845</v>
      </c>
      <c r="I1355" t="s">
        <v>9495</v>
      </c>
      <c r="J1355" t="s">
        <v>9496</v>
      </c>
      <c r="K1355" t="s">
        <v>12513</v>
      </c>
    </row>
    <row r="1356" spans="1:11" s="1" customFormat="1" x14ac:dyDescent="0.25">
      <c r="A1356" t="s">
        <v>9497</v>
      </c>
      <c r="B1356" t="s">
        <v>9498</v>
      </c>
      <c r="C1356" s="88"/>
      <c r="D1356" s="105"/>
      <c r="E1356">
        <v>604</v>
      </c>
      <c r="F1356" t="s">
        <v>9499</v>
      </c>
      <c r="G1356" t="s">
        <v>9498</v>
      </c>
      <c r="H1356" t="s">
        <v>7845</v>
      </c>
      <c r="I1356" t="s">
        <v>9498</v>
      </c>
      <c r="J1356" t="s">
        <v>9499</v>
      </c>
      <c r="K1356" t="s">
        <v>7505</v>
      </c>
    </row>
    <row r="1357" spans="1:11" s="1" customFormat="1" x14ac:dyDescent="0.25">
      <c r="A1357" t="s">
        <v>9500</v>
      </c>
      <c r="B1357" t="s">
        <v>9501</v>
      </c>
      <c r="C1357" s="88"/>
      <c r="D1357" s="105"/>
      <c r="E1357">
        <v>1</v>
      </c>
      <c r="F1357" t="s">
        <v>9502</v>
      </c>
      <c r="G1357" t="s">
        <v>9501</v>
      </c>
      <c r="H1357" t="s">
        <v>7845</v>
      </c>
      <c r="I1357" t="s">
        <v>9501</v>
      </c>
      <c r="J1357" t="s">
        <v>9502</v>
      </c>
      <c r="K1357" t="s">
        <v>7526</v>
      </c>
    </row>
    <row r="1358" spans="1:11" s="1" customFormat="1" x14ac:dyDescent="0.25">
      <c r="A1358" t="s">
        <v>9503</v>
      </c>
      <c r="B1358" t="s">
        <v>9504</v>
      </c>
      <c r="C1358" s="88"/>
      <c r="D1358" s="105"/>
      <c r="E1358">
        <v>577</v>
      </c>
      <c r="F1358" t="s">
        <v>9505</v>
      </c>
      <c r="G1358" t="s">
        <v>9504</v>
      </c>
      <c r="H1358" t="s">
        <v>7845</v>
      </c>
      <c r="I1358" t="s">
        <v>9504</v>
      </c>
      <c r="J1358" t="s">
        <v>9505</v>
      </c>
      <c r="K1358" t="s">
        <v>9153</v>
      </c>
    </row>
    <row r="1359" spans="1:11" s="1" customFormat="1" x14ac:dyDescent="0.25">
      <c r="A1359" t="s">
        <v>9506</v>
      </c>
      <c r="B1359" t="s">
        <v>9507</v>
      </c>
      <c r="C1359" s="88"/>
      <c r="D1359" s="105"/>
      <c r="E1359">
        <v>544</v>
      </c>
      <c r="F1359" t="s">
        <v>9508</v>
      </c>
      <c r="G1359" t="s">
        <v>9507</v>
      </c>
      <c r="H1359" t="s">
        <v>7845</v>
      </c>
      <c r="I1359" t="s">
        <v>9507</v>
      </c>
      <c r="J1359" t="s">
        <v>9508</v>
      </c>
      <c r="K1359" t="s">
        <v>7505</v>
      </c>
    </row>
    <row r="1360" spans="1:11" s="1" customFormat="1" x14ac:dyDescent="0.25">
      <c r="A1360" t="s">
        <v>9509</v>
      </c>
      <c r="B1360" t="s">
        <v>9510</v>
      </c>
      <c r="C1360" s="88"/>
      <c r="D1360" s="105"/>
      <c r="E1360">
        <v>505</v>
      </c>
      <c r="F1360" t="s">
        <v>9511</v>
      </c>
      <c r="G1360" t="s">
        <v>9510</v>
      </c>
      <c r="H1360" t="s">
        <v>7845</v>
      </c>
      <c r="I1360" t="s">
        <v>9510</v>
      </c>
      <c r="J1360" t="s">
        <v>9511</v>
      </c>
      <c r="K1360" t="s">
        <v>7505</v>
      </c>
    </row>
    <row r="1361" spans="1:11" s="1" customFormat="1" x14ac:dyDescent="0.25">
      <c r="A1361" t="s">
        <v>9512</v>
      </c>
      <c r="B1361" t="s">
        <v>9513</v>
      </c>
      <c r="C1361" s="88"/>
      <c r="D1361" s="105"/>
      <c r="E1361">
        <v>168</v>
      </c>
      <c r="F1361" t="s">
        <v>9514</v>
      </c>
      <c r="G1361" t="s">
        <v>9513</v>
      </c>
      <c r="H1361" t="s">
        <v>7845</v>
      </c>
      <c r="I1361" t="s">
        <v>9513</v>
      </c>
      <c r="J1361" t="s">
        <v>9514</v>
      </c>
      <c r="K1361" t="s">
        <v>7505</v>
      </c>
    </row>
    <row r="1362" spans="1:11" s="1" customFormat="1" x14ac:dyDescent="0.25">
      <c r="A1362" t="s">
        <v>9515</v>
      </c>
      <c r="B1362" t="s">
        <v>9516</v>
      </c>
      <c r="C1362" s="88"/>
      <c r="D1362" s="105"/>
      <c r="E1362">
        <v>101</v>
      </c>
      <c r="F1362" t="s">
        <v>9517</v>
      </c>
      <c r="G1362" t="s">
        <v>9516</v>
      </c>
      <c r="H1362" t="s">
        <v>7845</v>
      </c>
      <c r="I1362" t="s">
        <v>9516</v>
      </c>
      <c r="J1362" t="s">
        <v>9517</v>
      </c>
      <c r="K1362" t="s">
        <v>7505</v>
      </c>
    </row>
    <row r="1363" spans="1:11" s="1" customFormat="1" x14ac:dyDescent="0.25">
      <c r="A1363" t="s">
        <v>9518</v>
      </c>
      <c r="B1363" t="s">
        <v>9519</v>
      </c>
      <c r="C1363" s="88"/>
      <c r="D1363" s="105"/>
      <c r="E1363">
        <v>165</v>
      </c>
      <c r="F1363" t="s">
        <v>9520</v>
      </c>
      <c r="G1363" t="s">
        <v>9519</v>
      </c>
      <c r="H1363" t="s">
        <v>7845</v>
      </c>
      <c r="I1363" t="s">
        <v>9519</v>
      </c>
      <c r="J1363" t="s">
        <v>9520</v>
      </c>
      <c r="K1363" t="s">
        <v>12616</v>
      </c>
    </row>
    <row r="1364" spans="1:11" s="1" customFormat="1" x14ac:dyDescent="0.25">
      <c r="A1364" t="s">
        <v>9521</v>
      </c>
      <c r="B1364" t="s">
        <v>9486</v>
      </c>
      <c r="C1364" s="88"/>
      <c r="D1364" s="105"/>
      <c r="E1364">
        <v>7200</v>
      </c>
      <c r="F1364" t="s">
        <v>9522</v>
      </c>
      <c r="G1364" t="s">
        <v>7845</v>
      </c>
      <c r="H1364" t="s">
        <v>7845</v>
      </c>
      <c r="I1364" t="s">
        <v>9486</v>
      </c>
      <c r="J1364" t="s">
        <v>9522</v>
      </c>
      <c r="K1364" t="s">
        <v>12513</v>
      </c>
    </row>
    <row r="1365" spans="1:11" s="1" customFormat="1" x14ac:dyDescent="0.25">
      <c r="A1365" t="s">
        <v>9523</v>
      </c>
      <c r="B1365" t="s">
        <v>9524</v>
      </c>
      <c r="C1365" s="88"/>
      <c r="D1365" s="105"/>
      <c r="E1365">
        <v>50</v>
      </c>
      <c r="F1365" t="s">
        <v>9525</v>
      </c>
      <c r="G1365" t="s">
        <v>9524</v>
      </c>
      <c r="H1365" t="s">
        <v>7845</v>
      </c>
      <c r="I1365" t="s">
        <v>9524</v>
      </c>
      <c r="J1365" t="s">
        <v>9525</v>
      </c>
      <c r="K1365" t="s">
        <v>7526</v>
      </c>
    </row>
    <row r="1366" spans="1:11" s="1" customFormat="1" x14ac:dyDescent="0.25">
      <c r="A1366" t="s">
        <v>9526</v>
      </c>
      <c r="B1366" t="s">
        <v>9527</v>
      </c>
      <c r="C1366" s="88"/>
      <c r="D1366" s="105"/>
      <c r="E1366">
        <v>472</v>
      </c>
      <c r="F1366" t="s">
        <v>9528</v>
      </c>
      <c r="G1366" t="s">
        <v>9527</v>
      </c>
      <c r="H1366" t="s">
        <v>7845</v>
      </c>
      <c r="I1366" t="s">
        <v>9527</v>
      </c>
      <c r="J1366" t="s">
        <v>9528</v>
      </c>
      <c r="K1366" t="s">
        <v>7505</v>
      </c>
    </row>
    <row r="1367" spans="1:11" s="1" customFormat="1" x14ac:dyDescent="0.25">
      <c r="A1367" t="s">
        <v>9529</v>
      </c>
      <c r="B1367" t="s">
        <v>9530</v>
      </c>
      <c r="C1367" s="88"/>
      <c r="D1367" s="105"/>
      <c r="E1367">
        <v>1069</v>
      </c>
      <c r="F1367" t="s">
        <v>9532</v>
      </c>
      <c r="G1367" t="s">
        <v>9530</v>
      </c>
      <c r="H1367" t="s">
        <v>7845</v>
      </c>
      <c r="I1367" t="s">
        <v>9530</v>
      </c>
      <c r="J1367" t="s">
        <v>9532</v>
      </c>
      <c r="K1367" t="s">
        <v>12616</v>
      </c>
    </row>
    <row r="1368" spans="1:11" s="1" customFormat="1" x14ac:dyDescent="0.25">
      <c r="A1368" t="s">
        <v>9533</v>
      </c>
      <c r="B1368" t="s">
        <v>9534</v>
      </c>
      <c r="C1368" s="88"/>
      <c r="D1368" s="105"/>
      <c r="E1368">
        <v>403</v>
      </c>
      <c r="F1368" t="s">
        <v>9535</v>
      </c>
      <c r="G1368" t="s">
        <v>9534</v>
      </c>
      <c r="H1368" t="s">
        <v>7845</v>
      </c>
      <c r="I1368" t="s">
        <v>9534</v>
      </c>
      <c r="J1368" t="s">
        <v>9535</v>
      </c>
      <c r="K1368" t="s">
        <v>9534</v>
      </c>
    </row>
    <row r="1369" spans="1:11" s="1" customFormat="1" x14ac:dyDescent="0.25">
      <c r="A1369" t="s">
        <v>9536</v>
      </c>
      <c r="B1369" t="s">
        <v>9537</v>
      </c>
      <c r="C1369" s="88"/>
      <c r="D1369" s="105"/>
      <c r="E1369">
        <v>200</v>
      </c>
      <c r="F1369" t="s">
        <v>9538</v>
      </c>
      <c r="G1369" t="s">
        <v>9537</v>
      </c>
      <c r="H1369" t="s">
        <v>7845</v>
      </c>
      <c r="I1369" t="s">
        <v>9537</v>
      </c>
      <c r="J1369" t="s">
        <v>9538</v>
      </c>
      <c r="K1369" t="s">
        <v>12617</v>
      </c>
    </row>
    <row r="1370" spans="1:11" s="1" customFormat="1" x14ac:dyDescent="0.25">
      <c r="A1370" t="s">
        <v>9539</v>
      </c>
      <c r="B1370" t="s">
        <v>13214</v>
      </c>
      <c r="C1370" s="88"/>
      <c r="D1370" s="105"/>
      <c r="E1370">
        <v>231</v>
      </c>
      <c r="F1370" t="s">
        <v>9540</v>
      </c>
      <c r="G1370" t="s">
        <v>13232</v>
      </c>
      <c r="H1370" t="s">
        <v>7845</v>
      </c>
      <c r="I1370" t="s">
        <v>13214</v>
      </c>
      <c r="J1370" t="s">
        <v>9540</v>
      </c>
      <c r="K1370" t="s">
        <v>9153</v>
      </c>
    </row>
    <row r="1371" spans="1:11" s="1" customFormat="1" x14ac:dyDescent="0.25">
      <c r="A1371" t="s">
        <v>9541</v>
      </c>
      <c r="B1371" t="s">
        <v>9542</v>
      </c>
      <c r="C1371" s="88"/>
      <c r="D1371" s="105"/>
      <c r="E1371">
        <v>449</v>
      </c>
      <c r="F1371" t="s">
        <v>9543</v>
      </c>
      <c r="G1371" t="s">
        <v>9542</v>
      </c>
      <c r="H1371" t="s">
        <v>7845</v>
      </c>
      <c r="I1371" t="s">
        <v>9542</v>
      </c>
      <c r="J1371" t="s">
        <v>9543</v>
      </c>
      <c r="K1371" t="s">
        <v>7505</v>
      </c>
    </row>
    <row r="1372" spans="1:11" s="1" customFormat="1" x14ac:dyDescent="0.25">
      <c r="A1372" t="s">
        <v>9544</v>
      </c>
      <c r="B1372" t="s">
        <v>13215</v>
      </c>
      <c r="C1372" s="88"/>
      <c r="D1372" s="105"/>
      <c r="E1372">
        <v>353</v>
      </c>
      <c r="F1372" t="s">
        <v>9545</v>
      </c>
      <c r="G1372" t="s">
        <v>13215</v>
      </c>
      <c r="H1372" t="s">
        <v>7845</v>
      </c>
      <c r="I1372" t="s">
        <v>13215</v>
      </c>
      <c r="J1372" t="s">
        <v>9545</v>
      </c>
      <c r="K1372" t="s">
        <v>7505</v>
      </c>
    </row>
    <row r="1373" spans="1:11" s="1" customFormat="1" x14ac:dyDescent="0.25">
      <c r="A1373" t="s">
        <v>9546</v>
      </c>
      <c r="B1373" t="s">
        <v>9547</v>
      </c>
      <c r="C1373" s="88"/>
      <c r="D1373" s="105"/>
      <c r="E1373">
        <v>631</v>
      </c>
      <c r="F1373" t="s">
        <v>9548</v>
      </c>
      <c r="G1373" t="s">
        <v>9547</v>
      </c>
      <c r="H1373" t="s">
        <v>7845</v>
      </c>
      <c r="I1373" t="s">
        <v>9547</v>
      </c>
      <c r="J1373" t="s">
        <v>9548</v>
      </c>
      <c r="K1373" t="s">
        <v>7505</v>
      </c>
    </row>
    <row r="1374" spans="1:11" s="1" customFormat="1" x14ac:dyDescent="0.25">
      <c r="A1374" t="s">
        <v>9549</v>
      </c>
      <c r="B1374" t="s">
        <v>9550</v>
      </c>
      <c r="C1374" s="88"/>
      <c r="D1374" s="105"/>
      <c r="E1374"/>
      <c r="F1374" t="s">
        <v>9551</v>
      </c>
      <c r="G1374" t="s">
        <v>9550</v>
      </c>
      <c r="H1374" t="s">
        <v>7845</v>
      </c>
      <c r="I1374" t="s">
        <v>9550</v>
      </c>
      <c r="J1374" t="s">
        <v>9551</v>
      </c>
      <c r="K1374" t="s">
        <v>9639</v>
      </c>
    </row>
    <row r="1375" spans="1:11" s="1" customFormat="1" x14ac:dyDescent="0.25">
      <c r="A1375" t="s">
        <v>9552</v>
      </c>
      <c r="B1375" t="s">
        <v>9553</v>
      </c>
      <c r="C1375" s="88"/>
      <c r="D1375" s="105"/>
      <c r="E1375">
        <v>790</v>
      </c>
      <c r="F1375" t="s">
        <v>9554</v>
      </c>
      <c r="G1375" t="s">
        <v>9553</v>
      </c>
      <c r="H1375" t="s">
        <v>7845</v>
      </c>
      <c r="I1375" t="s">
        <v>9553</v>
      </c>
      <c r="J1375" t="s">
        <v>9554</v>
      </c>
      <c r="K1375" t="s">
        <v>7505</v>
      </c>
    </row>
    <row r="1376" spans="1:11" s="1" customFormat="1" x14ac:dyDescent="0.25">
      <c r="A1376" t="s">
        <v>9555</v>
      </c>
      <c r="B1376" t="s">
        <v>9556</v>
      </c>
      <c r="C1376" s="88"/>
      <c r="D1376" s="105"/>
      <c r="E1376">
        <v>15</v>
      </c>
      <c r="F1376" t="s">
        <v>9557</v>
      </c>
      <c r="G1376" t="s">
        <v>9556</v>
      </c>
      <c r="H1376" t="s">
        <v>7845</v>
      </c>
      <c r="I1376" t="s">
        <v>9556</v>
      </c>
      <c r="J1376" t="s">
        <v>9557</v>
      </c>
      <c r="K1376" t="s">
        <v>7526</v>
      </c>
    </row>
    <row r="1377" spans="1:11" s="1" customFormat="1" x14ac:dyDescent="0.25">
      <c r="A1377" t="s">
        <v>9558</v>
      </c>
      <c r="B1377" t="s">
        <v>9559</v>
      </c>
      <c r="C1377" s="88"/>
      <c r="D1377" s="105"/>
      <c r="E1377">
        <v>1</v>
      </c>
      <c r="F1377" t="s">
        <v>9560</v>
      </c>
      <c r="G1377" t="s">
        <v>9559</v>
      </c>
      <c r="H1377" t="s">
        <v>7845</v>
      </c>
      <c r="I1377" t="s">
        <v>9559</v>
      </c>
      <c r="J1377" t="s">
        <v>9560</v>
      </c>
      <c r="K1377" t="s">
        <v>10992</v>
      </c>
    </row>
    <row r="1378" spans="1:11" s="1" customFormat="1" x14ac:dyDescent="0.25">
      <c r="A1378" t="s">
        <v>9561</v>
      </c>
      <c r="B1378" t="s">
        <v>9562</v>
      </c>
      <c r="C1378" s="88"/>
      <c r="D1378" s="105"/>
      <c r="E1378">
        <v>531</v>
      </c>
      <c r="F1378" t="s">
        <v>9563</v>
      </c>
      <c r="G1378" t="s">
        <v>9562</v>
      </c>
      <c r="H1378" t="s">
        <v>7845</v>
      </c>
      <c r="I1378" t="s">
        <v>9562</v>
      </c>
      <c r="J1378" t="s">
        <v>9563</v>
      </c>
      <c r="K1378" t="s">
        <v>7526</v>
      </c>
    </row>
    <row r="1379" spans="1:11" s="1" customFormat="1" x14ac:dyDescent="0.25">
      <c r="A1379" t="s">
        <v>9564</v>
      </c>
      <c r="B1379" t="s">
        <v>9565</v>
      </c>
      <c r="C1379" s="88"/>
      <c r="D1379" s="105"/>
      <c r="E1379">
        <v>60</v>
      </c>
      <c r="F1379" t="s">
        <v>9566</v>
      </c>
      <c r="G1379" t="s">
        <v>9565</v>
      </c>
      <c r="H1379" t="s">
        <v>7845</v>
      </c>
      <c r="I1379" t="s">
        <v>9565</v>
      </c>
      <c r="J1379" t="s">
        <v>9566</v>
      </c>
      <c r="K1379" t="s">
        <v>12616</v>
      </c>
    </row>
    <row r="1380" spans="1:11" s="1" customFormat="1" x14ac:dyDescent="0.25">
      <c r="A1380" t="s">
        <v>9567</v>
      </c>
      <c r="B1380" t="s">
        <v>9568</v>
      </c>
      <c r="C1380" s="88"/>
      <c r="D1380" s="105"/>
      <c r="E1380">
        <v>184</v>
      </c>
      <c r="F1380" t="s">
        <v>9569</v>
      </c>
      <c r="G1380" t="s">
        <v>9568</v>
      </c>
      <c r="H1380" t="s">
        <v>7845</v>
      </c>
      <c r="I1380" t="s">
        <v>9568</v>
      </c>
      <c r="J1380" t="s">
        <v>9569</v>
      </c>
      <c r="K1380" t="s">
        <v>12616</v>
      </c>
    </row>
    <row r="1381" spans="1:11" s="1" customFormat="1" x14ac:dyDescent="0.25">
      <c r="A1381" t="s">
        <v>9570</v>
      </c>
      <c r="B1381" t="s">
        <v>9571</v>
      </c>
      <c r="C1381" s="88"/>
      <c r="D1381" s="105"/>
      <c r="E1381">
        <v>255</v>
      </c>
      <c r="F1381" t="s">
        <v>9572</v>
      </c>
      <c r="G1381" t="s">
        <v>9571</v>
      </c>
      <c r="H1381" t="s">
        <v>7845</v>
      </c>
      <c r="I1381" t="s">
        <v>9571</v>
      </c>
      <c r="J1381" t="s">
        <v>9572</v>
      </c>
      <c r="K1381" t="s">
        <v>7505</v>
      </c>
    </row>
    <row r="1382" spans="1:11" s="1" customFormat="1" x14ac:dyDescent="0.25">
      <c r="A1382" t="s">
        <v>9573</v>
      </c>
      <c r="B1382" t="s">
        <v>9574</v>
      </c>
      <c r="C1382" s="88"/>
      <c r="D1382" s="105"/>
      <c r="E1382"/>
      <c r="F1382" t="s">
        <v>9575</v>
      </c>
      <c r="G1382" t="s">
        <v>9574</v>
      </c>
      <c r="H1382" t="s">
        <v>7845</v>
      </c>
      <c r="I1382" t="s">
        <v>9574</v>
      </c>
      <c r="J1382" t="s">
        <v>9575</v>
      </c>
      <c r="K1382" t="s">
        <v>7526</v>
      </c>
    </row>
    <row r="1383" spans="1:11" s="3" customFormat="1" x14ac:dyDescent="0.25">
      <c r="A1383" t="s">
        <v>9576</v>
      </c>
      <c r="B1383" t="s">
        <v>9577</v>
      </c>
      <c r="C1383" s="88"/>
      <c r="D1383" s="105"/>
      <c r="E1383">
        <v>897</v>
      </c>
      <c r="F1383" t="s">
        <v>9578</v>
      </c>
      <c r="G1383" t="s">
        <v>9577</v>
      </c>
      <c r="H1383" t="s">
        <v>7845</v>
      </c>
      <c r="I1383" t="s">
        <v>9577</v>
      </c>
      <c r="J1383" t="s">
        <v>9578</v>
      </c>
      <c r="K1383" t="s">
        <v>9636</v>
      </c>
    </row>
    <row r="1384" spans="1:11" s="3" customFormat="1" x14ac:dyDescent="0.25">
      <c r="A1384" t="s">
        <v>9579</v>
      </c>
      <c r="B1384" t="s">
        <v>9114</v>
      </c>
      <c r="C1384" s="88"/>
      <c r="D1384" s="105"/>
      <c r="E1384">
        <v>0</v>
      </c>
      <c r="F1384" t="s">
        <v>9580</v>
      </c>
      <c r="G1384" t="s">
        <v>9114</v>
      </c>
      <c r="H1384" t="s">
        <v>7845</v>
      </c>
      <c r="I1384" t="s">
        <v>9114</v>
      </c>
      <c r="J1384" t="s">
        <v>9580</v>
      </c>
      <c r="K1384" t="s">
        <v>7526</v>
      </c>
    </row>
    <row r="1385" spans="1:11" s="3" customFormat="1" x14ac:dyDescent="0.25">
      <c r="A1385" t="s">
        <v>9581</v>
      </c>
      <c r="B1385" t="s">
        <v>9582</v>
      </c>
      <c r="C1385" s="88"/>
      <c r="D1385" s="105"/>
      <c r="E1385">
        <v>44</v>
      </c>
      <c r="F1385" t="s">
        <v>9583</v>
      </c>
      <c r="G1385" t="s">
        <v>9582</v>
      </c>
      <c r="H1385" t="s">
        <v>7845</v>
      </c>
      <c r="I1385" t="s">
        <v>9582</v>
      </c>
      <c r="J1385" t="s">
        <v>9583</v>
      </c>
      <c r="K1385" t="s">
        <v>9639</v>
      </c>
    </row>
    <row r="1386" spans="1:11" s="3" customFormat="1" x14ac:dyDescent="0.25">
      <c r="A1386" t="s">
        <v>9584</v>
      </c>
      <c r="B1386" t="s">
        <v>9585</v>
      </c>
      <c r="C1386" s="88"/>
      <c r="D1386" s="105"/>
      <c r="E1386">
        <v>205</v>
      </c>
      <c r="F1386" t="s">
        <v>9586</v>
      </c>
      <c r="G1386" t="s">
        <v>9585</v>
      </c>
      <c r="H1386" t="s">
        <v>7845</v>
      </c>
      <c r="I1386" t="s">
        <v>9585</v>
      </c>
      <c r="J1386" t="s">
        <v>9586</v>
      </c>
      <c r="K1386" t="s">
        <v>9639</v>
      </c>
    </row>
    <row r="1387" spans="1:11" s="3" customFormat="1" x14ac:dyDescent="0.25">
      <c r="A1387" t="s">
        <v>9587</v>
      </c>
      <c r="B1387" t="s">
        <v>13216</v>
      </c>
      <c r="C1387" s="88"/>
      <c r="D1387" s="105"/>
      <c r="E1387">
        <v>246</v>
      </c>
      <c r="F1387" t="s">
        <v>9588</v>
      </c>
      <c r="G1387" t="s">
        <v>13216</v>
      </c>
      <c r="H1387" t="s">
        <v>7845</v>
      </c>
      <c r="I1387" t="s">
        <v>13216</v>
      </c>
      <c r="J1387" t="s">
        <v>9588</v>
      </c>
      <c r="K1387" t="s">
        <v>12618</v>
      </c>
    </row>
    <row r="1388" spans="1:11" s="3" customFormat="1" x14ac:dyDescent="0.25">
      <c r="A1388" t="s">
        <v>9589</v>
      </c>
      <c r="B1388" t="s">
        <v>9590</v>
      </c>
      <c r="C1388" s="88"/>
      <c r="D1388" s="105"/>
      <c r="E1388">
        <v>332</v>
      </c>
      <c r="F1388" t="s">
        <v>9591</v>
      </c>
      <c r="G1388" t="s">
        <v>9590</v>
      </c>
      <c r="H1388" t="s">
        <v>7845</v>
      </c>
      <c r="I1388" t="s">
        <v>9590</v>
      </c>
      <c r="J1388" t="s">
        <v>9591</v>
      </c>
      <c r="K1388" t="s">
        <v>7505</v>
      </c>
    </row>
    <row r="1389" spans="1:11" s="3" customFormat="1" x14ac:dyDescent="0.25">
      <c r="A1389" t="s">
        <v>9592</v>
      </c>
      <c r="B1389" t="s">
        <v>9593</v>
      </c>
      <c r="C1389" s="88"/>
      <c r="D1389" s="105"/>
      <c r="E1389">
        <v>51</v>
      </c>
      <c r="F1389" t="s">
        <v>9594</v>
      </c>
      <c r="G1389" t="s">
        <v>9593</v>
      </c>
      <c r="H1389" t="s">
        <v>7845</v>
      </c>
      <c r="I1389" t="s">
        <v>9593</v>
      </c>
      <c r="J1389" t="s">
        <v>9594</v>
      </c>
      <c r="K1389" t="s">
        <v>7505</v>
      </c>
    </row>
    <row r="1390" spans="1:11" s="3" customFormat="1" x14ac:dyDescent="0.25">
      <c r="A1390" t="s">
        <v>9595</v>
      </c>
      <c r="B1390" t="s">
        <v>9596</v>
      </c>
      <c r="C1390" s="88"/>
      <c r="D1390" s="105"/>
      <c r="E1390"/>
      <c r="F1390" t="s">
        <v>9597</v>
      </c>
      <c r="G1390" t="s">
        <v>9596</v>
      </c>
      <c r="H1390" t="s">
        <v>7845</v>
      </c>
      <c r="I1390" t="s">
        <v>9596</v>
      </c>
      <c r="J1390" t="s">
        <v>9597</v>
      </c>
      <c r="K1390" t="s">
        <v>12619</v>
      </c>
    </row>
    <row r="1391" spans="1:11" s="3" customFormat="1" x14ac:dyDescent="0.25">
      <c r="A1391" t="s">
        <v>9598</v>
      </c>
      <c r="B1391" t="s">
        <v>9599</v>
      </c>
      <c r="C1391" s="88"/>
      <c r="D1391" s="105"/>
      <c r="E1391">
        <v>758</v>
      </c>
      <c r="F1391" t="s">
        <v>9600</v>
      </c>
      <c r="G1391" t="s">
        <v>9599</v>
      </c>
      <c r="H1391" t="s">
        <v>7845</v>
      </c>
      <c r="I1391" t="s">
        <v>9599</v>
      </c>
      <c r="J1391" t="s">
        <v>9600</v>
      </c>
      <c r="K1391" t="s">
        <v>9639</v>
      </c>
    </row>
    <row r="1392" spans="1:11" s="3" customFormat="1" x14ac:dyDescent="0.25">
      <c r="A1392" t="s">
        <v>9601</v>
      </c>
      <c r="B1392" t="s">
        <v>9602</v>
      </c>
      <c r="C1392" s="88"/>
      <c r="D1392" s="105"/>
      <c r="E1392">
        <v>707</v>
      </c>
      <c r="F1392" t="s">
        <v>9603</v>
      </c>
      <c r="G1392" t="s">
        <v>9602</v>
      </c>
      <c r="H1392" t="s">
        <v>7845</v>
      </c>
      <c r="I1392" t="s">
        <v>9602</v>
      </c>
      <c r="J1392" t="s">
        <v>9603</v>
      </c>
      <c r="K1392" t="s">
        <v>12620</v>
      </c>
    </row>
    <row r="1393" spans="1:11" s="3" customFormat="1" x14ac:dyDescent="0.25">
      <c r="A1393" t="s">
        <v>9604</v>
      </c>
      <c r="B1393" t="s">
        <v>9605</v>
      </c>
      <c r="C1393" s="88"/>
      <c r="D1393" s="105"/>
      <c r="E1393">
        <v>283</v>
      </c>
      <c r="F1393" t="s">
        <v>9606</v>
      </c>
      <c r="G1393" t="s">
        <v>9605</v>
      </c>
      <c r="H1393" t="s">
        <v>7845</v>
      </c>
      <c r="I1393" t="s">
        <v>9605</v>
      </c>
      <c r="J1393" t="s">
        <v>9606</v>
      </c>
      <c r="K1393" t="s">
        <v>7505</v>
      </c>
    </row>
    <row r="1394" spans="1:11" s="3" customFormat="1" x14ac:dyDescent="0.25">
      <c r="A1394" t="s">
        <v>9607</v>
      </c>
      <c r="B1394" t="s">
        <v>8642</v>
      </c>
      <c r="C1394" s="88"/>
      <c r="D1394" s="105"/>
      <c r="E1394">
        <v>150</v>
      </c>
      <c r="F1394" t="s">
        <v>9608</v>
      </c>
      <c r="G1394" t="s">
        <v>8642</v>
      </c>
      <c r="H1394" t="s">
        <v>7845</v>
      </c>
      <c r="I1394" t="s">
        <v>8642</v>
      </c>
      <c r="J1394" t="s">
        <v>9608</v>
      </c>
      <c r="K1394" t="s">
        <v>7505</v>
      </c>
    </row>
    <row r="1395" spans="1:11" s="3" customFormat="1" x14ac:dyDescent="0.25">
      <c r="A1395" t="s">
        <v>9609</v>
      </c>
      <c r="B1395" t="s">
        <v>9610</v>
      </c>
      <c r="C1395" s="88"/>
      <c r="D1395" s="105"/>
      <c r="E1395">
        <v>223</v>
      </c>
      <c r="F1395" t="s">
        <v>9611</v>
      </c>
      <c r="G1395" t="s">
        <v>9610</v>
      </c>
      <c r="H1395" t="s">
        <v>7845</v>
      </c>
      <c r="I1395" t="s">
        <v>9610</v>
      </c>
      <c r="J1395" t="s">
        <v>9611</v>
      </c>
      <c r="K1395" t="s">
        <v>9636</v>
      </c>
    </row>
    <row r="1396" spans="1:11" s="3" customFormat="1" x14ac:dyDescent="0.25">
      <c r="A1396" t="s">
        <v>9612</v>
      </c>
      <c r="B1396" t="s">
        <v>9613</v>
      </c>
      <c r="C1396" s="88"/>
      <c r="D1396" s="105"/>
      <c r="E1396">
        <v>964</v>
      </c>
      <c r="F1396" t="s">
        <v>9614</v>
      </c>
      <c r="G1396" t="s">
        <v>9613</v>
      </c>
      <c r="H1396" t="s">
        <v>7845</v>
      </c>
      <c r="I1396" t="s">
        <v>9613</v>
      </c>
      <c r="J1396" t="s">
        <v>9614</v>
      </c>
      <c r="K1396" t="s">
        <v>7505</v>
      </c>
    </row>
    <row r="1397" spans="1:11" s="3" customFormat="1" x14ac:dyDescent="0.25">
      <c r="A1397" t="s">
        <v>9615</v>
      </c>
      <c r="B1397" t="s">
        <v>9616</v>
      </c>
      <c r="C1397" s="88"/>
      <c r="D1397" s="105"/>
      <c r="E1397">
        <v>802</v>
      </c>
      <c r="F1397" t="s">
        <v>9617</v>
      </c>
      <c r="G1397" t="s">
        <v>9616</v>
      </c>
      <c r="H1397" t="s">
        <v>7845</v>
      </c>
      <c r="I1397" t="s">
        <v>9616</v>
      </c>
      <c r="J1397" t="s">
        <v>9617</v>
      </c>
      <c r="K1397" t="s">
        <v>9636</v>
      </c>
    </row>
    <row r="1398" spans="1:11" s="3" customFormat="1" x14ac:dyDescent="0.25">
      <c r="A1398" t="s">
        <v>9618</v>
      </c>
      <c r="B1398" t="s">
        <v>9619</v>
      </c>
      <c r="C1398" s="88"/>
      <c r="D1398" s="105"/>
      <c r="E1398">
        <v>709</v>
      </c>
      <c r="F1398" t="s">
        <v>9620</v>
      </c>
      <c r="G1398" t="s">
        <v>9619</v>
      </c>
      <c r="H1398" t="s">
        <v>7845</v>
      </c>
      <c r="I1398" t="s">
        <v>9619</v>
      </c>
      <c r="J1398" t="s">
        <v>9620</v>
      </c>
      <c r="K1398" t="s">
        <v>9639</v>
      </c>
    </row>
    <row r="1399" spans="1:11" s="3" customFormat="1" x14ac:dyDescent="0.25">
      <c r="A1399" t="s">
        <v>9621</v>
      </c>
      <c r="B1399" t="s">
        <v>9622</v>
      </c>
      <c r="C1399" s="88"/>
      <c r="D1399" s="105"/>
      <c r="E1399">
        <v>112</v>
      </c>
      <c r="F1399" t="s">
        <v>9623</v>
      </c>
      <c r="G1399" t="s">
        <v>8251</v>
      </c>
      <c r="H1399" t="s">
        <v>7845</v>
      </c>
      <c r="I1399" t="s">
        <v>9622</v>
      </c>
      <c r="J1399" t="s">
        <v>9623</v>
      </c>
      <c r="K1399" t="s">
        <v>9639</v>
      </c>
    </row>
    <row r="1400" spans="1:11" s="3" customFormat="1" x14ac:dyDescent="0.25">
      <c r="A1400" t="s">
        <v>9624</v>
      </c>
      <c r="B1400" t="s">
        <v>13217</v>
      </c>
      <c r="C1400" s="88"/>
      <c r="D1400" s="105"/>
      <c r="E1400">
        <v>557</v>
      </c>
      <c r="F1400" t="s">
        <v>9625</v>
      </c>
      <c r="G1400" t="s">
        <v>13217</v>
      </c>
      <c r="H1400" t="s">
        <v>7845</v>
      </c>
      <c r="I1400" t="s">
        <v>13217</v>
      </c>
      <c r="J1400" t="s">
        <v>9625</v>
      </c>
      <c r="K1400" t="s">
        <v>7505</v>
      </c>
    </row>
    <row r="1401" spans="1:11" s="3" customFormat="1" x14ac:dyDescent="0.25">
      <c r="A1401" t="s">
        <v>9626</v>
      </c>
      <c r="B1401" t="s">
        <v>9627</v>
      </c>
      <c r="C1401" s="88"/>
      <c r="D1401" s="105"/>
      <c r="E1401">
        <v>1</v>
      </c>
      <c r="F1401" t="s">
        <v>9628</v>
      </c>
      <c r="G1401" t="s">
        <v>9627</v>
      </c>
      <c r="H1401" t="s">
        <v>7845</v>
      </c>
      <c r="I1401" t="s">
        <v>9627</v>
      </c>
      <c r="J1401" t="s">
        <v>9628</v>
      </c>
      <c r="K1401" t="s">
        <v>9639</v>
      </c>
    </row>
    <row r="1402" spans="1:11" s="3" customFormat="1" x14ac:dyDescent="0.25">
      <c r="A1402" t="s">
        <v>9629</v>
      </c>
      <c r="B1402" t="s">
        <v>9630</v>
      </c>
      <c r="C1402" s="88"/>
      <c r="D1402" s="105"/>
      <c r="E1402">
        <v>63</v>
      </c>
      <c r="F1402" t="s">
        <v>9631</v>
      </c>
      <c r="G1402" t="s">
        <v>9630</v>
      </c>
      <c r="H1402" t="s">
        <v>7845</v>
      </c>
      <c r="I1402" t="s">
        <v>9630</v>
      </c>
      <c r="J1402" t="s">
        <v>9631</v>
      </c>
      <c r="K1402" t="s">
        <v>12617</v>
      </c>
    </row>
    <row r="1403" spans="1:11" s="3" customFormat="1" x14ac:dyDescent="0.25">
      <c r="A1403" t="s">
        <v>9632</v>
      </c>
      <c r="B1403" t="s">
        <v>9633</v>
      </c>
      <c r="C1403" s="88"/>
      <c r="D1403" s="105"/>
      <c r="E1403">
        <v>4444</v>
      </c>
      <c r="F1403" t="s">
        <v>9634</v>
      </c>
      <c r="G1403" t="s">
        <v>9633</v>
      </c>
      <c r="H1403" t="s">
        <v>7845</v>
      </c>
      <c r="I1403" t="s">
        <v>9633</v>
      </c>
      <c r="J1403" t="s">
        <v>9634</v>
      </c>
      <c r="K1403" t="s">
        <v>7526</v>
      </c>
    </row>
    <row r="1404" spans="1:11" s="3" customFormat="1" x14ac:dyDescent="0.25">
      <c r="A1404" t="s">
        <v>9635</v>
      </c>
      <c r="B1404" t="s">
        <v>9636</v>
      </c>
      <c r="C1404" s="88"/>
      <c r="D1404" s="105"/>
      <c r="E1404">
        <v>43</v>
      </c>
      <c r="F1404" t="s">
        <v>9637</v>
      </c>
      <c r="G1404" t="s">
        <v>9636</v>
      </c>
      <c r="H1404" t="s">
        <v>7845</v>
      </c>
      <c r="I1404" t="s">
        <v>9636</v>
      </c>
      <c r="J1404" t="s">
        <v>9637</v>
      </c>
      <c r="K1404" t="s">
        <v>9636</v>
      </c>
    </row>
    <row r="1405" spans="1:11" s="3" customFormat="1" x14ac:dyDescent="0.25">
      <c r="A1405" t="s">
        <v>9638</v>
      </c>
      <c r="B1405" t="s">
        <v>9639</v>
      </c>
      <c r="C1405" s="88"/>
      <c r="D1405" s="105"/>
      <c r="E1405">
        <v>1193</v>
      </c>
      <c r="F1405" t="s">
        <v>9640</v>
      </c>
      <c r="G1405" t="s">
        <v>9639</v>
      </c>
      <c r="H1405" t="s">
        <v>7845</v>
      </c>
      <c r="I1405" t="s">
        <v>9639</v>
      </c>
      <c r="J1405" t="s">
        <v>9640</v>
      </c>
      <c r="K1405" t="s">
        <v>9639</v>
      </c>
    </row>
    <row r="1406" spans="1:11" s="3" customFormat="1" x14ac:dyDescent="0.25">
      <c r="A1406" t="s">
        <v>9641</v>
      </c>
      <c r="B1406" t="s">
        <v>9642</v>
      </c>
      <c r="C1406" s="88"/>
      <c r="D1406" s="105"/>
      <c r="E1406">
        <v>305</v>
      </c>
      <c r="F1406" t="s">
        <v>9643</v>
      </c>
      <c r="G1406" t="s">
        <v>9642</v>
      </c>
      <c r="H1406" t="s">
        <v>7845</v>
      </c>
      <c r="I1406" t="s">
        <v>9642</v>
      </c>
      <c r="J1406" t="s">
        <v>9643</v>
      </c>
      <c r="K1406" t="s">
        <v>12621</v>
      </c>
    </row>
    <row r="1407" spans="1:11" s="3" customFormat="1" x14ac:dyDescent="0.25">
      <c r="A1407" t="s">
        <v>9644</v>
      </c>
      <c r="B1407" t="s">
        <v>9645</v>
      </c>
      <c r="C1407" s="88"/>
      <c r="D1407" s="105"/>
      <c r="E1407">
        <v>499</v>
      </c>
      <c r="F1407" t="s">
        <v>9646</v>
      </c>
      <c r="G1407" t="s">
        <v>9645</v>
      </c>
      <c r="H1407" t="s">
        <v>7845</v>
      </c>
      <c r="I1407" t="s">
        <v>9645</v>
      </c>
      <c r="J1407" t="s">
        <v>9646</v>
      </c>
      <c r="K1407" t="s">
        <v>7505</v>
      </c>
    </row>
    <row r="1408" spans="1:11" s="3" customFormat="1" x14ac:dyDescent="0.25">
      <c r="A1408" t="s">
        <v>9647</v>
      </c>
      <c r="B1408" t="s">
        <v>9648</v>
      </c>
      <c r="C1408" s="88"/>
      <c r="D1408" s="105"/>
      <c r="E1408">
        <v>235</v>
      </c>
      <c r="F1408" t="s">
        <v>9649</v>
      </c>
      <c r="G1408" t="s">
        <v>9648</v>
      </c>
      <c r="H1408" t="s">
        <v>7845</v>
      </c>
      <c r="I1408" t="s">
        <v>9648</v>
      </c>
      <c r="J1408" t="s">
        <v>9649</v>
      </c>
      <c r="K1408" t="s">
        <v>7526</v>
      </c>
    </row>
    <row r="1409" spans="1:11" s="3" customFormat="1" x14ac:dyDescent="0.25">
      <c r="A1409" t="s">
        <v>9650</v>
      </c>
      <c r="B1409" t="s">
        <v>9651</v>
      </c>
      <c r="C1409" s="88"/>
      <c r="D1409" s="105"/>
      <c r="E1409">
        <v>230</v>
      </c>
      <c r="F1409" t="s">
        <v>9653</v>
      </c>
      <c r="G1409" t="s">
        <v>9652</v>
      </c>
      <c r="H1409" t="s">
        <v>7845</v>
      </c>
      <c r="I1409" t="s">
        <v>9651</v>
      </c>
      <c r="J1409" t="s">
        <v>9653</v>
      </c>
      <c r="K1409" t="s">
        <v>12589</v>
      </c>
    </row>
    <row r="1410" spans="1:11" s="3" customFormat="1" x14ac:dyDescent="0.25">
      <c r="A1410" t="s">
        <v>9654</v>
      </c>
      <c r="B1410" t="s">
        <v>9655</v>
      </c>
      <c r="C1410" s="88"/>
      <c r="D1410" s="105"/>
      <c r="E1410">
        <v>198</v>
      </c>
      <c r="F1410" t="s">
        <v>9656</v>
      </c>
      <c r="G1410" t="s">
        <v>9655</v>
      </c>
      <c r="H1410" t="s">
        <v>7845</v>
      </c>
      <c r="I1410" t="s">
        <v>9655</v>
      </c>
      <c r="J1410" t="s">
        <v>9656</v>
      </c>
      <c r="K1410" t="s">
        <v>7505</v>
      </c>
    </row>
    <row r="1411" spans="1:11" s="3" customFormat="1" x14ac:dyDescent="0.25">
      <c r="A1411" t="s">
        <v>9657</v>
      </c>
      <c r="B1411" t="s">
        <v>9658</v>
      </c>
      <c r="C1411" s="88"/>
      <c r="D1411" s="105"/>
      <c r="E1411">
        <v>533</v>
      </c>
      <c r="F1411" t="s">
        <v>9660</v>
      </c>
      <c r="G1411" t="s">
        <v>9659</v>
      </c>
      <c r="H1411" t="s">
        <v>7845</v>
      </c>
      <c r="I1411" t="s">
        <v>9658</v>
      </c>
      <c r="J1411" t="s">
        <v>9660</v>
      </c>
      <c r="K1411" t="s">
        <v>12622</v>
      </c>
    </row>
    <row r="1412" spans="1:11" s="3" customFormat="1" x14ac:dyDescent="0.25">
      <c r="A1412" t="s">
        <v>9661</v>
      </c>
      <c r="B1412" t="s">
        <v>9662</v>
      </c>
      <c r="C1412" s="88"/>
      <c r="D1412" s="105"/>
      <c r="E1412">
        <v>841</v>
      </c>
      <c r="F1412" t="s">
        <v>9664</v>
      </c>
      <c r="G1412" t="s">
        <v>9663</v>
      </c>
      <c r="H1412" t="s">
        <v>7845</v>
      </c>
      <c r="I1412" t="s">
        <v>9662</v>
      </c>
      <c r="J1412" t="s">
        <v>9664</v>
      </c>
      <c r="K1412" t="s">
        <v>9534</v>
      </c>
    </row>
    <row r="1413" spans="1:11" s="3" customFormat="1" x14ac:dyDescent="0.25">
      <c r="A1413" t="s">
        <v>9665</v>
      </c>
      <c r="B1413" t="s">
        <v>9666</v>
      </c>
      <c r="C1413" s="88"/>
      <c r="D1413" s="105"/>
      <c r="E1413">
        <v>650</v>
      </c>
      <c r="F1413" t="s">
        <v>9668</v>
      </c>
      <c r="G1413" t="s">
        <v>9667</v>
      </c>
      <c r="H1413" t="s">
        <v>7845</v>
      </c>
      <c r="I1413" t="s">
        <v>9666</v>
      </c>
      <c r="J1413" t="s">
        <v>9668</v>
      </c>
      <c r="K1413" t="s">
        <v>9636</v>
      </c>
    </row>
    <row r="1414" spans="1:11" s="3" customFormat="1" x14ac:dyDescent="0.25">
      <c r="A1414" t="s">
        <v>9669</v>
      </c>
      <c r="B1414" t="s">
        <v>9670</v>
      </c>
      <c r="C1414" s="88"/>
      <c r="D1414" s="105"/>
      <c r="E1414">
        <v>1105</v>
      </c>
      <c r="F1414" t="s">
        <v>9671</v>
      </c>
      <c r="G1414" t="s">
        <v>9670</v>
      </c>
      <c r="H1414" t="s">
        <v>7845</v>
      </c>
      <c r="I1414" t="s">
        <v>9670</v>
      </c>
      <c r="J1414" t="s">
        <v>9671</v>
      </c>
      <c r="K1414" t="s">
        <v>9639</v>
      </c>
    </row>
    <row r="1415" spans="1:11" s="3" customFormat="1" x14ac:dyDescent="0.25">
      <c r="A1415" t="s">
        <v>9672</v>
      </c>
      <c r="B1415" t="s">
        <v>9673</v>
      </c>
      <c r="C1415" s="88"/>
      <c r="D1415" s="105"/>
      <c r="E1415">
        <v>98</v>
      </c>
      <c r="F1415" t="s">
        <v>9675</v>
      </c>
      <c r="G1415" t="s">
        <v>9674</v>
      </c>
      <c r="H1415" t="s">
        <v>7845</v>
      </c>
      <c r="I1415" t="s">
        <v>9673</v>
      </c>
      <c r="J1415" t="s">
        <v>9675</v>
      </c>
      <c r="K1415" t="s">
        <v>7505</v>
      </c>
    </row>
    <row r="1416" spans="1:11" s="3" customFormat="1" x14ac:dyDescent="0.25">
      <c r="A1416" t="s">
        <v>9676</v>
      </c>
      <c r="B1416" t="s">
        <v>9677</v>
      </c>
      <c r="C1416" s="88"/>
      <c r="D1416" s="105"/>
      <c r="E1416">
        <v>152</v>
      </c>
      <c r="F1416" t="s">
        <v>9678</v>
      </c>
      <c r="G1416" t="s">
        <v>9677</v>
      </c>
      <c r="H1416" t="s">
        <v>7845</v>
      </c>
      <c r="I1416" t="s">
        <v>9677</v>
      </c>
      <c r="J1416" t="s">
        <v>9678</v>
      </c>
      <c r="K1416" t="s">
        <v>9534</v>
      </c>
    </row>
    <row r="1417" spans="1:11" s="3" customFormat="1" x14ac:dyDescent="0.25">
      <c r="A1417" t="s">
        <v>9679</v>
      </c>
      <c r="B1417" t="s">
        <v>9680</v>
      </c>
      <c r="C1417" s="88"/>
      <c r="D1417" s="105"/>
      <c r="E1417">
        <v>314</v>
      </c>
      <c r="F1417" t="s">
        <v>9681</v>
      </c>
      <c r="G1417" t="s">
        <v>9680</v>
      </c>
      <c r="H1417" t="s">
        <v>7845</v>
      </c>
      <c r="I1417" t="s">
        <v>9680</v>
      </c>
      <c r="J1417" t="s">
        <v>9681</v>
      </c>
      <c r="K1417" t="s">
        <v>12616</v>
      </c>
    </row>
    <row r="1418" spans="1:11" s="3" customFormat="1" x14ac:dyDescent="0.25">
      <c r="A1418" t="s">
        <v>9682</v>
      </c>
      <c r="B1418" t="s">
        <v>12970</v>
      </c>
      <c r="C1418" s="88"/>
      <c r="D1418" s="105"/>
      <c r="E1418">
        <v>111</v>
      </c>
      <c r="F1418" t="s">
        <v>9684</v>
      </c>
      <c r="G1418" t="s">
        <v>9683</v>
      </c>
      <c r="H1418" t="s">
        <v>7845</v>
      </c>
      <c r="I1418" t="s">
        <v>12970</v>
      </c>
      <c r="J1418" t="s">
        <v>9684</v>
      </c>
      <c r="K1418" t="s">
        <v>7505</v>
      </c>
    </row>
    <row r="1419" spans="1:11" s="3" customFormat="1" x14ac:dyDescent="0.25">
      <c r="A1419" t="s">
        <v>9685</v>
      </c>
      <c r="B1419" t="s">
        <v>9686</v>
      </c>
      <c r="C1419" s="88"/>
      <c r="D1419" s="105"/>
      <c r="E1419">
        <v>2035</v>
      </c>
      <c r="F1419" t="s">
        <v>9687</v>
      </c>
      <c r="G1419" t="s">
        <v>9686</v>
      </c>
      <c r="H1419" t="s">
        <v>7845</v>
      </c>
      <c r="I1419" t="s">
        <v>9686</v>
      </c>
      <c r="J1419" t="s">
        <v>9687</v>
      </c>
      <c r="K1419" t="s">
        <v>7526</v>
      </c>
    </row>
    <row r="1420" spans="1:11" s="3" customFormat="1" x14ac:dyDescent="0.25">
      <c r="A1420" t="s">
        <v>9688</v>
      </c>
      <c r="B1420" t="s">
        <v>9689</v>
      </c>
      <c r="C1420" s="88"/>
      <c r="D1420" s="105"/>
      <c r="E1420">
        <v>61</v>
      </c>
      <c r="F1420" t="s">
        <v>9690</v>
      </c>
      <c r="G1420" t="s">
        <v>9689</v>
      </c>
      <c r="H1420" t="s">
        <v>7845</v>
      </c>
      <c r="I1420" t="s">
        <v>9689</v>
      </c>
      <c r="J1420" t="s">
        <v>9690</v>
      </c>
      <c r="K1420" t="s">
        <v>7526</v>
      </c>
    </row>
    <row r="1421" spans="1:11" s="3" customFormat="1" x14ac:dyDescent="0.25">
      <c r="A1421" t="s">
        <v>9691</v>
      </c>
      <c r="B1421" t="s">
        <v>9692</v>
      </c>
      <c r="C1421" s="88"/>
      <c r="D1421" s="105"/>
      <c r="E1421">
        <v>199</v>
      </c>
      <c r="F1421" t="s">
        <v>9693</v>
      </c>
      <c r="G1421" t="s">
        <v>9692</v>
      </c>
      <c r="H1421" t="s">
        <v>7845</v>
      </c>
      <c r="I1421" t="s">
        <v>9692</v>
      </c>
      <c r="J1421" t="s">
        <v>9693</v>
      </c>
      <c r="K1421" t="s">
        <v>12616</v>
      </c>
    </row>
    <row r="1422" spans="1:11" s="3" customFormat="1" x14ac:dyDescent="0.25">
      <c r="A1422" t="s">
        <v>9694</v>
      </c>
      <c r="B1422" t="s">
        <v>9695</v>
      </c>
      <c r="C1422" s="88"/>
      <c r="D1422" s="105"/>
      <c r="E1422">
        <v>495</v>
      </c>
      <c r="F1422" t="s">
        <v>9696</v>
      </c>
      <c r="G1422" t="s">
        <v>9695</v>
      </c>
      <c r="H1422" t="s">
        <v>7845</v>
      </c>
      <c r="I1422" t="s">
        <v>9695</v>
      </c>
      <c r="J1422" t="s">
        <v>9696</v>
      </c>
      <c r="K1422" t="s">
        <v>7505</v>
      </c>
    </row>
    <row r="1423" spans="1:11" s="3" customFormat="1" x14ac:dyDescent="0.25">
      <c r="A1423" t="s">
        <v>9697</v>
      </c>
      <c r="B1423" t="s">
        <v>9698</v>
      </c>
      <c r="C1423" s="88"/>
      <c r="D1423" s="105"/>
      <c r="E1423">
        <v>46</v>
      </c>
      <c r="F1423" t="s">
        <v>9700</v>
      </c>
      <c r="G1423" t="s">
        <v>9699</v>
      </c>
      <c r="H1423" t="s">
        <v>7845</v>
      </c>
      <c r="I1423" t="s">
        <v>9698</v>
      </c>
      <c r="J1423" t="s">
        <v>9700</v>
      </c>
      <c r="K1423" t="s">
        <v>12623</v>
      </c>
    </row>
    <row r="1424" spans="1:11" s="3" customFormat="1" x14ac:dyDescent="0.25">
      <c r="A1424" t="s">
        <v>9701</v>
      </c>
      <c r="B1424" t="s">
        <v>9702</v>
      </c>
      <c r="C1424" s="88"/>
      <c r="D1424" s="105"/>
      <c r="E1424">
        <v>505</v>
      </c>
      <c r="F1424" t="s">
        <v>9703</v>
      </c>
      <c r="G1424" t="s">
        <v>9702</v>
      </c>
      <c r="H1424" t="s">
        <v>7845</v>
      </c>
      <c r="I1424" t="s">
        <v>9702</v>
      </c>
      <c r="J1424" t="s">
        <v>9703</v>
      </c>
      <c r="K1424" t="s">
        <v>9534</v>
      </c>
    </row>
    <row r="1425" spans="1:11" s="3" customFormat="1" x14ac:dyDescent="0.25">
      <c r="A1425" t="s">
        <v>9704</v>
      </c>
      <c r="B1425" t="s">
        <v>9705</v>
      </c>
      <c r="C1425" s="88"/>
      <c r="D1425" s="105"/>
      <c r="E1425">
        <v>905</v>
      </c>
      <c r="F1425" t="s">
        <v>9706</v>
      </c>
      <c r="G1425" t="s">
        <v>9705</v>
      </c>
      <c r="H1425" t="s">
        <v>7845</v>
      </c>
      <c r="I1425" t="s">
        <v>9705</v>
      </c>
      <c r="J1425" t="s">
        <v>9706</v>
      </c>
      <c r="K1425" t="s">
        <v>9639</v>
      </c>
    </row>
    <row r="1426" spans="1:11" s="3" customFormat="1" x14ac:dyDescent="0.25">
      <c r="A1426" t="s">
        <v>9707</v>
      </c>
      <c r="B1426" t="s">
        <v>9708</v>
      </c>
      <c r="C1426" s="88"/>
      <c r="D1426" s="105"/>
      <c r="E1426">
        <v>745</v>
      </c>
      <c r="F1426" t="s">
        <v>9709</v>
      </c>
      <c r="G1426" t="s">
        <v>9708</v>
      </c>
      <c r="H1426" t="s">
        <v>7845</v>
      </c>
      <c r="I1426" t="s">
        <v>9708</v>
      </c>
      <c r="J1426" t="s">
        <v>9709</v>
      </c>
      <c r="K1426" t="s">
        <v>12618</v>
      </c>
    </row>
    <row r="1427" spans="1:11" s="3" customFormat="1" x14ac:dyDescent="0.25">
      <c r="A1427" t="s">
        <v>9710</v>
      </c>
      <c r="B1427" t="s">
        <v>9711</v>
      </c>
      <c r="C1427" s="88"/>
      <c r="D1427" s="105"/>
      <c r="E1427">
        <v>299</v>
      </c>
      <c r="F1427" t="s">
        <v>9712</v>
      </c>
      <c r="G1427" t="s">
        <v>9711</v>
      </c>
      <c r="H1427" t="s">
        <v>7845</v>
      </c>
      <c r="I1427" t="s">
        <v>9711</v>
      </c>
      <c r="J1427" t="s">
        <v>9712</v>
      </c>
      <c r="K1427" t="s">
        <v>10992</v>
      </c>
    </row>
    <row r="1428" spans="1:11" s="3" customFormat="1" x14ac:dyDescent="0.25">
      <c r="A1428" t="s">
        <v>9713</v>
      </c>
      <c r="B1428" t="s">
        <v>9714</v>
      </c>
      <c r="C1428" s="88"/>
      <c r="D1428" s="105"/>
      <c r="E1428">
        <v>0</v>
      </c>
      <c r="F1428" t="s">
        <v>9716</v>
      </c>
      <c r="G1428" t="s">
        <v>13233</v>
      </c>
      <c r="H1428" t="s">
        <v>7845</v>
      </c>
      <c r="I1428" t="s">
        <v>9714</v>
      </c>
      <c r="J1428" t="s">
        <v>9716</v>
      </c>
      <c r="K1428" t="s">
        <v>12624</v>
      </c>
    </row>
    <row r="1429" spans="1:11" s="3" customFormat="1" x14ac:dyDescent="0.25">
      <c r="A1429" t="s">
        <v>9717</v>
      </c>
      <c r="B1429" t="s">
        <v>13218</v>
      </c>
      <c r="C1429" s="88"/>
      <c r="D1429" s="105"/>
      <c r="E1429">
        <v>518</v>
      </c>
      <c r="F1429" t="s">
        <v>9719</v>
      </c>
      <c r="G1429" t="s">
        <v>13218</v>
      </c>
      <c r="H1429" t="s">
        <v>7845</v>
      </c>
      <c r="I1429" t="s">
        <v>13218</v>
      </c>
      <c r="J1429" t="s">
        <v>9719</v>
      </c>
      <c r="K1429" t="s">
        <v>9153</v>
      </c>
    </row>
    <row r="1430" spans="1:11" s="3" customFormat="1" x14ac:dyDescent="0.25">
      <c r="A1430" t="s">
        <v>9720</v>
      </c>
      <c r="B1430" t="s">
        <v>9721</v>
      </c>
      <c r="C1430" s="88"/>
      <c r="D1430" s="105"/>
      <c r="E1430">
        <v>624</v>
      </c>
      <c r="F1430" t="s">
        <v>9722</v>
      </c>
      <c r="G1430" t="s">
        <v>9721</v>
      </c>
      <c r="H1430" t="s">
        <v>7845</v>
      </c>
      <c r="I1430" t="s">
        <v>9721</v>
      </c>
      <c r="J1430" t="s">
        <v>9722</v>
      </c>
      <c r="K1430" t="s">
        <v>9721</v>
      </c>
    </row>
    <row r="1431" spans="1:11" s="3" customFormat="1" x14ac:dyDescent="0.25">
      <c r="A1431" t="s">
        <v>9723</v>
      </c>
      <c r="B1431" t="s">
        <v>9724</v>
      </c>
      <c r="C1431" s="88"/>
      <c r="D1431" s="105"/>
      <c r="E1431">
        <v>484</v>
      </c>
      <c r="F1431" t="s">
        <v>9725</v>
      </c>
      <c r="G1431" t="s">
        <v>9721</v>
      </c>
      <c r="H1431" t="s">
        <v>7845</v>
      </c>
      <c r="I1431" t="s">
        <v>9724</v>
      </c>
      <c r="J1431" t="s">
        <v>9725</v>
      </c>
      <c r="K1431" t="s">
        <v>9721</v>
      </c>
    </row>
    <row r="1432" spans="1:11" s="3" customFormat="1" x14ac:dyDescent="0.25">
      <c r="A1432" t="s">
        <v>9726</v>
      </c>
      <c r="B1432" t="s">
        <v>9727</v>
      </c>
      <c r="C1432" s="88"/>
      <c r="D1432" s="105"/>
      <c r="E1432">
        <v>1982</v>
      </c>
      <c r="F1432" t="s">
        <v>9728</v>
      </c>
      <c r="G1432" t="s">
        <v>9721</v>
      </c>
      <c r="H1432" t="s">
        <v>7845</v>
      </c>
      <c r="I1432" t="s">
        <v>9727</v>
      </c>
      <c r="J1432" t="s">
        <v>9728</v>
      </c>
      <c r="K1432" t="s">
        <v>9721</v>
      </c>
    </row>
    <row r="1433" spans="1:11" s="3" customFormat="1" x14ac:dyDescent="0.25">
      <c r="A1433" t="s">
        <v>9729</v>
      </c>
      <c r="B1433" t="s">
        <v>9730</v>
      </c>
      <c r="C1433" s="88"/>
      <c r="D1433" s="105"/>
      <c r="E1433">
        <v>1044</v>
      </c>
      <c r="F1433" t="s">
        <v>9731</v>
      </c>
      <c r="G1433" t="s">
        <v>9721</v>
      </c>
      <c r="H1433" t="s">
        <v>7845</v>
      </c>
      <c r="I1433" t="s">
        <v>9730</v>
      </c>
      <c r="J1433" t="s">
        <v>9731</v>
      </c>
      <c r="K1433" t="s">
        <v>9721</v>
      </c>
    </row>
    <row r="1434" spans="1:11" s="3" customFormat="1" x14ac:dyDescent="0.25">
      <c r="A1434" t="s">
        <v>9732</v>
      </c>
      <c r="B1434" t="s">
        <v>9733</v>
      </c>
      <c r="C1434" s="88"/>
      <c r="D1434" s="105"/>
      <c r="E1434">
        <v>151</v>
      </c>
      <c r="F1434" t="s">
        <v>9734</v>
      </c>
      <c r="G1434" t="s">
        <v>9733</v>
      </c>
      <c r="H1434" t="s">
        <v>7845</v>
      </c>
      <c r="I1434" t="s">
        <v>9733</v>
      </c>
      <c r="J1434" t="s">
        <v>9734</v>
      </c>
      <c r="K1434" t="s">
        <v>9721</v>
      </c>
    </row>
    <row r="1435" spans="1:11" s="3" customFormat="1" x14ac:dyDescent="0.25">
      <c r="A1435" t="s">
        <v>9735</v>
      </c>
      <c r="B1435" t="s">
        <v>9736</v>
      </c>
      <c r="C1435" s="88"/>
      <c r="D1435" s="105"/>
      <c r="E1435">
        <v>178</v>
      </c>
      <c r="F1435" t="s">
        <v>9737</v>
      </c>
      <c r="G1435" t="s">
        <v>9736</v>
      </c>
      <c r="H1435" t="s">
        <v>7845</v>
      </c>
      <c r="I1435" t="s">
        <v>9736</v>
      </c>
      <c r="J1435" t="s">
        <v>9737</v>
      </c>
      <c r="K1435" t="s">
        <v>9721</v>
      </c>
    </row>
    <row r="1436" spans="1:11" s="3" customFormat="1" x14ac:dyDescent="0.25">
      <c r="A1436" t="s">
        <v>9738</v>
      </c>
      <c r="B1436" t="s">
        <v>9739</v>
      </c>
      <c r="C1436" s="88"/>
      <c r="D1436" s="105"/>
      <c r="E1436">
        <v>110</v>
      </c>
      <c r="F1436" t="s">
        <v>9741</v>
      </c>
      <c r="G1436" t="s">
        <v>9740</v>
      </c>
      <c r="H1436" t="s">
        <v>7845</v>
      </c>
      <c r="I1436" t="s">
        <v>9739</v>
      </c>
      <c r="J1436" t="s">
        <v>9741</v>
      </c>
      <c r="K1436" t="s">
        <v>12625</v>
      </c>
    </row>
    <row r="1437" spans="1:11" s="3" customFormat="1" x14ac:dyDescent="0.25">
      <c r="A1437" t="s">
        <v>9742</v>
      </c>
      <c r="B1437" t="s">
        <v>9743</v>
      </c>
      <c r="C1437" s="88"/>
      <c r="D1437" s="105"/>
      <c r="E1437">
        <v>698</v>
      </c>
      <c r="F1437" t="s">
        <v>9744</v>
      </c>
      <c r="G1437" t="s">
        <v>9743</v>
      </c>
      <c r="H1437" t="s">
        <v>7845</v>
      </c>
      <c r="I1437" t="s">
        <v>9743</v>
      </c>
      <c r="J1437" t="s">
        <v>9744</v>
      </c>
      <c r="K1437" t="s">
        <v>9886</v>
      </c>
    </row>
    <row r="1438" spans="1:11" s="3" customFormat="1" x14ac:dyDescent="0.25">
      <c r="A1438" t="s">
        <v>9745</v>
      </c>
      <c r="B1438" t="s">
        <v>9746</v>
      </c>
      <c r="C1438" s="88"/>
      <c r="D1438" s="105"/>
      <c r="E1438">
        <v>1053</v>
      </c>
      <c r="F1438" t="s">
        <v>9747</v>
      </c>
      <c r="G1438" t="s">
        <v>9746</v>
      </c>
      <c r="H1438" t="s">
        <v>7845</v>
      </c>
      <c r="I1438" t="s">
        <v>9746</v>
      </c>
      <c r="J1438" t="s">
        <v>9747</v>
      </c>
      <c r="K1438" t="s">
        <v>9886</v>
      </c>
    </row>
    <row r="1439" spans="1:11" s="3" customFormat="1" x14ac:dyDescent="0.25">
      <c r="A1439" t="s">
        <v>9748</v>
      </c>
      <c r="B1439" t="s">
        <v>9749</v>
      </c>
      <c r="C1439" s="88"/>
      <c r="D1439" s="105"/>
      <c r="E1439">
        <v>684</v>
      </c>
      <c r="F1439" t="s">
        <v>9750</v>
      </c>
      <c r="G1439" t="s">
        <v>9749</v>
      </c>
      <c r="H1439" t="s">
        <v>7845</v>
      </c>
      <c r="I1439" t="s">
        <v>9749</v>
      </c>
      <c r="J1439" t="s">
        <v>9750</v>
      </c>
      <c r="K1439" t="s">
        <v>7317</v>
      </c>
    </row>
    <row r="1440" spans="1:11" s="3" customFormat="1" x14ac:dyDescent="0.25">
      <c r="A1440" t="s">
        <v>9751</v>
      </c>
      <c r="B1440" t="s">
        <v>7506</v>
      </c>
      <c r="C1440" s="88"/>
      <c r="D1440" s="105"/>
      <c r="E1440">
        <v>1104</v>
      </c>
      <c r="F1440" t="s">
        <v>9752</v>
      </c>
      <c r="G1440" t="s">
        <v>7506</v>
      </c>
      <c r="H1440" t="s">
        <v>7845</v>
      </c>
      <c r="I1440" t="s">
        <v>7506</v>
      </c>
      <c r="J1440" t="s">
        <v>9752</v>
      </c>
      <c r="K1440" t="s">
        <v>12626</v>
      </c>
    </row>
    <row r="1441" spans="1:11" s="3" customFormat="1" x14ac:dyDescent="0.25">
      <c r="A1441" t="s">
        <v>9753</v>
      </c>
      <c r="B1441" t="s">
        <v>9754</v>
      </c>
      <c r="C1441" s="88"/>
      <c r="D1441" s="105"/>
      <c r="E1441">
        <v>107</v>
      </c>
      <c r="F1441" t="s">
        <v>9755</v>
      </c>
      <c r="G1441" t="s">
        <v>9754</v>
      </c>
      <c r="H1441" t="s">
        <v>7845</v>
      </c>
      <c r="I1441" t="s">
        <v>9754</v>
      </c>
      <c r="J1441" t="s">
        <v>9755</v>
      </c>
      <c r="K1441" t="s">
        <v>11481</v>
      </c>
    </row>
    <row r="1442" spans="1:11" s="3" customFormat="1" x14ac:dyDescent="0.25">
      <c r="A1442" t="s">
        <v>9756</v>
      </c>
      <c r="B1442" t="s">
        <v>9757</v>
      </c>
      <c r="C1442" s="88"/>
      <c r="D1442" s="105"/>
      <c r="E1442">
        <v>599</v>
      </c>
      <c r="F1442" t="s">
        <v>9758</v>
      </c>
      <c r="G1442" t="s">
        <v>9757</v>
      </c>
      <c r="H1442" t="s">
        <v>7845</v>
      </c>
      <c r="I1442" t="s">
        <v>9757</v>
      </c>
      <c r="J1442" t="s">
        <v>9758</v>
      </c>
      <c r="K1442" t="s">
        <v>11481</v>
      </c>
    </row>
    <row r="1443" spans="1:11" s="3" customFormat="1" x14ac:dyDescent="0.25">
      <c r="A1443" t="s">
        <v>9759</v>
      </c>
      <c r="B1443" t="s">
        <v>9760</v>
      </c>
      <c r="C1443" s="88"/>
      <c r="D1443" s="105"/>
      <c r="E1443">
        <v>110</v>
      </c>
      <c r="F1443" t="s">
        <v>9761</v>
      </c>
      <c r="G1443" t="s">
        <v>9760</v>
      </c>
      <c r="H1443" t="s">
        <v>7845</v>
      </c>
      <c r="I1443" t="s">
        <v>9760</v>
      </c>
      <c r="J1443" t="s">
        <v>9761</v>
      </c>
      <c r="K1443" t="s">
        <v>9721</v>
      </c>
    </row>
    <row r="1444" spans="1:11" s="3" customFormat="1" x14ac:dyDescent="0.25">
      <c r="A1444" t="s">
        <v>9762</v>
      </c>
      <c r="B1444" t="s">
        <v>9763</v>
      </c>
      <c r="C1444" s="88"/>
      <c r="D1444" s="105"/>
      <c r="E1444">
        <v>945</v>
      </c>
      <c r="F1444" t="s">
        <v>9764</v>
      </c>
      <c r="G1444" t="s">
        <v>9763</v>
      </c>
      <c r="H1444" t="s">
        <v>7845</v>
      </c>
      <c r="I1444" t="s">
        <v>9763</v>
      </c>
      <c r="J1444" t="s">
        <v>9764</v>
      </c>
      <c r="K1444" t="s">
        <v>9886</v>
      </c>
    </row>
    <row r="1445" spans="1:11" s="3" customFormat="1" x14ac:dyDescent="0.25">
      <c r="A1445" t="s">
        <v>9765</v>
      </c>
      <c r="B1445" t="s">
        <v>9766</v>
      </c>
      <c r="C1445" s="88"/>
      <c r="D1445" s="105"/>
      <c r="E1445">
        <v>99</v>
      </c>
      <c r="F1445" t="s">
        <v>9767</v>
      </c>
      <c r="G1445" t="s">
        <v>9766</v>
      </c>
      <c r="H1445" t="s">
        <v>7845</v>
      </c>
      <c r="I1445" t="s">
        <v>9766</v>
      </c>
      <c r="J1445" t="s">
        <v>9767</v>
      </c>
      <c r="K1445" t="s">
        <v>11481</v>
      </c>
    </row>
    <row r="1446" spans="1:11" s="3" customFormat="1" x14ac:dyDescent="0.25">
      <c r="A1446" t="s">
        <v>9768</v>
      </c>
      <c r="B1446" t="s">
        <v>9769</v>
      </c>
      <c r="C1446" s="88"/>
      <c r="D1446" s="105"/>
      <c r="E1446">
        <v>235</v>
      </c>
      <c r="F1446" t="s">
        <v>9770</v>
      </c>
      <c r="G1446" t="s">
        <v>9769</v>
      </c>
      <c r="H1446" t="s">
        <v>7845</v>
      </c>
      <c r="I1446" t="s">
        <v>9769</v>
      </c>
      <c r="J1446" t="s">
        <v>9770</v>
      </c>
      <c r="K1446" t="s">
        <v>7317</v>
      </c>
    </row>
    <row r="1447" spans="1:11" s="3" customFormat="1" x14ac:dyDescent="0.25">
      <c r="A1447" t="s">
        <v>9771</v>
      </c>
      <c r="B1447" t="s">
        <v>9772</v>
      </c>
      <c r="C1447" s="88"/>
      <c r="D1447" s="105"/>
      <c r="E1447">
        <v>460</v>
      </c>
      <c r="F1447" t="s">
        <v>9773</v>
      </c>
      <c r="G1447" t="s">
        <v>9772</v>
      </c>
      <c r="H1447" t="s">
        <v>7845</v>
      </c>
      <c r="I1447" t="s">
        <v>9772</v>
      </c>
      <c r="J1447" t="s">
        <v>9773</v>
      </c>
      <c r="K1447" t="s">
        <v>11481</v>
      </c>
    </row>
    <row r="1448" spans="1:11" s="3" customFormat="1" x14ac:dyDescent="0.25">
      <c r="A1448" t="s">
        <v>9774</v>
      </c>
      <c r="B1448" t="s">
        <v>9775</v>
      </c>
      <c r="C1448" s="88"/>
      <c r="D1448" s="105"/>
      <c r="E1448">
        <v>198</v>
      </c>
      <c r="F1448" t="s">
        <v>9776</v>
      </c>
      <c r="G1448" t="s">
        <v>9775</v>
      </c>
      <c r="H1448" t="s">
        <v>7845</v>
      </c>
      <c r="I1448" t="s">
        <v>9775</v>
      </c>
      <c r="J1448" t="s">
        <v>9776</v>
      </c>
      <c r="K1448" t="s">
        <v>9721</v>
      </c>
    </row>
    <row r="1449" spans="1:11" s="3" customFormat="1" x14ac:dyDescent="0.25">
      <c r="A1449" t="s">
        <v>9777</v>
      </c>
      <c r="B1449" t="s">
        <v>9778</v>
      </c>
      <c r="C1449" s="88"/>
      <c r="D1449" s="105"/>
      <c r="E1449">
        <v>470</v>
      </c>
      <c r="F1449" t="s">
        <v>9779</v>
      </c>
      <c r="G1449" t="s">
        <v>9778</v>
      </c>
      <c r="H1449" t="s">
        <v>7845</v>
      </c>
      <c r="I1449" t="s">
        <v>9778</v>
      </c>
      <c r="J1449" t="s">
        <v>9779</v>
      </c>
      <c r="K1449" t="s">
        <v>9886</v>
      </c>
    </row>
    <row r="1450" spans="1:11" s="3" customFormat="1" x14ac:dyDescent="0.25">
      <c r="A1450" t="s">
        <v>9780</v>
      </c>
      <c r="B1450" t="s">
        <v>9781</v>
      </c>
      <c r="C1450" s="88"/>
      <c r="D1450" s="105"/>
      <c r="E1450">
        <v>840</v>
      </c>
      <c r="F1450" t="s">
        <v>9782</v>
      </c>
      <c r="G1450" t="s">
        <v>9781</v>
      </c>
      <c r="H1450" t="s">
        <v>7845</v>
      </c>
      <c r="I1450" t="s">
        <v>9781</v>
      </c>
      <c r="J1450" t="s">
        <v>9782</v>
      </c>
      <c r="K1450" t="s">
        <v>9886</v>
      </c>
    </row>
    <row r="1451" spans="1:11" s="3" customFormat="1" x14ac:dyDescent="0.25">
      <c r="A1451" t="s">
        <v>9783</v>
      </c>
      <c r="B1451" t="s">
        <v>9784</v>
      </c>
      <c r="C1451" s="88"/>
      <c r="D1451" s="105"/>
      <c r="E1451">
        <v>137</v>
      </c>
      <c r="F1451" t="s">
        <v>9785</v>
      </c>
      <c r="G1451" t="s">
        <v>9784</v>
      </c>
      <c r="H1451" t="s">
        <v>7845</v>
      </c>
      <c r="I1451" t="s">
        <v>9784</v>
      </c>
      <c r="J1451" t="s">
        <v>9785</v>
      </c>
      <c r="K1451" t="s">
        <v>9809</v>
      </c>
    </row>
    <row r="1452" spans="1:11" s="3" customFormat="1" x14ac:dyDescent="0.25">
      <c r="A1452" t="s">
        <v>9786</v>
      </c>
      <c r="B1452" t="s">
        <v>9787</v>
      </c>
      <c r="C1452" s="88"/>
      <c r="D1452" s="105"/>
      <c r="E1452">
        <v>163</v>
      </c>
      <c r="F1452" t="s">
        <v>9788</v>
      </c>
      <c r="G1452" t="s">
        <v>9787</v>
      </c>
      <c r="H1452" t="s">
        <v>7845</v>
      </c>
      <c r="I1452" t="s">
        <v>9787</v>
      </c>
      <c r="J1452" t="s">
        <v>9788</v>
      </c>
      <c r="K1452" t="s">
        <v>12619</v>
      </c>
    </row>
    <row r="1453" spans="1:11" s="3" customFormat="1" x14ac:dyDescent="0.25">
      <c r="A1453" t="s">
        <v>9789</v>
      </c>
      <c r="B1453" t="s">
        <v>9790</v>
      </c>
      <c r="C1453" s="88"/>
      <c r="D1453" s="105"/>
      <c r="E1453">
        <v>391</v>
      </c>
      <c r="F1453" t="s">
        <v>9791</v>
      </c>
      <c r="G1453" t="s">
        <v>9790</v>
      </c>
      <c r="H1453" t="s">
        <v>7845</v>
      </c>
      <c r="I1453" t="s">
        <v>9790</v>
      </c>
      <c r="J1453" t="s">
        <v>9791</v>
      </c>
      <c r="K1453" t="s">
        <v>9721</v>
      </c>
    </row>
    <row r="1454" spans="1:11" s="3" customFormat="1" x14ac:dyDescent="0.25">
      <c r="A1454" t="s">
        <v>9792</v>
      </c>
      <c r="B1454" t="s">
        <v>9793</v>
      </c>
      <c r="C1454" s="88"/>
      <c r="D1454" s="105"/>
      <c r="E1454">
        <v>470</v>
      </c>
      <c r="F1454" t="s">
        <v>9794</v>
      </c>
      <c r="G1454" t="s">
        <v>9793</v>
      </c>
      <c r="H1454" t="s">
        <v>7845</v>
      </c>
      <c r="I1454" t="s">
        <v>9793</v>
      </c>
      <c r="J1454" t="s">
        <v>9794</v>
      </c>
      <c r="K1454" t="s">
        <v>7317</v>
      </c>
    </row>
    <row r="1455" spans="1:11" s="3" customFormat="1" x14ac:dyDescent="0.25">
      <c r="A1455" t="s">
        <v>9795</v>
      </c>
      <c r="B1455" t="s">
        <v>9796</v>
      </c>
      <c r="C1455" s="88"/>
      <c r="D1455" s="105"/>
      <c r="E1455">
        <v>370</v>
      </c>
      <c r="F1455" t="s">
        <v>9797</v>
      </c>
      <c r="G1455" t="s">
        <v>9796</v>
      </c>
      <c r="H1455" t="s">
        <v>7845</v>
      </c>
      <c r="I1455" t="s">
        <v>9796</v>
      </c>
      <c r="J1455" t="s">
        <v>9797</v>
      </c>
      <c r="K1455" t="s">
        <v>9886</v>
      </c>
    </row>
    <row r="1456" spans="1:11" s="3" customFormat="1" x14ac:dyDescent="0.25">
      <c r="A1456" t="s">
        <v>9798</v>
      </c>
      <c r="B1456" t="s">
        <v>9799</v>
      </c>
      <c r="C1456" s="88"/>
      <c r="D1456" s="105"/>
      <c r="E1456">
        <v>754</v>
      </c>
      <c r="F1456" t="s">
        <v>9800</v>
      </c>
      <c r="G1456" t="s">
        <v>9799</v>
      </c>
      <c r="H1456" t="s">
        <v>7845</v>
      </c>
      <c r="I1456" t="s">
        <v>9799</v>
      </c>
      <c r="J1456" t="s">
        <v>9800</v>
      </c>
      <c r="K1456" t="s">
        <v>12625</v>
      </c>
    </row>
    <row r="1457" spans="1:11" s="3" customFormat="1" x14ac:dyDescent="0.25">
      <c r="A1457" t="s">
        <v>9801</v>
      </c>
      <c r="B1457" t="s">
        <v>9802</v>
      </c>
      <c r="C1457" s="88"/>
      <c r="D1457" s="105"/>
      <c r="E1457">
        <v>205</v>
      </c>
      <c r="F1457" t="s">
        <v>9803</v>
      </c>
      <c r="G1457" t="s">
        <v>9802</v>
      </c>
      <c r="H1457" t="s">
        <v>7845</v>
      </c>
      <c r="I1457" t="s">
        <v>9802</v>
      </c>
      <c r="J1457" t="s">
        <v>9803</v>
      </c>
      <c r="K1457" t="s">
        <v>12625</v>
      </c>
    </row>
    <row r="1458" spans="1:11" s="3" customFormat="1" x14ac:dyDescent="0.25">
      <c r="A1458" t="s">
        <v>9804</v>
      </c>
      <c r="B1458" t="s">
        <v>9805</v>
      </c>
      <c r="C1458" s="88"/>
      <c r="D1458" s="105"/>
      <c r="E1458">
        <v>200</v>
      </c>
      <c r="F1458" t="s">
        <v>9807</v>
      </c>
      <c r="G1458" t="s">
        <v>9805</v>
      </c>
      <c r="H1458" t="s">
        <v>7845</v>
      </c>
      <c r="I1458" t="s">
        <v>9805</v>
      </c>
      <c r="J1458" t="s">
        <v>9807</v>
      </c>
      <c r="K1458" t="s">
        <v>13239</v>
      </c>
    </row>
    <row r="1459" spans="1:11" s="3" customFormat="1" x14ac:dyDescent="0.25">
      <c r="A1459" t="s">
        <v>9808</v>
      </c>
      <c r="B1459" t="s">
        <v>9809</v>
      </c>
      <c r="C1459" s="88"/>
      <c r="D1459" s="105"/>
      <c r="E1459">
        <v>403</v>
      </c>
      <c r="F1459" t="s">
        <v>9810</v>
      </c>
      <c r="G1459" t="s">
        <v>9809</v>
      </c>
      <c r="H1459" t="s">
        <v>7845</v>
      </c>
      <c r="I1459" t="s">
        <v>9809</v>
      </c>
      <c r="J1459" t="s">
        <v>9810</v>
      </c>
      <c r="K1459" t="s">
        <v>9886</v>
      </c>
    </row>
    <row r="1460" spans="1:11" s="3" customFormat="1" x14ac:dyDescent="0.25">
      <c r="A1460" t="s">
        <v>9811</v>
      </c>
      <c r="B1460" t="s">
        <v>9812</v>
      </c>
      <c r="C1460" s="88"/>
      <c r="D1460" s="105"/>
      <c r="E1460">
        <v>130</v>
      </c>
      <c r="F1460" t="s">
        <v>9815</v>
      </c>
      <c r="G1460" t="s">
        <v>9814</v>
      </c>
      <c r="H1460" t="s">
        <v>7845</v>
      </c>
      <c r="I1460" t="s">
        <v>9812</v>
      </c>
      <c r="J1460" t="s">
        <v>9815</v>
      </c>
      <c r="K1460" t="s">
        <v>9721</v>
      </c>
    </row>
    <row r="1461" spans="1:11" s="3" customFormat="1" x14ac:dyDescent="0.25">
      <c r="A1461" t="s">
        <v>9816</v>
      </c>
      <c r="B1461" t="s">
        <v>9817</v>
      </c>
      <c r="C1461" s="88"/>
      <c r="D1461" s="105"/>
      <c r="E1461">
        <v>297</v>
      </c>
      <c r="F1461" t="s">
        <v>9819</v>
      </c>
      <c r="G1461" t="s">
        <v>9818</v>
      </c>
      <c r="H1461" t="s">
        <v>7845</v>
      </c>
      <c r="I1461" t="s">
        <v>9817</v>
      </c>
      <c r="J1461" t="s">
        <v>9819</v>
      </c>
      <c r="K1461" t="s">
        <v>9886</v>
      </c>
    </row>
    <row r="1462" spans="1:11" s="3" customFormat="1" x14ac:dyDescent="0.25">
      <c r="A1462" t="s">
        <v>9820</v>
      </c>
      <c r="B1462" t="s">
        <v>9821</v>
      </c>
      <c r="C1462" s="88"/>
      <c r="D1462" s="105"/>
      <c r="E1462">
        <v>316</v>
      </c>
      <c r="F1462" t="s">
        <v>9822</v>
      </c>
      <c r="G1462" t="s">
        <v>9821</v>
      </c>
      <c r="H1462" t="s">
        <v>7845</v>
      </c>
      <c r="I1462" t="s">
        <v>9821</v>
      </c>
      <c r="J1462" t="s">
        <v>9822</v>
      </c>
      <c r="K1462" t="s">
        <v>12626</v>
      </c>
    </row>
    <row r="1463" spans="1:11" s="3" customFormat="1" x14ac:dyDescent="0.25">
      <c r="A1463" t="s">
        <v>9823</v>
      </c>
      <c r="B1463" t="s">
        <v>9824</v>
      </c>
      <c r="C1463" s="88"/>
      <c r="D1463" s="105"/>
      <c r="E1463">
        <v>0</v>
      </c>
      <c r="F1463" t="s">
        <v>9825</v>
      </c>
      <c r="G1463" t="s">
        <v>9824</v>
      </c>
      <c r="H1463" t="s">
        <v>7845</v>
      </c>
      <c r="I1463" t="s">
        <v>9824</v>
      </c>
      <c r="J1463" t="s">
        <v>9825</v>
      </c>
      <c r="K1463" t="s">
        <v>9809</v>
      </c>
    </row>
    <row r="1464" spans="1:11" s="3" customFormat="1" x14ac:dyDescent="0.25">
      <c r="A1464" t="s">
        <v>9826</v>
      </c>
      <c r="B1464" t="s">
        <v>9827</v>
      </c>
      <c r="C1464" s="88"/>
      <c r="D1464" s="105"/>
      <c r="E1464"/>
      <c r="F1464" t="s">
        <v>9828</v>
      </c>
      <c r="G1464" t="s">
        <v>9827</v>
      </c>
      <c r="H1464" t="s">
        <v>7845</v>
      </c>
      <c r="I1464" t="s">
        <v>9827</v>
      </c>
      <c r="J1464" t="s">
        <v>9828</v>
      </c>
      <c r="K1464" t="s">
        <v>9721</v>
      </c>
    </row>
    <row r="1465" spans="1:11" s="3" customFormat="1" x14ac:dyDescent="0.25">
      <c r="A1465" t="s">
        <v>9829</v>
      </c>
      <c r="B1465" t="s">
        <v>9830</v>
      </c>
      <c r="C1465" s="88"/>
      <c r="D1465" s="105"/>
      <c r="E1465">
        <v>26</v>
      </c>
      <c r="F1465" t="s">
        <v>9831</v>
      </c>
      <c r="G1465" t="s">
        <v>9830</v>
      </c>
      <c r="H1465" t="s">
        <v>7845</v>
      </c>
      <c r="I1465" t="s">
        <v>9830</v>
      </c>
      <c r="J1465" t="s">
        <v>9831</v>
      </c>
      <c r="K1465" t="s">
        <v>9809</v>
      </c>
    </row>
    <row r="1466" spans="1:11" s="3" customFormat="1" x14ac:dyDescent="0.25">
      <c r="A1466" t="s">
        <v>9832</v>
      </c>
      <c r="B1466" t="s">
        <v>9833</v>
      </c>
      <c r="C1466" s="88"/>
      <c r="D1466" s="105"/>
      <c r="E1466">
        <v>485</v>
      </c>
      <c r="F1466" t="s">
        <v>9834</v>
      </c>
      <c r="G1466" t="s">
        <v>9833</v>
      </c>
      <c r="H1466" t="s">
        <v>7845</v>
      </c>
      <c r="I1466" t="s">
        <v>9833</v>
      </c>
      <c r="J1466" t="s">
        <v>9834</v>
      </c>
      <c r="K1466" t="s">
        <v>11481</v>
      </c>
    </row>
    <row r="1467" spans="1:11" s="3" customFormat="1" x14ac:dyDescent="0.25">
      <c r="A1467" t="s">
        <v>9835</v>
      </c>
      <c r="B1467" t="s">
        <v>9836</v>
      </c>
      <c r="C1467" s="88"/>
      <c r="D1467" s="105"/>
      <c r="E1467">
        <v>102</v>
      </c>
      <c r="F1467" t="s">
        <v>9837</v>
      </c>
      <c r="G1467" t="s">
        <v>9836</v>
      </c>
      <c r="H1467" t="s">
        <v>7845</v>
      </c>
      <c r="I1467" t="s">
        <v>9836</v>
      </c>
      <c r="J1467" t="s">
        <v>9837</v>
      </c>
      <c r="K1467" t="s">
        <v>9886</v>
      </c>
    </row>
    <row r="1468" spans="1:11" s="3" customFormat="1" x14ac:dyDescent="0.25">
      <c r="A1468" t="s">
        <v>9838</v>
      </c>
      <c r="B1468" t="s">
        <v>9839</v>
      </c>
      <c r="C1468" s="88"/>
      <c r="D1468" s="105"/>
      <c r="E1468">
        <v>50</v>
      </c>
      <c r="F1468" t="s">
        <v>9840</v>
      </c>
      <c r="G1468" t="s">
        <v>9839</v>
      </c>
      <c r="H1468" t="s">
        <v>7845</v>
      </c>
      <c r="I1468" t="s">
        <v>9839</v>
      </c>
      <c r="J1468" t="s">
        <v>9840</v>
      </c>
      <c r="K1468" t="s">
        <v>9886</v>
      </c>
    </row>
    <row r="1469" spans="1:11" s="3" customFormat="1" x14ac:dyDescent="0.25">
      <c r="A1469" t="s">
        <v>9841</v>
      </c>
      <c r="B1469" t="s">
        <v>9842</v>
      </c>
      <c r="C1469" s="88"/>
      <c r="D1469" s="105"/>
      <c r="E1469">
        <v>314</v>
      </c>
      <c r="F1469" t="s">
        <v>9843</v>
      </c>
      <c r="G1469" t="s">
        <v>9842</v>
      </c>
      <c r="H1469" t="s">
        <v>7845</v>
      </c>
      <c r="I1469" t="s">
        <v>9842</v>
      </c>
      <c r="J1469" t="s">
        <v>9843</v>
      </c>
      <c r="K1469" t="s">
        <v>9809</v>
      </c>
    </row>
    <row r="1470" spans="1:11" s="3" customFormat="1" x14ac:dyDescent="0.25">
      <c r="A1470" t="s">
        <v>9844</v>
      </c>
      <c r="B1470" t="s">
        <v>9845</v>
      </c>
      <c r="C1470" s="88"/>
      <c r="D1470" s="105"/>
      <c r="E1470">
        <v>202</v>
      </c>
      <c r="F1470" t="s">
        <v>9846</v>
      </c>
      <c r="G1470" t="s">
        <v>9845</v>
      </c>
      <c r="H1470" t="s">
        <v>7845</v>
      </c>
      <c r="I1470" t="s">
        <v>9845</v>
      </c>
      <c r="J1470" t="s">
        <v>9846</v>
      </c>
      <c r="K1470" t="s">
        <v>9809</v>
      </c>
    </row>
    <row r="1471" spans="1:11" s="3" customFormat="1" x14ac:dyDescent="0.25">
      <c r="A1471" t="s">
        <v>9847</v>
      </c>
      <c r="B1471" t="s">
        <v>9848</v>
      </c>
      <c r="C1471" s="88"/>
      <c r="D1471" s="105"/>
      <c r="E1471">
        <v>295</v>
      </c>
      <c r="F1471" t="s">
        <v>9849</v>
      </c>
      <c r="G1471" t="s">
        <v>9848</v>
      </c>
      <c r="H1471" t="s">
        <v>7845</v>
      </c>
      <c r="I1471" t="s">
        <v>9848</v>
      </c>
      <c r="J1471" t="s">
        <v>9849</v>
      </c>
      <c r="K1471" t="s">
        <v>11481</v>
      </c>
    </row>
    <row r="1472" spans="1:11" s="3" customFormat="1" x14ac:dyDescent="0.25">
      <c r="A1472" t="s">
        <v>9850</v>
      </c>
      <c r="B1472" t="s">
        <v>9851</v>
      </c>
      <c r="C1472" s="88"/>
      <c r="D1472" s="105"/>
      <c r="E1472">
        <v>373</v>
      </c>
      <c r="F1472" t="s">
        <v>9852</v>
      </c>
      <c r="G1472" t="s">
        <v>9851</v>
      </c>
      <c r="H1472" t="s">
        <v>7845</v>
      </c>
      <c r="I1472" t="s">
        <v>9851</v>
      </c>
      <c r="J1472" t="s">
        <v>9852</v>
      </c>
      <c r="K1472" t="s">
        <v>12626</v>
      </c>
    </row>
    <row r="1473" spans="1:11" s="3" customFormat="1" x14ac:dyDescent="0.25">
      <c r="A1473" t="s">
        <v>9853</v>
      </c>
      <c r="B1473" t="s">
        <v>9854</v>
      </c>
      <c r="C1473" s="88"/>
      <c r="D1473" s="105"/>
      <c r="E1473">
        <v>462</v>
      </c>
      <c r="F1473" t="s">
        <v>9855</v>
      </c>
      <c r="G1473" t="s">
        <v>9854</v>
      </c>
      <c r="H1473" t="s">
        <v>7845</v>
      </c>
      <c r="I1473" t="s">
        <v>9854</v>
      </c>
      <c r="J1473" t="s">
        <v>9855</v>
      </c>
      <c r="K1473" t="s">
        <v>12619</v>
      </c>
    </row>
    <row r="1474" spans="1:11" s="3" customFormat="1" x14ac:dyDescent="0.25">
      <c r="A1474" t="s">
        <v>9856</v>
      </c>
      <c r="B1474" t="s">
        <v>9857</v>
      </c>
      <c r="C1474" s="88"/>
      <c r="D1474" s="105"/>
      <c r="E1474">
        <v>99</v>
      </c>
      <c r="F1474" t="s">
        <v>9859</v>
      </c>
      <c r="G1474" t="s">
        <v>9857</v>
      </c>
      <c r="H1474" t="s">
        <v>7845</v>
      </c>
      <c r="I1474" t="s">
        <v>9857</v>
      </c>
      <c r="J1474" t="s">
        <v>9859</v>
      </c>
      <c r="K1474" t="s">
        <v>7317</v>
      </c>
    </row>
    <row r="1475" spans="1:11" s="3" customFormat="1" x14ac:dyDescent="0.25">
      <c r="A1475" t="s">
        <v>9860</v>
      </c>
      <c r="B1475" t="s">
        <v>9861</v>
      </c>
      <c r="C1475" s="88"/>
      <c r="D1475" s="105"/>
      <c r="E1475">
        <v>1</v>
      </c>
      <c r="F1475" t="s">
        <v>9862</v>
      </c>
      <c r="G1475" t="s">
        <v>9861</v>
      </c>
      <c r="H1475" t="s">
        <v>7845</v>
      </c>
      <c r="I1475" t="s">
        <v>9861</v>
      </c>
      <c r="J1475" t="s">
        <v>9862</v>
      </c>
      <c r="K1475" t="s">
        <v>12625</v>
      </c>
    </row>
    <row r="1476" spans="1:11" s="3" customFormat="1" x14ac:dyDescent="0.25">
      <c r="A1476" t="s">
        <v>9863</v>
      </c>
      <c r="B1476" t="s">
        <v>9864</v>
      </c>
      <c r="C1476" s="88"/>
      <c r="D1476" s="105"/>
      <c r="E1476">
        <v>494</v>
      </c>
      <c r="F1476" t="s">
        <v>9866</v>
      </c>
      <c r="G1476" t="s">
        <v>9864</v>
      </c>
      <c r="H1476" t="s">
        <v>7845</v>
      </c>
      <c r="I1476" t="s">
        <v>9864</v>
      </c>
      <c r="J1476" t="s">
        <v>9866</v>
      </c>
      <c r="K1476" t="s">
        <v>11481</v>
      </c>
    </row>
    <row r="1477" spans="1:11" s="3" customFormat="1" x14ac:dyDescent="0.25">
      <c r="A1477" t="s">
        <v>9867</v>
      </c>
      <c r="B1477" t="s">
        <v>9868</v>
      </c>
      <c r="C1477" s="88"/>
      <c r="D1477" s="105"/>
      <c r="E1477">
        <v>266</v>
      </c>
      <c r="F1477" t="s">
        <v>9869</v>
      </c>
      <c r="G1477" t="s">
        <v>9868</v>
      </c>
      <c r="H1477" t="s">
        <v>7845</v>
      </c>
      <c r="I1477" t="s">
        <v>9868</v>
      </c>
      <c r="J1477" t="s">
        <v>9869</v>
      </c>
      <c r="K1477" t="s">
        <v>13239</v>
      </c>
    </row>
    <row r="1478" spans="1:11" s="3" customFormat="1" x14ac:dyDescent="0.25">
      <c r="A1478" t="s">
        <v>9870</v>
      </c>
      <c r="B1478" t="s">
        <v>9871</v>
      </c>
      <c r="C1478" s="88"/>
      <c r="D1478" s="105"/>
      <c r="E1478">
        <v>751</v>
      </c>
      <c r="F1478" t="s">
        <v>9872</v>
      </c>
      <c r="G1478" t="s">
        <v>9871</v>
      </c>
      <c r="H1478" t="s">
        <v>7845</v>
      </c>
      <c r="I1478" t="s">
        <v>9871</v>
      </c>
      <c r="J1478" t="s">
        <v>9872</v>
      </c>
      <c r="K1478" t="s">
        <v>12626</v>
      </c>
    </row>
    <row r="1479" spans="1:11" s="3" customFormat="1" x14ac:dyDescent="0.25">
      <c r="A1479" t="s">
        <v>9873</v>
      </c>
      <c r="B1479" t="s">
        <v>9874</v>
      </c>
      <c r="C1479" s="88"/>
      <c r="D1479" s="105"/>
      <c r="E1479">
        <v>495</v>
      </c>
      <c r="F1479" t="s">
        <v>9875</v>
      </c>
      <c r="G1479" t="s">
        <v>9874</v>
      </c>
      <c r="H1479" t="s">
        <v>7845</v>
      </c>
      <c r="I1479" t="s">
        <v>9874</v>
      </c>
      <c r="J1479" t="s">
        <v>9875</v>
      </c>
      <c r="K1479" t="s">
        <v>9886</v>
      </c>
    </row>
    <row r="1480" spans="1:11" s="3" customFormat="1" x14ac:dyDescent="0.25">
      <c r="A1480" t="s">
        <v>9876</v>
      </c>
      <c r="B1480" t="s">
        <v>9877</v>
      </c>
      <c r="C1480" s="88"/>
      <c r="D1480" s="105"/>
      <c r="E1480">
        <v>598</v>
      </c>
      <c r="F1480" t="s">
        <v>9878</v>
      </c>
      <c r="G1480" t="s">
        <v>9877</v>
      </c>
      <c r="H1480" t="s">
        <v>7845</v>
      </c>
      <c r="I1480" t="s">
        <v>9877</v>
      </c>
      <c r="J1480" t="s">
        <v>9878</v>
      </c>
      <c r="K1480" t="s">
        <v>9886</v>
      </c>
    </row>
    <row r="1481" spans="1:11" s="3" customFormat="1" x14ac:dyDescent="0.25">
      <c r="A1481" t="s">
        <v>9879</v>
      </c>
      <c r="B1481" t="s">
        <v>9880</v>
      </c>
      <c r="C1481" s="88"/>
      <c r="D1481" s="105"/>
      <c r="E1481">
        <v>330</v>
      </c>
      <c r="F1481" t="s">
        <v>9881</v>
      </c>
      <c r="G1481" t="s">
        <v>9880</v>
      </c>
      <c r="H1481" t="s">
        <v>7845</v>
      </c>
      <c r="I1481" t="s">
        <v>9880</v>
      </c>
      <c r="J1481" t="s">
        <v>9881</v>
      </c>
      <c r="K1481" t="s">
        <v>12619</v>
      </c>
    </row>
    <row r="1482" spans="1:11" s="3" customFormat="1" x14ac:dyDescent="0.25">
      <c r="A1482" t="s">
        <v>9882</v>
      </c>
      <c r="B1482" t="s">
        <v>9883</v>
      </c>
      <c r="C1482" s="88"/>
      <c r="D1482" s="105"/>
      <c r="E1482">
        <v>174</v>
      </c>
      <c r="F1482" t="s">
        <v>9884</v>
      </c>
      <c r="G1482" t="s">
        <v>9883</v>
      </c>
      <c r="H1482" t="s">
        <v>7845</v>
      </c>
      <c r="I1482" t="s">
        <v>9883</v>
      </c>
      <c r="J1482" t="s">
        <v>9884</v>
      </c>
      <c r="K1482" t="s">
        <v>9721</v>
      </c>
    </row>
    <row r="1483" spans="1:11" s="3" customFormat="1" x14ac:dyDescent="0.25">
      <c r="A1483" t="s">
        <v>9885</v>
      </c>
      <c r="B1483" t="s">
        <v>9886</v>
      </c>
      <c r="C1483" s="88"/>
      <c r="D1483" s="105"/>
      <c r="E1483">
        <v>352</v>
      </c>
      <c r="F1483" t="s">
        <v>9887</v>
      </c>
      <c r="G1483" t="s">
        <v>9886</v>
      </c>
      <c r="H1483" t="s">
        <v>7845</v>
      </c>
      <c r="I1483" t="s">
        <v>9886</v>
      </c>
      <c r="J1483" t="s">
        <v>9887</v>
      </c>
      <c r="K1483" t="s">
        <v>9886</v>
      </c>
    </row>
    <row r="1484" spans="1:11" s="3" customFormat="1" x14ac:dyDescent="0.25">
      <c r="A1484" t="s">
        <v>9888</v>
      </c>
      <c r="B1484" t="s">
        <v>9889</v>
      </c>
      <c r="C1484" s="88"/>
      <c r="D1484" s="105"/>
      <c r="E1484">
        <v>301</v>
      </c>
      <c r="F1484" t="s">
        <v>9890</v>
      </c>
      <c r="G1484" t="s">
        <v>9889</v>
      </c>
      <c r="H1484" t="s">
        <v>7845</v>
      </c>
      <c r="I1484" t="s">
        <v>9889</v>
      </c>
      <c r="J1484" t="s">
        <v>9890</v>
      </c>
      <c r="K1484" t="s">
        <v>9809</v>
      </c>
    </row>
    <row r="1485" spans="1:11" s="3" customFormat="1" x14ac:dyDescent="0.25">
      <c r="A1485" t="s">
        <v>9891</v>
      </c>
      <c r="B1485" t="s">
        <v>9892</v>
      </c>
      <c r="C1485" s="88"/>
      <c r="D1485" s="105"/>
      <c r="E1485">
        <v>462</v>
      </c>
      <c r="F1485" t="s">
        <v>9893</v>
      </c>
      <c r="G1485" t="s">
        <v>9892</v>
      </c>
      <c r="H1485" t="s">
        <v>7845</v>
      </c>
      <c r="I1485" t="s">
        <v>9892</v>
      </c>
      <c r="J1485" t="s">
        <v>9893</v>
      </c>
      <c r="K1485" t="s">
        <v>9886</v>
      </c>
    </row>
    <row r="1486" spans="1:11" s="3" customFormat="1" x14ac:dyDescent="0.25">
      <c r="A1486" t="s">
        <v>9894</v>
      </c>
      <c r="B1486" t="s">
        <v>9895</v>
      </c>
      <c r="C1486" s="88"/>
      <c r="D1486" s="105"/>
      <c r="E1486">
        <v>1441</v>
      </c>
      <c r="F1486" t="s">
        <v>9897</v>
      </c>
      <c r="G1486" t="s">
        <v>9895</v>
      </c>
      <c r="H1486" t="s">
        <v>7845</v>
      </c>
      <c r="I1486" t="s">
        <v>9895</v>
      </c>
      <c r="J1486" t="s">
        <v>9897</v>
      </c>
      <c r="K1486" t="s">
        <v>11481</v>
      </c>
    </row>
    <row r="1487" spans="1:11" s="3" customFormat="1" x14ac:dyDescent="0.25">
      <c r="A1487" t="s">
        <v>9898</v>
      </c>
      <c r="B1487" t="s">
        <v>9899</v>
      </c>
      <c r="C1487" s="88"/>
      <c r="D1487" s="105"/>
      <c r="E1487">
        <v>248</v>
      </c>
      <c r="F1487" t="s">
        <v>9900</v>
      </c>
      <c r="G1487" t="s">
        <v>9899</v>
      </c>
      <c r="H1487" t="s">
        <v>7845</v>
      </c>
      <c r="I1487" t="s">
        <v>9899</v>
      </c>
      <c r="J1487" t="s">
        <v>9900</v>
      </c>
      <c r="K1487" t="s">
        <v>11481</v>
      </c>
    </row>
    <row r="1488" spans="1:11" s="3" customFormat="1" x14ac:dyDescent="0.25">
      <c r="A1488" t="s">
        <v>9901</v>
      </c>
      <c r="B1488" t="s">
        <v>9902</v>
      </c>
      <c r="C1488" s="88"/>
      <c r="D1488" s="105"/>
      <c r="E1488">
        <v>25</v>
      </c>
      <c r="F1488" t="s">
        <v>9903</v>
      </c>
      <c r="G1488" t="s">
        <v>9902</v>
      </c>
      <c r="H1488" t="s">
        <v>7845</v>
      </c>
      <c r="I1488" t="s">
        <v>9902</v>
      </c>
      <c r="J1488" t="s">
        <v>9903</v>
      </c>
      <c r="K1488" t="s">
        <v>11481</v>
      </c>
    </row>
    <row r="1489" spans="1:11" s="3" customFormat="1" x14ac:dyDescent="0.25">
      <c r="A1489" t="s">
        <v>9904</v>
      </c>
      <c r="B1489" t="s">
        <v>9905</v>
      </c>
      <c r="C1489" s="88"/>
      <c r="D1489" s="105"/>
      <c r="E1489">
        <v>297</v>
      </c>
      <c r="F1489" t="s">
        <v>9906</v>
      </c>
      <c r="G1489" t="s">
        <v>9905</v>
      </c>
      <c r="H1489" t="s">
        <v>7845</v>
      </c>
      <c r="I1489" t="s">
        <v>9905</v>
      </c>
      <c r="J1489" t="s">
        <v>9906</v>
      </c>
      <c r="K1489" t="s">
        <v>12626</v>
      </c>
    </row>
    <row r="1490" spans="1:11" s="3" customFormat="1" x14ac:dyDescent="0.25">
      <c r="A1490" t="s">
        <v>9907</v>
      </c>
      <c r="B1490" t="s">
        <v>13219</v>
      </c>
      <c r="C1490" s="88"/>
      <c r="D1490" s="105"/>
      <c r="E1490">
        <v>398</v>
      </c>
      <c r="F1490" t="s">
        <v>9908</v>
      </c>
      <c r="G1490" t="s">
        <v>13219</v>
      </c>
      <c r="H1490" t="s">
        <v>7845</v>
      </c>
      <c r="I1490" t="s">
        <v>13219</v>
      </c>
      <c r="J1490" t="s">
        <v>9908</v>
      </c>
      <c r="K1490" t="s">
        <v>11481</v>
      </c>
    </row>
    <row r="1491" spans="1:11" s="3" customFormat="1" x14ac:dyDescent="0.25">
      <c r="A1491" t="s">
        <v>9909</v>
      </c>
      <c r="B1491" t="s">
        <v>9910</v>
      </c>
      <c r="C1491" s="88"/>
      <c r="D1491" s="105"/>
      <c r="E1491">
        <v>433</v>
      </c>
      <c r="F1491" t="s">
        <v>9911</v>
      </c>
      <c r="G1491" t="s">
        <v>9910</v>
      </c>
      <c r="H1491" t="s">
        <v>7845</v>
      </c>
      <c r="I1491" t="s">
        <v>9910</v>
      </c>
      <c r="J1491" t="s">
        <v>9911</v>
      </c>
      <c r="K1491" t="s">
        <v>11481</v>
      </c>
    </row>
    <row r="1492" spans="1:11" s="3" customFormat="1" x14ac:dyDescent="0.25">
      <c r="A1492" t="s">
        <v>9912</v>
      </c>
      <c r="B1492" t="s">
        <v>9913</v>
      </c>
      <c r="C1492" s="88"/>
      <c r="D1492" s="105"/>
      <c r="E1492">
        <v>81</v>
      </c>
      <c r="F1492" t="s">
        <v>9914</v>
      </c>
      <c r="G1492" t="s">
        <v>9913</v>
      </c>
      <c r="H1492" t="s">
        <v>7845</v>
      </c>
      <c r="I1492" t="s">
        <v>9913</v>
      </c>
      <c r="J1492" t="s">
        <v>9914</v>
      </c>
      <c r="K1492" t="s">
        <v>12626</v>
      </c>
    </row>
    <row r="1493" spans="1:11" s="3" customFormat="1" x14ac:dyDescent="0.25">
      <c r="A1493" t="s">
        <v>9915</v>
      </c>
      <c r="B1493" t="s">
        <v>9916</v>
      </c>
      <c r="C1493" s="88"/>
      <c r="D1493" s="105"/>
      <c r="E1493">
        <v>201</v>
      </c>
      <c r="F1493" t="s">
        <v>9918</v>
      </c>
      <c r="G1493" t="s">
        <v>9917</v>
      </c>
      <c r="H1493" t="s">
        <v>7845</v>
      </c>
      <c r="I1493" t="s">
        <v>9916</v>
      </c>
      <c r="J1493" t="s">
        <v>9918</v>
      </c>
      <c r="K1493" t="s">
        <v>12619</v>
      </c>
    </row>
    <row r="1494" spans="1:11" s="3" customFormat="1" x14ac:dyDescent="0.25">
      <c r="A1494" t="s">
        <v>9919</v>
      </c>
      <c r="B1494" t="s">
        <v>9920</v>
      </c>
      <c r="C1494" s="88"/>
      <c r="D1494" s="105"/>
      <c r="E1494">
        <v>405</v>
      </c>
      <c r="F1494" t="s">
        <v>9921</v>
      </c>
      <c r="G1494" t="s">
        <v>9920</v>
      </c>
      <c r="H1494" t="s">
        <v>7845</v>
      </c>
      <c r="I1494" t="s">
        <v>9920</v>
      </c>
      <c r="J1494" t="s">
        <v>9921</v>
      </c>
      <c r="K1494" t="s">
        <v>9721</v>
      </c>
    </row>
    <row r="1495" spans="1:11" s="3" customFormat="1" x14ac:dyDescent="0.25">
      <c r="A1495" t="s">
        <v>9922</v>
      </c>
      <c r="B1495" t="s">
        <v>9923</v>
      </c>
      <c r="C1495" s="88"/>
      <c r="D1495" s="105"/>
      <c r="E1495">
        <v>45</v>
      </c>
      <c r="F1495" t="s">
        <v>9924</v>
      </c>
      <c r="G1495" t="s">
        <v>9923</v>
      </c>
      <c r="H1495" t="s">
        <v>7845</v>
      </c>
      <c r="I1495" t="s">
        <v>9923</v>
      </c>
      <c r="J1495" t="s">
        <v>9924</v>
      </c>
      <c r="K1495" t="s">
        <v>9721</v>
      </c>
    </row>
    <row r="1496" spans="1:11" s="3" customFormat="1" x14ac:dyDescent="0.25">
      <c r="A1496" t="s">
        <v>9925</v>
      </c>
      <c r="B1496" t="s">
        <v>9926</v>
      </c>
      <c r="C1496" s="88"/>
      <c r="D1496" s="105"/>
      <c r="E1496">
        <v>1100</v>
      </c>
      <c r="F1496" t="s">
        <v>9927</v>
      </c>
      <c r="G1496" t="s">
        <v>9926</v>
      </c>
      <c r="H1496" t="s">
        <v>7845</v>
      </c>
      <c r="I1496" t="s">
        <v>9926</v>
      </c>
      <c r="J1496" t="s">
        <v>9927</v>
      </c>
      <c r="K1496" t="s">
        <v>11481</v>
      </c>
    </row>
    <row r="1497" spans="1:11" s="3" customFormat="1" x14ac:dyDescent="0.25">
      <c r="A1497" t="s">
        <v>9928</v>
      </c>
      <c r="B1497" t="s">
        <v>9929</v>
      </c>
      <c r="C1497" s="88"/>
      <c r="D1497" s="105"/>
      <c r="E1497">
        <v>538</v>
      </c>
      <c r="F1497" t="s">
        <v>9930</v>
      </c>
      <c r="G1497" t="s">
        <v>9929</v>
      </c>
      <c r="H1497" t="s">
        <v>7845</v>
      </c>
      <c r="I1497" t="s">
        <v>9929</v>
      </c>
      <c r="J1497" t="s">
        <v>9930</v>
      </c>
      <c r="K1497" t="s">
        <v>12625</v>
      </c>
    </row>
    <row r="1498" spans="1:11" s="3" customFormat="1" x14ac:dyDescent="0.25">
      <c r="A1498" t="s">
        <v>9931</v>
      </c>
      <c r="B1498" t="s">
        <v>9932</v>
      </c>
      <c r="C1498" s="88"/>
      <c r="D1498" s="105"/>
      <c r="E1498">
        <v>350</v>
      </c>
      <c r="F1498" t="s">
        <v>9933</v>
      </c>
      <c r="G1498" t="s">
        <v>9932</v>
      </c>
      <c r="H1498" t="s">
        <v>7845</v>
      </c>
      <c r="I1498" t="s">
        <v>9932</v>
      </c>
      <c r="J1498" t="s">
        <v>9933</v>
      </c>
      <c r="K1498" t="s">
        <v>13239</v>
      </c>
    </row>
    <row r="1499" spans="1:11" s="3" customFormat="1" x14ac:dyDescent="0.25">
      <c r="A1499" t="s">
        <v>9934</v>
      </c>
      <c r="B1499" t="s">
        <v>9935</v>
      </c>
      <c r="C1499" s="88"/>
      <c r="D1499" s="105"/>
      <c r="E1499">
        <v>170</v>
      </c>
      <c r="F1499" t="s">
        <v>9937</v>
      </c>
      <c r="G1499" t="s">
        <v>9936</v>
      </c>
      <c r="H1499" t="s">
        <v>7845</v>
      </c>
      <c r="I1499" t="s">
        <v>9935</v>
      </c>
      <c r="J1499" t="s">
        <v>9937</v>
      </c>
      <c r="K1499" t="s">
        <v>12619</v>
      </c>
    </row>
    <row r="1500" spans="1:11" s="3" customFormat="1" x14ac:dyDescent="0.25">
      <c r="A1500" t="s">
        <v>9938</v>
      </c>
      <c r="B1500" t="s">
        <v>9939</v>
      </c>
      <c r="C1500" s="88"/>
      <c r="D1500" s="105"/>
      <c r="E1500">
        <v>1</v>
      </c>
      <c r="F1500" t="s">
        <v>9940</v>
      </c>
      <c r="G1500" t="s">
        <v>9939</v>
      </c>
      <c r="H1500" t="s">
        <v>7845</v>
      </c>
      <c r="I1500" t="s">
        <v>9939</v>
      </c>
      <c r="J1500" t="s">
        <v>9940</v>
      </c>
      <c r="K1500" t="s">
        <v>12626</v>
      </c>
    </row>
    <row r="1501" spans="1:11" s="3" customFormat="1" x14ac:dyDescent="0.25">
      <c r="A1501" t="s">
        <v>9941</v>
      </c>
      <c r="B1501" t="s">
        <v>9942</v>
      </c>
      <c r="C1501" s="88"/>
      <c r="D1501" s="105"/>
      <c r="E1501">
        <v>51</v>
      </c>
      <c r="F1501" t="s">
        <v>9943</v>
      </c>
      <c r="G1501" t="s">
        <v>9942</v>
      </c>
      <c r="H1501" t="s">
        <v>7845</v>
      </c>
      <c r="I1501" t="s">
        <v>9942</v>
      </c>
      <c r="J1501" t="s">
        <v>9943</v>
      </c>
      <c r="K1501" t="s">
        <v>12625</v>
      </c>
    </row>
    <row r="1502" spans="1:11" s="3" customFormat="1" x14ac:dyDescent="0.25">
      <c r="A1502" t="s">
        <v>9944</v>
      </c>
      <c r="B1502" t="s">
        <v>9945</v>
      </c>
      <c r="C1502" s="88"/>
      <c r="D1502" s="105"/>
      <c r="E1502">
        <v>262</v>
      </c>
      <c r="F1502" t="s">
        <v>9946</v>
      </c>
      <c r="G1502" t="s">
        <v>9945</v>
      </c>
      <c r="H1502" t="s">
        <v>7845</v>
      </c>
      <c r="I1502" t="s">
        <v>9945</v>
      </c>
      <c r="J1502" t="s">
        <v>9946</v>
      </c>
      <c r="K1502" t="s">
        <v>12626</v>
      </c>
    </row>
    <row r="1503" spans="1:11" s="3" customFormat="1" x14ac:dyDescent="0.25">
      <c r="A1503" t="s">
        <v>9947</v>
      </c>
      <c r="B1503" t="s">
        <v>13220</v>
      </c>
      <c r="C1503" s="88"/>
      <c r="D1503" s="105"/>
      <c r="E1503">
        <v>630</v>
      </c>
      <c r="F1503" t="s">
        <v>9948</v>
      </c>
      <c r="G1503" t="s">
        <v>13220</v>
      </c>
      <c r="H1503" t="s">
        <v>7845</v>
      </c>
      <c r="I1503" t="s">
        <v>13220</v>
      </c>
      <c r="J1503" t="s">
        <v>9948</v>
      </c>
      <c r="K1503" t="s">
        <v>9721</v>
      </c>
    </row>
    <row r="1504" spans="1:11" s="3" customFormat="1" x14ac:dyDescent="0.25">
      <c r="A1504" t="s">
        <v>9949</v>
      </c>
      <c r="B1504" t="s">
        <v>9950</v>
      </c>
      <c r="C1504" s="88"/>
      <c r="D1504" s="105"/>
      <c r="E1504">
        <v>106</v>
      </c>
      <c r="F1504" t="s">
        <v>9952</v>
      </c>
      <c r="G1504" t="s">
        <v>9950</v>
      </c>
      <c r="H1504" t="s">
        <v>7845</v>
      </c>
      <c r="I1504" t="s">
        <v>9950</v>
      </c>
      <c r="J1504" t="s">
        <v>9952</v>
      </c>
      <c r="K1504" t="s">
        <v>12619</v>
      </c>
    </row>
    <row r="1505" spans="1:11" s="3" customFormat="1" x14ac:dyDescent="0.25">
      <c r="A1505" t="s">
        <v>9953</v>
      </c>
      <c r="B1505" t="s">
        <v>9954</v>
      </c>
      <c r="C1505" s="88"/>
      <c r="D1505" s="105"/>
      <c r="E1505">
        <v>300</v>
      </c>
      <c r="F1505" t="s">
        <v>9955</v>
      </c>
      <c r="G1505" t="s">
        <v>9954</v>
      </c>
      <c r="H1505" t="s">
        <v>7845</v>
      </c>
      <c r="I1505" t="s">
        <v>9954</v>
      </c>
      <c r="J1505" t="s">
        <v>9955</v>
      </c>
      <c r="K1505" t="s">
        <v>9809</v>
      </c>
    </row>
    <row r="1506" spans="1:11" s="3" customFormat="1" x14ac:dyDescent="0.25">
      <c r="A1506" t="s">
        <v>9956</v>
      </c>
      <c r="B1506" t="s">
        <v>9957</v>
      </c>
      <c r="C1506" s="88"/>
      <c r="D1506" s="105"/>
      <c r="E1506">
        <v>1190</v>
      </c>
      <c r="F1506" t="s">
        <v>9959</v>
      </c>
      <c r="G1506" t="s">
        <v>9958</v>
      </c>
      <c r="H1506" t="s">
        <v>7845</v>
      </c>
      <c r="I1506" t="s">
        <v>9957</v>
      </c>
      <c r="J1506" t="s">
        <v>9959</v>
      </c>
      <c r="K1506" t="s">
        <v>7317</v>
      </c>
    </row>
    <row r="1507" spans="1:11" s="3" customFormat="1" x14ac:dyDescent="0.25">
      <c r="A1507" t="s">
        <v>9960</v>
      </c>
      <c r="B1507" t="s">
        <v>9961</v>
      </c>
      <c r="C1507" s="88"/>
      <c r="D1507" s="105"/>
      <c r="E1507">
        <v>760</v>
      </c>
      <c r="F1507" t="s">
        <v>9962</v>
      </c>
      <c r="G1507" t="s">
        <v>9961</v>
      </c>
      <c r="H1507" t="s">
        <v>7845</v>
      </c>
      <c r="I1507" t="s">
        <v>9961</v>
      </c>
      <c r="J1507" t="s">
        <v>9962</v>
      </c>
      <c r="K1507" t="s">
        <v>7317</v>
      </c>
    </row>
    <row r="1508" spans="1:11" s="3" customFormat="1" x14ac:dyDescent="0.25">
      <c r="A1508" t="s">
        <v>9963</v>
      </c>
      <c r="B1508" t="s">
        <v>9964</v>
      </c>
      <c r="C1508" s="88"/>
      <c r="D1508" s="105"/>
      <c r="E1508">
        <v>995</v>
      </c>
      <c r="F1508" t="s">
        <v>9965</v>
      </c>
      <c r="G1508" t="s">
        <v>9964</v>
      </c>
      <c r="H1508" t="s">
        <v>7845</v>
      </c>
      <c r="I1508" t="s">
        <v>9964</v>
      </c>
      <c r="J1508" t="s">
        <v>9965</v>
      </c>
      <c r="K1508" t="s">
        <v>9809</v>
      </c>
    </row>
    <row r="1509" spans="1:11" s="3" customFormat="1" x14ac:dyDescent="0.25">
      <c r="A1509" t="s">
        <v>9966</v>
      </c>
      <c r="B1509" t="s">
        <v>9967</v>
      </c>
      <c r="C1509" s="88"/>
      <c r="D1509" s="105"/>
      <c r="E1509">
        <v>164</v>
      </c>
      <c r="F1509" t="s">
        <v>9969</v>
      </c>
      <c r="G1509" t="s">
        <v>9968</v>
      </c>
      <c r="H1509" t="s">
        <v>7845</v>
      </c>
      <c r="I1509" t="s">
        <v>9967</v>
      </c>
      <c r="J1509" t="s">
        <v>9969</v>
      </c>
      <c r="K1509" t="s">
        <v>12619</v>
      </c>
    </row>
    <row r="1510" spans="1:11" s="3" customFormat="1" x14ac:dyDescent="0.25">
      <c r="A1510" t="s">
        <v>9970</v>
      </c>
      <c r="B1510" t="s">
        <v>9971</v>
      </c>
      <c r="C1510" s="88"/>
      <c r="D1510" s="105"/>
      <c r="E1510">
        <v>599</v>
      </c>
      <c r="F1510" t="s">
        <v>9972</v>
      </c>
      <c r="G1510" t="s">
        <v>9971</v>
      </c>
      <c r="H1510" t="s">
        <v>7845</v>
      </c>
      <c r="I1510" t="s">
        <v>9971</v>
      </c>
      <c r="J1510" t="s">
        <v>9972</v>
      </c>
      <c r="K1510" t="s">
        <v>12619</v>
      </c>
    </row>
    <row r="1511" spans="1:11" s="3" customFormat="1" x14ac:dyDescent="0.25">
      <c r="A1511" t="s">
        <v>9973</v>
      </c>
      <c r="B1511" t="s">
        <v>9974</v>
      </c>
      <c r="C1511" s="88"/>
      <c r="D1511" s="105"/>
      <c r="E1511">
        <v>847</v>
      </c>
      <c r="F1511" t="s">
        <v>9975</v>
      </c>
      <c r="G1511" t="s">
        <v>9974</v>
      </c>
      <c r="H1511" t="s">
        <v>7845</v>
      </c>
      <c r="I1511" t="s">
        <v>9974</v>
      </c>
      <c r="J1511" t="s">
        <v>9975</v>
      </c>
      <c r="K1511" t="s">
        <v>11481</v>
      </c>
    </row>
    <row r="1512" spans="1:11" s="3" customFormat="1" x14ac:dyDescent="0.25">
      <c r="A1512" t="s">
        <v>9976</v>
      </c>
      <c r="B1512" t="s">
        <v>9977</v>
      </c>
      <c r="C1512" s="88"/>
      <c r="D1512" s="105"/>
      <c r="E1512">
        <v>690</v>
      </c>
      <c r="F1512" t="s">
        <v>9978</v>
      </c>
      <c r="G1512" t="s">
        <v>7845</v>
      </c>
      <c r="H1512" t="s">
        <v>7845</v>
      </c>
      <c r="I1512" t="s">
        <v>9977</v>
      </c>
      <c r="J1512" t="s">
        <v>9978</v>
      </c>
      <c r="K1512" t="s">
        <v>12513</v>
      </c>
    </row>
    <row r="1513" spans="1:11" s="3" customFormat="1" x14ac:dyDescent="0.25">
      <c r="A1513" t="s">
        <v>9979</v>
      </c>
      <c r="B1513" t="s">
        <v>9980</v>
      </c>
      <c r="C1513" s="88"/>
      <c r="D1513" s="105"/>
      <c r="E1513">
        <v>1</v>
      </c>
      <c r="F1513" t="s">
        <v>9981</v>
      </c>
      <c r="G1513" t="s">
        <v>7845</v>
      </c>
      <c r="H1513" t="s">
        <v>7845</v>
      </c>
      <c r="I1513" t="s">
        <v>9980</v>
      </c>
      <c r="J1513" t="s">
        <v>9981</v>
      </c>
      <c r="K1513" t="s">
        <v>12513</v>
      </c>
    </row>
    <row r="1514" spans="1:11" s="3" customFormat="1" x14ac:dyDescent="0.25">
      <c r="A1514" t="s">
        <v>9982</v>
      </c>
      <c r="B1514" t="s">
        <v>9983</v>
      </c>
      <c r="C1514" s="88"/>
      <c r="D1514" s="105"/>
      <c r="E1514">
        <v>0</v>
      </c>
      <c r="F1514" t="s">
        <v>9984</v>
      </c>
      <c r="G1514" t="s">
        <v>9721</v>
      </c>
      <c r="H1514" t="s">
        <v>7845</v>
      </c>
      <c r="I1514" t="s">
        <v>9983</v>
      </c>
      <c r="J1514" t="s">
        <v>9984</v>
      </c>
      <c r="K1514" t="s">
        <v>9721</v>
      </c>
    </row>
    <row r="1515" spans="1:11" s="3" customFormat="1" x14ac:dyDescent="0.25">
      <c r="A1515" t="s">
        <v>9985</v>
      </c>
      <c r="B1515" t="s">
        <v>9986</v>
      </c>
      <c r="C1515" s="88"/>
      <c r="D1515" s="105"/>
      <c r="E1515">
        <v>227</v>
      </c>
      <c r="F1515" t="s">
        <v>9987</v>
      </c>
      <c r="G1515" t="s">
        <v>9986</v>
      </c>
      <c r="H1515" t="s">
        <v>7845</v>
      </c>
      <c r="I1515" t="s">
        <v>9986</v>
      </c>
      <c r="J1515" t="s">
        <v>9987</v>
      </c>
      <c r="K1515" t="s">
        <v>9639</v>
      </c>
    </row>
    <row r="1516" spans="1:11" s="3" customFormat="1" x14ac:dyDescent="0.25">
      <c r="A1516" t="s">
        <v>9988</v>
      </c>
      <c r="B1516" t="s">
        <v>9989</v>
      </c>
      <c r="C1516" s="88"/>
      <c r="D1516" s="105"/>
      <c r="E1516"/>
      <c r="F1516" t="s">
        <v>9990</v>
      </c>
      <c r="G1516" t="s">
        <v>9989</v>
      </c>
      <c r="H1516" t="s">
        <v>7845</v>
      </c>
      <c r="I1516" t="s">
        <v>9989</v>
      </c>
      <c r="J1516" t="s">
        <v>9990</v>
      </c>
      <c r="K1516" t="s">
        <v>7526</v>
      </c>
    </row>
    <row r="1517" spans="1:11" s="3" customFormat="1" x14ac:dyDescent="0.25">
      <c r="A1517" t="s">
        <v>9991</v>
      </c>
      <c r="B1517" t="s">
        <v>9992</v>
      </c>
      <c r="C1517" s="88"/>
      <c r="D1517" s="105"/>
      <c r="E1517">
        <v>1</v>
      </c>
      <c r="F1517" t="s">
        <v>9993</v>
      </c>
      <c r="G1517" t="s">
        <v>9992</v>
      </c>
      <c r="H1517" t="s">
        <v>7845</v>
      </c>
      <c r="I1517" t="s">
        <v>9992</v>
      </c>
      <c r="J1517" t="s">
        <v>9993</v>
      </c>
      <c r="K1517" t="s">
        <v>9534</v>
      </c>
    </row>
    <row r="1518" spans="1:11" s="3" customFormat="1" x14ac:dyDescent="0.25">
      <c r="A1518" t="s">
        <v>9994</v>
      </c>
      <c r="B1518" t="s">
        <v>9995</v>
      </c>
      <c r="C1518" s="88"/>
      <c r="D1518" s="105"/>
      <c r="E1518"/>
      <c r="F1518" t="s">
        <v>9996</v>
      </c>
      <c r="G1518" t="s">
        <v>9995</v>
      </c>
      <c r="H1518" t="s">
        <v>7845</v>
      </c>
      <c r="I1518" t="s">
        <v>9995</v>
      </c>
      <c r="J1518" t="s">
        <v>9996</v>
      </c>
      <c r="K1518" t="s">
        <v>12618</v>
      </c>
    </row>
    <row r="1519" spans="1:11" s="3" customFormat="1" x14ac:dyDescent="0.25">
      <c r="A1519" t="s">
        <v>9997</v>
      </c>
      <c r="B1519" t="s">
        <v>9998</v>
      </c>
      <c r="C1519" s="88"/>
      <c r="D1519" s="105"/>
      <c r="E1519"/>
      <c r="F1519" t="s">
        <v>10000</v>
      </c>
      <c r="G1519" t="s">
        <v>9999</v>
      </c>
      <c r="H1519" t="s">
        <v>7845</v>
      </c>
      <c r="I1519" t="s">
        <v>9998</v>
      </c>
      <c r="J1519" t="s">
        <v>10000</v>
      </c>
      <c r="K1519" t="s">
        <v>9153</v>
      </c>
    </row>
    <row r="1520" spans="1:11" s="3" customFormat="1" x14ac:dyDescent="0.25">
      <c r="A1520" t="s">
        <v>10001</v>
      </c>
      <c r="B1520" t="s">
        <v>7861</v>
      </c>
      <c r="C1520" s="88"/>
      <c r="D1520" s="105"/>
      <c r="E1520">
        <v>401</v>
      </c>
      <c r="F1520" t="s">
        <v>10002</v>
      </c>
      <c r="G1520" t="s">
        <v>7861</v>
      </c>
      <c r="H1520" t="s">
        <v>7845</v>
      </c>
      <c r="I1520" t="s">
        <v>7861</v>
      </c>
      <c r="J1520" t="s">
        <v>10002</v>
      </c>
      <c r="K1520" t="s">
        <v>7526</v>
      </c>
    </row>
    <row r="1521" spans="1:11" s="3" customFormat="1" x14ac:dyDescent="0.25">
      <c r="A1521" t="s">
        <v>10003</v>
      </c>
      <c r="B1521" t="s">
        <v>13245</v>
      </c>
      <c r="C1521" s="88"/>
      <c r="D1521" s="105"/>
      <c r="E1521">
        <v>2680</v>
      </c>
      <c r="F1521" t="s">
        <v>10004</v>
      </c>
      <c r="G1521" t="s">
        <v>7845</v>
      </c>
      <c r="H1521" t="s">
        <v>7845</v>
      </c>
      <c r="I1521" t="s">
        <v>13245</v>
      </c>
      <c r="J1521" t="s">
        <v>10004</v>
      </c>
      <c r="K1521" t="s">
        <v>12513</v>
      </c>
    </row>
    <row r="1522" spans="1:11" s="3" customFormat="1" x14ac:dyDescent="0.25">
      <c r="A1522" t="s">
        <v>10005</v>
      </c>
      <c r="B1522" t="s">
        <v>10006</v>
      </c>
      <c r="C1522" s="88"/>
      <c r="D1522" s="105"/>
      <c r="E1522">
        <v>381</v>
      </c>
      <c r="F1522" t="s">
        <v>10007</v>
      </c>
      <c r="G1522" t="s">
        <v>7845</v>
      </c>
      <c r="H1522" t="s">
        <v>7845</v>
      </c>
      <c r="I1522" t="s">
        <v>10006</v>
      </c>
      <c r="J1522" t="s">
        <v>10007</v>
      </c>
      <c r="K1522" t="s">
        <v>12513</v>
      </c>
    </row>
    <row r="1523" spans="1:11" s="3" customFormat="1" x14ac:dyDescent="0.25">
      <c r="A1523" t="s">
        <v>10008</v>
      </c>
      <c r="B1523" t="s">
        <v>10009</v>
      </c>
      <c r="C1523" s="88"/>
      <c r="D1523" s="105"/>
      <c r="E1523">
        <v>398</v>
      </c>
      <c r="F1523" t="s">
        <v>10010</v>
      </c>
      <c r="G1523" t="s">
        <v>10009</v>
      </c>
      <c r="H1523" t="s">
        <v>7845</v>
      </c>
      <c r="I1523" t="s">
        <v>10009</v>
      </c>
      <c r="J1523" t="s">
        <v>10010</v>
      </c>
      <c r="K1523" t="s">
        <v>7317</v>
      </c>
    </row>
    <row r="1524" spans="1:11" s="3" customFormat="1" x14ac:dyDescent="0.25">
      <c r="A1524" t="s">
        <v>10011</v>
      </c>
      <c r="B1524" t="s">
        <v>10012</v>
      </c>
      <c r="C1524" s="88"/>
      <c r="D1524" s="105"/>
      <c r="E1524">
        <v>2756</v>
      </c>
      <c r="F1524" t="s">
        <v>10013</v>
      </c>
      <c r="G1524" t="s">
        <v>9958</v>
      </c>
      <c r="H1524" t="s">
        <v>7845</v>
      </c>
      <c r="I1524" t="s">
        <v>10012</v>
      </c>
      <c r="J1524" t="s">
        <v>10013</v>
      </c>
      <c r="K1524" t="s">
        <v>7317</v>
      </c>
    </row>
    <row r="1525" spans="1:11" s="3" customFormat="1" x14ac:dyDescent="0.25">
      <c r="A1525" t="s">
        <v>10014</v>
      </c>
      <c r="B1525" t="s">
        <v>10015</v>
      </c>
      <c r="C1525" s="88"/>
      <c r="D1525" s="105"/>
      <c r="E1525">
        <v>690</v>
      </c>
      <c r="F1525" t="s">
        <v>10016</v>
      </c>
      <c r="G1525" t="s">
        <v>9958</v>
      </c>
      <c r="H1525" t="s">
        <v>7845</v>
      </c>
      <c r="I1525" t="s">
        <v>10015</v>
      </c>
      <c r="J1525" t="s">
        <v>10016</v>
      </c>
      <c r="K1525" t="s">
        <v>7317</v>
      </c>
    </row>
    <row r="1526" spans="1:11" s="3" customFormat="1" x14ac:dyDescent="0.25">
      <c r="A1526" t="s">
        <v>10017</v>
      </c>
      <c r="B1526" t="s">
        <v>10018</v>
      </c>
      <c r="C1526" s="88"/>
      <c r="D1526" s="105"/>
      <c r="E1526">
        <v>405</v>
      </c>
      <c r="F1526" t="s">
        <v>10019</v>
      </c>
      <c r="G1526" t="s">
        <v>9958</v>
      </c>
      <c r="H1526" t="s">
        <v>7845</v>
      </c>
      <c r="I1526" t="s">
        <v>10018</v>
      </c>
      <c r="J1526" t="s">
        <v>10019</v>
      </c>
      <c r="K1526" t="s">
        <v>7317</v>
      </c>
    </row>
    <row r="1527" spans="1:11" s="3" customFormat="1" x14ac:dyDescent="0.25">
      <c r="A1527" t="s">
        <v>10020</v>
      </c>
      <c r="B1527" t="s">
        <v>10021</v>
      </c>
      <c r="C1527" s="88"/>
      <c r="D1527" s="105"/>
      <c r="E1527">
        <v>0</v>
      </c>
      <c r="F1527" t="s">
        <v>10022</v>
      </c>
      <c r="G1527" t="s">
        <v>10021</v>
      </c>
      <c r="H1527" t="s">
        <v>7845</v>
      </c>
      <c r="I1527" t="s">
        <v>10021</v>
      </c>
      <c r="J1527" t="s">
        <v>10022</v>
      </c>
      <c r="K1527" t="s">
        <v>9153</v>
      </c>
    </row>
    <row r="1528" spans="1:11" s="3" customFormat="1" x14ac:dyDescent="0.25">
      <c r="A1528" t="s">
        <v>10023</v>
      </c>
      <c r="B1528" t="s">
        <v>10024</v>
      </c>
      <c r="C1528" s="88"/>
      <c r="D1528" s="105"/>
      <c r="E1528">
        <v>417</v>
      </c>
      <c r="F1528" t="s">
        <v>10025</v>
      </c>
      <c r="G1528" t="s">
        <v>10024</v>
      </c>
      <c r="H1528" t="s">
        <v>7845</v>
      </c>
      <c r="I1528" t="s">
        <v>10024</v>
      </c>
      <c r="J1528" t="s">
        <v>10025</v>
      </c>
      <c r="K1528" t="s">
        <v>7526</v>
      </c>
    </row>
    <row r="1529" spans="1:11" s="3" customFormat="1" x14ac:dyDescent="0.25">
      <c r="A1529" t="s">
        <v>10026</v>
      </c>
      <c r="B1529" t="s">
        <v>10027</v>
      </c>
      <c r="C1529" s="88"/>
      <c r="D1529" s="105"/>
      <c r="E1529">
        <v>953</v>
      </c>
      <c r="F1529" t="s">
        <v>10028</v>
      </c>
      <c r="G1529" t="s">
        <v>10027</v>
      </c>
      <c r="H1529" t="s">
        <v>7845</v>
      </c>
      <c r="I1529" t="s">
        <v>10027</v>
      </c>
      <c r="J1529" t="s">
        <v>10028</v>
      </c>
      <c r="K1529" t="s">
        <v>12623</v>
      </c>
    </row>
    <row r="1530" spans="1:11" s="3" customFormat="1" x14ac:dyDescent="0.25">
      <c r="A1530" t="s">
        <v>10029</v>
      </c>
      <c r="B1530" t="s">
        <v>10030</v>
      </c>
      <c r="C1530" s="88"/>
      <c r="D1530" s="105"/>
      <c r="E1530">
        <v>288</v>
      </c>
      <c r="F1530" t="s">
        <v>10032</v>
      </c>
      <c r="G1530" t="s">
        <v>10031</v>
      </c>
      <c r="H1530" t="s">
        <v>7845</v>
      </c>
      <c r="I1530" t="s">
        <v>10030</v>
      </c>
      <c r="J1530" t="s">
        <v>10032</v>
      </c>
      <c r="K1530" t="s">
        <v>12620</v>
      </c>
    </row>
    <row r="1531" spans="1:11" s="3" customFormat="1" x14ac:dyDescent="0.25">
      <c r="A1531" t="s">
        <v>10033</v>
      </c>
      <c r="B1531" t="s">
        <v>10034</v>
      </c>
      <c r="C1531" s="88"/>
      <c r="D1531" s="105"/>
      <c r="E1531">
        <v>1</v>
      </c>
      <c r="F1531" t="s">
        <v>10035</v>
      </c>
      <c r="G1531" t="s">
        <v>10034</v>
      </c>
      <c r="H1531" t="s">
        <v>7845</v>
      </c>
      <c r="I1531" t="s">
        <v>10034</v>
      </c>
      <c r="J1531" t="s">
        <v>10035</v>
      </c>
      <c r="K1531" t="s">
        <v>9153</v>
      </c>
    </row>
    <row r="1532" spans="1:11" s="3" customFormat="1" x14ac:dyDescent="0.25">
      <c r="A1532" t="s">
        <v>10036</v>
      </c>
      <c r="B1532" t="s">
        <v>10037</v>
      </c>
      <c r="C1532" s="88"/>
      <c r="D1532" s="105"/>
      <c r="E1532">
        <v>6</v>
      </c>
      <c r="F1532" t="s">
        <v>10038</v>
      </c>
      <c r="G1532" t="s">
        <v>10037</v>
      </c>
      <c r="H1532" t="s">
        <v>7845</v>
      </c>
      <c r="I1532" t="s">
        <v>10037</v>
      </c>
      <c r="J1532" t="s">
        <v>10038</v>
      </c>
      <c r="K1532" t="s">
        <v>7526</v>
      </c>
    </row>
    <row r="1533" spans="1:11" s="3" customFormat="1" x14ac:dyDescent="0.25">
      <c r="A1533" t="s">
        <v>10039</v>
      </c>
      <c r="B1533" t="s">
        <v>10040</v>
      </c>
      <c r="C1533" s="88"/>
      <c r="D1533" s="105"/>
      <c r="E1533">
        <v>18</v>
      </c>
      <c r="F1533" t="s">
        <v>10041</v>
      </c>
      <c r="G1533" t="s">
        <v>10040</v>
      </c>
      <c r="H1533" t="s">
        <v>7845</v>
      </c>
      <c r="I1533" t="s">
        <v>10040</v>
      </c>
      <c r="J1533" t="s">
        <v>10041</v>
      </c>
      <c r="K1533" t="s">
        <v>12620</v>
      </c>
    </row>
    <row r="1534" spans="1:11" s="3" customFormat="1" x14ac:dyDescent="0.25">
      <c r="A1534" t="s">
        <v>10042</v>
      </c>
      <c r="B1534" t="s">
        <v>10043</v>
      </c>
      <c r="C1534" s="88"/>
      <c r="D1534" s="105"/>
      <c r="E1534">
        <v>1</v>
      </c>
      <c r="F1534" t="s">
        <v>10044</v>
      </c>
      <c r="G1534" t="s">
        <v>10043</v>
      </c>
      <c r="H1534" t="s">
        <v>7845</v>
      </c>
      <c r="I1534" t="s">
        <v>10043</v>
      </c>
      <c r="J1534" t="s">
        <v>10044</v>
      </c>
      <c r="K1534" t="s">
        <v>12618</v>
      </c>
    </row>
    <row r="1535" spans="1:11" s="3" customFormat="1" x14ac:dyDescent="0.25">
      <c r="A1535" t="s">
        <v>10045</v>
      </c>
      <c r="B1535" t="s">
        <v>10046</v>
      </c>
      <c r="C1535" s="88"/>
      <c r="D1535" s="105"/>
      <c r="E1535">
        <v>0</v>
      </c>
      <c r="F1535" t="s">
        <v>10047</v>
      </c>
      <c r="G1535" t="s">
        <v>10046</v>
      </c>
      <c r="H1535" t="s">
        <v>7845</v>
      </c>
      <c r="I1535" t="s">
        <v>10046</v>
      </c>
      <c r="J1535" t="s">
        <v>10047</v>
      </c>
      <c r="K1535" t="s">
        <v>10992</v>
      </c>
    </row>
    <row r="1536" spans="1:11" s="3" customFormat="1" x14ac:dyDescent="0.25">
      <c r="A1536" t="s">
        <v>10457</v>
      </c>
      <c r="B1536" t="s">
        <v>9896</v>
      </c>
      <c r="C1536" s="88"/>
      <c r="D1536" s="105"/>
      <c r="E1536">
        <v>1136</v>
      </c>
      <c r="F1536" t="s">
        <v>10459</v>
      </c>
      <c r="G1536" t="s">
        <v>9896</v>
      </c>
      <c r="H1536" t="s">
        <v>10458</v>
      </c>
      <c r="I1536" t="s">
        <v>9896</v>
      </c>
      <c r="J1536" t="s">
        <v>10459</v>
      </c>
      <c r="K1536" t="s">
        <v>7608</v>
      </c>
    </row>
    <row r="1537" spans="1:11" s="3" customFormat="1" x14ac:dyDescent="0.25">
      <c r="A1537" t="s">
        <v>10460</v>
      </c>
      <c r="B1537" t="s">
        <v>10461</v>
      </c>
      <c r="C1537" s="88"/>
      <c r="D1537" s="105"/>
      <c r="E1537">
        <v>490</v>
      </c>
      <c r="F1537" t="s">
        <v>10462</v>
      </c>
      <c r="G1537" t="s">
        <v>10461</v>
      </c>
      <c r="H1537" t="s">
        <v>10458</v>
      </c>
      <c r="I1537" t="s">
        <v>10461</v>
      </c>
      <c r="J1537" t="s">
        <v>10462</v>
      </c>
      <c r="K1537" t="s">
        <v>12627</v>
      </c>
    </row>
    <row r="1538" spans="1:11" s="3" customFormat="1" x14ac:dyDescent="0.25">
      <c r="A1538" t="s">
        <v>10463</v>
      </c>
      <c r="B1538" t="s">
        <v>10464</v>
      </c>
      <c r="C1538" s="88"/>
      <c r="D1538" s="105"/>
      <c r="E1538"/>
      <c r="F1538" t="s">
        <v>10465</v>
      </c>
      <c r="G1538" t="s">
        <v>10464</v>
      </c>
      <c r="H1538" t="s">
        <v>10458</v>
      </c>
      <c r="I1538" t="s">
        <v>10464</v>
      </c>
      <c r="J1538" t="s">
        <v>10465</v>
      </c>
      <c r="K1538" t="s">
        <v>10470</v>
      </c>
    </row>
    <row r="1539" spans="1:11" s="3" customFormat="1" x14ac:dyDescent="0.25">
      <c r="A1539" t="s">
        <v>10466</v>
      </c>
      <c r="B1539" t="s">
        <v>10467</v>
      </c>
      <c r="C1539" s="88"/>
      <c r="D1539" s="105"/>
      <c r="E1539">
        <v>175</v>
      </c>
      <c r="F1539" t="s">
        <v>10468</v>
      </c>
      <c r="G1539" t="s">
        <v>10467</v>
      </c>
      <c r="H1539" t="s">
        <v>10458</v>
      </c>
      <c r="I1539" t="s">
        <v>10467</v>
      </c>
      <c r="J1539" t="s">
        <v>10468</v>
      </c>
      <c r="K1539" t="s">
        <v>12628</v>
      </c>
    </row>
    <row r="1540" spans="1:11" s="3" customFormat="1" x14ac:dyDescent="0.25">
      <c r="A1540" t="s">
        <v>10469</v>
      </c>
      <c r="B1540" t="s">
        <v>10470</v>
      </c>
      <c r="C1540" s="88"/>
      <c r="D1540" s="105"/>
      <c r="E1540">
        <v>199</v>
      </c>
      <c r="F1540" t="s">
        <v>10471</v>
      </c>
      <c r="G1540" t="s">
        <v>10470</v>
      </c>
      <c r="H1540" t="s">
        <v>10458</v>
      </c>
      <c r="I1540" t="s">
        <v>10470</v>
      </c>
      <c r="J1540" t="s">
        <v>10471</v>
      </c>
      <c r="K1540" t="s">
        <v>10470</v>
      </c>
    </row>
    <row r="1541" spans="1:11" s="3" customFormat="1" x14ac:dyDescent="0.25">
      <c r="A1541" t="s">
        <v>10472</v>
      </c>
      <c r="B1541" t="s">
        <v>10473</v>
      </c>
      <c r="C1541" s="88"/>
      <c r="D1541" s="105"/>
      <c r="E1541">
        <v>40</v>
      </c>
      <c r="F1541" t="s">
        <v>10475</v>
      </c>
      <c r="G1541" t="s">
        <v>10473</v>
      </c>
      <c r="H1541" t="s">
        <v>10458</v>
      </c>
      <c r="I1541" t="s">
        <v>10473</v>
      </c>
      <c r="J1541" t="s">
        <v>10475</v>
      </c>
      <c r="K1541" t="s">
        <v>8276</v>
      </c>
    </row>
    <row r="1542" spans="1:11" s="3" customFormat="1" x14ac:dyDescent="0.25">
      <c r="A1542" t="s">
        <v>10476</v>
      </c>
      <c r="B1542" t="s">
        <v>10477</v>
      </c>
      <c r="C1542" s="88"/>
      <c r="D1542" s="105"/>
      <c r="E1542">
        <v>207</v>
      </c>
      <c r="F1542" t="s">
        <v>10478</v>
      </c>
      <c r="G1542" t="s">
        <v>10477</v>
      </c>
      <c r="H1542" t="s">
        <v>10458</v>
      </c>
      <c r="I1542" t="s">
        <v>10477</v>
      </c>
      <c r="J1542" t="s">
        <v>10478</v>
      </c>
      <c r="K1542" t="s">
        <v>12629</v>
      </c>
    </row>
    <row r="1543" spans="1:11" s="3" customFormat="1" x14ac:dyDescent="0.25">
      <c r="A1543" t="s">
        <v>10479</v>
      </c>
      <c r="B1543" t="s">
        <v>10480</v>
      </c>
      <c r="C1543" s="88"/>
      <c r="D1543" s="105"/>
      <c r="E1543">
        <v>495</v>
      </c>
      <c r="F1543" t="s">
        <v>10482</v>
      </c>
      <c r="G1543" t="s">
        <v>10481</v>
      </c>
      <c r="H1543" t="s">
        <v>10458</v>
      </c>
      <c r="I1543" t="s">
        <v>10480</v>
      </c>
      <c r="J1543" t="s">
        <v>10482</v>
      </c>
      <c r="K1543" t="s">
        <v>12628</v>
      </c>
    </row>
    <row r="1544" spans="1:11" s="3" customFormat="1" x14ac:dyDescent="0.25">
      <c r="A1544" t="s">
        <v>10483</v>
      </c>
      <c r="B1544" t="s">
        <v>10484</v>
      </c>
      <c r="C1544" s="88"/>
      <c r="D1544" s="105"/>
      <c r="E1544">
        <v>301</v>
      </c>
      <c r="F1544" t="s">
        <v>10485</v>
      </c>
      <c r="G1544" t="s">
        <v>10484</v>
      </c>
      <c r="H1544" t="s">
        <v>10458</v>
      </c>
      <c r="I1544" t="s">
        <v>10484</v>
      </c>
      <c r="J1544" t="s">
        <v>10485</v>
      </c>
      <c r="K1544" t="s">
        <v>10503</v>
      </c>
    </row>
    <row r="1545" spans="1:11" s="3" customFormat="1" x14ac:dyDescent="0.25">
      <c r="A1545" t="s">
        <v>10486</v>
      </c>
      <c r="B1545" t="s">
        <v>10487</v>
      </c>
      <c r="C1545" s="88"/>
      <c r="D1545" s="105"/>
      <c r="E1545">
        <v>250</v>
      </c>
      <c r="F1545" t="s">
        <v>10488</v>
      </c>
      <c r="G1545" t="s">
        <v>10487</v>
      </c>
      <c r="H1545" t="s">
        <v>10458</v>
      </c>
      <c r="I1545" t="s">
        <v>10487</v>
      </c>
      <c r="J1545" t="s">
        <v>10488</v>
      </c>
      <c r="K1545" t="s">
        <v>10498</v>
      </c>
    </row>
    <row r="1546" spans="1:11" s="3" customFormat="1" x14ac:dyDescent="0.25">
      <c r="A1546" t="s">
        <v>10489</v>
      </c>
      <c r="B1546" t="s">
        <v>10490</v>
      </c>
      <c r="C1546" s="88"/>
      <c r="D1546" s="105"/>
      <c r="E1546"/>
      <c r="F1546" t="s">
        <v>10492</v>
      </c>
      <c r="G1546" t="s">
        <v>10491</v>
      </c>
      <c r="H1546" t="s">
        <v>10458</v>
      </c>
      <c r="I1546" t="s">
        <v>10490</v>
      </c>
      <c r="J1546" t="s">
        <v>10492</v>
      </c>
      <c r="K1546" t="s">
        <v>7608</v>
      </c>
    </row>
    <row r="1547" spans="1:11" s="3" customFormat="1" x14ac:dyDescent="0.25">
      <c r="A1547" t="s">
        <v>10493</v>
      </c>
      <c r="B1547" t="s">
        <v>10494</v>
      </c>
      <c r="C1547" s="88"/>
      <c r="D1547" s="105"/>
      <c r="E1547">
        <v>299</v>
      </c>
      <c r="F1547" t="s">
        <v>10495</v>
      </c>
      <c r="G1547" t="s">
        <v>10494</v>
      </c>
      <c r="H1547" t="s">
        <v>10458</v>
      </c>
      <c r="I1547" t="s">
        <v>10494</v>
      </c>
      <c r="J1547" t="s">
        <v>10495</v>
      </c>
      <c r="K1547" t="s">
        <v>10498</v>
      </c>
    </row>
    <row r="1548" spans="1:11" s="3" customFormat="1" x14ac:dyDescent="0.25">
      <c r="A1548" t="s">
        <v>10496</v>
      </c>
      <c r="B1548" t="s">
        <v>10497</v>
      </c>
      <c r="C1548" s="88"/>
      <c r="D1548" s="105"/>
      <c r="E1548">
        <v>909</v>
      </c>
      <c r="F1548" t="s">
        <v>10499</v>
      </c>
      <c r="G1548" t="s">
        <v>10498</v>
      </c>
      <c r="H1548" t="s">
        <v>10458</v>
      </c>
      <c r="I1548" t="s">
        <v>10497</v>
      </c>
      <c r="J1548" t="s">
        <v>10499</v>
      </c>
      <c r="K1548" t="s">
        <v>10498</v>
      </c>
    </row>
    <row r="1549" spans="1:11" s="3" customFormat="1" x14ac:dyDescent="0.25">
      <c r="A1549" t="s">
        <v>10500</v>
      </c>
      <c r="B1549" t="s">
        <v>8276</v>
      </c>
      <c r="C1549" s="88"/>
      <c r="D1549" s="105"/>
      <c r="E1549">
        <v>280</v>
      </c>
      <c r="F1549" t="s">
        <v>10501</v>
      </c>
      <c r="G1549" t="s">
        <v>8276</v>
      </c>
      <c r="H1549" t="s">
        <v>10458</v>
      </c>
      <c r="I1549" t="s">
        <v>8276</v>
      </c>
      <c r="J1549" t="s">
        <v>10501</v>
      </c>
      <c r="K1549" t="s">
        <v>8276</v>
      </c>
    </row>
    <row r="1550" spans="1:11" s="3" customFormat="1" x14ac:dyDescent="0.25">
      <c r="A1550" t="s">
        <v>10502</v>
      </c>
      <c r="B1550" t="s">
        <v>10503</v>
      </c>
      <c r="C1550" s="88"/>
      <c r="D1550" s="105"/>
      <c r="E1550">
        <v>497</v>
      </c>
      <c r="F1550" t="s">
        <v>10504</v>
      </c>
      <c r="G1550" t="s">
        <v>10503</v>
      </c>
      <c r="H1550" t="s">
        <v>10458</v>
      </c>
      <c r="I1550" t="s">
        <v>10503</v>
      </c>
      <c r="J1550" t="s">
        <v>10504</v>
      </c>
      <c r="K1550" t="s">
        <v>10503</v>
      </c>
    </row>
    <row r="1551" spans="1:11" s="3" customFormat="1" x14ac:dyDescent="0.25">
      <c r="A1551" t="s">
        <v>10505</v>
      </c>
      <c r="B1551" t="s">
        <v>10506</v>
      </c>
      <c r="C1551" s="88"/>
      <c r="D1551" s="105"/>
      <c r="E1551">
        <v>0</v>
      </c>
      <c r="F1551" t="s">
        <v>10507</v>
      </c>
      <c r="G1551" t="s">
        <v>10506</v>
      </c>
      <c r="H1551" t="s">
        <v>10458</v>
      </c>
      <c r="I1551" t="s">
        <v>10506</v>
      </c>
      <c r="J1551" t="s">
        <v>10507</v>
      </c>
      <c r="K1551" t="s">
        <v>12628</v>
      </c>
    </row>
    <row r="1552" spans="1:11" s="3" customFormat="1" x14ac:dyDescent="0.25">
      <c r="A1552" t="s">
        <v>10508</v>
      </c>
      <c r="B1552" t="s">
        <v>10509</v>
      </c>
      <c r="C1552" s="88"/>
      <c r="D1552" s="105"/>
      <c r="E1552">
        <v>1</v>
      </c>
      <c r="F1552" t="s">
        <v>10510</v>
      </c>
      <c r="G1552" t="s">
        <v>10509</v>
      </c>
      <c r="H1552" t="s">
        <v>10458</v>
      </c>
      <c r="I1552" t="s">
        <v>10509</v>
      </c>
      <c r="J1552" t="s">
        <v>10510</v>
      </c>
      <c r="K1552" t="s">
        <v>12630</v>
      </c>
    </row>
    <row r="1553" spans="1:11" s="3" customFormat="1" x14ac:dyDescent="0.25">
      <c r="A1553" t="s">
        <v>10511</v>
      </c>
      <c r="B1553" t="s">
        <v>10512</v>
      </c>
      <c r="C1553" s="88"/>
      <c r="D1553" s="105"/>
      <c r="E1553"/>
      <c r="F1553" t="s">
        <v>10513</v>
      </c>
      <c r="G1553" t="s">
        <v>10512</v>
      </c>
      <c r="H1553" t="s">
        <v>10458</v>
      </c>
      <c r="I1553" t="s">
        <v>10512</v>
      </c>
      <c r="J1553" t="s">
        <v>10513</v>
      </c>
      <c r="K1553" t="s">
        <v>7608</v>
      </c>
    </row>
    <row r="1554" spans="1:11" s="3" customFormat="1" x14ac:dyDescent="0.25">
      <c r="A1554" t="s">
        <v>10514</v>
      </c>
      <c r="B1554" t="s">
        <v>10515</v>
      </c>
      <c r="C1554" s="88"/>
      <c r="D1554" s="105"/>
      <c r="E1554"/>
      <c r="F1554" t="s">
        <v>10517</v>
      </c>
      <c r="G1554" t="s">
        <v>10515</v>
      </c>
      <c r="H1554" t="s">
        <v>10458</v>
      </c>
      <c r="I1554" t="s">
        <v>10515</v>
      </c>
      <c r="J1554" t="s">
        <v>10517</v>
      </c>
      <c r="K1554" t="s">
        <v>12631</v>
      </c>
    </row>
    <row r="1555" spans="1:11" s="3" customFormat="1" x14ac:dyDescent="0.25">
      <c r="A1555" t="s">
        <v>10518</v>
      </c>
      <c r="B1555" t="s">
        <v>10519</v>
      </c>
      <c r="C1555" s="88"/>
      <c r="D1555" s="105"/>
      <c r="E1555">
        <v>0</v>
      </c>
      <c r="F1555" t="s">
        <v>10520</v>
      </c>
      <c r="G1555" t="s">
        <v>9896</v>
      </c>
      <c r="H1555" t="s">
        <v>10458</v>
      </c>
      <c r="I1555" t="s">
        <v>10519</v>
      </c>
      <c r="J1555" t="s">
        <v>10520</v>
      </c>
      <c r="K1555" t="s">
        <v>7608</v>
      </c>
    </row>
    <row r="1556" spans="1:11" s="3" customFormat="1" x14ac:dyDescent="0.25">
      <c r="A1556" t="s">
        <v>11509</v>
      </c>
      <c r="B1556" t="s">
        <v>11510</v>
      </c>
      <c r="C1556" s="88"/>
      <c r="D1556" s="105"/>
      <c r="E1556">
        <v>893</v>
      </c>
      <c r="F1556" t="s">
        <v>11511</v>
      </c>
      <c r="G1556" t="s">
        <v>11510</v>
      </c>
      <c r="H1556" t="s">
        <v>7580</v>
      </c>
      <c r="I1556" t="s">
        <v>11510</v>
      </c>
      <c r="J1556" t="s">
        <v>11511</v>
      </c>
      <c r="K1556" t="s">
        <v>12632</v>
      </c>
    </row>
    <row r="1557" spans="1:11" s="3" customFormat="1" x14ac:dyDescent="0.25">
      <c r="A1557" t="s">
        <v>11512</v>
      </c>
      <c r="B1557" t="s">
        <v>11513</v>
      </c>
      <c r="C1557" s="88"/>
      <c r="D1557" s="105"/>
      <c r="E1557">
        <v>1501</v>
      </c>
      <c r="F1557" t="s">
        <v>11514</v>
      </c>
      <c r="G1557" t="s">
        <v>11510</v>
      </c>
      <c r="H1557" t="s">
        <v>7580</v>
      </c>
      <c r="I1557" t="s">
        <v>11513</v>
      </c>
      <c r="J1557" t="s">
        <v>11514</v>
      </c>
      <c r="K1557" t="s">
        <v>12632</v>
      </c>
    </row>
    <row r="1558" spans="1:11" s="3" customFormat="1" x14ac:dyDescent="0.25">
      <c r="A1558" t="s">
        <v>11515</v>
      </c>
      <c r="B1558" t="s">
        <v>11516</v>
      </c>
      <c r="C1558" s="88"/>
      <c r="D1558" s="105"/>
      <c r="E1558">
        <v>1133</v>
      </c>
      <c r="F1558" t="s">
        <v>11517</v>
      </c>
      <c r="G1558" t="s">
        <v>11516</v>
      </c>
      <c r="H1558" t="s">
        <v>7580</v>
      </c>
      <c r="I1558" t="s">
        <v>11516</v>
      </c>
      <c r="J1558" t="s">
        <v>11517</v>
      </c>
      <c r="K1558" t="s">
        <v>12633</v>
      </c>
    </row>
    <row r="1559" spans="1:11" s="3" customFormat="1" x14ac:dyDescent="0.25">
      <c r="A1559" t="s">
        <v>11518</v>
      </c>
      <c r="B1559" t="s">
        <v>11519</v>
      </c>
      <c r="C1559" s="88"/>
      <c r="D1559" s="105"/>
      <c r="E1559">
        <v>374</v>
      </c>
      <c r="F1559" t="s">
        <v>11521</v>
      </c>
      <c r="G1559" t="s">
        <v>11520</v>
      </c>
      <c r="H1559" t="s">
        <v>7580</v>
      </c>
      <c r="I1559" t="s">
        <v>11519</v>
      </c>
      <c r="J1559" t="s">
        <v>11521</v>
      </c>
      <c r="K1559" t="s">
        <v>12634</v>
      </c>
    </row>
    <row r="1560" spans="1:11" s="3" customFormat="1" x14ac:dyDescent="0.25">
      <c r="A1560" t="s">
        <v>11522</v>
      </c>
      <c r="B1560" t="s">
        <v>11523</v>
      </c>
      <c r="C1560" s="88"/>
      <c r="D1560" s="105"/>
      <c r="E1560">
        <v>490</v>
      </c>
      <c r="F1560" t="s">
        <v>11524</v>
      </c>
      <c r="G1560" t="s">
        <v>11523</v>
      </c>
      <c r="H1560" t="s">
        <v>7580</v>
      </c>
      <c r="I1560" t="s">
        <v>11523</v>
      </c>
      <c r="J1560" t="s">
        <v>11524</v>
      </c>
      <c r="K1560" t="s">
        <v>12608</v>
      </c>
    </row>
    <row r="1561" spans="1:11" s="3" customFormat="1" x14ac:dyDescent="0.25">
      <c r="A1561" t="s">
        <v>11525</v>
      </c>
      <c r="B1561" t="s">
        <v>11526</v>
      </c>
      <c r="C1561" s="88"/>
      <c r="D1561" s="105"/>
      <c r="E1561">
        <v>155</v>
      </c>
      <c r="F1561" t="s">
        <v>11528</v>
      </c>
      <c r="G1561" t="s">
        <v>11527</v>
      </c>
      <c r="H1561" t="s">
        <v>7580</v>
      </c>
      <c r="I1561" t="s">
        <v>11526</v>
      </c>
      <c r="J1561" t="s">
        <v>11528</v>
      </c>
      <c r="K1561" t="s">
        <v>12635</v>
      </c>
    </row>
    <row r="1562" spans="1:11" s="3" customFormat="1" x14ac:dyDescent="0.25">
      <c r="A1562" t="s">
        <v>11529</v>
      </c>
      <c r="B1562" t="s">
        <v>13221</v>
      </c>
      <c r="C1562" s="88"/>
      <c r="D1562" s="105"/>
      <c r="E1562">
        <v>201</v>
      </c>
      <c r="F1562" t="s">
        <v>11531</v>
      </c>
      <c r="G1562" t="s">
        <v>13221</v>
      </c>
      <c r="H1562" t="s">
        <v>7580</v>
      </c>
      <c r="I1562" t="s">
        <v>13221</v>
      </c>
      <c r="J1562" t="s">
        <v>11531</v>
      </c>
      <c r="K1562" t="s">
        <v>12636</v>
      </c>
    </row>
    <row r="1563" spans="1:11" s="3" customFormat="1" x14ac:dyDescent="0.25">
      <c r="A1563" t="s">
        <v>11532</v>
      </c>
      <c r="B1563" t="s">
        <v>11533</v>
      </c>
      <c r="C1563" s="88"/>
      <c r="D1563" s="105"/>
      <c r="E1563">
        <v>131</v>
      </c>
      <c r="F1563" t="s">
        <v>11534</v>
      </c>
      <c r="G1563" t="s">
        <v>11533</v>
      </c>
      <c r="H1563" t="s">
        <v>7580</v>
      </c>
      <c r="I1563" t="s">
        <v>11533</v>
      </c>
      <c r="J1563" t="s">
        <v>11534</v>
      </c>
      <c r="K1563" t="s">
        <v>12634</v>
      </c>
    </row>
    <row r="1564" spans="1:11" s="3" customFormat="1" x14ac:dyDescent="0.25">
      <c r="A1564" t="s">
        <v>11535</v>
      </c>
      <c r="B1564" t="s">
        <v>11536</v>
      </c>
      <c r="C1564" s="88"/>
      <c r="D1564" s="105"/>
      <c r="E1564">
        <v>194</v>
      </c>
      <c r="F1564" t="s">
        <v>11537</v>
      </c>
      <c r="G1564" t="s">
        <v>11536</v>
      </c>
      <c r="H1564" t="s">
        <v>7580</v>
      </c>
      <c r="I1564" t="s">
        <v>11536</v>
      </c>
      <c r="J1564" t="s">
        <v>11537</v>
      </c>
      <c r="K1564" t="s">
        <v>12636</v>
      </c>
    </row>
    <row r="1565" spans="1:11" s="3" customFormat="1" x14ac:dyDescent="0.25">
      <c r="A1565" t="s">
        <v>11538</v>
      </c>
      <c r="B1565" t="s">
        <v>11539</v>
      </c>
      <c r="C1565" s="88"/>
      <c r="D1565" s="105"/>
      <c r="E1565"/>
      <c r="F1565" t="s">
        <v>11540</v>
      </c>
      <c r="G1565" t="s">
        <v>11539</v>
      </c>
      <c r="H1565" t="s">
        <v>7580</v>
      </c>
      <c r="I1565" t="s">
        <v>11539</v>
      </c>
      <c r="J1565" t="s">
        <v>11540</v>
      </c>
      <c r="K1565" t="s">
        <v>12633</v>
      </c>
    </row>
    <row r="1566" spans="1:11" s="3" customFormat="1" x14ac:dyDescent="0.25">
      <c r="A1566" t="s">
        <v>11541</v>
      </c>
      <c r="B1566" t="s">
        <v>11542</v>
      </c>
      <c r="C1566" s="88"/>
      <c r="D1566" s="105"/>
      <c r="E1566">
        <v>494</v>
      </c>
      <c r="F1566" t="s">
        <v>11543</v>
      </c>
      <c r="G1566" t="s">
        <v>11542</v>
      </c>
      <c r="H1566" t="s">
        <v>7580</v>
      </c>
      <c r="I1566" t="s">
        <v>11542</v>
      </c>
      <c r="J1566" t="s">
        <v>11543</v>
      </c>
      <c r="K1566" t="s">
        <v>12632</v>
      </c>
    </row>
    <row r="1567" spans="1:11" s="3" customFormat="1" x14ac:dyDescent="0.25">
      <c r="A1567" t="s">
        <v>11544</v>
      </c>
      <c r="B1567" t="s">
        <v>11545</v>
      </c>
      <c r="C1567" s="88"/>
      <c r="D1567" s="105"/>
      <c r="E1567">
        <v>478</v>
      </c>
      <c r="F1567" t="s">
        <v>11546</v>
      </c>
      <c r="G1567" t="s">
        <v>11545</v>
      </c>
      <c r="H1567" t="s">
        <v>7580</v>
      </c>
      <c r="I1567" t="s">
        <v>11545</v>
      </c>
      <c r="J1567" t="s">
        <v>11546</v>
      </c>
      <c r="K1567" t="s">
        <v>12632</v>
      </c>
    </row>
    <row r="1568" spans="1:11" s="3" customFormat="1" x14ac:dyDescent="0.25">
      <c r="A1568" t="s">
        <v>11547</v>
      </c>
      <c r="B1568" t="s">
        <v>11548</v>
      </c>
      <c r="C1568" s="88"/>
      <c r="D1568" s="105"/>
      <c r="E1568">
        <v>0</v>
      </c>
      <c r="F1568" t="s">
        <v>11549</v>
      </c>
      <c r="G1568" t="s">
        <v>11548</v>
      </c>
      <c r="H1568" t="s">
        <v>7580</v>
      </c>
      <c r="I1568" t="s">
        <v>11548</v>
      </c>
      <c r="J1568" t="s">
        <v>11549</v>
      </c>
      <c r="K1568" t="s">
        <v>12632</v>
      </c>
    </row>
    <row r="1569" spans="1:11" s="3" customFormat="1" x14ac:dyDescent="0.25">
      <c r="A1569" t="s">
        <v>11550</v>
      </c>
      <c r="B1569" t="s">
        <v>7804</v>
      </c>
      <c r="C1569" s="88"/>
      <c r="D1569" s="105"/>
      <c r="E1569">
        <v>300</v>
      </c>
      <c r="F1569" t="s">
        <v>11551</v>
      </c>
      <c r="G1569" t="s">
        <v>7804</v>
      </c>
      <c r="H1569" t="s">
        <v>7580</v>
      </c>
      <c r="I1569" t="s">
        <v>7804</v>
      </c>
      <c r="J1569" t="s">
        <v>11551</v>
      </c>
      <c r="K1569" t="s">
        <v>12636</v>
      </c>
    </row>
    <row r="1570" spans="1:11" s="3" customFormat="1" x14ac:dyDescent="0.25">
      <c r="A1570" t="s">
        <v>11552</v>
      </c>
      <c r="B1570" t="s">
        <v>11553</v>
      </c>
      <c r="C1570" s="88"/>
      <c r="D1570" s="105"/>
      <c r="E1570">
        <v>19</v>
      </c>
      <c r="F1570" t="s">
        <v>11554</v>
      </c>
      <c r="G1570" t="s">
        <v>11553</v>
      </c>
      <c r="H1570" t="s">
        <v>7580</v>
      </c>
      <c r="I1570" t="s">
        <v>11553</v>
      </c>
      <c r="J1570" t="s">
        <v>11554</v>
      </c>
      <c r="K1570" t="s">
        <v>12637</v>
      </c>
    </row>
    <row r="1571" spans="1:11" s="3" customFormat="1" x14ac:dyDescent="0.25">
      <c r="A1571" t="s">
        <v>11555</v>
      </c>
      <c r="B1571" t="s">
        <v>11556</v>
      </c>
      <c r="C1571" s="88"/>
      <c r="D1571" s="105"/>
      <c r="E1571">
        <v>1327</v>
      </c>
      <c r="F1571" t="s">
        <v>11557</v>
      </c>
      <c r="G1571" t="s">
        <v>11556</v>
      </c>
      <c r="H1571" t="s">
        <v>7580</v>
      </c>
      <c r="I1571" t="s">
        <v>11556</v>
      </c>
      <c r="J1571" t="s">
        <v>11557</v>
      </c>
      <c r="K1571" t="s">
        <v>12637</v>
      </c>
    </row>
    <row r="1572" spans="1:11" s="3" customFormat="1" x14ac:dyDescent="0.25">
      <c r="A1572" t="s">
        <v>11558</v>
      </c>
      <c r="B1572" t="s">
        <v>11559</v>
      </c>
      <c r="C1572" s="88"/>
      <c r="D1572" s="105"/>
      <c r="E1572">
        <v>455</v>
      </c>
      <c r="F1572" t="s">
        <v>11560</v>
      </c>
      <c r="G1572" t="s">
        <v>11559</v>
      </c>
      <c r="H1572" t="s">
        <v>7580</v>
      </c>
      <c r="I1572" t="s">
        <v>11559</v>
      </c>
      <c r="J1572" t="s">
        <v>11560</v>
      </c>
      <c r="K1572" t="s">
        <v>12636</v>
      </c>
    </row>
    <row r="1573" spans="1:11" s="3" customFormat="1" x14ac:dyDescent="0.25">
      <c r="A1573" t="s">
        <v>11561</v>
      </c>
      <c r="B1573" t="s">
        <v>11562</v>
      </c>
      <c r="C1573" s="88"/>
      <c r="D1573" s="105"/>
      <c r="E1573">
        <v>1075</v>
      </c>
      <c r="F1573" t="s">
        <v>11563</v>
      </c>
      <c r="G1573" t="s">
        <v>11562</v>
      </c>
      <c r="H1573" t="s">
        <v>7580</v>
      </c>
      <c r="I1573" t="s">
        <v>11562</v>
      </c>
      <c r="J1573" t="s">
        <v>11563</v>
      </c>
      <c r="K1573" t="s">
        <v>12636</v>
      </c>
    </row>
    <row r="1574" spans="1:11" s="3" customFormat="1" x14ac:dyDescent="0.25">
      <c r="A1574" t="s">
        <v>11564</v>
      </c>
      <c r="B1574" t="s">
        <v>11565</v>
      </c>
      <c r="C1574" s="88"/>
      <c r="D1574" s="105"/>
      <c r="E1574">
        <v>22</v>
      </c>
      <c r="F1574" t="s">
        <v>11566</v>
      </c>
      <c r="G1574" t="s">
        <v>11565</v>
      </c>
      <c r="H1574" t="s">
        <v>7580</v>
      </c>
      <c r="I1574" t="s">
        <v>11565</v>
      </c>
      <c r="J1574" t="s">
        <v>11566</v>
      </c>
      <c r="K1574" t="s">
        <v>12633</v>
      </c>
    </row>
    <row r="1575" spans="1:11" s="3" customFormat="1" x14ac:dyDescent="0.25">
      <c r="A1575" t="s">
        <v>11567</v>
      </c>
      <c r="B1575" t="s">
        <v>11568</v>
      </c>
      <c r="C1575" s="88"/>
      <c r="D1575" s="105"/>
      <c r="E1575"/>
      <c r="F1575" t="s">
        <v>11570</v>
      </c>
      <c r="G1575" t="s">
        <v>11569</v>
      </c>
      <c r="H1575" t="s">
        <v>7580</v>
      </c>
      <c r="I1575" t="s">
        <v>11568</v>
      </c>
      <c r="J1575" t="s">
        <v>11570</v>
      </c>
      <c r="K1575" t="s">
        <v>12608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70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7045</v>
      </c>
      <c r="B1" s="81" t="s">
        <v>7046</v>
      </c>
      <c r="C1" s="81" t="s">
        <v>7047</v>
      </c>
      <c r="D1" s="81" t="s">
        <v>7048</v>
      </c>
      <c r="E1" s="81" t="s">
        <v>7049</v>
      </c>
      <c r="F1" s="81" t="s">
        <v>7050</v>
      </c>
      <c r="G1" s="81" t="s">
        <v>7051</v>
      </c>
      <c r="H1" s="81" t="s">
        <v>7052</v>
      </c>
      <c r="I1" s="81" t="s">
        <v>7053</v>
      </c>
      <c r="J1" s="81" t="s">
        <v>7054</v>
      </c>
      <c r="K1" s="81" t="s">
        <v>7055</v>
      </c>
      <c r="L1" s="81" t="s">
        <v>7275</v>
      </c>
    </row>
    <row r="2" spans="1:12" x14ac:dyDescent="0.25">
      <c r="A2" s="82" t="s">
        <v>7056</v>
      </c>
      <c r="B2" s="81"/>
      <c r="C2" s="81" t="s">
        <v>7057</v>
      </c>
      <c r="D2" s="81"/>
      <c r="E2" s="81" t="s">
        <v>7058</v>
      </c>
      <c r="F2" s="81" t="s">
        <v>7059</v>
      </c>
      <c r="G2" s="81" t="s">
        <v>7060</v>
      </c>
      <c r="H2" s="81" t="s">
        <v>7061</v>
      </c>
      <c r="I2" s="81" t="s">
        <v>7062</v>
      </c>
      <c r="J2" s="82" t="s">
        <v>7056</v>
      </c>
      <c r="K2" s="81"/>
      <c r="L2" s="81" t="s">
        <v>7057</v>
      </c>
    </row>
    <row r="3" spans="1:12" x14ac:dyDescent="0.25">
      <c r="A3" s="82" t="s">
        <v>3</v>
      </c>
      <c r="B3" s="81" t="s">
        <v>7063</v>
      </c>
      <c r="C3" s="81" t="s">
        <v>6765</v>
      </c>
      <c r="D3" s="81">
        <v>1</v>
      </c>
      <c r="E3" s="81" t="s">
        <v>7064</v>
      </c>
      <c r="F3" s="81" t="s">
        <v>7065</v>
      </c>
      <c r="G3" s="81" t="s">
        <v>7066</v>
      </c>
      <c r="H3" s="81" t="s">
        <v>7067</v>
      </c>
      <c r="I3" s="81" t="s">
        <v>7068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6765</v>
      </c>
    </row>
    <row r="4" spans="1:12" x14ac:dyDescent="0.25">
      <c r="A4" s="82" t="s">
        <v>7069</v>
      </c>
      <c r="B4" s="81" t="s">
        <v>7070</v>
      </c>
      <c r="C4" s="81" t="s">
        <v>7071</v>
      </c>
      <c r="D4" s="81">
        <v>2</v>
      </c>
      <c r="E4" s="81" t="s">
        <v>7072</v>
      </c>
      <c r="F4" s="81"/>
      <c r="G4" s="81" t="s">
        <v>7073</v>
      </c>
      <c r="H4" s="81" t="s">
        <v>7074</v>
      </c>
      <c r="I4" s="81"/>
      <c r="J4" s="82" t="s">
        <v>7069</v>
      </c>
      <c r="K4" s="81" t="str">
        <f>CONCATENATE(Tabla1[[#This Row],[EQUIVALENCIA]],". ",Tabla1[[#This Row],[CAMUFLADO]])</f>
        <v>02. Pitón Beige</v>
      </c>
      <c r="L4" s="81" t="s">
        <v>7071</v>
      </c>
    </row>
    <row r="5" spans="1:12" x14ac:dyDescent="0.25">
      <c r="A5" s="82" t="s">
        <v>7075</v>
      </c>
      <c r="B5" s="81" t="s">
        <v>7076</v>
      </c>
      <c r="C5" s="81" t="s">
        <v>7077</v>
      </c>
      <c r="D5" s="81">
        <v>3</v>
      </c>
      <c r="E5" s="81"/>
      <c r="F5" s="81"/>
      <c r="G5" s="81"/>
      <c r="H5" s="81" t="s">
        <v>7078</v>
      </c>
      <c r="I5" s="81"/>
      <c r="J5" s="82" t="s">
        <v>7075</v>
      </c>
      <c r="K5" s="81" t="str">
        <f>CONCATENATE(Tabla1[[#This Row],[EQUIVALENCIA]],". ",Tabla1[[#This Row],[CAMUFLADO]])</f>
        <v>03. Beige</v>
      </c>
      <c r="L5" s="81" t="s">
        <v>7077</v>
      </c>
    </row>
    <row r="6" spans="1:12" x14ac:dyDescent="0.25">
      <c r="A6" s="82" t="s">
        <v>7079</v>
      </c>
      <c r="B6" s="81" t="s">
        <v>7080</v>
      </c>
      <c r="C6" s="81" t="s">
        <v>7081</v>
      </c>
      <c r="D6" s="81">
        <v>4</v>
      </c>
      <c r="E6" s="81"/>
      <c r="F6" s="81"/>
      <c r="G6" s="81"/>
      <c r="H6" s="81" t="s">
        <v>7082</v>
      </c>
      <c r="I6" s="81"/>
      <c r="J6" s="82" t="s">
        <v>7079</v>
      </c>
      <c r="K6" s="81" t="str">
        <f>CONCATENATE(Tabla1[[#This Row],[EQUIVALENCIA]],". ",Tabla1[[#This Row],[CAMUFLADO]])</f>
        <v>04. Woodland</v>
      </c>
      <c r="L6" s="81" t="s">
        <v>7081</v>
      </c>
    </row>
    <row r="7" spans="1:12" x14ac:dyDescent="0.25">
      <c r="A7" s="82" t="s">
        <v>7083</v>
      </c>
      <c r="B7" s="81" t="s">
        <v>7084</v>
      </c>
      <c r="C7" s="81" t="s">
        <v>7085</v>
      </c>
      <c r="D7" s="81">
        <v>5</v>
      </c>
      <c r="E7" s="81"/>
      <c r="F7" s="81"/>
      <c r="G7" s="81"/>
      <c r="H7" s="81" t="s">
        <v>7086</v>
      </c>
      <c r="I7" s="81"/>
      <c r="J7" s="82" t="s">
        <v>7083</v>
      </c>
      <c r="K7" s="81" t="str">
        <f>CONCATENATE(Tabla1[[#This Row],[EQUIVALENCIA]],". ",Tabla1[[#This Row],[CAMUFLADO]])</f>
        <v>05. Digital Desert</v>
      </c>
      <c r="L7" s="81" t="s">
        <v>7085</v>
      </c>
    </row>
    <row r="8" spans="1:12" x14ac:dyDescent="0.25">
      <c r="A8" s="82" t="s">
        <v>7087</v>
      </c>
      <c r="B8" s="81" t="s">
        <v>7088</v>
      </c>
      <c r="C8" s="81" t="s">
        <v>7089</v>
      </c>
      <c r="D8" s="81">
        <v>6</v>
      </c>
      <c r="E8" s="81"/>
      <c r="F8" s="81"/>
      <c r="G8" s="81"/>
      <c r="H8" s="81" t="s">
        <v>7090</v>
      </c>
      <c r="I8" s="81"/>
      <c r="J8" s="82" t="s">
        <v>7087</v>
      </c>
      <c r="K8" s="81" t="str">
        <f>CONCATENATE(Tabla1[[#This Row],[EQUIVALENCIA]],". ",Tabla1[[#This Row],[CAMUFLADO]])</f>
        <v>06. Verde</v>
      </c>
      <c r="L8" s="81" t="s">
        <v>7089</v>
      </c>
    </row>
    <row r="9" spans="1:12" x14ac:dyDescent="0.25">
      <c r="A9" s="82" t="s">
        <v>7091</v>
      </c>
      <c r="B9" s="81" t="s">
        <v>7092</v>
      </c>
      <c r="C9" s="81" t="s">
        <v>7093</v>
      </c>
      <c r="D9" s="81">
        <v>7</v>
      </c>
      <c r="E9" s="81"/>
      <c r="F9" s="81"/>
      <c r="G9" s="81"/>
      <c r="H9" s="81" t="s">
        <v>7094</v>
      </c>
      <c r="I9" s="81"/>
      <c r="J9" s="82" t="s">
        <v>7091</v>
      </c>
      <c r="K9" s="81" t="str">
        <f>CONCATENATE(Tabla1[[#This Row],[EQUIVALENCIA]],". ",Tabla1[[#This Row],[CAMUFLADO]])</f>
        <v>07. Acu</v>
      </c>
      <c r="L9" s="81" t="s">
        <v>7093</v>
      </c>
    </row>
    <row r="10" spans="1:12" x14ac:dyDescent="0.25">
      <c r="A10" s="82" t="s">
        <v>7095</v>
      </c>
      <c r="B10" s="81" t="s">
        <v>7096</v>
      </c>
      <c r="C10" s="81" t="s">
        <v>7097</v>
      </c>
      <c r="D10" s="81">
        <v>8</v>
      </c>
      <c r="E10" s="81"/>
      <c r="F10" s="81"/>
      <c r="G10" s="81"/>
      <c r="H10" s="81"/>
      <c r="I10" s="81"/>
      <c r="J10" s="82" t="s">
        <v>7095</v>
      </c>
      <c r="K10" s="81" t="str">
        <f>CONCATENATE(Tabla1[[#This Row],[EQUIVALENCIA]],". ",Tabla1[[#This Row],[CAMUFLADO]])</f>
        <v>08. Multicam</v>
      </c>
      <c r="L10" s="81" t="s">
        <v>7097</v>
      </c>
    </row>
    <row r="11" spans="1:12" x14ac:dyDescent="0.25">
      <c r="A11" s="82" t="s">
        <v>7098</v>
      </c>
      <c r="B11" s="81" t="s">
        <v>7099</v>
      </c>
      <c r="C11" s="81" t="s">
        <v>7100</v>
      </c>
      <c r="D11" s="81">
        <v>9</v>
      </c>
      <c r="E11" s="81"/>
      <c r="F11" s="81"/>
      <c r="G11" s="81"/>
      <c r="H11" s="81"/>
      <c r="I11" s="81"/>
      <c r="J11" s="82" t="s">
        <v>7098</v>
      </c>
      <c r="K11" s="81" t="str">
        <f>CONCATENATE(Tabla1[[#This Row],[EQUIVALENCIA]],". ",Tabla1[[#This Row],[CAMUFLADO]])</f>
        <v>09. Negro</v>
      </c>
      <c r="L11" s="81" t="s">
        <v>7100</v>
      </c>
    </row>
    <row r="12" spans="1:12" x14ac:dyDescent="0.25">
      <c r="A12" s="82" t="s">
        <v>4</v>
      </c>
      <c r="B12" s="81" t="s">
        <v>7101</v>
      </c>
      <c r="C12" s="81" t="s">
        <v>7102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7102</v>
      </c>
    </row>
    <row r="13" spans="1:12" x14ac:dyDescent="0.25">
      <c r="A13" s="82" t="s">
        <v>7103</v>
      </c>
      <c r="B13" s="81" t="s">
        <v>7104</v>
      </c>
      <c r="C13" s="81" t="s">
        <v>7105</v>
      </c>
      <c r="D13" s="81">
        <v>11</v>
      </c>
      <c r="E13" s="81"/>
      <c r="F13" s="81"/>
      <c r="G13" s="81"/>
      <c r="H13" s="81"/>
      <c r="I13" s="81"/>
      <c r="J13" s="82" t="s">
        <v>7103</v>
      </c>
      <c r="K13" s="81" t="str">
        <f>CONCATENATE(Tabla1[[#This Row],[EQUIVALENCIA]],". ",Tabla1[[#This Row],[CAMUFLADO]])</f>
        <v>11. Digital Woodland</v>
      </c>
      <c r="L13" s="81" t="s">
        <v>7105</v>
      </c>
    </row>
    <row r="14" spans="1:12" x14ac:dyDescent="0.25">
      <c r="A14" s="82" t="s">
        <v>7106</v>
      </c>
      <c r="B14" s="81" t="s">
        <v>7107</v>
      </c>
      <c r="C14" s="81"/>
      <c r="D14" s="81">
        <v>12</v>
      </c>
      <c r="E14" s="81"/>
      <c r="F14" s="81"/>
      <c r="G14" s="81"/>
      <c r="H14" s="81"/>
      <c r="I14" s="81"/>
      <c r="J14" s="82" t="s">
        <v>7106</v>
      </c>
      <c r="K14" s="81" t="str">
        <f>CONCATENATE(Tabla1[[#This Row],[EQUIVALENCIA]],". ",Tabla1[[#This Row],[CAMUFLADO]])</f>
        <v>12. Pitón Verde</v>
      </c>
      <c r="L14" s="81" t="s">
        <v>7058</v>
      </c>
    </row>
    <row r="15" spans="1:12" x14ac:dyDescent="0.25">
      <c r="A15" s="82" t="s">
        <v>7108</v>
      </c>
      <c r="B15" s="81" t="s">
        <v>7109</v>
      </c>
      <c r="C15" s="81"/>
      <c r="D15" s="81">
        <v>13</v>
      </c>
      <c r="E15" s="81"/>
      <c r="F15" s="81"/>
      <c r="G15" s="81"/>
      <c r="H15" s="81"/>
      <c r="I15" s="81"/>
      <c r="J15" s="82" t="s">
        <v>7108</v>
      </c>
      <c r="K15" s="81" t="str">
        <f>CONCATENATE(Tabla1[[#This Row],[EQUIVALENCIA]],". ",Tabla1[[#This Row],[CAMUFLADO]])</f>
        <v>13. Gris</v>
      </c>
      <c r="L15" s="81" t="s">
        <v>7064</v>
      </c>
    </row>
    <row r="16" spans="1:12" x14ac:dyDescent="0.25">
      <c r="A16" s="82" t="s">
        <v>1037</v>
      </c>
      <c r="B16" s="81" t="s">
        <v>7110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7072</v>
      </c>
    </row>
    <row r="17" spans="1:12" x14ac:dyDescent="0.25">
      <c r="A17" s="82" t="s">
        <v>2</v>
      </c>
      <c r="B17" s="81" t="s">
        <v>7111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7059</v>
      </c>
    </row>
    <row r="18" spans="1:12" x14ac:dyDescent="0.25">
      <c r="A18" s="82" t="s">
        <v>14</v>
      </c>
      <c r="B18" s="81" t="s">
        <v>7112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7065</v>
      </c>
    </row>
    <row r="19" spans="1:12" x14ac:dyDescent="0.25">
      <c r="A19" s="82" t="s">
        <v>1</v>
      </c>
      <c r="B19" s="81" t="s">
        <v>7113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7060</v>
      </c>
    </row>
    <row r="20" spans="1:12" x14ac:dyDescent="0.25">
      <c r="A20" s="82" t="s">
        <v>0</v>
      </c>
      <c r="B20" s="81" t="s">
        <v>7114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7066</v>
      </c>
    </row>
    <row r="21" spans="1:12" x14ac:dyDescent="0.25">
      <c r="A21" s="82" t="s">
        <v>19</v>
      </c>
      <c r="B21" s="81" t="s">
        <v>7115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7073</v>
      </c>
    </row>
    <row r="22" spans="1:12" x14ac:dyDescent="0.25">
      <c r="A22" s="82" t="s">
        <v>24</v>
      </c>
      <c r="B22" s="81" t="s">
        <v>7116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7061</v>
      </c>
    </row>
    <row r="23" spans="1:12" x14ac:dyDescent="0.25">
      <c r="A23" s="82" t="s">
        <v>75</v>
      </c>
      <c r="B23" s="81" t="s">
        <v>13947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7067</v>
      </c>
    </row>
    <row r="24" spans="1:12" x14ac:dyDescent="0.25">
      <c r="A24" s="82" t="s">
        <v>580</v>
      </c>
      <c r="B24" s="81" t="s">
        <v>7117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7074</v>
      </c>
    </row>
    <row r="25" spans="1:12" x14ac:dyDescent="0.25">
      <c r="A25" s="82" t="s">
        <v>7118</v>
      </c>
      <c r="B25" s="81" t="s">
        <v>7119</v>
      </c>
      <c r="C25" s="81"/>
      <c r="D25" s="81">
        <v>23</v>
      </c>
      <c r="E25" s="81"/>
      <c r="F25" s="81"/>
      <c r="G25" s="81"/>
      <c r="H25" s="81"/>
      <c r="I25" s="81"/>
      <c r="J25" s="82" t="s">
        <v>7118</v>
      </c>
      <c r="K25" s="81" t="str">
        <f>CONCATENATE(Tabla1[[#This Row],[EQUIVALENCIA]],". ",Tabla1[[#This Row],[CAMUFLADO]])</f>
        <v>23. Digital Ruso</v>
      </c>
      <c r="L25" s="81" t="s">
        <v>7078</v>
      </c>
    </row>
    <row r="26" spans="1:12" x14ac:dyDescent="0.25">
      <c r="A26" s="82" t="s">
        <v>7120</v>
      </c>
      <c r="B26" s="81" t="s">
        <v>13388</v>
      </c>
      <c r="C26" s="81"/>
      <c r="D26" s="81">
        <v>24</v>
      </c>
      <c r="E26" s="81"/>
      <c r="F26" s="81"/>
      <c r="G26" s="81"/>
      <c r="H26" s="81"/>
      <c r="I26" s="81"/>
      <c r="J26" s="82" t="s">
        <v>7120</v>
      </c>
      <c r="K26" s="81" t="str">
        <f>CONCATENATE(Tabla1[[#This Row],[EQUIVALENCIA]],". ",Tabla1[[#This Row],[CAMUFLADO]])</f>
        <v>24. Bordo</v>
      </c>
      <c r="L26" s="81" t="s">
        <v>7082</v>
      </c>
    </row>
    <row r="27" spans="1:12" x14ac:dyDescent="0.25">
      <c r="A27" s="82" t="s">
        <v>7121</v>
      </c>
      <c r="B27" s="81" t="s">
        <v>13389</v>
      </c>
      <c r="C27" s="81"/>
      <c r="D27" s="81">
        <v>25</v>
      </c>
      <c r="E27" s="81"/>
      <c r="F27" s="81"/>
      <c r="G27" s="81"/>
      <c r="H27" s="81"/>
      <c r="I27" s="81"/>
      <c r="J27" s="82" t="s">
        <v>7121</v>
      </c>
      <c r="K27" s="81" t="str">
        <f>CONCATENATE(Tabla1[[#This Row],[EQUIVALENCIA]],". ",Tabla1[[#This Row],[CAMUFLADO]])</f>
        <v>25. Camel</v>
      </c>
      <c r="L27" s="81" t="s">
        <v>7086</v>
      </c>
    </row>
    <row r="28" spans="1:12" x14ac:dyDescent="0.25">
      <c r="A28" s="82" t="s">
        <v>7122</v>
      </c>
      <c r="B28" s="81" t="s">
        <v>13392</v>
      </c>
      <c r="C28" s="81"/>
      <c r="D28" s="81">
        <v>26</v>
      </c>
      <c r="E28" s="81"/>
      <c r="F28" s="81"/>
      <c r="G28" s="81"/>
      <c r="H28" s="81"/>
      <c r="I28" s="81"/>
      <c r="J28" s="82" t="s">
        <v>7122</v>
      </c>
      <c r="K28" s="81" t="str">
        <f>CONCATENATE(Tabla1[[#This Row],[EQUIVALENCIA]],". ",Tabla1[[#This Row],[CAMUFLADO]])</f>
        <v>26. Vial Tucuman</v>
      </c>
      <c r="L28" s="81" t="s">
        <v>7090</v>
      </c>
    </row>
    <row r="29" spans="1:12" x14ac:dyDescent="0.25">
      <c r="A29" s="82" t="s">
        <v>7123</v>
      </c>
      <c r="B29" s="81" t="s">
        <v>13390</v>
      </c>
      <c r="C29" s="81"/>
      <c r="D29" s="81">
        <v>27</v>
      </c>
      <c r="E29" s="81"/>
      <c r="F29" s="81"/>
      <c r="G29" s="81"/>
      <c r="H29" s="81"/>
      <c r="I29" s="81"/>
      <c r="J29" s="82" t="s">
        <v>7123</v>
      </c>
      <c r="K29" s="81" t="str">
        <f>CONCATENATE(Tabla1[[#This Row],[EQUIVALENCIA]],". ",Tabla1[[#This Row],[CAMUFLADO]])</f>
        <v>27. Digital Gris</v>
      </c>
      <c r="L29" s="81" t="s">
        <v>7094</v>
      </c>
    </row>
    <row r="30" spans="1:12" x14ac:dyDescent="0.25">
      <c r="A30" s="82" t="s">
        <v>7124</v>
      </c>
      <c r="B30" s="81" t="s">
        <v>13391</v>
      </c>
      <c r="C30" s="81"/>
      <c r="D30" s="81">
        <v>28</v>
      </c>
      <c r="E30" s="81"/>
      <c r="F30" s="81"/>
      <c r="G30" s="81"/>
      <c r="H30" s="81"/>
      <c r="I30" s="81"/>
      <c r="J30" s="82" t="s">
        <v>7124</v>
      </c>
      <c r="K30" s="81" t="str">
        <f>CONCATENATE(Tabla1[[#This Row],[EQUIVALENCIA]],". ",Tabla1[[#This Row],[CAMUFLADO]])</f>
        <v>28. Amarillo</v>
      </c>
      <c r="L30" s="81" t="s">
        <v>7062</v>
      </c>
    </row>
    <row r="31" spans="1:12" x14ac:dyDescent="0.25">
      <c r="A31" s="82" t="s">
        <v>7125</v>
      </c>
      <c r="B31" s="81" t="s">
        <v>13393</v>
      </c>
      <c r="C31" s="81"/>
      <c r="D31" s="81">
        <v>29</v>
      </c>
      <c r="E31" s="81"/>
      <c r="F31" s="81"/>
      <c r="G31" s="81"/>
      <c r="H31" s="81"/>
      <c r="I31" s="81"/>
      <c r="J31" s="82" t="s">
        <v>7125</v>
      </c>
      <c r="K31" s="81" t="str">
        <f>CONCATENATE(Tabla1[[#This Row],[EQUIVALENCIA]],". ",Tabla1[[#This Row],[CAMUFLADO]])</f>
        <v>29. Violeta</v>
      </c>
      <c r="L31" s="81" t="s">
        <v>7068</v>
      </c>
    </row>
    <row r="32" spans="1:12" x14ac:dyDescent="0.25">
      <c r="A32" s="82" t="s">
        <v>7126</v>
      </c>
      <c r="B32" s="81" t="s">
        <v>13394</v>
      </c>
      <c r="C32" s="81"/>
      <c r="D32" s="81">
        <v>30</v>
      </c>
      <c r="E32" s="81"/>
      <c r="F32" s="81"/>
      <c r="G32" s="81"/>
      <c r="H32" s="81"/>
      <c r="I32" s="81"/>
      <c r="J32" s="82" t="s">
        <v>7126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7127</v>
      </c>
      <c r="B33" s="81" t="s">
        <v>13395</v>
      </c>
      <c r="C33" s="81"/>
      <c r="D33" s="81">
        <v>31</v>
      </c>
      <c r="E33" s="81"/>
      <c r="F33" s="81"/>
      <c r="G33" s="81"/>
      <c r="H33" s="81"/>
      <c r="I33" s="81"/>
      <c r="J33" s="82" t="s">
        <v>7127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7128</v>
      </c>
      <c r="B34" s="81" t="s">
        <v>13948</v>
      </c>
      <c r="C34" s="81"/>
      <c r="D34" s="81">
        <v>32</v>
      </c>
      <c r="E34" s="81"/>
      <c r="F34" s="81"/>
      <c r="G34" s="81"/>
      <c r="H34" s="81"/>
      <c r="I34" s="81"/>
      <c r="J34" s="82" t="s">
        <v>7128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7129</v>
      </c>
      <c r="B35" s="81" t="s">
        <v>13949</v>
      </c>
      <c r="C35" s="81"/>
      <c r="D35" s="81">
        <v>33</v>
      </c>
      <c r="E35" s="81"/>
      <c r="F35" s="81"/>
      <c r="G35" s="81"/>
      <c r="H35" s="81"/>
      <c r="I35" s="81"/>
      <c r="J35" s="82" t="s">
        <v>7129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7130</v>
      </c>
      <c r="B36" s="81" t="s">
        <v>13950</v>
      </c>
      <c r="C36" s="81"/>
      <c r="D36" s="81">
        <v>34</v>
      </c>
      <c r="E36" s="81"/>
      <c r="F36" s="81"/>
      <c r="G36" s="81"/>
      <c r="H36" s="81"/>
      <c r="I36" s="81"/>
      <c r="J36" s="82" t="s">
        <v>7130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7131</v>
      </c>
      <c r="B37" s="81" t="s">
        <v>13951</v>
      </c>
      <c r="C37" s="81"/>
      <c r="D37" s="81">
        <v>35</v>
      </c>
      <c r="E37" s="81"/>
      <c r="F37" s="81"/>
      <c r="G37" s="81"/>
      <c r="H37" s="81"/>
      <c r="I37" s="81"/>
      <c r="J37" s="82" t="s">
        <v>7131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7132</v>
      </c>
      <c r="B38" s="81" t="s">
        <v>13952</v>
      </c>
      <c r="C38" s="81"/>
      <c r="D38" s="81">
        <v>36</v>
      </c>
      <c r="E38" s="81"/>
      <c r="F38" s="81"/>
      <c r="G38" s="81"/>
      <c r="H38" s="81"/>
      <c r="I38" s="81"/>
      <c r="J38" s="82" t="s">
        <v>7132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7133</v>
      </c>
      <c r="B39" s="81" t="s">
        <v>13953</v>
      </c>
      <c r="C39" s="81"/>
      <c r="D39" s="81">
        <v>37</v>
      </c>
      <c r="E39" s="81"/>
      <c r="F39" s="81"/>
      <c r="G39" s="81"/>
      <c r="H39" s="81"/>
      <c r="I39" s="81"/>
      <c r="J39" s="82" t="s">
        <v>7133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7134</v>
      </c>
      <c r="B40" s="81" t="s">
        <v>13954</v>
      </c>
      <c r="C40" s="81"/>
      <c r="D40" s="81">
        <v>38</v>
      </c>
      <c r="E40" s="81"/>
      <c r="F40" s="81"/>
      <c r="G40" s="81"/>
      <c r="H40" s="81"/>
      <c r="I40" s="81"/>
      <c r="J40" s="82" t="s">
        <v>7134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7135</v>
      </c>
      <c r="B41" s="81" t="s">
        <v>13955</v>
      </c>
      <c r="C41" s="81"/>
      <c r="D41" s="81">
        <v>39</v>
      </c>
      <c r="E41" s="81"/>
      <c r="F41" s="81"/>
      <c r="G41" s="81"/>
      <c r="H41" s="81"/>
      <c r="I41" s="81"/>
      <c r="J41" s="82" t="s">
        <v>7135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7136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7136</v>
      </c>
      <c r="K42" s="81" t="s">
        <v>12750</v>
      </c>
      <c r="L42" s="81">
        <v>11</v>
      </c>
    </row>
    <row r="43" spans="1:12" x14ac:dyDescent="0.25">
      <c r="A43" s="82" t="s">
        <v>7137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7137</v>
      </c>
      <c r="K43" s="81" t="s">
        <v>13161</v>
      </c>
      <c r="L43" s="81">
        <v>12</v>
      </c>
    </row>
    <row r="44" spans="1:12" x14ac:dyDescent="0.25">
      <c r="A44" s="82" t="s">
        <v>7138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7138</v>
      </c>
      <c r="K44" s="81" t="s">
        <v>13956</v>
      </c>
      <c r="L44" s="81">
        <v>13</v>
      </c>
    </row>
    <row r="45" spans="1:12" x14ac:dyDescent="0.25">
      <c r="A45" s="82" t="s">
        <v>7139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7139</v>
      </c>
      <c r="K45" s="81"/>
      <c r="L45" s="81">
        <v>14</v>
      </c>
    </row>
    <row r="46" spans="1:12" x14ac:dyDescent="0.25">
      <c r="A46" s="82" t="s">
        <v>7140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7140</v>
      </c>
      <c r="K46" s="81"/>
      <c r="L46" s="81">
        <v>15</v>
      </c>
    </row>
    <row r="47" spans="1:12" x14ac:dyDescent="0.25">
      <c r="A47" s="82" t="s">
        <v>7141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7141</v>
      </c>
      <c r="K47" s="81"/>
      <c r="L47" s="81">
        <v>16</v>
      </c>
    </row>
    <row r="48" spans="1:12" x14ac:dyDescent="0.25">
      <c r="A48" s="82" t="s">
        <v>7142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7142</v>
      </c>
      <c r="K48" s="81"/>
      <c r="L48" s="81">
        <v>17</v>
      </c>
    </row>
    <row r="49" spans="1:12" x14ac:dyDescent="0.25">
      <c r="A49" s="82" t="s">
        <v>7143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7143</v>
      </c>
      <c r="K49" s="81"/>
      <c r="L49" s="81">
        <v>18</v>
      </c>
    </row>
    <row r="50" spans="1:12" x14ac:dyDescent="0.25">
      <c r="A50" s="82" t="s">
        <v>7144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7144</v>
      </c>
      <c r="K50" s="81"/>
      <c r="L50" s="81">
        <v>19</v>
      </c>
    </row>
    <row r="51" spans="1:12" x14ac:dyDescent="0.25">
      <c r="A51" s="82" t="s">
        <v>7145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7145</v>
      </c>
      <c r="K51" s="81"/>
      <c r="L51" s="81">
        <v>20</v>
      </c>
    </row>
    <row r="52" spans="1:12" x14ac:dyDescent="0.25">
      <c r="A52" s="82" t="s">
        <v>7146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7146</v>
      </c>
      <c r="K52" s="81"/>
      <c r="L52" s="81">
        <v>21</v>
      </c>
    </row>
    <row r="53" spans="1:12" x14ac:dyDescent="0.25">
      <c r="A53" s="82" t="s">
        <v>7147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7147</v>
      </c>
      <c r="K53" s="81"/>
      <c r="L53" s="81">
        <v>22</v>
      </c>
    </row>
    <row r="54" spans="1:12" x14ac:dyDescent="0.25">
      <c r="A54" s="82" t="s">
        <v>7148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7148</v>
      </c>
      <c r="K54" s="81"/>
      <c r="L54" s="81">
        <v>23</v>
      </c>
    </row>
    <row r="55" spans="1:12" x14ac:dyDescent="0.25">
      <c r="A55" s="82" t="s">
        <v>7149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7149</v>
      </c>
      <c r="K55" s="81"/>
      <c r="L55" s="81">
        <v>24</v>
      </c>
    </row>
    <row r="56" spans="1:12" x14ac:dyDescent="0.25">
      <c r="A56" s="82" t="s">
        <v>7150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7150</v>
      </c>
      <c r="K56" s="81"/>
      <c r="L56" s="81">
        <v>25</v>
      </c>
    </row>
    <row r="57" spans="1:12" x14ac:dyDescent="0.25">
      <c r="A57" s="82" t="s">
        <v>7151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7151</v>
      </c>
      <c r="K57" s="81"/>
      <c r="L57" s="81">
        <v>26</v>
      </c>
    </row>
    <row r="58" spans="1:12" x14ac:dyDescent="0.25">
      <c r="A58" s="82" t="s">
        <v>7152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7152</v>
      </c>
      <c r="K58" s="81"/>
      <c r="L58" s="81">
        <v>27</v>
      </c>
    </row>
    <row r="59" spans="1:12" x14ac:dyDescent="0.25">
      <c r="A59" s="82" t="s">
        <v>7153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7153</v>
      </c>
      <c r="K59" s="81"/>
      <c r="L59" s="81">
        <v>28</v>
      </c>
    </row>
    <row r="60" spans="1:12" x14ac:dyDescent="0.25">
      <c r="A60" s="82" t="s">
        <v>7154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7154</v>
      </c>
      <c r="K60" s="81"/>
      <c r="L60" s="81">
        <v>29</v>
      </c>
    </row>
    <row r="61" spans="1:12" x14ac:dyDescent="0.25">
      <c r="A61" s="82" t="s">
        <v>7155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7155</v>
      </c>
      <c r="K61" s="81"/>
      <c r="L61" s="81">
        <v>30</v>
      </c>
    </row>
    <row r="62" spans="1:12" x14ac:dyDescent="0.25">
      <c r="A62" s="82" t="s">
        <v>7156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7156</v>
      </c>
      <c r="K62" s="81"/>
      <c r="L62" s="81">
        <v>31</v>
      </c>
    </row>
    <row r="63" spans="1:12" x14ac:dyDescent="0.25">
      <c r="A63" s="82" t="s">
        <v>7157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7157</v>
      </c>
      <c r="K63" s="81"/>
      <c r="L63" s="81">
        <v>32</v>
      </c>
    </row>
    <row r="64" spans="1:12" x14ac:dyDescent="0.25">
      <c r="A64" s="82" t="s">
        <v>7158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7158</v>
      </c>
      <c r="K64" s="81"/>
      <c r="L64" s="81">
        <v>33</v>
      </c>
    </row>
    <row r="65" spans="1:12" x14ac:dyDescent="0.25">
      <c r="A65" s="82" t="s">
        <v>7159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7159</v>
      </c>
      <c r="K65" s="81"/>
      <c r="L65" s="81">
        <v>34</v>
      </c>
    </row>
    <row r="66" spans="1:12" x14ac:dyDescent="0.25">
      <c r="A66" s="82" t="s">
        <v>7160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7160</v>
      </c>
      <c r="K66" s="81"/>
      <c r="L66" s="81">
        <v>35</v>
      </c>
    </row>
    <row r="67" spans="1:12" x14ac:dyDescent="0.25">
      <c r="A67" s="82" t="s">
        <v>7161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7161</v>
      </c>
      <c r="K67" s="81"/>
      <c r="L67" s="81">
        <v>36</v>
      </c>
    </row>
    <row r="68" spans="1:12" x14ac:dyDescent="0.25">
      <c r="A68" s="82" t="s">
        <v>7162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7162</v>
      </c>
      <c r="K68" s="81"/>
      <c r="L68" s="81">
        <v>37</v>
      </c>
    </row>
    <row r="69" spans="1:12" x14ac:dyDescent="0.25">
      <c r="A69" s="82" t="s">
        <v>7163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7163</v>
      </c>
      <c r="K69" s="81"/>
      <c r="L69" s="81">
        <v>38</v>
      </c>
    </row>
    <row r="70" spans="1:12" x14ac:dyDescent="0.25">
      <c r="A70" s="82" t="s">
        <v>7164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7164</v>
      </c>
      <c r="K70" s="81"/>
      <c r="L70" s="81">
        <v>39</v>
      </c>
    </row>
    <row r="71" spans="1:12" x14ac:dyDescent="0.25">
      <c r="A71" s="82" t="s">
        <v>7165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7165</v>
      </c>
      <c r="K71" s="81"/>
      <c r="L71" s="81">
        <v>40</v>
      </c>
    </row>
    <row r="72" spans="1:12" x14ac:dyDescent="0.25">
      <c r="A72" s="82" t="s">
        <v>7166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7166</v>
      </c>
      <c r="K72" s="81"/>
      <c r="L72" s="81">
        <v>41</v>
      </c>
    </row>
    <row r="73" spans="1:12" x14ac:dyDescent="0.25">
      <c r="A73" s="82" t="s">
        <v>7167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7167</v>
      </c>
      <c r="K73" s="81"/>
      <c r="L73" s="81">
        <v>42</v>
      </c>
    </row>
    <row r="74" spans="1:12" x14ac:dyDescent="0.25">
      <c r="A74" s="82" t="s">
        <v>7168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7168</v>
      </c>
      <c r="K74" s="81"/>
      <c r="L74" s="81">
        <v>43</v>
      </c>
    </row>
    <row r="75" spans="1:12" x14ac:dyDescent="0.25">
      <c r="A75" s="82" t="s">
        <v>7169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7169</v>
      </c>
      <c r="K75" s="81"/>
      <c r="L75" s="81">
        <v>44</v>
      </c>
    </row>
    <row r="76" spans="1:12" x14ac:dyDescent="0.25">
      <c r="A76" s="82" t="s">
        <v>7170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7170</v>
      </c>
      <c r="K76" s="81"/>
      <c r="L76" s="81">
        <v>45</v>
      </c>
    </row>
    <row r="77" spans="1:12" x14ac:dyDescent="0.25">
      <c r="A77" s="82" t="s">
        <v>7171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7171</v>
      </c>
      <c r="K77" s="81"/>
      <c r="L77" s="81">
        <v>46</v>
      </c>
    </row>
    <row r="78" spans="1:12" x14ac:dyDescent="0.25">
      <c r="A78" s="82" t="s">
        <v>7172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7172</v>
      </c>
      <c r="K78" s="81"/>
      <c r="L78" s="81">
        <v>47</v>
      </c>
    </row>
    <row r="79" spans="1:12" x14ac:dyDescent="0.25">
      <c r="A79" s="82" t="s">
        <v>7173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7173</v>
      </c>
      <c r="K79" s="81"/>
      <c r="L79" s="81">
        <v>48</v>
      </c>
    </row>
    <row r="80" spans="1:12" x14ac:dyDescent="0.25">
      <c r="A80" s="82" t="s">
        <v>7174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7174</v>
      </c>
      <c r="K80" s="81"/>
      <c r="L80" s="81">
        <v>49</v>
      </c>
    </row>
    <row r="81" spans="1:12" x14ac:dyDescent="0.25">
      <c r="A81" s="82" t="s">
        <v>7175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7175</v>
      </c>
      <c r="K81" s="81"/>
      <c r="L81" s="81">
        <v>50</v>
      </c>
    </row>
    <row r="82" spans="1:12" x14ac:dyDescent="0.25">
      <c r="A82" s="82" t="s">
        <v>7176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7176</v>
      </c>
      <c r="K82" s="81"/>
      <c r="L82" s="81">
        <v>51</v>
      </c>
    </row>
    <row r="83" spans="1:12" x14ac:dyDescent="0.25">
      <c r="A83" s="82" t="s">
        <v>7177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7177</v>
      </c>
      <c r="K83" s="81"/>
      <c r="L83" s="81">
        <v>52</v>
      </c>
    </row>
    <row r="84" spans="1:12" x14ac:dyDescent="0.25">
      <c r="A84" s="82" t="s">
        <v>7178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7178</v>
      </c>
      <c r="K84" s="81"/>
      <c r="L84" s="81">
        <v>53</v>
      </c>
    </row>
    <row r="85" spans="1:12" x14ac:dyDescent="0.25">
      <c r="A85" s="82" t="s">
        <v>7179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7179</v>
      </c>
      <c r="K85" s="81"/>
      <c r="L85" s="81">
        <v>54</v>
      </c>
    </row>
    <row r="86" spans="1:12" x14ac:dyDescent="0.25">
      <c r="A86" s="82" t="s">
        <v>7180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7180</v>
      </c>
      <c r="K86" s="81"/>
      <c r="L86" s="81">
        <v>55</v>
      </c>
    </row>
    <row r="87" spans="1:12" x14ac:dyDescent="0.25">
      <c r="A87" s="82" t="s">
        <v>7181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7181</v>
      </c>
      <c r="K87" s="81"/>
      <c r="L87" s="81">
        <v>56</v>
      </c>
    </row>
    <row r="88" spans="1:12" x14ac:dyDescent="0.25">
      <c r="A88" s="82" t="s">
        <v>7182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7182</v>
      </c>
      <c r="K88" s="81"/>
      <c r="L88" s="81">
        <v>57</v>
      </c>
    </row>
    <row r="89" spans="1:12" x14ac:dyDescent="0.25">
      <c r="A89" s="82" t="s">
        <v>5595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5595</v>
      </c>
      <c r="K89" s="81"/>
      <c r="L89" s="81">
        <v>58</v>
      </c>
    </row>
    <row r="90" spans="1:12" x14ac:dyDescent="0.25">
      <c r="A90" s="82" t="s">
        <v>7183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7183</v>
      </c>
      <c r="K90" s="81"/>
      <c r="L90" s="81">
        <v>59</v>
      </c>
    </row>
    <row r="91" spans="1:12" x14ac:dyDescent="0.25">
      <c r="A91" s="82" t="s">
        <v>7184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7184</v>
      </c>
      <c r="K91" s="81"/>
      <c r="L91" s="81">
        <v>60</v>
      </c>
    </row>
    <row r="92" spans="1:12" x14ac:dyDescent="0.25">
      <c r="A92" s="82" t="s">
        <v>7185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7185</v>
      </c>
      <c r="K92" s="81"/>
      <c r="L92" s="81">
        <v>61</v>
      </c>
    </row>
    <row r="93" spans="1:12" x14ac:dyDescent="0.25">
      <c r="A93" s="82" t="s">
        <v>7186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7186</v>
      </c>
      <c r="K93" s="81"/>
      <c r="L93" s="81">
        <v>62</v>
      </c>
    </row>
    <row r="94" spans="1:12" x14ac:dyDescent="0.25">
      <c r="A94" s="82" t="s">
        <v>7187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7187</v>
      </c>
      <c r="K94" s="81"/>
      <c r="L94" s="81">
        <v>63</v>
      </c>
    </row>
    <row r="95" spans="1:12" x14ac:dyDescent="0.25">
      <c r="A95" s="82" t="s">
        <v>7188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7188</v>
      </c>
      <c r="K95" s="81"/>
      <c r="L95" s="81">
        <v>64</v>
      </c>
    </row>
    <row r="96" spans="1:12" x14ac:dyDescent="0.25">
      <c r="A96" s="82" t="s">
        <v>7189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7189</v>
      </c>
      <c r="K96" s="81"/>
      <c r="L96" s="81">
        <v>65</v>
      </c>
    </row>
    <row r="97" spans="1:12" x14ac:dyDescent="0.25">
      <c r="A97" s="82" t="s">
        <v>7190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7190</v>
      </c>
      <c r="K97" s="81"/>
      <c r="L97" s="81">
        <v>66</v>
      </c>
    </row>
    <row r="98" spans="1:12" x14ac:dyDescent="0.25">
      <c r="A98" s="82" t="s">
        <v>7191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7191</v>
      </c>
      <c r="K98" s="81"/>
      <c r="L98" s="81">
        <v>67</v>
      </c>
    </row>
    <row r="99" spans="1:12" x14ac:dyDescent="0.25">
      <c r="A99" s="82" t="s">
        <v>7192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7192</v>
      </c>
      <c r="K99" s="81"/>
      <c r="L99" s="81">
        <v>68</v>
      </c>
    </row>
    <row r="100" spans="1:12" x14ac:dyDescent="0.25">
      <c r="A100" s="82" t="s">
        <v>7193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7193</v>
      </c>
      <c r="K100" s="81"/>
      <c r="L100" s="81">
        <v>69</v>
      </c>
    </row>
    <row r="101" spans="1:12" x14ac:dyDescent="0.25">
      <c r="A101" s="82" t="s">
        <v>7194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7194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7195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7195</v>
      </c>
      <c r="K103" s="81"/>
      <c r="L103" s="81">
        <v>72</v>
      </c>
    </row>
    <row r="104" spans="1:12" x14ac:dyDescent="0.25">
      <c r="A104" s="82" t="s">
        <v>7196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7196</v>
      </c>
      <c r="K104" s="81"/>
      <c r="L104" s="81">
        <v>73</v>
      </c>
    </row>
    <row r="105" spans="1:12" x14ac:dyDescent="0.25">
      <c r="A105" s="82" t="s">
        <v>7197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7197</v>
      </c>
      <c r="K105" s="81"/>
      <c r="L105" s="81">
        <v>74</v>
      </c>
    </row>
    <row r="106" spans="1:12" x14ac:dyDescent="0.25">
      <c r="A106" s="82" t="s">
        <v>7198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7198</v>
      </c>
      <c r="K106" s="81"/>
      <c r="L106" s="81">
        <v>75</v>
      </c>
    </row>
    <row r="107" spans="1:12" x14ac:dyDescent="0.25">
      <c r="A107" s="82" t="s">
        <v>7199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7199</v>
      </c>
      <c r="K107" s="81"/>
      <c r="L107" s="81">
        <v>76</v>
      </c>
    </row>
    <row r="108" spans="1:12" x14ac:dyDescent="0.25">
      <c r="A108" s="82" t="s">
        <v>7200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7200</v>
      </c>
      <c r="K108" s="81"/>
      <c r="L108" s="81">
        <v>77</v>
      </c>
    </row>
    <row r="109" spans="1:12" x14ac:dyDescent="0.25">
      <c r="A109" s="82" t="s">
        <v>7201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7201</v>
      </c>
      <c r="K109" s="81"/>
      <c r="L109" s="81">
        <v>78</v>
      </c>
    </row>
    <row r="110" spans="1:12" x14ac:dyDescent="0.25">
      <c r="A110" s="82" t="s">
        <v>7202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7202</v>
      </c>
      <c r="K110" s="81"/>
      <c r="L110" s="81">
        <v>79</v>
      </c>
    </row>
    <row r="111" spans="1:12" x14ac:dyDescent="0.25">
      <c r="A111" s="82" t="s">
        <v>7203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7203</v>
      </c>
      <c r="K111" s="81"/>
      <c r="L111" s="81">
        <v>80</v>
      </c>
    </row>
    <row r="112" spans="1:12" x14ac:dyDescent="0.25">
      <c r="A112" s="82" t="s">
        <v>7204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7204</v>
      </c>
      <c r="K112" s="81"/>
      <c r="L112" s="81">
        <v>81</v>
      </c>
    </row>
    <row r="113" spans="1:12" x14ac:dyDescent="0.25">
      <c r="A113" s="82" t="s">
        <v>7205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7205</v>
      </c>
      <c r="K113" s="81"/>
      <c r="L113" s="81">
        <v>82</v>
      </c>
    </row>
    <row r="114" spans="1:12" x14ac:dyDescent="0.25">
      <c r="A114" s="82" t="s">
        <v>7206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7206</v>
      </c>
      <c r="K114" s="81"/>
      <c r="L114" s="81">
        <v>83</v>
      </c>
    </row>
    <row r="115" spans="1:12" x14ac:dyDescent="0.25">
      <c r="A115" s="82" t="s">
        <v>7207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7207</v>
      </c>
      <c r="K115" s="81"/>
      <c r="L115" s="81">
        <v>84</v>
      </c>
    </row>
    <row r="116" spans="1:12" x14ac:dyDescent="0.25">
      <c r="A116" s="82" t="s">
        <v>7208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7208</v>
      </c>
      <c r="K116" s="81"/>
      <c r="L116" s="81">
        <v>85</v>
      </c>
    </row>
    <row r="117" spans="1:12" x14ac:dyDescent="0.25">
      <c r="A117" s="82" t="s">
        <v>7209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7209</v>
      </c>
      <c r="K117" s="81"/>
      <c r="L117" s="81">
        <v>86</v>
      </c>
    </row>
    <row r="118" spans="1:12" x14ac:dyDescent="0.25">
      <c r="A118" s="82" t="s">
        <v>7210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7210</v>
      </c>
      <c r="K118" s="81"/>
      <c r="L118" s="81">
        <v>87</v>
      </c>
    </row>
    <row r="119" spans="1:12" x14ac:dyDescent="0.25">
      <c r="A119" s="82" t="s">
        <v>7211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7211</v>
      </c>
      <c r="K119" s="81"/>
      <c r="L119" s="81">
        <v>88</v>
      </c>
    </row>
    <row r="120" spans="1:12" x14ac:dyDescent="0.25">
      <c r="A120" s="82" t="s">
        <v>7212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7212</v>
      </c>
      <c r="K120" s="81"/>
      <c r="L120" s="81">
        <v>89</v>
      </c>
    </row>
    <row r="121" spans="1:12" x14ac:dyDescent="0.25">
      <c r="A121" s="82" t="s">
        <v>7213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7213</v>
      </c>
      <c r="K121" s="81"/>
      <c r="L121" s="81">
        <v>90</v>
      </c>
    </row>
    <row r="122" spans="1:12" x14ac:dyDescent="0.25">
      <c r="A122" s="82" t="s">
        <v>7214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7214</v>
      </c>
      <c r="K122" s="81"/>
      <c r="L122" s="81">
        <v>91</v>
      </c>
    </row>
    <row r="123" spans="1:12" x14ac:dyDescent="0.25">
      <c r="A123" s="82" t="s">
        <v>7215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7215</v>
      </c>
      <c r="K123" s="81"/>
      <c r="L123" s="81">
        <v>92</v>
      </c>
    </row>
    <row r="124" spans="1:12" x14ac:dyDescent="0.25">
      <c r="A124" s="82" t="s">
        <v>7216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7216</v>
      </c>
      <c r="K124" s="81"/>
      <c r="L124" s="81">
        <v>93</v>
      </c>
    </row>
    <row r="125" spans="1:12" x14ac:dyDescent="0.25">
      <c r="A125" s="82" t="s">
        <v>7217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7217</v>
      </c>
      <c r="K125" s="81"/>
      <c r="L125" s="81">
        <v>94</v>
      </c>
    </row>
    <row r="126" spans="1:12" x14ac:dyDescent="0.25">
      <c r="A126" s="82" t="s">
        <v>7218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7218</v>
      </c>
      <c r="K126" s="81"/>
      <c r="L126" s="81">
        <v>95</v>
      </c>
    </row>
    <row r="127" spans="1:12" x14ac:dyDescent="0.25">
      <c r="A127" s="82" t="s">
        <v>7219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7219</v>
      </c>
      <c r="K127" s="81"/>
      <c r="L127" s="81">
        <v>96</v>
      </c>
    </row>
    <row r="128" spans="1:12" x14ac:dyDescent="0.25">
      <c r="A128" s="82" t="s">
        <v>7220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7220</v>
      </c>
      <c r="K128" s="81"/>
      <c r="L128" s="81">
        <v>97</v>
      </c>
    </row>
    <row r="129" spans="1:12" x14ac:dyDescent="0.25">
      <c r="A129" s="82" t="s">
        <v>7221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7221</v>
      </c>
      <c r="K129" s="81"/>
      <c r="L129" s="81">
        <v>98</v>
      </c>
    </row>
    <row r="130" spans="1:12" x14ac:dyDescent="0.25">
      <c r="A130" s="82" t="s">
        <v>7222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7222</v>
      </c>
      <c r="K130" s="81"/>
      <c r="L130" s="81">
        <v>99</v>
      </c>
    </row>
    <row r="131" spans="1:12" x14ac:dyDescent="0.25">
      <c r="A131" s="82" t="s">
        <v>7223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7223</v>
      </c>
      <c r="K131" s="81"/>
      <c r="L131" s="81">
        <v>100</v>
      </c>
    </row>
    <row r="132" spans="1:12" x14ac:dyDescent="0.25">
      <c r="A132" s="82" t="s">
        <v>7224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7224</v>
      </c>
      <c r="K132" s="81"/>
      <c r="L132" s="81">
        <v>101</v>
      </c>
    </row>
    <row r="133" spans="1:12" x14ac:dyDescent="0.25">
      <c r="A133" s="82" t="s">
        <v>7225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7225</v>
      </c>
      <c r="K133" s="81"/>
      <c r="L133" s="81">
        <v>102</v>
      </c>
    </row>
    <row r="134" spans="1:12" x14ac:dyDescent="0.25">
      <c r="A134" s="82" t="s">
        <v>7226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7226</v>
      </c>
      <c r="K134" s="81"/>
      <c r="L134" s="81">
        <v>103</v>
      </c>
    </row>
    <row r="135" spans="1:12" x14ac:dyDescent="0.25">
      <c r="A135" s="82" t="s">
        <v>7227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7227</v>
      </c>
      <c r="K135" s="81"/>
      <c r="L135" s="81">
        <v>104</v>
      </c>
    </row>
    <row r="136" spans="1:12" x14ac:dyDescent="0.25">
      <c r="A136" s="82" t="s">
        <v>7228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7228</v>
      </c>
      <c r="K136" s="81"/>
      <c r="L136" s="81">
        <v>105</v>
      </c>
    </row>
    <row r="137" spans="1:12" x14ac:dyDescent="0.25">
      <c r="A137" s="82" t="s">
        <v>7229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7229</v>
      </c>
      <c r="K137" s="81"/>
      <c r="L137" s="81">
        <v>106</v>
      </c>
    </row>
    <row r="138" spans="1:12" x14ac:dyDescent="0.25">
      <c r="A138" s="82" t="s">
        <v>7230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7230</v>
      </c>
      <c r="K138" s="81"/>
      <c r="L138" s="81">
        <v>107</v>
      </c>
    </row>
    <row r="139" spans="1:12" x14ac:dyDescent="0.25">
      <c r="A139" s="82" t="s">
        <v>7231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7231</v>
      </c>
      <c r="K139" s="81"/>
      <c r="L139" s="81">
        <v>108</v>
      </c>
    </row>
    <row r="140" spans="1:12" x14ac:dyDescent="0.25">
      <c r="A140" s="82" t="s">
        <v>7232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7232</v>
      </c>
      <c r="K140" s="81"/>
      <c r="L140" s="81">
        <v>109</v>
      </c>
    </row>
    <row r="141" spans="1:12" x14ac:dyDescent="0.25">
      <c r="A141" s="82" t="s">
        <v>7233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7233</v>
      </c>
      <c r="K141" s="81"/>
      <c r="L141" s="81">
        <v>110</v>
      </c>
    </row>
    <row r="142" spans="1:12" x14ac:dyDescent="0.25">
      <c r="A142" s="82" t="s">
        <v>7234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7234</v>
      </c>
      <c r="K142" s="81"/>
      <c r="L142" s="81">
        <v>111</v>
      </c>
    </row>
    <row r="143" spans="1:12" x14ac:dyDescent="0.25">
      <c r="A143" s="82" t="s">
        <v>7235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7235</v>
      </c>
      <c r="K143" s="81"/>
      <c r="L143" s="81">
        <v>112</v>
      </c>
    </row>
    <row r="144" spans="1:12" x14ac:dyDescent="0.25">
      <c r="A144" s="82" t="s">
        <v>7236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7236</v>
      </c>
      <c r="K144" s="81"/>
      <c r="L144" s="81">
        <v>113</v>
      </c>
    </row>
    <row r="145" spans="1:12" x14ac:dyDescent="0.25">
      <c r="A145" s="82" t="s">
        <v>7237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7237</v>
      </c>
      <c r="K145" s="81"/>
      <c r="L145" s="81">
        <v>114</v>
      </c>
    </row>
    <row r="146" spans="1:12" x14ac:dyDescent="0.25">
      <c r="A146" s="82" t="s">
        <v>7238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7238</v>
      </c>
      <c r="K146" s="81"/>
      <c r="L146" s="81">
        <v>115</v>
      </c>
    </row>
    <row r="147" spans="1:12" x14ac:dyDescent="0.25">
      <c r="A147" s="82" t="s">
        <v>7239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7239</v>
      </c>
      <c r="K147" s="81"/>
      <c r="L147" s="81">
        <v>116</v>
      </c>
    </row>
    <row r="148" spans="1:12" x14ac:dyDescent="0.25">
      <c r="A148" s="82" t="s">
        <v>7240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7240</v>
      </c>
      <c r="K148" s="81"/>
      <c r="L148" s="81">
        <v>117</v>
      </c>
    </row>
    <row r="149" spans="1:12" x14ac:dyDescent="0.25">
      <c r="A149" s="82" t="s">
        <v>7241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7241</v>
      </c>
      <c r="K149" s="81"/>
      <c r="L149" s="81">
        <v>118</v>
      </c>
    </row>
    <row r="150" spans="1:12" x14ac:dyDescent="0.25">
      <c r="A150" s="82" t="s">
        <v>7242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7242</v>
      </c>
      <c r="K150" s="81"/>
      <c r="L150" s="81">
        <v>119</v>
      </c>
    </row>
    <row r="151" spans="1:12" x14ac:dyDescent="0.25">
      <c r="A151" s="82" t="s">
        <v>7243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7243</v>
      </c>
      <c r="K151" s="81"/>
      <c r="L151" s="81">
        <v>120</v>
      </c>
    </row>
    <row r="152" spans="1:12" x14ac:dyDescent="0.25">
      <c r="A152" s="82" t="s">
        <v>7244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7244</v>
      </c>
      <c r="K152" s="81"/>
      <c r="L152" s="81">
        <v>121</v>
      </c>
    </row>
    <row r="153" spans="1:12" x14ac:dyDescent="0.25">
      <c r="A153" s="82" t="s">
        <v>7245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7245</v>
      </c>
      <c r="K153" s="81"/>
      <c r="L153" s="81">
        <v>122</v>
      </c>
    </row>
    <row r="154" spans="1:12" x14ac:dyDescent="0.25">
      <c r="A154" s="82" t="s">
        <v>7246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7246</v>
      </c>
      <c r="K154" s="81"/>
      <c r="L154" s="81">
        <v>123</v>
      </c>
    </row>
    <row r="155" spans="1:12" x14ac:dyDescent="0.25">
      <c r="A155" s="82" t="s">
        <v>7247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7247</v>
      </c>
      <c r="K155" s="81"/>
      <c r="L155" s="81">
        <v>124</v>
      </c>
    </row>
    <row r="156" spans="1:12" x14ac:dyDescent="0.25">
      <c r="A156" s="82" t="s">
        <v>7248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7248</v>
      </c>
      <c r="K156" s="81"/>
      <c r="L156" s="81">
        <v>125</v>
      </c>
    </row>
    <row r="157" spans="1:12" x14ac:dyDescent="0.25">
      <c r="A157" s="82" t="s">
        <v>7249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7249</v>
      </c>
      <c r="K157" s="81"/>
      <c r="L157" s="81">
        <v>126</v>
      </c>
    </row>
    <row r="158" spans="1:12" x14ac:dyDescent="0.25">
      <c r="A158" s="82" t="s">
        <v>7250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7250</v>
      </c>
      <c r="K158" s="81"/>
      <c r="L158" s="81">
        <v>127</v>
      </c>
    </row>
    <row r="159" spans="1:12" x14ac:dyDescent="0.25">
      <c r="A159" s="82" t="s">
        <v>7251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7251</v>
      </c>
      <c r="K159" s="81"/>
      <c r="L159" s="81">
        <v>128</v>
      </c>
    </row>
    <row r="160" spans="1:12" x14ac:dyDescent="0.25">
      <c r="A160" s="82" t="s">
        <v>7252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7252</v>
      </c>
      <c r="K160" s="81"/>
      <c r="L160" s="81">
        <v>129</v>
      </c>
    </row>
    <row r="161" spans="1:12" x14ac:dyDescent="0.25">
      <c r="A161" s="82" t="s">
        <v>7253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7253</v>
      </c>
      <c r="K161" s="81"/>
      <c r="L161" s="81">
        <v>130</v>
      </c>
    </row>
    <row r="162" spans="1:12" x14ac:dyDescent="0.25">
      <c r="A162" s="82" t="s">
        <v>7254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7254</v>
      </c>
      <c r="K162" s="81"/>
      <c r="L162" s="81">
        <v>131</v>
      </c>
    </row>
    <row r="163" spans="1:12" x14ac:dyDescent="0.25">
      <c r="A163" s="82" t="s">
        <v>7255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7255</v>
      </c>
      <c r="K163" s="81"/>
      <c r="L163" s="81">
        <v>132</v>
      </c>
    </row>
    <row r="164" spans="1:12" x14ac:dyDescent="0.25">
      <c r="A164" s="82" t="s">
        <v>7256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7256</v>
      </c>
      <c r="K164" s="81"/>
      <c r="L164" s="81">
        <v>133</v>
      </c>
    </row>
    <row r="165" spans="1:12" x14ac:dyDescent="0.25">
      <c r="A165" s="82" t="s">
        <v>7257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7257</v>
      </c>
      <c r="K165" s="81"/>
      <c r="L165" s="81">
        <v>134</v>
      </c>
    </row>
    <row r="166" spans="1:12" x14ac:dyDescent="0.25">
      <c r="A166" s="82" t="s">
        <v>7258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7258</v>
      </c>
      <c r="K166" s="81"/>
      <c r="L166" s="81">
        <v>135</v>
      </c>
    </row>
    <row r="167" spans="1:12" x14ac:dyDescent="0.25">
      <c r="A167" s="82" t="s">
        <v>7259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7259</v>
      </c>
      <c r="K167" s="81"/>
      <c r="L167" s="81">
        <v>136</v>
      </c>
    </row>
    <row r="168" spans="1:12" x14ac:dyDescent="0.25">
      <c r="A168" s="82" t="s">
        <v>7260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7260</v>
      </c>
      <c r="K168" s="81"/>
      <c r="L168" s="81">
        <v>137</v>
      </c>
    </row>
    <row r="169" spans="1:12" x14ac:dyDescent="0.25">
      <c r="A169" s="82" t="s">
        <v>7261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7261</v>
      </c>
      <c r="K169" s="81"/>
      <c r="L169" s="81">
        <v>138</v>
      </c>
    </row>
    <row r="170" spans="1:12" x14ac:dyDescent="0.25">
      <c r="A170" s="82" t="s">
        <v>7262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7262</v>
      </c>
      <c r="K170" s="81"/>
      <c r="L170" s="81">
        <v>139</v>
      </c>
    </row>
    <row r="171" spans="1:12" x14ac:dyDescent="0.25">
      <c r="A171" s="82" t="s">
        <v>7263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7263</v>
      </c>
      <c r="K171" s="81"/>
      <c r="L171" s="81">
        <v>140</v>
      </c>
    </row>
    <row r="172" spans="1:12" x14ac:dyDescent="0.25">
      <c r="A172" s="82" t="s">
        <v>7264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7264</v>
      </c>
      <c r="K172" s="81"/>
      <c r="L172" s="81">
        <v>141</v>
      </c>
    </row>
    <row r="173" spans="1:12" x14ac:dyDescent="0.25">
      <c r="A173" s="82" t="s">
        <v>7265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7265</v>
      </c>
      <c r="K173" s="81"/>
      <c r="L173" s="81">
        <v>142</v>
      </c>
    </row>
    <row r="174" spans="1:12" x14ac:dyDescent="0.25">
      <c r="A174" s="82" t="s">
        <v>7266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7266</v>
      </c>
      <c r="K174" s="81"/>
      <c r="L174" s="81">
        <v>143</v>
      </c>
    </row>
    <row r="175" spans="1:12" x14ac:dyDescent="0.25">
      <c r="A175" s="82" t="s">
        <v>7267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7267</v>
      </c>
      <c r="K175" s="81"/>
      <c r="L175" s="81">
        <v>144</v>
      </c>
    </row>
    <row r="176" spans="1:12" x14ac:dyDescent="0.25">
      <c r="A176" s="82" t="s">
        <v>7268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7268</v>
      </c>
      <c r="K176" s="81"/>
      <c r="L176" s="81">
        <v>145</v>
      </c>
    </row>
    <row r="177" spans="1:12" x14ac:dyDescent="0.25">
      <c r="A177" s="82" t="s">
        <v>7269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7269</v>
      </c>
      <c r="K177" s="81"/>
      <c r="L177" s="81">
        <v>146</v>
      </c>
    </row>
    <row r="178" spans="1:12" x14ac:dyDescent="0.25">
      <c r="A178" s="82" t="s">
        <v>7270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7270</v>
      </c>
      <c r="K178" s="81"/>
      <c r="L178" s="81">
        <v>147</v>
      </c>
    </row>
    <row r="179" spans="1:12" x14ac:dyDescent="0.25">
      <c r="A179" s="82" t="s">
        <v>7271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7271</v>
      </c>
      <c r="K179" s="81"/>
      <c r="L179" s="81">
        <v>148</v>
      </c>
    </row>
    <row r="180" spans="1:12" x14ac:dyDescent="0.25">
      <c r="A180" s="82" t="s">
        <v>7272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7272</v>
      </c>
      <c r="K180" s="81"/>
      <c r="L180" s="81">
        <v>149</v>
      </c>
    </row>
    <row r="181" spans="1:12" x14ac:dyDescent="0.25">
      <c r="A181" s="82" t="s">
        <v>7273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7273</v>
      </c>
      <c r="K181" s="81"/>
      <c r="L181" s="81">
        <v>150</v>
      </c>
    </row>
    <row r="182" spans="1:12" x14ac:dyDescent="0.25">
      <c r="A182" s="82" t="s">
        <v>7274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7274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K6" sqref="K6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7278</v>
      </c>
      <c r="B1" s="78" t="s">
        <v>7281</v>
      </c>
      <c r="C1" s="78" t="s">
        <v>7305</v>
      </c>
    </row>
    <row r="2" spans="1:3" x14ac:dyDescent="0.25">
      <c r="A2" s="79" t="s">
        <v>7279</v>
      </c>
      <c r="B2" s="79" t="s">
        <v>7282</v>
      </c>
      <c r="C2" s="79" t="s">
        <v>12747</v>
      </c>
    </row>
    <row r="3" spans="1:3" x14ac:dyDescent="0.25">
      <c r="A3" s="80" t="s">
        <v>14291</v>
      </c>
      <c r="B3" s="80" t="s">
        <v>12510</v>
      </c>
      <c r="C3" s="80" t="s">
        <v>12748</v>
      </c>
    </row>
    <row r="4" spans="1:3" x14ac:dyDescent="0.25">
      <c r="A4" s="79" t="s">
        <v>14292</v>
      </c>
      <c r="B4" s="79" t="s">
        <v>7283</v>
      </c>
      <c r="C4" s="79" t="s">
        <v>12749</v>
      </c>
    </row>
    <row r="5" spans="1:3" x14ac:dyDescent="0.25">
      <c r="A5" s="80" t="s">
        <v>7280</v>
      </c>
      <c r="B5" s="80" t="s">
        <v>7284</v>
      </c>
      <c r="C5" s="80" t="s">
        <v>13386</v>
      </c>
    </row>
    <row r="6" spans="1:3" x14ac:dyDescent="0.25">
      <c r="A6" s="79" t="s">
        <v>15147</v>
      </c>
      <c r="B6" s="79" t="s">
        <v>7285</v>
      </c>
      <c r="C6" s="79" t="s">
        <v>13387</v>
      </c>
    </row>
    <row r="7" spans="1:3" x14ac:dyDescent="0.25">
      <c r="A7" s="80"/>
      <c r="B7" s="80" t="s">
        <v>7286</v>
      </c>
      <c r="C7" s="80"/>
    </row>
    <row r="8" spans="1:3" x14ac:dyDescent="0.25">
      <c r="A8" s="79"/>
      <c r="B8" s="79" t="s">
        <v>7287</v>
      </c>
      <c r="C8" s="79"/>
    </row>
    <row r="9" spans="1:3" x14ac:dyDescent="0.25">
      <c r="A9" s="80"/>
      <c r="B9" s="80" t="s">
        <v>7288</v>
      </c>
      <c r="C9" s="80"/>
    </row>
    <row r="10" spans="1:3" x14ac:dyDescent="0.25">
      <c r="A10" s="79"/>
      <c r="B10" s="79" t="s">
        <v>7289</v>
      </c>
      <c r="C10" s="79"/>
    </row>
    <row r="11" spans="1:3" x14ac:dyDescent="0.25">
      <c r="A11" s="80"/>
      <c r="B11" s="80" t="s">
        <v>7290</v>
      </c>
      <c r="C11" s="80"/>
    </row>
    <row r="12" spans="1:3" x14ac:dyDescent="0.25">
      <c r="A12" s="79"/>
      <c r="B12" s="79" t="s">
        <v>7291</v>
      </c>
      <c r="C12" s="79"/>
    </row>
    <row r="13" spans="1:3" x14ac:dyDescent="0.25">
      <c r="A13" s="80"/>
      <c r="B13" s="80" t="s">
        <v>7292</v>
      </c>
      <c r="C13" s="80"/>
    </row>
    <row r="14" spans="1:3" x14ac:dyDescent="0.25">
      <c r="A14" s="79"/>
      <c r="B14" s="79" t="s">
        <v>7293</v>
      </c>
      <c r="C14" s="79"/>
    </row>
    <row r="15" spans="1:3" x14ac:dyDescent="0.25">
      <c r="A15" s="80"/>
      <c r="B15" s="80" t="s">
        <v>7294</v>
      </c>
      <c r="C15" s="80"/>
    </row>
    <row r="16" spans="1:3" x14ac:dyDescent="0.25">
      <c r="A16" s="79"/>
      <c r="B16" s="79" t="s">
        <v>7295</v>
      </c>
      <c r="C16" s="79"/>
    </row>
    <row r="17" spans="1:3" x14ac:dyDescent="0.25">
      <c r="A17" s="80"/>
      <c r="B17" s="80" t="s">
        <v>7296</v>
      </c>
      <c r="C17" s="80"/>
    </row>
    <row r="18" spans="1:3" x14ac:dyDescent="0.25">
      <c r="A18" s="79"/>
      <c r="B18" s="79" t="s">
        <v>7297</v>
      </c>
      <c r="C18" s="79"/>
    </row>
    <row r="19" spans="1:3" x14ac:dyDescent="0.25">
      <c r="A19" s="80"/>
      <c r="B19" s="80" t="s">
        <v>7298</v>
      </c>
      <c r="C19" s="80"/>
    </row>
    <row r="20" spans="1:3" x14ac:dyDescent="0.25">
      <c r="A20" s="79"/>
      <c r="B20" s="79" t="s">
        <v>7299</v>
      </c>
      <c r="C20" s="79"/>
    </row>
    <row r="21" spans="1:3" x14ac:dyDescent="0.25">
      <c r="A21" s="80"/>
      <c r="B21" s="80" t="s">
        <v>7300</v>
      </c>
      <c r="C21" s="80"/>
    </row>
    <row r="22" spans="1:3" x14ac:dyDescent="0.25">
      <c r="A22" s="79"/>
      <c r="B22" s="79" t="s">
        <v>7301</v>
      </c>
      <c r="C22" s="79"/>
    </row>
    <row r="23" spans="1:3" x14ac:dyDescent="0.25">
      <c r="A23" s="80"/>
      <c r="B23" s="80" t="s">
        <v>7302</v>
      </c>
      <c r="C23" s="80"/>
    </row>
    <row r="24" spans="1:3" x14ac:dyDescent="0.25">
      <c r="A24" s="79"/>
      <c r="B24" s="79" t="s">
        <v>7304</v>
      </c>
      <c r="C24" s="79"/>
    </row>
    <row r="25" spans="1:3" x14ac:dyDescent="0.25">
      <c r="A25" s="80"/>
      <c r="B25" s="80" t="s">
        <v>7303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12486</v>
      </c>
      <c r="B2" s="34" t="s">
        <v>12487</v>
      </c>
    </row>
    <row r="3" spans="1:2" x14ac:dyDescent="0.25">
      <c r="A3" s="35" t="s">
        <v>12488</v>
      </c>
      <c r="B3" s="36">
        <v>20355</v>
      </c>
    </row>
    <row r="4" spans="1:2" x14ac:dyDescent="0.25">
      <c r="A4" s="35" t="s">
        <v>12489</v>
      </c>
      <c r="B4" s="36" t="s">
        <v>12490</v>
      </c>
    </row>
    <row r="5" spans="1:2" x14ac:dyDescent="0.25">
      <c r="A5" s="35" t="s">
        <v>12491</v>
      </c>
      <c r="B5" s="37">
        <v>30535195869</v>
      </c>
    </row>
    <row r="6" spans="1:2" x14ac:dyDescent="0.25">
      <c r="A6" s="35" t="s">
        <v>7310</v>
      </c>
      <c r="B6" s="36" t="s">
        <v>12492</v>
      </c>
    </row>
    <row r="7" spans="1:2" x14ac:dyDescent="0.25">
      <c r="A7" s="35" t="s">
        <v>12493</v>
      </c>
      <c r="B7" s="36">
        <v>1665</v>
      </c>
    </row>
    <row r="8" spans="1:2" x14ac:dyDescent="0.25">
      <c r="A8" s="35" t="s">
        <v>12494</v>
      </c>
      <c r="B8" s="36" t="s">
        <v>7293</v>
      </c>
    </row>
    <row r="9" spans="1:2" x14ac:dyDescent="0.25">
      <c r="A9" s="35" t="s">
        <v>7277</v>
      </c>
      <c r="B9" s="36" t="s">
        <v>7293</v>
      </c>
    </row>
    <row r="10" spans="1:2" x14ac:dyDescent="0.25">
      <c r="A10" s="35" t="s">
        <v>12495</v>
      </c>
      <c r="B10" s="38">
        <v>5500</v>
      </c>
    </row>
    <row r="11" spans="1:2" x14ac:dyDescent="0.25">
      <c r="A11" s="35" t="s">
        <v>12496</v>
      </c>
      <c r="B11" s="39" t="s">
        <v>12497</v>
      </c>
    </row>
    <row r="12" spans="1:2" x14ac:dyDescent="0.25">
      <c r="A12" s="35" t="s">
        <v>12498</v>
      </c>
      <c r="B12" s="38" t="s">
        <v>12499</v>
      </c>
    </row>
    <row r="13" spans="1:2" x14ac:dyDescent="0.25">
      <c r="A13" s="35" t="s">
        <v>13189</v>
      </c>
      <c r="B13" s="38" t="s">
        <v>13190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89"/>
  <sheetViews>
    <sheetView topLeftCell="A9463" workbookViewId="0">
      <selection activeCell="A9489" sqref="A948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13382</v>
      </c>
      <c r="B1" s="181" t="s">
        <v>13179</v>
      </c>
      <c r="C1" s="181" t="s">
        <v>13246</v>
      </c>
      <c r="D1" s="181" t="s">
        <v>13246</v>
      </c>
    </row>
    <row r="2" spans="1:4" x14ac:dyDescent="0.25">
      <c r="A2" s="180" t="str">
        <f t="shared" ref="A2:A62" si="0">IFERROR(B2*1,"")</f>
        <v/>
      </c>
      <c r="B2" s="188" t="s">
        <v>14294</v>
      </c>
      <c r="C2" s="189" t="s">
        <v>14295</v>
      </c>
    </row>
    <row r="3" spans="1:4" x14ac:dyDescent="0.25">
      <c r="A3" s="180" t="str">
        <f t="shared" si="0"/>
        <v/>
      </c>
      <c r="B3" s="188" t="s">
        <v>14296</v>
      </c>
      <c r="C3" s="189"/>
    </row>
    <row r="4" spans="1:4" x14ac:dyDescent="0.25">
      <c r="A4" s="180" t="str">
        <f t="shared" si="0"/>
        <v/>
      </c>
      <c r="B4" s="188" t="s">
        <v>14297</v>
      </c>
      <c r="C4" s="189"/>
    </row>
    <row r="5" spans="1:4" x14ac:dyDescent="0.25">
      <c r="A5" s="180" t="str">
        <f t="shared" si="0"/>
        <v/>
      </c>
      <c r="B5" s="188" t="s">
        <v>14298</v>
      </c>
      <c r="C5" s="189"/>
    </row>
    <row r="6" spans="1:4" x14ac:dyDescent="0.25">
      <c r="A6" s="180" t="str">
        <f t="shared" si="0"/>
        <v/>
      </c>
      <c r="B6" s="188" t="s">
        <v>14299</v>
      </c>
      <c r="C6" s="189"/>
    </row>
    <row r="7" spans="1:4" x14ac:dyDescent="0.25">
      <c r="A7" s="180" t="str">
        <f t="shared" si="0"/>
        <v/>
      </c>
      <c r="B7" s="188" t="s">
        <v>14300</v>
      </c>
      <c r="C7" s="189"/>
    </row>
    <row r="8" spans="1:4" x14ac:dyDescent="0.25">
      <c r="A8" s="180" t="str">
        <f t="shared" si="0"/>
        <v/>
      </c>
      <c r="B8" s="188" t="s">
        <v>14301</v>
      </c>
      <c r="C8" s="189"/>
    </row>
    <row r="9" spans="1:4" x14ac:dyDescent="0.25">
      <c r="A9" s="180" t="str">
        <f t="shared" si="0"/>
        <v/>
      </c>
      <c r="B9" s="188" t="s">
        <v>14302</v>
      </c>
      <c r="C9" s="189"/>
    </row>
    <row r="10" spans="1:4" x14ac:dyDescent="0.25">
      <c r="A10" s="180" t="str">
        <f t="shared" si="0"/>
        <v/>
      </c>
      <c r="B10" s="188" t="s">
        <v>14303</v>
      </c>
      <c r="C10" s="189"/>
    </row>
    <row r="11" spans="1:4" x14ac:dyDescent="0.25">
      <c r="A11" s="180" t="str">
        <f t="shared" si="0"/>
        <v/>
      </c>
      <c r="B11" s="188" t="s">
        <v>14304</v>
      </c>
      <c r="C11" s="188"/>
    </row>
    <row r="12" spans="1:4" x14ac:dyDescent="0.25">
      <c r="A12" s="180" t="str">
        <f t="shared" si="0"/>
        <v/>
      </c>
      <c r="B12" s="188" t="s">
        <v>14305</v>
      </c>
      <c r="C12" s="189"/>
    </row>
    <row r="13" spans="1:4" x14ac:dyDescent="0.25">
      <c r="A13" s="180" t="str">
        <f t="shared" si="0"/>
        <v/>
      </c>
      <c r="B13" s="188" t="s">
        <v>14306</v>
      </c>
      <c r="C13" s="189" t="s">
        <v>14307</v>
      </c>
    </row>
    <row r="14" spans="1:4" x14ac:dyDescent="0.25">
      <c r="A14" s="180" t="str">
        <f t="shared" si="0"/>
        <v/>
      </c>
      <c r="B14" s="188" t="s">
        <v>14308</v>
      </c>
      <c r="C14" s="189"/>
    </row>
    <row r="15" spans="1:4" x14ac:dyDescent="0.25">
      <c r="A15" s="180" t="str">
        <f t="shared" si="0"/>
        <v/>
      </c>
      <c r="B15" s="188" t="s">
        <v>14309</v>
      </c>
      <c r="C15" s="189"/>
    </row>
    <row r="16" spans="1:4" x14ac:dyDescent="0.25">
      <c r="A16" s="180" t="str">
        <f t="shared" si="0"/>
        <v/>
      </c>
      <c r="B16" s="188" t="s">
        <v>14310</v>
      </c>
      <c r="C16" s="189"/>
    </row>
    <row r="17" spans="1:3" x14ac:dyDescent="0.25">
      <c r="A17" s="180" t="str">
        <f t="shared" si="0"/>
        <v/>
      </c>
      <c r="B17" s="188" t="s">
        <v>14311</v>
      </c>
      <c r="C17" s="189"/>
    </row>
    <row r="18" spans="1:3" x14ac:dyDescent="0.25">
      <c r="A18" s="180" t="str">
        <f t="shared" si="0"/>
        <v/>
      </c>
      <c r="B18" s="188" t="s">
        <v>14312</v>
      </c>
      <c r="C18" s="188"/>
    </row>
    <row r="19" spans="1:3" x14ac:dyDescent="0.25">
      <c r="A19" s="180" t="str">
        <f t="shared" si="0"/>
        <v/>
      </c>
      <c r="B19" s="188" t="s">
        <v>14313</v>
      </c>
      <c r="C19" s="189"/>
    </row>
    <row r="20" spans="1:3" x14ac:dyDescent="0.25">
      <c r="A20" s="180" t="str">
        <f t="shared" si="0"/>
        <v/>
      </c>
      <c r="B20" s="188" t="s">
        <v>14314</v>
      </c>
      <c r="C20" s="188" t="s">
        <v>14315</v>
      </c>
    </row>
    <row r="21" spans="1:3" x14ac:dyDescent="0.25">
      <c r="A21" s="180" t="str">
        <f t="shared" si="0"/>
        <v/>
      </c>
      <c r="B21" s="188" t="s">
        <v>14316</v>
      </c>
      <c r="C21" s="188"/>
    </row>
    <row r="22" spans="1:3" x14ac:dyDescent="0.25">
      <c r="A22" s="180">
        <f t="shared" si="0"/>
        <v>120</v>
      </c>
      <c r="B22" s="188" t="s">
        <v>14317</v>
      </c>
      <c r="C22" s="188" t="s">
        <v>14318</v>
      </c>
    </row>
    <row r="23" spans="1:3" x14ac:dyDescent="0.25">
      <c r="A23" s="180">
        <f t="shared" si="0"/>
        <v>123</v>
      </c>
      <c r="B23" s="188" t="s">
        <v>14319</v>
      </c>
      <c r="C23" s="188" t="s">
        <v>14320</v>
      </c>
    </row>
    <row r="24" spans="1:3" x14ac:dyDescent="0.25">
      <c r="A24" s="180">
        <f t="shared" si="0"/>
        <v>124</v>
      </c>
      <c r="B24" s="188" t="s">
        <v>14321</v>
      </c>
      <c r="C24" s="188" t="s">
        <v>14322</v>
      </c>
    </row>
    <row r="25" spans="1:3" x14ac:dyDescent="0.25">
      <c r="A25" s="180">
        <f t="shared" si="0"/>
        <v>126</v>
      </c>
      <c r="B25" s="188" t="s">
        <v>14323</v>
      </c>
      <c r="C25" s="188" t="s">
        <v>14324</v>
      </c>
    </row>
    <row r="26" spans="1:3" x14ac:dyDescent="0.25">
      <c r="A26" s="180">
        <f t="shared" si="0"/>
        <v>127</v>
      </c>
      <c r="B26" s="188" t="s">
        <v>14325</v>
      </c>
      <c r="C26" s="188" t="s">
        <v>14326</v>
      </c>
    </row>
    <row r="27" spans="1:3" x14ac:dyDescent="0.25">
      <c r="A27" s="180">
        <f t="shared" si="0"/>
        <v>128</v>
      </c>
      <c r="B27" s="188" t="s">
        <v>14327</v>
      </c>
      <c r="C27" s="188" t="s">
        <v>14328</v>
      </c>
    </row>
    <row r="28" spans="1:3" x14ac:dyDescent="0.25">
      <c r="A28" s="180">
        <f t="shared" si="0"/>
        <v>129</v>
      </c>
      <c r="B28" s="188" t="s">
        <v>14329</v>
      </c>
      <c r="C28" s="188" t="s">
        <v>14330</v>
      </c>
    </row>
    <row r="29" spans="1:3" x14ac:dyDescent="0.25">
      <c r="A29" s="180">
        <f t="shared" si="0"/>
        <v>1</v>
      </c>
      <c r="B29" s="188" t="s">
        <v>3</v>
      </c>
      <c r="C29" s="188" t="s">
        <v>14331</v>
      </c>
    </row>
    <row r="30" spans="1:3" x14ac:dyDescent="0.25">
      <c r="A30" s="180">
        <f t="shared" si="0"/>
        <v>1</v>
      </c>
      <c r="B30" s="188" t="s">
        <v>14332</v>
      </c>
      <c r="C30" s="188" t="s">
        <v>14333</v>
      </c>
    </row>
    <row r="31" spans="1:3" x14ac:dyDescent="0.25">
      <c r="A31" s="180">
        <f t="shared" si="0"/>
        <v>10</v>
      </c>
      <c r="B31" s="188" t="s">
        <v>4</v>
      </c>
      <c r="C31" s="188" t="s">
        <v>14334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13411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13412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13411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13411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13411</v>
      </c>
    </row>
    <row r="43" spans="1:4" x14ac:dyDescent="0.25">
      <c r="A43" s="180">
        <f t="shared" si="0"/>
        <v>1000809</v>
      </c>
      <c r="B43" s="188" t="s">
        <v>31</v>
      </c>
      <c r="C43" s="188" t="s">
        <v>12638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13248</v>
      </c>
      <c r="C46" s="188" t="s">
        <v>13249</v>
      </c>
      <c r="D46" t="s">
        <v>13411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9" t="s">
        <v>47</v>
      </c>
    </row>
    <row r="53" spans="1:4" x14ac:dyDescent="0.25">
      <c r="A53" s="180" t="str">
        <f t="shared" si="0"/>
        <v/>
      </c>
      <c r="B53" s="188" t="s">
        <v>14335</v>
      </c>
      <c r="C53" s="189"/>
    </row>
    <row r="54" spans="1:4" x14ac:dyDescent="0.25">
      <c r="A54" s="180" t="str">
        <f t="shared" si="0"/>
        <v/>
      </c>
      <c r="B54" s="188" t="s">
        <v>14336</v>
      </c>
      <c r="C54" s="188"/>
    </row>
    <row r="55" spans="1:4" x14ac:dyDescent="0.25">
      <c r="A55" s="180" t="str">
        <f t="shared" si="0"/>
        <v/>
      </c>
      <c r="B55" s="188" t="s">
        <v>14337</v>
      </c>
      <c r="C55" s="188" t="s">
        <v>14338</v>
      </c>
    </row>
    <row r="56" spans="1:4" x14ac:dyDescent="0.25">
      <c r="A56" s="180" t="str">
        <f t="shared" si="0"/>
        <v/>
      </c>
      <c r="B56" s="188" t="s">
        <v>14339</v>
      </c>
      <c r="C56" s="188" t="s">
        <v>14340</v>
      </c>
    </row>
    <row r="57" spans="1:4" x14ac:dyDescent="0.25">
      <c r="A57" s="180" t="str">
        <f t="shared" si="0"/>
        <v/>
      </c>
      <c r="B57" s="188" t="s">
        <v>14341</v>
      </c>
      <c r="C57" s="189" t="s">
        <v>14342</v>
      </c>
    </row>
    <row r="58" spans="1:4" x14ac:dyDescent="0.25">
      <c r="A58" s="180" t="str">
        <f t="shared" si="0"/>
        <v/>
      </c>
      <c r="B58" s="188" t="s">
        <v>14343</v>
      </c>
      <c r="C58" s="188"/>
    </row>
    <row r="59" spans="1:4" x14ac:dyDescent="0.25">
      <c r="A59" s="180" t="str">
        <f t="shared" si="0"/>
        <v/>
      </c>
      <c r="B59" s="188" t="s">
        <v>14344</v>
      </c>
      <c r="C59" s="189" t="s">
        <v>14345</v>
      </c>
    </row>
    <row r="60" spans="1:4" x14ac:dyDescent="0.25">
      <c r="A60" s="180" t="str">
        <f t="shared" si="0"/>
        <v/>
      </c>
      <c r="B60" s="188" t="s">
        <v>14346</v>
      </c>
      <c r="C60" s="189"/>
    </row>
    <row r="61" spans="1:4" x14ac:dyDescent="0.25">
      <c r="A61" s="180" t="str">
        <f t="shared" si="0"/>
        <v/>
      </c>
      <c r="B61" s="188" t="s">
        <v>14347</v>
      </c>
      <c r="C61" s="188"/>
    </row>
    <row r="62" spans="1:4" x14ac:dyDescent="0.25">
      <c r="A62" s="180" t="str">
        <f t="shared" si="0"/>
        <v/>
      </c>
      <c r="B62" s="188" t="s">
        <v>14348</v>
      </c>
      <c r="C62" s="188" t="s">
        <v>14349</v>
      </c>
    </row>
    <row r="63" spans="1:4" x14ac:dyDescent="0.25">
      <c r="A63" s="180">
        <f t="shared" ref="A63:A126" si="1">IFERROR(B63*1,"")</f>
        <v>1120001</v>
      </c>
      <c r="B63" s="188" t="s">
        <v>49</v>
      </c>
      <c r="C63" s="188" t="s">
        <v>50</v>
      </c>
      <c r="D63" t="s">
        <v>13411</v>
      </c>
    </row>
    <row r="64" spans="1:4" x14ac:dyDescent="0.25">
      <c r="A64" s="180">
        <f t="shared" si="1"/>
        <v>1120002</v>
      </c>
      <c r="B64" s="188" t="s">
        <v>51</v>
      </c>
      <c r="C64" s="188" t="s">
        <v>52</v>
      </c>
      <c r="D64" t="s">
        <v>13411</v>
      </c>
    </row>
    <row r="65" spans="1:4" x14ac:dyDescent="0.25">
      <c r="A65" s="180">
        <f t="shared" si="1"/>
        <v>1120003</v>
      </c>
      <c r="B65" s="188" t="s">
        <v>53</v>
      </c>
      <c r="C65" s="188" t="s">
        <v>54</v>
      </c>
      <c r="D65" t="s">
        <v>13411</v>
      </c>
    </row>
    <row r="66" spans="1:4" x14ac:dyDescent="0.25">
      <c r="A66" s="180">
        <f t="shared" si="1"/>
        <v>1120004</v>
      </c>
      <c r="B66" s="188" t="s">
        <v>55</v>
      </c>
      <c r="C66" s="188" t="s">
        <v>56</v>
      </c>
      <c r="D66" t="s">
        <v>13411</v>
      </c>
    </row>
    <row r="67" spans="1:4" x14ac:dyDescent="0.25">
      <c r="A67" s="180">
        <f t="shared" si="1"/>
        <v>1120005</v>
      </c>
      <c r="B67" s="188" t="s">
        <v>57</v>
      </c>
      <c r="C67" s="188" t="s">
        <v>58</v>
      </c>
      <c r="D67" t="s">
        <v>13411</v>
      </c>
    </row>
    <row r="68" spans="1:4" x14ac:dyDescent="0.25">
      <c r="A68" s="180">
        <f t="shared" si="1"/>
        <v>1120006</v>
      </c>
      <c r="B68" s="188" t="s">
        <v>59</v>
      </c>
      <c r="C68" s="188" t="s">
        <v>60</v>
      </c>
      <c r="D68" t="s">
        <v>13411</v>
      </c>
    </row>
    <row r="69" spans="1:4" x14ac:dyDescent="0.25">
      <c r="A69" s="180">
        <f t="shared" si="1"/>
        <v>1120007</v>
      </c>
      <c r="B69" s="188" t="s">
        <v>61</v>
      </c>
      <c r="C69" s="188" t="s">
        <v>62</v>
      </c>
      <c r="D69" t="s">
        <v>13411</v>
      </c>
    </row>
    <row r="70" spans="1:4" x14ac:dyDescent="0.25">
      <c r="A70" s="180">
        <f t="shared" si="1"/>
        <v>1120008</v>
      </c>
      <c r="B70" s="188" t="s">
        <v>63</v>
      </c>
      <c r="C70" s="188" t="s">
        <v>64</v>
      </c>
    </row>
    <row r="71" spans="1:4" x14ac:dyDescent="0.25">
      <c r="A71" s="180">
        <f t="shared" si="1"/>
        <v>1120009</v>
      </c>
      <c r="B71" s="188" t="s">
        <v>13976</v>
      </c>
      <c r="C71" s="188" t="s">
        <v>13977</v>
      </c>
      <c r="D71" t="s">
        <v>14909</v>
      </c>
    </row>
    <row r="72" spans="1:4" x14ac:dyDescent="0.25">
      <c r="A72" s="180">
        <f t="shared" si="1"/>
        <v>1120010</v>
      </c>
      <c r="B72" s="188" t="s">
        <v>65</v>
      </c>
      <c r="C72" s="188" t="s">
        <v>13978</v>
      </c>
      <c r="D72" t="s">
        <v>14909</v>
      </c>
    </row>
    <row r="73" spans="1:4" x14ac:dyDescent="0.25">
      <c r="A73" s="180">
        <f t="shared" si="1"/>
        <v>1120011</v>
      </c>
      <c r="B73" s="188" t="s">
        <v>67</v>
      </c>
      <c r="C73" s="188" t="s">
        <v>6766</v>
      </c>
      <c r="D73" t="s">
        <v>13411</v>
      </c>
    </row>
    <row r="74" spans="1:4" x14ac:dyDescent="0.25">
      <c r="A74" s="180">
        <f t="shared" si="1"/>
        <v>1120012</v>
      </c>
      <c r="B74" s="188" t="s">
        <v>68</v>
      </c>
      <c r="C74" s="188" t="s">
        <v>6767</v>
      </c>
      <c r="D74" t="s">
        <v>13411</v>
      </c>
    </row>
    <row r="75" spans="1:4" x14ac:dyDescent="0.25">
      <c r="A75" s="180">
        <f t="shared" si="1"/>
        <v>1120013</v>
      </c>
      <c r="B75" s="188" t="s">
        <v>69</v>
      </c>
      <c r="C75" s="188" t="s">
        <v>70</v>
      </c>
    </row>
    <row r="76" spans="1:4" x14ac:dyDescent="0.25">
      <c r="A76" s="180">
        <f t="shared" si="1"/>
        <v>1120014</v>
      </c>
      <c r="B76" s="188" t="s">
        <v>14141</v>
      </c>
      <c r="C76" s="188" t="s">
        <v>14142</v>
      </c>
      <c r="D76" t="s">
        <v>14909</v>
      </c>
    </row>
    <row r="77" spans="1:4" x14ac:dyDescent="0.25">
      <c r="A77" s="180">
        <f t="shared" si="1"/>
        <v>1120015</v>
      </c>
      <c r="B77" s="188" t="s">
        <v>14143</v>
      </c>
      <c r="C77" s="188" t="s">
        <v>14144</v>
      </c>
      <c r="D77" t="s">
        <v>14909</v>
      </c>
    </row>
    <row r="78" spans="1:4" x14ac:dyDescent="0.25">
      <c r="A78" s="180">
        <f t="shared" si="1"/>
        <v>1120016</v>
      </c>
      <c r="B78" s="188" t="s">
        <v>14145</v>
      </c>
      <c r="C78" s="188" t="s">
        <v>14146</v>
      </c>
      <c r="D78" t="s">
        <v>14909</v>
      </c>
    </row>
    <row r="79" spans="1:4" x14ac:dyDescent="0.25">
      <c r="A79" s="180">
        <f t="shared" si="1"/>
        <v>1120017</v>
      </c>
      <c r="B79" s="188" t="s">
        <v>71</v>
      </c>
      <c r="C79" s="188" t="s">
        <v>72</v>
      </c>
      <c r="D79" t="s">
        <v>13411</v>
      </c>
    </row>
    <row r="80" spans="1:4" x14ac:dyDescent="0.25">
      <c r="A80" s="180">
        <f t="shared" si="1"/>
        <v>1120018</v>
      </c>
      <c r="B80" s="188" t="s">
        <v>13979</v>
      </c>
      <c r="C80" s="188" t="s">
        <v>66</v>
      </c>
    </row>
    <row r="81" spans="1:4" x14ac:dyDescent="0.25">
      <c r="A81" s="180">
        <f t="shared" si="1"/>
        <v>1120019</v>
      </c>
      <c r="B81" s="188" t="s">
        <v>14147</v>
      </c>
      <c r="C81" s="188" t="s">
        <v>14148</v>
      </c>
    </row>
    <row r="82" spans="1:4" x14ac:dyDescent="0.25">
      <c r="A82" s="180">
        <f t="shared" si="1"/>
        <v>1120020</v>
      </c>
      <c r="B82" s="188" t="s">
        <v>73</v>
      </c>
      <c r="C82" s="188" t="s">
        <v>74</v>
      </c>
    </row>
    <row r="83" spans="1:4" x14ac:dyDescent="0.25">
      <c r="A83" s="180">
        <f t="shared" si="1"/>
        <v>1120021</v>
      </c>
      <c r="B83" s="188" t="s">
        <v>13980</v>
      </c>
      <c r="C83" s="188" t="s">
        <v>13981</v>
      </c>
    </row>
    <row r="84" spans="1:4" x14ac:dyDescent="0.25">
      <c r="A84" s="180">
        <f t="shared" si="1"/>
        <v>1120024</v>
      </c>
      <c r="B84" s="188" t="s">
        <v>76</v>
      </c>
      <c r="C84" s="188" t="s">
        <v>77</v>
      </c>
    </row>
    <row r="85" spans="1:4" x14ac:dyDescent="0.25">
      <c r="A85" s="180">
        <f t="shared" si="1"/>
        <v>1120025</v>
      </c>
      <c r="B85" s="188" t="s">
        <v>78</v>
      </c>
      <c r="C85" s="188" t="s">
        <v>13982</v>
      </c>
      <c r="D85" t="s">
        <v>14909</v>
      </c>
    </row>
    <row r="86" spans="1:4" x14ac:dyDescent="0.25">
      <c r="A86" s="180">
        <f t="shared" si="1"/>
        <v>1120027</v>
      </c>
      <c r="B86" s="188" t="s">
        <v>14149</v>
      </c>
      <c r="C86" s="188" t="s">
        <v>14150</v>
      </c>
      <c r="D86" t="s">
        <v>14909</v>
      </c>
    </row>
    <row r="87" spans="1:4" x14ac:dyDescent="0.25">
      <c r="A87" s="180">
        <f t="shared" si="1"/>
        <v>1120028</v>
      </c>
      <c r="B87" s="188" t="s">
        <v>14151</v>
      </c>
      <c r="C87" s="188" t="s">
        <v>14152</v>
      </c>
      <c r="D87" t="s">
        <v>14909</v>
      </c>
    </row>
    <row r="88" spans="1:4" x14ac:dyDescent="0.25">
      <c r="A88" s="180">
        <f t="shared" si="1"/>
        <v>1120029</v>
      </c>
      <c r="B88" s="188" t="s">
        <v>14153</v>
      </c>
      <c r="C88" s="188" t="s">
        <v>14154</v>
      </c>
      <c r="D88" t="s">
        <v>14909</v>
      </c>
    </row>
    <row r="89" spans="1:4" x14ac:dyDescent="0.25">
      <c r="A89" s="180">
        <f t="shared" si="1"/>
        <v>1120030</v>
      </c>
      <c r="B89" s="188" t="s">
        <v>6768</v>
      </c>
      <c r="C89" s="188" t="s">
        <v>6769</v>
      </c>
    </row>
    <row r="90" spans="1:4" x14ac:dyDescent="0.25">
      <c r="A90" s="180">
        <f t="shared" si="1"/>
        <v>1120031</v>
      </c>
      <c r="B90" s="188" t="s">
        <v>6770</v>
      </c>
      <c r="C90" s="188" t="s">
        <v>6771</v>
      </c>
    </row>
    <row r="91" spans="1:4" x14ac:dyDescent="0.25">
      <c r="A91" s="180">
        <f t="shared" si="1"/>
        <v>1120032</v>
      </c>
      <c r="B91" s="188" t="s">
        <v>6772</v>
      </c>
      <c r="C91" s="188" t="s">
        <v>6773</v>
      </c>
    </row>
    <row r="92" spans="1:4" x14ac:dyDescent="0.25">
      <c r="A92" s="180">
        <f t="shared" si="1"/>
        <v>1120033</v>
      </c>
      <c r="B92" s="188" t="s">
        <v>14155</v>
      </c>
      <c r="C92" s="188" t="s">
        <v>14156</v>
      </c>
      <c r="D92" t="s">
        <v>13411</v>
      </c>
    </row>
    <row r="93" spans="1:4" x14ac:dyDescent="0.25">
      <c r="A93" s="180">
        <f t="shared" si="1"/>
        <v>1120034</v>
      </c>
      <c r="B93" s="188" t="s">
        <v>14157</v>
      </c>
      <c r="C93" s="188" t="s">
        <v>14158</v>
      </c>
      <c r="D93" t="s">
        <v>14909</v>
      </c>
    </row>
    <row r="94" spans="1:4" x14ac:dyDescent="0.25">
      <c r="A94" s="180">
        <f t="shared" si="1"/>
        <v>1120035</v>
      </c>
      <c r="B94" s="188" t="s">
        <v>14159</v>
      </c>
      <c r="C94" s="188" t="s">
        <v>14160</v>
      </c>
      <c r="D94" t="s">
        <v>13411</v>
      </c>
    </row>
    <row r="95" spans="1:4" x14ac:dyDescent="0.25">
      <c r="A95" s="180">
        <f t="shared" si="1"/>
        <v>1120036</v>
      </c>
      <c r="B95" s="188" t="s">
        <v>14161</v>
      </c>
      <c r="C95" s="188" t="s">
        <v>14162</v>
      </c>
      <c r="D95" t="s">
        <v>13411</v>
      </c>
    </row>
    <row r="96" spans="1:4" x14ac:dyDescent="0.25">
      <c r="A96" s="180">
        <f t="shared" si="1"/>
        <v>1120037</v>
      </c>
      <c r="B96" s="188" t="s">
        <v>14163</v>
      </c>
      <c r="C96" s="188" t="s">
        <v>14164</v>
      </c>
      <c r="D96" t="s">
        <v>14909</v>
      </c>
    </row>
    <row r="97" spans="1:4" x14ac:dyDescent="0.25">
      <c r="A97" s="180">
        <f t="shared" si="1"/>
        <v>1120038</v>
      </c>
      <c r="B97" s="188" t="s">
        <v>14165</v>
      </c>
      <c r="C97" s="188" t="s">
        <v>14166</v>
      </c>
      <c r="D97" t="s">
        <v>14909</v>
      </c>
    </row>
    <row r="98" spans="1:4" x14ac:dyDescent="0.25">
      <c r="A98" s="180">
        <f t="shared" si="1"/>
        <v>1120039</v>
      </c>
      <c r="B98" s="188" t="s">
        <v>13983</v>
      </c>
      <c r="C98" s="188" t="s">
        <v>13984</v>
      </c>
      <c r="D98" t="s">
        <v>14909</v>
      </c>
    </row>
    <row r="99" spans="1:4" x14ac:dyDescent="0.25">
      <c r="A99" s="180">
        <f t="shared" si="1"/>
        <v>1120041</v>
      </c>
      <c r="B99" s="188" t="s">
        <v>14350</v>
      </c>
      <c r="C99" s="188" t="s">
        <v>14351</v>
      </c>
      <c r="D99" t="s">
        <v>14909</v>
      </c>
    </row>
    <row r="100" spans="1:4" x14ac:dyDescent="0.25">
      <c r="A100" s="180">
        <f t="shared" si="1"/>
        <v>1120042</v>
      </c>
      <c r="B100" s="188" t="s">
        <v>14167</v>
      </c>
      <c r="C100" s="188" t="s">
        <v>14168</v>
      </c>
      <c r="D100" t="s">
        <v>14909</v>
      </c>
    </row>
    <row r="101" spans="1:4" x14ac:dyDescent="0.25">
      <c r="A101" s="180">
        <f t="shared" si="1"/>
        <v>1120043</v>
      </c>
      <c r="B101" s="188" t="s">
        <v>14910</v>
      </c>
      <c r="C101" s="188" t="s">
        <v>14911</v>
      </c>
      <c r="D101" t="s">
        <v>14909</v>
      </c>
    </row>
    <row r="102" spans="1:4" x14ac:dyDescent="0.25">
      <c r="A102" s="180">
        <f t="shared" si="1"/>
        <v>1120050</v>
      </c>
      <c r="B102" s="188" t="s">
        <v>79</v>
      </c>
      <c r="C102" s="188" t="s">
        <v>80</v>
      </c>
      <c r="D102" t="s">
        <v>13411</v>
      </c>
    </row>
    <row r="103" spans="1:4" x14ac:dyDescent="0.25">
      <c r="A103" s="180">
        <f t="shared" si="1"/>
        <v>1120051</v>
      </c>
      <c r="B103" s="188" t="s">
        <v>81</v>
      </c>
      <c r="C103" s="188" t="s">
        <v>82</v>
      </c>
    </row>
    <row r="104" spans="1:4" x14ac:dyDescent="0.25">
      <c r="A104" s="180">
        <f t="shared" si="1"/>
        <v>1120052</v>
      </c>
      <c r="B104" s="188" t="s">
        <v>83</v>
      </c>
      <c r="C104" s="188" t="s">
        <v>84</v>
      </c>
    </row>
    <row r="105" spans="1:4" x14ac:dyDescent="0.25">
      <c r="A105" s="180">
        <f t="shared" si="1"/>
        <v>1120053</v>
      </c>
      <c r="B105" s="188" t="s">
        <v>85</v>
      </c>
      <c r="C105" s="188" t="s">
        <v>86</v>
      </c>
    </row>
    <row r="106" spans="1:4" x14ac:dyDescent="0.25">
      <c r="A106" s="180">
        <f t="shared" si="1"/>
        <v>1120055</v>
      </c>
      <c r="B106" s="188" t="s">
        <v>87</v>
      </c>
      <c r="C106" s="188" t="s">
        <v>88</v>
      </c>
      <c r="D106" t="s">
        <v>13411</v>
      </c>
    </row>
    <row r="107" spans="1:4" x14ac:dyDescent="0.25">
      <c r="A107" s="180">
        <f t="shared" si="1"/>
        <v>1120056</v>
      </c>
      <c r="B107" s="188" t="s">
        <v>89</v>
      </c>
      <c r="C107" s="188" t="s">
        <v>90</v>
      </c>
      <c r="D107" t="s">
        <v>13411</v>
      </c>
    </row>
    <row r="108" spans="1:4" x14ac:dyDescent="0.25">
      <c r="A108" s="180">
        <f t="shared" si="1"/>
        <v>1120057</v>
      </c>
      <c r="B108" s="188" t="s">
        <v>91</v>
      </c>
      <c r="C108" s="188" t="s">
        <v>92</v>
      </c>
      <c r="D108" t="s">
        <v>13411</v>
      </c>
    </row>
    <row r="109" spans="1:4" x14ac:dyDescent="0.25">
      <c r="A109" s="180">
        <f t="shared" si="1"/>
        <v>1120058</v>
      </c>
      <c r="B109" s="188" t="s">
        <v>93</v>
      </c>
      <c r="C109" s="188" t="s">
        <v>94</v>
      </c>
    </row>
    <row r="110" spans="1:4" x14ac:dyDescent="0.25">
      <c r="A110" s="180">
        <f t="shared" si="1"/>
        <v>1120060</v>
      </c>
      <c r="B110" s="188" t="s">
        <v>95</v>
      </c>
      <c r="C110" s="188" t="s">
        <v>96</v>
      </c>
      <c r="D110" t="s">
        <v>13411</v>
      </c>
    </row>
    <row r="111" spans="1:4" x14ac:dyDescent="0.25">
      <c r="A111" s="180">
        <f t="shared" si="1"/>
        <v>1120061</v>
      </c>
      <c r="B111" s="188" t="s">
        <v>97</v>
      </c>
      <c r="C111" s="188" t="s">
        <v>98</v>
      </c>
      <c r="D111" t="s">
        <v>13411</v>
      </c>
    </row>
    <row r="112" spans="1:4" x14ac:dyDescent="0.25">
      <c r="A112" s="180">
        <f t="shared" si="1"/>
        <v>1120062</v>
      </c>
      <c r="B112" s="188" t="s">
        <v>99</v>
      </c>
      <c r="C112" s="188" t="s">
        <v>100</v>
      </c>
      <c r="D112" t="s">
        <v>13411</v>
      </c>
    </row>
    <row r="113" spans="1:4" x14ac:dyDescent="0.25">
      <c r="A113" s="180">
        <f t="shared" si="1"/>
        <v>1120063</v>
      </c>
      <c r="B113" s="188" t="s">
        <v>101</v>
      </c>
      <c r="C113" s="188" t="s">
        <v>102</v>
      </c>
    </row>
    <row r="114" spans="1:4" x14ac:dyDescent="0.25">
      <c r="A114" s="180">
        <f t="shared" si="1"/>
        <v>1120064</v>
      </c>
      <c r="B114" s="188" t="s">
        <v>103</v>
      </c>
      <c r="C114" s="188" t="s">
        <v>104</v>
      </c>
    </row>
    <row r="115" spans="1:4" x14ac:dyDescent="0.25">
      <c r="A115" s="180">
        <f t="shared" si="1"/>
        <v>1120065</v>
      </c>
      <c r="B115" s="188" t="s">
        <v>105</v>
      </c>
      <c r="C115" s="188" t="s">
        <v>106</v>
      </c>
    </row>
    <row r="116" spans="1:4" x14ac:dyDescent="0.25">
      <c r="A116" s="180">
        <f t="shared" si="1"/>
        <v>1120066</v>
      </c>
      <c r="B116" s="188" t="s">
        <v>107</v>
      </c>
      <c r="C116" s="188" t="s">
        <v>108</v>
      </c>
    </row>
    <row r="117" spans="1:4" x14ac:dyDescent="0.25">
      <c r="A117" s="180">
        <f t="shared" si="1"/>
        <v>1120067</v>
      </c>
      <c r="B117" s="188" t="s">
        <v>109</v>
      </c>
      <c r="C117" s="188" t="s">
        <v>110</v>
      </c>
    </row>
    <row r="118" spans="1:4" x14ac:dyDescent="0.25">
      <c r="A118" s="180">
        <f t="shared" si="1"/>
        <v>1120068</v>
      </c>
      <c r="B118" s="188" t="s">
        <v>111</v>
      </c>
      <c r="C118" s="188" t="s">
        <v>112</v>
      </c>
    </row>
    <row r="119" spans="1:4" x14ac:dyDescent="0.25">
      <c r="A119" s="180">
        <f t="shared" si="1"/>
        <v>1120069</v>
      </c>
      <c r="B119" s="188" t="s">
        <v>113</v>
      </c>
      <c r="C119" s="189" t="s">
        <v>114</v>
      </c>
    </row>
    <row r="120" spans="1:4" x14ac:dyDescent="0.25">
      <c r="A120" s="180">
        <f t="shared" si="1"/>
        <v>1120070</v>
      </c>
      <c r="B120" s="188" t="s">
        <v>115</v>
      </c>
      <c r="C120" s="188" t="s">
        <v>116</v>
      </c>
    </row>
    <row r="121" spans="1:4" x14ac:dyDescent="0.25">
      <c r="A121" s="180">
        <f t="shared" si="1"/>
        <v>1120071</v>
      </c>
      <c r="B121" s="188" t="s">
        <v>117</v>
      </c>
      <c r="C121" s="188" t="s">
        <v>118</v>
      </c>
    </row>
    <row r="122" spans="1:4" x14ac:dyDescent="0.25">
      <c r="A122" s="180">
        <f t="shared" si="1"/>
        <v>1120072</v>
      </c>
      <c r="B122" s="188" t="s">
        <v>119</v>
      </c>
      <c r="C122" s="188" t="s">
        <v>120</v>
      </c>
      <c r="D122" t="s">
        <v>13411</v>
      </c>
    </row>
    <row r="123" spans="1:4" x14ac:dyDescent="0.25">
      <c r="A123" s="180">
        <f t="shared" si="1"/>
        <v>1120073</v>
      </c>
      <c r="B123" s="188" t="s">
        <v>121</v>
      </c>
      <c r="C123" s="189" t="s">
        <v>122</v>
      </c>
      <c r="D123" t="s">
        <v>13411</v>
      </c>
    </row>
    <row r="124" spans="1:4" x14ac:dyDescent="0.25">
      <c r="A124" s="180">
        <f t="shared" si="1"/>
        <v>1120074</v>
      </c>
      <c r="B124" s="188" t="s">
        <v>123</v>
      </c>
      <c r="C124" s="188" t="s">
        <v>124</v>
      </c>
    </row>
    <row r="125" spans="1:4" x14ac:dyDescent="0.25">
      <c r="A125" s="180">
        <f t="shared" si="1"/>
        <v>1120075</v>
      </c>
      <c r="B125" s="188" t="s">
        <v>125</v>
      </c>
      <c r="C125" s="188" t="s">
        <v>126</v>
      </c>
    </row>
    <row r="126" spans="1:4" x14ac:dyDescent="0.25">
      <c r="A126" s="180">
        <f t="shared" si="1"/>
        <v>1120076</v>
      </c>
      <c r="B126" s="188" t="s">
        <v>127</v>
      </c>
      <c r="C126" s="188" t="s">
        <v>128</v>
      </c>
    </row>
    <row r="127" spans="1:4" x14ac:dyDescent="0.25">
      <c r="A127" s="180">
        <f t="shared" ref="A127:A190" si="2">IFERROR(B127*1,"")</f>
        <v>1120077</v>
      </c>
      <c r="B127" s="188" t="s">
        <v>129</v>
      </c>
      <c r="C127" s="188" t="s">
        <v>130</v>
      </c>
    </row>
    <row r="128" spans="1:4" x14ac:dyDescent="0.25">
      <c r="A128" s="180">
        <f t="shared" si="2"/>
        <v>1120078</v>
      </c>
      <c r="B128" s="188" t="s">
        <v>131</v>
      </c>
      <c r="C128" s="188" t="s">
        <v>132</v>
      </c>
    </row>
    <row r="129" spans="1:4" x14ac:dyDescent="0.25">
      <c r="A129" s="180">
        <f t="shared" si="2"/>
        <v>1120079</v>
      </c>
      <c r="B129" s="188" t="s">
        <v>133</v>
      </c>
      <c r="C129" s="188" t="s">
        <v>134</v>
      </c>
    </row>
    <row r="130" spans="1:4" x14ac:dyDescent="0.25">
      <c r="A130" s="180">
        <f t="shared" si="2"/>
        <v>1120080</v>
      </c>
      <c r="B130" s="188" t="s">
        <v>14169</v>
      </c>
      <c r="C130" s="188" t="s">
        <v>14170</v>
      </c>
    </row>
    <row r="131" spans="1:4" x14ac:dyDescent="0.25">
      <c r="A131" s="180">
        <f t="shared" si="2"/>
        <v>1120084</v>
      </c>
      <c r="B131" s="188" t="s">
        <v>14171</v>
      </c>
      <c r="C131" s="188" t="s">
        <v>14172</v>
      </c>
    </row>
    <row r="132" spans="1:4" x14ac:dyDescent="0.25">
      <c r="A132" s="180">
        <f t="shared" si="2"/>
        <v>1120099</v>
      </c>
      <c r="B132" s="188" t="s">
        <v>13985</v>
      </c>
      <c r="C132" s="188" t="s">
        <v>13986</v>
      </c>
    </row>
    <row r="133" spans="1:4" x14ac:dyDescent="0.25">
      <c r="A133" s="180">
        <f t="shared" si="2"/>
        <v>1120100</v>
      </c>
      <c r="B133" s="188" t="s">
        <v>14173</v>
      </c>
      <c r="C133" s="188" t="s">
        <v>14174</v>
      </c>
    </row>
    <row r="134" spans="1:4" x14ac:dyDescent="0.25">
      <c r="A134" s="180">
        <f t="shared" si="2"/>
        <v>1120103</v>
      </c>
      <c r="B134" s="188" t="s">
        <v>14175</v>
      </c>
      <c r="C134" s="188" t="s">
        <v>14176</v>
      </c>
    </row>
    <row r="135" spans="1:4" x14ac:dyDescent="0.25">
      <c r="A135" s="180">
        <f t="shared" si="2"/>
        <v>1120104</v>
      </c>
      <c r="B135" s="188" t="s">
        <v>14177</v>
      </c>
      <c r="C135" s="188" t="s">
        <v>14178</v>
      </c>
    </row>
    <row r="136" spans="1:4" x14ac:dyDescent="0.25">
      <c r="A136" s="180">
        <f t="shared" si="2"/>
        <v>1120105</v>
      </c>
      <c r="B136" s="188" t="s">
        <v>14179</v>
      </c>
      <c r="C136" s="188" t="s">
        <v>14180</v>
      </c>
    </row>
    <row r="137" spans="1:4" x14ac:dyDescent="0.25">
      <c r="A137" s="180">
        <f t="shared" si="2"/>
        <v>1120106</v>
      </c>
      <c r="B137" s="188" t="s">
        <v>135</v>
      </c>
      <c r="C137" s="188" t="s">
        <v>136</v>
      </c>
      <c r="D137" t="s">
        <v>13411</v>
      </c>
    </row>
    <row r="138" spans="1:4" x14ac:dyDescent="0.25">
      <c r="A138" s="180">
        <f t="shared" si="2"/>
        <v>1120107</v>
      </c>
      <c r="B138" s="188" t="s">
        <v>137</v>
      </c>
      <c r="C138" s="188" t="s">
        <v>138</v>
      </c>
      <c r="D138" t="s">
        <v>13411</v>
      </c>
    </row>
    <row r="139" spans="1:4" x14ac:dyDescent="0.25">
      <c r="A139" s="180">
        <f t="shared" si="2"/>
        <v>1120110</v>
      </c>
      <c r="B139" s="188" t="s">
        <v>139</v>
      </c>
      <c r="C139" s="188" t="s">
        <v>140</v>
      </c>
      <c r="D139" t="s">
        <v>13411</v>
      </c>
    </row>
    <row r="140" spans="1:4" x14ac:dyDescent="0.25">
      <c r="A140" s="180">
        <f t="shared" si="2"/>
        <v>1120111</v>
      </c>
      <c r="B140" s="188" t="s">
        <v>141</v>
      </c>
      <c r="C140" s="188" t="s">
        <v>142</v>
      </c>
      <c r="D140" t="s">
        <v>13411</v>
      </c>
    </row>
    <row r="141" spans="1:4" x14ac:dyDescent="0.25">
      <c r="A141" s="180">
        <f t="shared" si="2"/>
        <v>1120112</v>
      </c>
      <c r="B141" s="188" t="s">
        <v>143</v>
      </c>
      <c r="C141" s="188" t="s">
        <v>144</v>
      </c>
    </row>
    <row r="142" spans="1:4" x14ac:dyDescent="0.25">
      <c r="A142" s="180" t="str">
        <f t="shared" si="2"/>
        <v/>
      </c>
      <c r="B142" s="188" t="s">
        <v>12973</v>
      </c>
      <c r="C142" s="188"/>
    </row>
    <row r="143" spans="1:4" x14ac:dyDescent="0.25">
      <c r="A143" s="180">
        <f t="shared" si="2"/>
        <v>1120125</v>
      </c>
      <c r="B143" s="188" t="s">
        <v>145</v>
      </c>
      <c r="C143" s="188" t="s">
        <v>146</v>
      </c>
      <c r="D143" t="s">
        <v>13411</v>
      </c>
    </row>
    <row r="144" spans="1:4" x14ac:dyDescent="0.25">
      <c r="A144" s="180">
        <f t="shared" si="2"/>
        <v>1120126</v>
      </c>
      <c r="B144" s="188" t="s">
        <v>147</v>
      </c>
      <c r="C144" s="188" t="s">
        <v>148</v>
      </c>
      <c r="D144" t="s">
        <v>13411</v>
      </c>
    </row>
    <row r="145" spans="1:4" x14ac:dyDescent="0.25">
      <c r="A145" s="180">
        <f t="shared" si="2"/>
        <v>1120130</v>
      </c>
      <c r="B145" s="188" t="s">
        <v>149</v>
      </c>
      <c r="C145" s="188" t="s">
        <v>150</v>
      </c>
      <c r="D145" t="s">
        <v>13411</v>
      </c>
    </row>
    <row r="146" spans="1:4" x14ac:dyDescent="0.25">
      <c r="A146" s="180" t="str">
        <f t="shared" si="2"/>
        <v/>
      </c>
      <c r="B146" s="188" t="s">
        <v>12974</v>
      </c>
      <c r="C146" s="188"/>
    </row>
    <row r="147" spans="1:4" x14ac:dyDescent="0.25">
      <c r="A147" s="180">
        <f t="shared" si="2"/>
        <v>1120131</v>
      </c>
      <c r="B147" s="188" t="s">
        <v>151</v>
      </c>
      <c r="C147" s="188" t="s">
        <v>152</v>
      </c>
      <c r="D147" t="s">
        <v>13411</v>
      </c>
    </row>
    <row r="148" spans="1:4" x14ac:dyDescent="0.25">
      <c r="A148" s="180">
        <f t="shared" si="2"/>
        <v>1120132</v>
      </c>
      <c r="B148" s="188" t="s">
        <v>153</v>
      </c>
      <c r="C148" s="188" t="s">
        <v>154</v>
      </c>
    </row>
    <row r="149" spans="1:4" x14ac:dyDescent="0.25">
      <c r="A149" s="180">
        <f t="shared" si="2"/>
        <v>1120133</v>
      </c>
      <c r="B149" s="188" t="s">
        <v>155</v>
      </c>
      <c r="C149" s="188" t="s">
        <v>156</v>
      </c>
    </row>
    <row r="150" spans="1:4" x14ac:dyDescent="0.25">
      <c r="A150" s="180">
        <f t="shared" si="2"/>
        <v>1120134</v>
      </c>
      <c r="B150" s="188" t="s">
        <v>14181</v>
      </c>
      <c r="C150" s="188" t="s">
        <v>14182</v>
      </c>
    </row>
    <row r="151" spans="1:4" x14ac:dyDescent="0.25">
      <c r="A151" s="180">
        <f t="shared" si="2"/>
        <v>1120136</v>
      </c>
      <c r="B151" s="188" t="s">
        <v>157</v>
      </c>
      <c r="C151" s="188" t="s">
        <v>158</v>
      </c>
      <c r="D151" t="s">
        <v>14909</v>
      </c>
    </row>
    <row r="152" spans="1:4" x14ac:dyDescent="0.25">
      <c r="A152" s="180">
        <f t="shared" si="2"/>
        <v>1120140</v>
      </c>
      <c r="B152" s="188" t="s">
        <v>159</v>
      </c>
      <c r="C152" s="188" t="s">
        <v>160</v>
      </c>
      <c r="D152" t="s">
        <v>13411</v>
      </c>
    </row>
    <row r="153" spans="1:4" x14ac:dyDescent="0.25">
      <c r="A153" s="180">
        <f t="shared" si="2"/>
        <v>1120141</v>
      </c>
      <c r="B153" s="188" t="s">
        <v>6774</v>
      </c>
      <c r="C153" s="189" t="s">
        <v>6775</v>
      </c>
      <c r="D153" t="s">
        <v>13412</v>
      </c>
    </row>
    <row r="154" spans="1:4" x14ac:dyDescent="0.25">
      <c r="A154" s="180">
        <f t="shared" si="2"/>
        <v>1120142</v>
      </c>
      <c r="B154" s="188" t="s">
        <v>6776</v>
      </c>
      <c r="C154" s="188" t="s">
        <v>6777</v>
      </c>
    </row>
    <row r="155" spans="1:4" x14ac:dyDescent="0.25">
      <c r="A155" s="180">
        <f t="shared" si="2"/>
        <v>1120143</v>
      </c>
      <c r="B155" s="188" t="s">
        <v>6778</v>
      </c>
      <c r="C155" s="189" t="s">
        <v>6779</v>
      </c>
    </row>
    <row r="156" spans="1:4" x14ac:dyDescent="0.25">
      <c r="A156" s="180">
        <f t="shared" si="2"/>
        <v>1120144</v>
      </c>
      <c r="B156" s="188" t="s">
        <v>6780</v>
      </c>
      <c r="C156" s="188" t="s">
        <v>6781</v>
      </c>
    </row>
    <row r="157" spans="1:4" x14ac:dyDescent="0.25">
      <c r="A157" s="180">
        <f t="shared" si="2"/>
        <v>1120147</v>
      </c>
      <c r="B157" s="188" t="s">
        <v>161</v>
      </c>
      <c r="C157" s="189" t="s">
        <v>162</v>
      </c>
    </row>
    <row r="158" spans="1:4" x14ac:dyDescent="0.25">
      <c r="A158" s="180">
        <f t="shared" si="2"/>
        <v>1120148</v>
      </c>
      <c r="B158" s="188" t="s">
        <v>163</v>
      </c>
      <c r="C158" s="188" t="s">
        <v>164</v>
      </c>
    </row>
    <row r="159" spans="1:4" x14ac:dyDescent="0.25">
      <c r="A159" s="180">
        <f t="shared" si="2"/>
        <v>1120149</v>
      </c>
      <c r="B159" s="188" t="s">
        <v>165</v>
      </c>
      <c r="C159" s="189" t="s">
        <v>166</v>
      </c>
    </row>
    <row r="160" spans="1:4" x14ac:dyDescent="0.25">
      <c r="A160" s="180">
        <f t="shared" si="2"/>
        <v>1120150</v>
      </c>
      <c r="B160" s="188" t="s">
        <v>167</v>
      </c>
      <c r="C160" s="188" t="s">
        <v>168</v>
      </c>
      <c r="D160" t="s">
        <v>13411</v>
      </c>
    </row>
    <row r="161" spans="1:4" x14ac:dyDescent="0.25">
      <c r="A161" s="180">
        <f t="shared" si="2"/>
        <v>1120151</v>
      </c>
      <c r="B161" s="188" t="s">
        <v>6782</v>
      </c>
      <c r="C161" s="188" t="s">
        <v>6783</v>
      </c>
      <c r="D161" t="s">
        <v>13411</v>
      </c>
    </row>
    <row r="162" spans="1:4" x14ac:dyDescent="0.25">
      <c r="A162" s="180">
        <f t="shared" si="2"/>
        <v>1120152</v>
      </c>
      <c r="B162" s="188" t="s">
        <v>6784</v>
      </c>
      <c r="C162" s="188" t="s">
        <v>6785</v>
      </c>
      <c r="D162" t="s">
        <v>13411</v>
      </c>
    </row>
    <row r="163" spans="1:4" x14ac:dyDescent="0.25">
      <c r="A163" s="180">
        <f t="shared" si="2"/>
        <v>1120153</v>
      </c>
      <c r="B163" s="188" t="s">
        <v>6786</v>
      </c>
      <c r="C163" s="188" t="s">
        <v>6787</v>
      </c>
      <c r="D163" t="s">
        <v>13411</v>
      </c>
    </row>
    <row r="164" spans="1:4" x14ac:dyDescent="0.25">
      <c r="A164" s="180">
        <f t="shared" si="2"/>
        <v>1120160</v>
      </c>
      <c r="B164" s="188" t="s">
        <v>169</v>
      </c>
      <c r="C164" s="188" t="s">
        <v>170</v>
      </c>
      <c r="D164" t="s">
        <v>13411</v>
      </c>
    </row>
    <row r="165" spans="1:4" x14ac:dyDescent="0.25">
      <c r="A165" s="180">
        <f t="shared" si="2"/>
        <v>1120165</v>
      </c>
      <c r="B165" s="188" t="s">
        <v>171</v>
      </c>
      <c r="C165" s="188" t="s">
        <v>172</v>
      </c>
      <c r="D165" t="s">
        <v>13411</v>
      </c>
    </row>
    <row r="166" spans="1:4" x14ac:dyDescent="0.25">
      <c r="A166" s="180">
        <f t="shared" si="2"/>
        <v>1120166</v>
      </c>
      <c r="B166" s="188" t="s">
        <v>173</v>
      </c>
      <c r="C166" s="188" t="s">
        <v>174</v>
      </c>
      <c r="D166" t="s">
        <v>13411</v>
      </c>
    </row>
    <row r="167" spans="1:4" x14ac:dyDescent="0.25">
      <c r="A167" s="180">
        <f t="shared" si="2"/>
        <v>1120167</v>
      </c>
      <c r="B167" s="188" t="s">
        <v>175</v>
      </c>
      <c r="C167" s="188" t="s">
        <v>176</v>
      </c>
    </row>
    <row r="168" spans="1:4" x14ac:dyDescent="0.25">
      <c r="A168" s="180">
        <f t="shared" si="2"/>
        <v>1120168</v>
      </c>
      <c r="B168" s="188" t="s">
        <v>177</v>
      </c>
      <c r="C168" s="188" t="s">
        <v>178</v>
      </c>
      <c r="D168" t="s">
        <v>13411</v>
      </c>
    </row>
    <row r="169" spans="1:4" x14ac:dyDescent="0.25">
      <c r="A169" s="180">
        <f t="shared" si="2"/>
        <v>1120170</v>
      </c>
      <c r="B169" s="188" t="s">
        <v>179</v>
      </c>
      <c r="C169" s="188" t="s">
        <v>180</v>
      </c>
      <c r="D169" t="s">
        <v>13411</v>
      </c>
    </row>
    <row r="170" spans="1:4" x14ac:dyDescent="0.25">
      <c r="A170" s="180">
        <f t="shared" si="2"/>
        <v>1120173</v>
      </c>
      <c r="B170" s="188" t="s">
        <v>181</v>
      </c>
      <c r="C170" s="188" t="s">
        <v>182</v>
      </c>
      <c r="D170" t="s">
        <v>13411</v>
      </c>
    </row>
    <row r="171" spans="1:4" x14ac:dyDescent="0.25">
      <c r="A171" s="180">
        <f t="shared" si="2"/>
        <v>1120174</v>
      </c>
      <c r="B171" s="188" t="s">
        <v>183</v>
      </c>
      <c r="C171" s="188" t="s">
        <v>184</v>
      </c>
      <c r="D171" t="s">
        <v>13411</v>
      </c>
    </row>
    <row r="172" spans="1:4" x14ac:dyDescent="0.25">
      <c r="A172" s="180">
        <f t="shared" si="2"/>
        <v>1120175</v>
      </c>
      <c r="B172" s="188" t="s">
        <v>185</v>
      </c>
      <c r="C172" s="188" t="s">
        <v>186</v>
      </c>
      <c r="D172" t="s">
        <v>13411</v>
      </c>
    </row>
    <row r="173" spans="1:4" x14ac:dyDescent="0.25">
      <c r="A173" s="180">
        <f t="shared" si="2"/>
        <v>1120176</v>
      </c>
      <c r="B173" s="188" t="s">
        <v>187</v>
      </c>
      <c r="C173" s="188" t="s">
        <v>188</v>
      </c>
      <c r="D173" t="s">
        <v>13411</v>
      </c>
    </row>
    <row r="174" spans="1:4" x14ac:dyDescent="0.25">
      <c r="A174" s="180">
        <f t="shared" si="2"/>
        <v>1120177</v>
      </c>
      <c r="B174" s="188" t="s">
        <v>189</v>
      </c>
      <c r="C174" s="188" t="s">
        <v>190</v>
      </c>
      <c r="D174" t="s">
        <v>13411</v>
      </c>
    </row>
    <row r="175" spans="1:4" x14ac:dyDescent="0.25">
      <c r="A175" s="180">
        <f t="shared" si="2"/>
        <v>1120180</v>
      </c>
      <c r="B175" s="188" t="s">
        <v>191</v>
      </c>
      <c r="C175" s="189" t="s">
        <v>192</v>
      </c>
      <c r="D175" t="s">
        <v>13411</v>
      </c>
    </row>
    <row r="176" spans="1:4" x14ac:dyDescent="0.25">
      <c r="A176" s="180">
        <f t="shared" si="2"/>
        <v>1120182</v>
      </c>
      <c r="B176" s="188" t="s">
        <v>193</v>
      </c>
      <c r="C176" s="188" t="s">
        <v>194</v>
      </c>
      <c r="D176" t="s">
        <v>13412</v>
      </c>
    </row>
    <row r="177" spans="1:4" x14ac:dyDescent="0.25">
      <c r="A177" s="180" t="str">
        <f t="shared" si="2"/>
        <v/>
      </c>
      <c r="B177" s="188" t="s">
        <v>12975</v>
      </c>
      <c r="C177" s="188"/>
    </row>
    <row r="178" spans="1:4" x14ac:dyDescent="0.25">
      <c r="A178" s="180">
        <f t="shared" si="2"/>
        <v>1120183</v>
      </c>
      <c r="B178" s="188" t="s">
        <v>195</v>
      </c>
      <c r="C178" s="188" t="s">
        <v>196</v>
      </c>
      <c r="D178" t="s">
        <v>13412</v>
      </c>
    </row>
    <row r="179" spans="1:4" x14ac:dyDescent="0.25">
      <c r="A179" s="180" t="str">
        <f t="shared" si="2"/>
        <v/>
      </c>
      <c r="B179" s="188" t="s">
        <v>12976</v>
      </c>
      <c r="C179" s="188"/>
    </row>
    <row r="180" spans="1:4" x14ac:dyDescent="0.25">
      <c r="A180" s="180">
        <f t="shared" si="2"/>
        <v>1120184</v>
      </c>
      <c r="B180" s="188" t="s">
        <v>197</v>
      </c>
      <c r="C180" s="188" t="s">
        <v>198</v>
      </c>
      <c r="D180" t="s">
        <v>13412</v>
      </c>
    </row>
    <row r="181" spans="1:4" x14ac:dyDescent="0.25">
      <c r="A181" s="180" t="str">
        <f t="shared" si="2"/>
        <v/>
      </c>
      <c r="B181" s="188" t="s">
        <v>12977</v>
      </c>
      <c r="C181" s="188"/>
    </row>
    <row r="182" spans="1:4" x14ac:dyDescent="0.25">
      <c r="A182" s="180">
        <f t="shared" si="2"/>
        <v>1120185</v>
      </c>
      <c r="B182" s="188" t="s">
        <v>199</v>
      </c>
      <c r="C182" s="188" t="s">
        <v>200</v>
      </c>
      <c r="D182" t="s">
        <v>13412</v>
      </c>
    </row>
    <row r="183" spans="1:4" x14ac:dyDescent="0.25">
      <c r="A183" s="180" t="str">
        <f t="shared" si="2"/>
        <v/>
      </c>
      <c r="B183" s="188" t="s">
        <v>12978</v>
      </c>
      <c r="C183" s="188"/>
    </row>
    <row r="184" spans="1:4" x14ac:dyDescent="0.25">
      <c r="A184" s="180">
        <f t="shared" si="2"/>
        <v>1120188</v>
      </c>
      <c r="B184" s="188" t="s">
        <v>201</v>
      </c>
      <c r="C184" s="188" t="s">
        <v>202</v>
      </c>
      <c r="D184" t="s">
        <v>13411</v>
      </c>
    </row>
    <row r="185" spans="1:4" x14ac:dyDescent="0.25">
      <c r="A185" s="180">
        <f t="shared" si="2"/>
        <v>1120190</v>
      </c>
      <c r="B185" s="188" t="s">
        <v>203</v>
      </c>
      <c r="C185" s="188" t="s">
        <v>204</v>
      </c>
      <c r="D185" t="s">
        <v>13411</v>
      </c>
    </row>
    <row r="186" spans="1:4" x14ac:dyDescent="0.25">
      <c r="A186" s="180">
        <f t="shared" si="2"/>
        <v>1120191</v>
      </c>
      <c r="B186" s="188" t="s">
        <v>205</v>
      </c>
      <c r="C186" s="188" t="s">
        <v>206</v>
      </c>
      <c r="D186" t="s">
        <v>13411</v>
      </c>
    </row>
    <row r="187" spans="1:4" x14ac:dyDescent="0.25">
      <c r="A187" s="180">
        <f t="shared" si="2"/>
        <v>1120192</v>
      </c>
      <c r="B187" s="188" t="s">
        <v>207</v>
      </c>
      <c r="C187" s="188" t="s">
        <v>208</v>
      </c>
      <c r="D187" t="s">
        <v>13411</v>
      </c>
    </row>
    <row r="188" spans="1:4" x14ac:dyDescent="0.25">
      <c r="A188" s="180">
        <f t="shared" si="2"/>
        <v>1120193</v>
      </c>
      <c r="B188" s="188" t="s">
        <v>209</v>
      </c>
      <c r="C188" s="188" t="s">
        <v>210</v>
      </c>
      <c r="D188" t="s">
        <v>13411</v>
      </c>
    </row>
    <row r="189" spans="1:4" x14ac:dyDescent="0.25">
      <c r="A189" s="180">
        <f t="shared" si="2"/>
        <v>1120194</v>
      </c>
      <c r="B189" s="188" t="s">
        <v>211</v>
      </c>
      <c r="C189" s="188" t="s">
        <v>212</v>
      </c>
    </row>
    <row r="190" spans="1:4" x14ac:dyDescent="0.25">
      <c r="A190" s="180">
        <f t="shared" si="2"/>
        <v>1120195</v>
      </c>
      <c r="B190" s="188" t="s">
        <v>213</v>
      </c>
      <c r="C190" s="188" t="s">
        <v>214</v>
      </c>
      <c r="D190" t="s">
        <v>13411</v>
      </c>
    </row>
    <row r="191" spans="1:4" x14ac:dyDescent="0.25">
      <c r="A191" s="180">
        <f t="shared" ref="A191:A254" si="3">IFERROR(B191*1,"")</f>
        <v>1120196</v>
      </c>
      <c r="B191" s="188" t="s">
        <v>215</v>
      </c>
      <c r="C191" s="188" t="s">
        <v>216</v>
      </c>
      <c r="D191" t="s">
        <v>13411</v>
      </c>
    </row>
    <row r="192" spans="1:4" x14ac:dyDescent="0.25">
      <c r="A192" s="180">
        <f t="shared" si="3"/>
        <v>1120197</v>
      </c>
      <c r="B192" s="188" t="s">
        <v>217</v>
      </c>
      <c r="C192" s="188" t="s">
        <v>218</v>
      </c>
      <c r="D192" t="s">
        <v>13411</v>
      </c>
    </row>
    <row r="193" spans="1:4" x14ac:dyDescent="0.25">
      <c r="A193" s="180">
        <f t="shared" si="3"/>
        <v>1120199</v>
      </c>
      <c r="B193" s="188" t="s">
        <v>219</v>
      </c>
      <c r="C193" s="188" t="s">
        <v>220</v>
      </c>
    </row>
    <row r="194" spans="1:4" x14ac:dyDescent="0.25">
      <c r="A194" s="180">
        <f t="shared" si="3"/>
        <v>1120200</v>
      </c>
      <c r="B194" s="188" t="s">
        <v>221</v>
      </c>
      <c r="C194" s="188" t="s">
        <v>222</v>
      </c>
    </row>
    <row r="195" spans="1:4" x14ac:dyDescent="0.25">
      <c r="A195" s="180">
        <f t="shared" si="3"/>
        <v>1120201</v>
      </c>
      <c r="B195" s="188" t="s">
        <v>223</v>
      </c>
      <c r="C195" s="188" t="s">
        <v>224</v>
      </c>
      <c r="D195" t="s">
        <v>13411</v>
      </c>
    </row>
    <row r="196" spans="1:4" x14ac:dyDescent="0.25">
      <c r="A196" s="180">
        <f t="shared" si="3"/>
        <v>1120202</v>
      </c>
      <c r="B196" s="188" t="s">
        <v>225</v>
      </c>
      <c r="C196" s="188" t="s">
        <v>226</v>
      </c>
      <c r="D196" t="s">
        <v>13411</v>
      </c>
    </row>
    <row r="197" spans="1:4" x14ac:dyDescent="0.25">
      <c r="A197" s="180">
        <f t="shared" si="3"/>
        <v>1120203</v>
      </c>
      <c r="B197" s="188" t="s">
        <v>227</v>
      </c>
      <c r="C197" s="188" t="s">
        <v>228</v>
      </c>
      <c r="D197" t="s">
        <v>13411</v>
      </c>
    </row>
    <row r="198" spans="1:4" x14ac:dyDescent="0.25">
      <c r="A198" s="180">
        <f t="shared" si="3"/>
        <v>1120204</v>
      </c>
      <c r="B198" s="188" t="s">
        <v>229</v>
      </c>
      <c r="C198" s="188" t="s">
        <v>230</v>
      </c>
    </row>
    <row r="199" spans="1:4" x14ac:dyDescent="0.25">
      <c r="A199" s="180" t="str">
        <f t="shared" si="3"/>
        <v/>
      </c>
      <c r="B199" s="188" t="s">
        <v>12979</v>
      </c>
      <c r="C199" s="188"/>
    </row>
    <row r="200" spans="1:4" x14ac:dyDescent="0.25">
      <c r="A200" s="180">
        <f t="shared" si="3"/>
        <v>1120206</v>
      </c>
      <c r="B200" s="188" t="s">
        <v>231</v>
      </c>
      <c r="C200" s="188" t="s">
        <v>232</v>
      </c>
      <c r="D200" t="s">
        <v>13411</v>
      </c>
    </row>
    <row r="201" spans="1:4" x14ac:dyDescent="0.25">
      <c r="A201" s="180">
        <f t="shared" si="3"/>
        <v>1120207</v>
      </c>
      <c r="B201" s="188" t="s">
        <v>233</v>
      </c>
      <c r="C201" s="188" t="s">
        <v>234</v>
      </c>
      <c r="D201" t="s">
        <v>13411</v>
      </c>
    </row>
    <row r="202" spans="1:4" x14ac:dyDescent="0.25">
      <c r="A202" s="180">
        <f t="shared" si="3"/>
        <v>1120208</v>
      </c>
      <c r="B202" s="188" t="s">
        <v>235</v>
      </c>
      <c r="C202" s="188" t="s">
        <v>236</v>
      </c>
      <c r="D202" t="s">
        <v>13411</v>
      </c>
    </row>
    <row r="203" spans="1:4" x14ac:dyDescent="0.25">
      <c r="A203" s="180">
        <f t="shared" si="3"/>
        <v>1120209</v>
      </c>
      <c r="B203" s="188" t="s">
        <v>237</v>
      </c>
      <c r="C203" s="188" t="s">
        <v>238</v>
      </c>
      <c r="D203" t="s">
        <v>13411</v>
      </c>
    </row>
    <row r="204" spans="1:4" x14ac:dyDescent="0.25">
      <c r="A204" s="180">
        <f t="shared" si="3"/>
        <v>1120210</v>
      </c>
      <c r="B204" s="188" t="s">
        <v>239</v>
      </c>
      <c r="C204" s="188" t="s">
        <v>240</v>
      </c>
    </row>
    <row r="205" spans="1:4" x14ac:dyDescent="0.25">
      <c r="A205" s="180">
        <f t="shared" si="3"/>
        <v>1120211</v>
      </c>
      <c r="B205" s="188" t="s">
        <v>241</v>
      </c>
      <c r="C205" s="188" t="s">
        <v>242</v>
      </c>
    </row>
    <row r="206" spans="1:4" x14ac:dyDescent="0.25">
      <c r="A206" s="180">
        <f t="shared" si="3"/>
        <v>1120212</v>
      </c>
      <c r="B206" s="188" t="s">
        <v>243</v>
      </c>
      <c r="C206" s="188" t="s">
        <v>244</v>
      </c>
    </row>
    <row r="207" spans="1:4" x14ac:dyDescent="0.25">
      <c r="A207" s="180">
        <f t="shared" si="3"/>
        <v>1120213</v>
      </c>
      <c r="B207" s="188" t="s">
        <v>245</v>
      </c>
      <c r="C207" s="188" t="s">
        <v>246</v>
      </c>
    </row>
    <row r="208" spans="1:4" x14ac:dyDescent="0.25">
      <c r="A208" s="180">
        <f t="shared" si="3"/>
        <v>1120214</v>
      </c>
      <c r="B208" s="188" t="s">
        <v>247</v>
      </c>
      <c r="C208" s="188" t="s">
        <v>248</v>
      </c>
    </row>
    <row r="209" spans="1:4" x14ac:dyDescent="0.25">
      <c r="A209" s="180">
        <f t="shared" si="3"/>
        <v>1120215</v>
      </c>
      <c r="B209" s="188" t="s">
        <v>249</v>
      </c>
      <c r="C209" s="188" t="s">
        <v>250</v>
      </c>
    </row>
    <row r="210" spans="1:4" x14ac:dyDescent="0.25">
      <c r="A210" s="180">
        <f t="shared" si="3"/>
        <v>1120216</v>
      </c>
      <c r="B210" s="188" t="s">
        <v>251</v>
      </c>
      <c r="C210" s="188" t="s">
        <v>252</v>
      </c>
    </row>
    <row r="211" spans="1:4" x14ac:dyDescent="0.25">
      <c r="A211" s="180">
        <f t="shared" si="3"/>
        <v>1120217</v>
      </c>
      <c r="B211" s="188" t="s">
        <v>253</v>
      </c>
      <c r="C211" s="188" t="s">
        <v>254</v>
      </c>
    </row>
    <row r="212" spans="1:4" x14ac:dyDescent="0.25">
      <c r="A212" s="180">
        <f t="shared" si="3"/>
        <v>1120220</v>
      </c>
      <c r="B212" s="188" t="s">
        <v>255</v>
      </c>
      <c r="C212" s="188" t="s">
        <v>256</v>
      </c>
    </row>
    <row r="213" spans="1:4" x14ac:dyDescent="0.25">
      <c r="A213" s="180">
        <f t="shared" si="3"/>
        <v>1120221</v>
      </c>
      <c r="B213" s="188" t="s">
        <v>257</v>
      </c>
      <c r="C213" s="188" t="s">
        <v>258</v>
      </c>
    </row>
    <row r="214" spans="1:4" x14ac:dyDescent="0.25">
      <c r="A214" s="180">
        <f t="shared" si="3"/>
        <v>1120222</v>
      </c>
      <c r="B214" s="188" t="s">
        <v>259</v>
      </c>
      <c r="C214" s="188" t="s">
        <v>260</v>
      </c>
    </row>
    <row r="215" spans="1:4" x14ac:dyDescent="0.25">
      <c r="A215" s="180">
        <f t="shared" si="3"/>
        <v>1120223</v>
      </c>
      <c r="B215" s="188" t="s">
        <v>261</v>
      </c>
      <c r="C215" s="188" t="s">
        <v>262</v>
      </c>
    </row>
    <row r="216" spans="1:4" x14ac:dyDescent="0.25">
      <c r="A216" s="180">
        <f t="shared" si="3"/>
        <v>1120224</v>
      </c>
      <c r="B216" s="188" t="s">
        <v>6788</v>
      </c>
      <c r="C216" s="188" t="s">
        <v>6789</v>
      </c>
      <c r="D216" t="s">
        <v>13411</v>
      </c>
    </row>
    <row r="217" spans="1:4" x14ac:dyDescent="0.25">
      <c r="A217" s="180">
        <f t="shared" si="3"/>
        <v>1120225</v>
      </c>
      <c r="B217" s="188" t="s">
        <v>6790</v>
      </c>
      <c r="C217" s="188" t="s">
        <v>6791</v>
      </c>
      <c r="D217" t="s">
        <v>13411</v>
      </c>
    </row>
    <row r="218" spans="1:4" x14ac:dyDescent="0.25">
      <c r="A218" s="180">
        <f t="shared" si="3"/>
        <v>1120226</v>
      </c>
      <c r="B218" s="188" t="s">
        <v>14183</v>
      </c>
      <c r="C218" s="188" t="s">
        <v>14184</v>
      </c>
    </row>
    <row r="219" spans="1:4" x14ac:dyDescent="0.25">
      <c r="A219" s="180">
        <f t="shared" si="3"/>
        <v>1120230</v>
      </c>
      <c r="B219" s="188" t="s">
        <v>263</v>
      </c>
      <c r="C219" s="188" t="s">
        <v>264</v>
      </c>
      <c r="D219" t="s">
        <v>13411</v>
      </c>
    </row>
    <row r="220" spans="1:4" x14ac:dyDescent="0.25">
      <c r="A220" s="180">
        <f t="shared" si="3"/>
        <v>1120231</v>
      </c>
      <c r="B220" s="188" t="s">
        <v>265</v>
      </c>
      <c r="C220" s="188" t="s">
        <v>266</v>
      </c>
      <c r="D220" t="s">
        <v>13411</v>
      </c>
    </row>
    <row r="221" spans="1:4" x14ac:dyDescent="0.25">
      <c r="A221" s="180">
        <f t="shared" si="3"/>
        <v>1120232</v>
      </c>
      <c r="B221" s="188" t="s">
        <v>267</v>
      </c>
      <c r="C221" s="188" t="s">
        <v>268</v>
      </c>
      <c r="D221" t="s">
        <v>13411</v>
      </c>
    </row>
    <row r="222" spans="1:4" x14ac:dyDescent="0.25">
      <c r="A222" s="180">
        <f t="shared" si="3"/>
        <v>1120233</v>
      </c>
      <c r="B222" s="188" t="s">
        <v>269</v>
      </c>
      <c r="C222" s="188" t="s">
        <v>270</v>
      </c>
      <c r="D222" t="s">
        <v>13411</v>
      </c>
    </row>
    <row r="223" spans="1:4" x14ac:dyDescent="0.25">
      <c r="A223" s="180">
        <f t="shared" si="3"/>
        <v>1120234</v>
      </c>
      <c r="B223" s="188" t="s">
        <v>271</v>
      </c>
      <c r="C223" s="188" t="s">
        <v>272</v>
      </c>
      <c r="D223" t="s">
        <v>13411</v>
      </c>
    </row>
    <row r="224" spans="1:4" x14ac:dyDescent="0.25">
      <c r="A224" s="180">
        <f t="shared" si="3"/>
        <v>1120235</v>
      </c>
      <c r="B224" s="188" t="s">
        <v>273</v>
      </c>
      <c r="C224" s="188" t="s">
        <v>274</v>
      </c>
    </row>
    <row r="225" spans="1:4" x14ac:dyDescent="0.25">
      <c r="A225" s="180">
        <f t="shared" si="3"/>
        <v>1120236</v>
      </c>
      <c r="B225" s="188" t="s">
        <v>275</v>
      </c>
      <c r="C225" s="188" t="s">
        <v>276</v>
      </c>
    </row>
    <row r="226" spans="1:4" x14ac:dyDescent="0.25">
      <c r="A226" s="180">
        <f t="shared" si="3"/>
        <v>1120238</v>
      </c>
      <c r="B226" s="188" t="s">
        <v>277</v>
      </c>
      <c r="C226" s="188" t="s">
        <v>278</v>
      </c>
      <c r="D226" t="s">
        <v>13411</v>
      </c>
    </row>
    <row r="227" spans="1:4" x14ac:dyDescent="0.25">
      <c r="A227" s="180">
        <f t="shared" si="3"/>
        <v>1120239</v>
      </c>
      <c r="B227" s="188" t="s">
        <v>279</v>
      </c>
      <c r="C227" s="188" t="s">
        <v>280</v>
      </c>
    </row>
    <row r="228" spans="1:4" x14ac:dyDescent="0.25">
      <c r="A228" s="180">
        <f t="shared" si="3"/>
        <v>1120240</v>
      </c>
      <c r="B228" s="188" t="s">
        <v>281</v>
      </c>
      <c r="C228" s="188" t="s">
        <v>282</v>
      </c>
    </row>
    <row r="229" spans="1:4" x14ac:dyDescent="0.25">
      <c r="A229" s="180">
        <f t="shared" si="3"/>
        <v>1120241</v>
      </c>
      <c r="B229" s="188" t="s">
        <v>283</v>
      </c>
      <c r="C229" s="188" t="s">
        <v>284</v>
      </c>
      <c r="D229" t="s">
        <v>13411</v>
      </c>
    </row>
    <row r="230" spans="1:4" x14ac:dyDescent="0.25">
      <c r="A230" s="180">
        <f t="shared" si="3"/>
        <v>1120242</v>
      </c>
      <c r="B230" s="188" t="s">
        <v>285</v>
      </c>
      <c r="C230" s="188" t="s">
        <v>286</v>
      </c>
      <c r="D230" t="s">
        <v>13411</v>
      </c>
    </row>
    <row r="231" spans="1:4" x14ac:dyDescent="0.25">
      <c r="A231" s="180">
        <f t="shared" si="3"/>
        <v>1120243</v>
      </c>
      <c r="B231" s="188" t="s">
        <v>287</v>
      </c>
      <c r="C231" s="188" t="s">
        <v>288</v>
      </c>
    </row>
    <row r="232" spans="1:4" x14ac:dyDescent="0.25">
      <c r="A232" s="180">
        <f t="shared" si="3"/>
        <v>1120246</v>
      </c>
      <c r="B232" s="188" t="s">
        <v>289</v>
      </c>
      <c r="C232" s="188" t="s">
        <v>290</v>
      </c>
      <c r="D232" t="s">
        <v>13411</v>
      </c>
    </row>
    <row r="233" spans="1:4" x14ac:dyDescent="0.25">
      <c r="A233" s="180" t="str">
        <f t="shared" si="3"/>
        <v/>
      </c>
      <c r="B233" s="188" t="s">
        <v>291</v>
      </c>
      <c r="C233" s="188" t="s">
        <v>292</v>
      </c>
    </row>
    <row r="234" spans="1:4" x14ac:dyDescent="0.25">
      <c r="A234" s="180">
        <f t="shared" si="3"/>
        <v>1120247</v>
      </c>
      <c r="B234" s="188" t="s">
        <v>293</v>
      </c>
      <c r="C234" s="188" t="s">
        <v>294</v>
      </c>
      <c r="D234" t="s">
        <v>13411</v>
      </c>
    </row>
    <row r="235" spans="1:4" x14ac:dyDescent="0.25">
      <c r="A235" s="180" t="str">
        <f t="shared" si="3"/>
        <v/>
      </c>
      <c r="B235" s="188" t="s">
        <v>295</v>
      </c>
      <c r="C235" s="188" t="s">
        <v>296</v>
      </c>
    </row>
    <row r="236" spans="1:4" x14ac:dyDescent="0.25">
      <c r="A236" s="180">
        <f t="shared" si="3"/>
        <v>1120248</v>
      </c>
      <c r="B236" s="188" t="s">
        <v>297</v>
      </c>
      <c r="C236" s="188" t="s">
        <v>298</v>
      </c>
      <c r="D236" t="s">
        <v>13411</v>
      </c>
    </row>
    <row r="237" spans="1:4" x14ac:dyDescent="0.25">
      <c r="A237" s="180">
        <f t="shared" si="3"/>
        <v>1120250</v>
      </c>
      <c r="B237" s="188" t="s">
        <v>299</v>
      </c>
      <c r="C237" s="188" t="s">
        <v>300</v>
      </c>
      <c r="D237" t="s">
        <v>13411</v>
      </c>
    </row>
    <row r="238" spans="1:4" x14ac:dyDescent="0.25">
      <c r="A238" s="180">
        <f t="shared" si="3"/>
        <v>1120251</v>
      </c>
      <c r="B238" s="188" t="s">
        <v>301</v>
      </c>
      <c r="C238" s="188" t="s">
        <v>302</v>
      </c>
    </row>
    <row r="239" spans="1:4" x14ac:dyDescent="0.25">
      <c r="A239" s="180">
        <f t="shared" si="3"/>
        <v>1120263</v>
      </c>
      <c r="B239" s="188" t="s">
        <v>303</v>
      </c>
      <c r="C239" s="188" t="s">
        <v>304</v>
      </c>
      <c r="D239" t="s">
        <v>13411</v>
      </c>
    </row>
    <row r="240" spans="1:4" x14ac:dyDescent="0.25">
      <c r="A240" s="180">
        <f t="shared" si="3"/>
        <v>1120264</v>
      </c>
      <c r="B240" s="188" t="s">
        <v>305</v>
      </c>
      <c r="C240" s="188" t="s">
        <v>306</v>
      </c>
      <c r="D240" t="s">
        <v>13411</v>
      </c>
    </row>
    <row r="241" spans="1:4" x14ac:dyDescent="0.25">
      <c r="A241" s="180">
        <f t="shared" si="3"/>
        <v>1120265</v>
      </c>
      <c r="B241" s="188" t="s">
        <v>307</v>
      </c>
      <c r="C241" s="188" t="s">
        <v>308</v>
      </c>
    </row>
    <row r="242" spans="1:4" x14ac:dyDescent="0.25">
      <c r="A242" s="180">
        <f t="shared" si="3"/>
        <v>1120266</v>
      </c>
      <c r="B242" s="188" t="s">
        <v>309</v>
      </c>
      <c r="C242" s="188" t="s">
        <v>310</v>
      </c>
    </row>
    <row r="243" spans="1:4" x14ac:dyDescent="0.25">
      <c r="A243" s="180">
        <f t="shared" si="3"/>
        <v>1120267</v>
      </c>
      <c r="B243" s="188" t="s">
        <v>311</v>
      </c>
      <c r="C243" s="188" t="s">
        <v>312</v>
      </c>
      <c r="D243" t="s">
        <v>13411</v>
      </c>
    </row>
    <row r="244" spans="1:4" x14ac:dyDescent="0.25">
      <c r="A244" s="180">
        <f t="shared" si="3"/>
        <v>1120268</v>
      </c>
      <c r="B244" s="188" t="s">
        <v>313</v>
      </c>
      <c r="C244" s="188" t="s">
        <v>314</v>
      </c>
      <c r="D244" t="s">
        <v>13411</v>
      </c>
    </row>
    <row r="245" spans="1:4" x14ac:dyDescent="0.25">
      <c r="A245" s="180">
        <f t="shared" si="3"/>
        <v>1120269</v>
      </c>
      <c r="B245" s="188" t="s">
        <v>315</v>
      </c>
      <c r="C245" s="189" t="s">
        <v>316</v>
      </c>
    </row>
    <row r="246" spans="1:4" x14ac:dyDescent="0.25">
      <c r="A246" s="180">
        <f t="shared" si="3"/>
        <v>1120270</v>
      </c>
      <c r="B246" s="188" t="s">
        <v>317</v>
      </c>
      <c r="C246" s="188" t="s">
        <v>318</v>
      </c>
    </row>
    <row r="247" spans="1:4" x14ac:dyDescent="0.25">
      <c r="A247" s="180">
        <f t="shared" si="3"/>
        <v>1120271</v>
      </c>
      <c r="B247" s="188" t="s">
        <v>319</v>
      </c>
      <c r="C247" s="189" t="s">
        <v>320</v>
      </c>
      <c r="D247" t="s">
        <v>13411</v>
      </c>
    </row>
    <row r="248" spans="1:4" x14ac:dyDescent="0.25">
      <c r="A248" s="180">
        <f t="shared" si="3"/>
        <v>1120272</v>
      </c>
      <c r="B248" s="188" t="s">
        <v>321</v>
      </c>
      <c r="C248" s="188" t="s">
        <v>322</v>
      </c>
      <c r="D248" t="s">
        <v>13411</v>
      </c>
    </row>
    <row r="249" spans="1:4" x14ac:dyDescent="0.25">
      <c r="A249" s="180">
        <f t="shared" si="3"/>
        <v>1120273</v>
      </c>
      <c r="B249" s="188" t="s">
        <v>323</v>
      </c>
      <c r="C249" s="189" t="s">
        <v>324</v>
      </c>
    </row>
    <row r="250" spans="1:4" x14ac:dyDescent="0.25">
      <c r="A250" s="180">
        <f t="shared" si="3"/>
        <v>1120274</v>
      </c>
      <c r="B250" s="188" t="s">
        <v>325</v>
      </c>
      <c r="C250" s="188" t="s">
        <v>326</v>
      </c>
    </row>
    <row r="251" spans="1:4" x14ac:dyDescent="0.25">
      <c r="A251" s="180">
        <f t="shared" si="3"/>
        <v>1120275</v>
      </c>
      <c r="B251" s="188" t="s">
        <v>327</v>
      </c>
      <c r="C251" s="188" t="s">
        <v>328</v>
      </c>
      <c r="D251" t="s">
        <v>13411</v>
      </c>
    </row>
    <row r="252" spans="1:4" x14ac:dyDescent="0.25">
      <c r="A252" s="180">
        <f t="shared" si="3"/>
        <v>1120276</v>
      </c>
      <c r="B252" s="188" t="s">
        <v>329</v>
      </c>
      <c r="C252" s="188" t="s">
        <v>330</v>
      </c>
      <c r="D252" t="s">
        <v>13411</v>
      </c>
    </row>
    <row r="253" spans="1:4" x14ac:dyDescent="0.25">
      <c r="A253" s="180">
        <f t="shared" si="3"/>
        <v>1120277</v>
      </c>
      <c r="B253" s="188" t="s">
        <v>331</v>
      </c>
      <c r="C253" s="188" t="s">
        <v>332</v>
      </c>
    </row>
    <row r="254" spans="1:4" x14ac:dyDescent="0.25">
      <c r="A254" s="180">
        <f t="shared" si="3"/>
        <v>1120278</v>
      </c>
      <c r="B254" s="188" t="s">
        <v>333</v>
      </c>
      <c r="C254" s="188" t="s">
        <v>334</v>
      </c>
    </row>
    <row r="255" spans="1:4" x14ac:dyDescent="0.25">
      <c r="A255" s="180">
        <f t="shared" ref="A255:A318" si="4">IFERROR(B255*1,"")</f>
        <v>1120280</v>
      </c>
      <c r="B255" s="188" t="s">
        <v>335</v>
      </c>
      <c r="C255" s="189" t="s">
        <v>336</v>
      </c>
      <c r="D255" t="s">
        <v>13411</v>
      </c>
    </row>
    <row r="256" spans="1:4" x14ac:dyDescent="0.25">
      <c r="A256" s="180">
        <f t="shared" si="4"/>
        <v>1120281</v>
      </c>
      <c r="B256" s="188" t="s">
        <v>12751</v>
      </c>
      <c r="C256" s="188" t="s">
        <v>12752</v>
      </c>
      <c r="D256" t="s">
        <v>13411</v>
      </c>
    </row>
    <row r="257" spans="1:4" x14ac:dyDescent="0.25">
      <c r="A257" s="180">
        <f t="shared" si="4"/>
        <v>1120285</v>
      </c>
      <c r="B257" s="188" t="s">
        <v>337</v>
      </c>
      <c r="C257" s="189" t="s">
        <v>338</v>
      </c>
      <c r="D257" t="s">
        <v>13411</v>
      </c>
    </row>
    <row r="258" spans="1:4" x14ac:dyDescent="0.25">
      <c r="A258" s="180" t="str">
        <f t="shared" si="4"/>
        <v/>
      </c>
      <c r="B258" s="188" t="s">
        <v>339</v>
      </c>
      <c r="C258" s="188" t="s">
        <v>340</v>
      </c>
    </row>
    <row r="259" spans="1:4" x14ac:dyDescent="0.25">
      <c r="A259" s="180">
        <f t="shared" si="4"/>
        <v>1120286</v>
      </c>
      <c r="B259" s="188" t="s">
        <v>341</v>
      </c>
      <c r="C259" s="189" t="s">
        <v>342</v>
      </c>
      <c r="D259" t="s">
        <v>13411</v>
      </c>
    </row>
    <row r="260" spans="1:4" x14ac:dyDescent="0.25">
      <c r="A260" s="180">
        <f t="shared" si="4"/>
        <v>1120287</v>
      </c>
      <c r="B260" s="188" t="s">
        <v>343</v>
      </c>
      <c r="C260" s="188" t="s">
        <v>344</v>
      </c>
    </row>
    <row r="261" spans="1:4" x14ac:dyDescent="0.25">
      <c r="A261" s="180">
        <f t="shared" si="4"/>
        <v>1120288</v>
      </c>
      <c r="B261" s="188" t="s">
        <v>345</v>
      </c>
      <c r="C261" s="188" t="s">
        <v>346</v>
      </c>
      <c r="D261" t="s">
        <v>13411</v>
      </c>
    </row>
    <row r="262" spans="1:4" x14ac:dyDescent="0.25">
      <c r="A262" s="180">
        <f t="shared" si="4"/>
        <v>1120289</v>
      </c>
      <c r="B262" s="188" t="s">
        <v>347</v>
      </c>
      <c r="C262" s="188" t="s">
        <v>348</v>
      </c>
    </row>
    <row r="263" spans="1:4" x14ac:dyDescent="0.25">
      <c r="A263" s="180">
        <f t="shared" si="4"/>
        <v>1120290</v>
      </c>
      <c r="B263" s="188" t="s">
        <v>349</v>
      </c>
      <c r="C263" s="188" t="s">
        <v>350</v>
      </c>
    </row>
    <row r="264" spans="1:4" x14ac:dyDescent="0.25">
      <c r="A264" s="180">
        <f t="shared" si="4"/>
        <v>1120291</v>
      </c>
      <c r="B264" s="188" t="s">
        <v>351</v>
      </c>
      <c r="C264" s="188" t="s">
        <v>352</v>
      </c>
    </row>
    <row r="265" spans="1:4" x14ac:dyDescent="0.25">
      <c r="A265" s="180">
        <f t="shared" si="4"/>
        <v>1120292</v>
      </c>
      <c r="B265" s="188" t="s">
        <v>353</v>
      </c>
      <c r="C265" s="188" t="s">
        <v>354</v>
      </c>
    </row>
    <row r="266" spans="1:4" x14ac:dyDescent="0.25">
      <c r="A266" s="180">
        <f t="shared" si="4"/>
        <v>1120293</v>
      </c>
      <c r="B266" s="188" t="s">
        <v>355</v>
      </c>
      <c r="C266" s="188" t="s">
        <v>356</v>
      </c>
    </row>
    <row r="267" spans="1:4" x14ac:dyDescent="0.25">
      <c r="A267" s="180">
        <f t="shared" si="4"/>
        <v>1120294</v>
      </c>
      <c r="B267" s="188" t="s">
        <v>12639</v>
      </c>
      <c r="C267" s="188" t="s">
        <v>14352</v>
      </c>
      <c r="D267" t="s">
        <v>13411</v>
      </c>
    </row>
    <row r="268" spans="1:4" x14ac:dyDescent="0.25">
      <c r="A268" s="180">
        <f t="shared" si="4"/>
        <v>1120299</v>
      </c>
      <c r="B268" s="188" t="s">
        <v>357</v>
      </c>
      <c r="C268" s="188" t="s">
        <v>358</v>
      </c>
    </row>
    <row r="269" spans="1:4" x14ac:dyDescent="0.25">
      <c r="A269" s="180">
        <f t="shared" si="4"/>
        <v>1120300</v>
      </c>
      <c r="B269" s="188" t="s">
        <v>359</v>
      </c>
      <c r="C269" s="188" t="s">
        <v>360</v>
      </c>
      <c r="D269" t="s">
        <v>13411</v>
      </c>
    </row>
    <row r="270" spans="1:4" x14ac:dyDescent="0.25">
      <c r="A270" s="180" t="str">
        <f t="shared" si="4"/>
        <v/>
      </c>
      <c r="B270" s="188" t="s">
        <v>12980</v>
      </c>
      <c r="C270" s="188"/>
    </row>
    <row r="271" spans="1:4" x14ac:dyDescent="0.25">
      <c r="A271" s="180" t="str">
        <f t="shared" si="4"/>
        <v/>
      </c>
      <c r="B271" s="188" t="s">
        <v>12981</v>
      </c>
      <c r="C271" s="188"/>
    </row>
    <row r="272" spans="1:4" x14ac:dyDescent="0.25">
      <c r="A272" s="180" t="str">
        <f t="shared" si="4"/>
        <v/>
      </c>
      <c r="B272" s="188" t="s">
        <v>12982</v>
      </c>
      <c r="C272" s="188"/>
    </row>
    <row r="273" spans="1:4" x14ac:dyDescent="0.25">
      <c r="A273" s="180">
        <f t="shared" si="4"/>
        <v>1120305</v>
      </c>
      <c r="B273" s="188" t="s">
        <v>361</v>
      </c>
      <c r="C273" s="188" t="s">
        <v>6792</v>
      </c>
      <c r="D273" t="s">
        <v>13411</v>
      </c>
    </row>
    <row r="274" spans="1:4" x14ac:dyDescent="0.25">
      <c r="A274" s="180">
        <f t="shared" si="4"/>
        <v>1120306</v>
      </c>
      <c r="B274" s="188" t="s">
        <v>362</v>
      </c>
      <c r="C274" s="188" t="s">
        <v>6793</v>
      </c>
      <c r="D274" t="s">
        <v>13411</v>
      </c>
    </row>
    <row r="275" spans="1:4" x14ac:dyDescent="0.25">
      <c r="A275" s="180">
        <f t="shared" si="4"/>
        <v>1120307</v>
      </c>
      <c r="B275" s="188" t="s">
        <v>363</v>
      </c>
      <c r="C275" s="189" t="s">
        <v>6794</v>
      </c>
    </row>
    <row r="276" spans="1:4" x14ac:dyDescent="0.25">
      <c r="A276" s="180">
        <f t="shared" si="4"/>
        <v>1120310</v>
      </c>
      <c r="B276" s="188" t="s">
        <v>364</v>
      </c>
      <c r="C276" s="188" t="s">
        <v>365</v>
      </c>
      <c r="D276" t="s">
        <v>13411</v>
      </c>
    </row>
    <row r="277" spans="1:4" x14ac:dyDescent="0.25">
      <c r="A277" s="180" t="str">
        <f t="shared" si="4"/>
        <v/>
      </c>
      <c r="B277" s="188" t="s">
        <v>12983</v>
      </c>
      <c r="C277" s="189"/>
    </row>
    <row r="278" spans="1:4" x14ac:dyDescent="0.25">
      <c r="A278" s="180">
        <f t="shared" si="4"/>
        <v>1120311</v>
      </c>
      <c r="B278" s="188" t="s">
        <v>366</v>
      </c>
      <c r="C278" s="188" t="s">
        <v>367</v>
      </c>
    </row>
    <row r="279" spans="1:4" x14ac:dyDescent="0.25">
      <c r="A279" s="180" t="str">
        <f t="shared" si="4"/>
        <v/>
      </c>
      <c r="B279" s="188" t="s">
        <v>12984</v>
      </c>
      <c r="C279" s="189"/>
    </row>
    <row r="280" spans="1:4" x14ac:dyDescent="0.25">
      <c r="A280" s="180">
        <f t="shared" si="4"/>
        <v>1120312</v>
      </c>
      <c r="B280" s="188" t="s">
        <v>368</v>
      </c>
      <c r="C280" s="188" t="s">
        <v>144</v>
      </c>
    </row>
    <row r="281" spans="1:4" x14ac:dyDescent="0.25">
      <c r="A281" s="180" t="str">
        <f t="shared" si="4"/>
        <v/>
      </c>
      <c r="B281" s="188" t="s">
        <v>12985</v>
      </c>
      <c r="C281" s="188"/>
    </row>
    <row r="282" spans="1:4" x14ac:dyDescent="0.25">
      <c r="A282" s="180">
        <f t="shared" si="4"/>
        <v>1120313</v>
      </c>
      <c r="B282" s="188" t="s">
        <v>369</v>
      </c>
      <c r="C282" s="188" t="s">
        <v>370</v>
      </c>
    </row>
    <row r="283" spans="1:4" x14ac:dyDescent="0.25">
      <c r="A283" s="180">
        <f t="shared" si="4"/>
        <v>1120315</v>
      </c>
      <c r="B283" s="188" t="s">
        <v>371</v>
      </c>
      <c r="C283" s="188" t="s">
        <v>372</v>
      </c>
      <c r="D283" t="s">
        <v>13411</v>
      </c>
    </row>
    <row r="284" spans="1:4" x14ac:dyDescent="0.25">
      <c r="A284" s="180">
        <f t="shared" si="4"/>
        <v>1120316</v>
      </c>
      <c r="B284" s="188" t="s">
        <v>373</v>
      </c>
      <c r="C284" s="188" t="s">
        <v>374</v>
      </c>
      <c r="D284" t="s">
        <v>13411</v>
      </c>
    </row>
    <row r="285" spans="1:4" x14ac:dyDescent="0.25">
      <c r="A285" s="180">
        <f t="shared" si="4"/>
        <v>1120317</v>
      </c>
      <c r="B285" s="188" t="s">
        <v>375</v>
      </c>
      <c r="C285" s="188" t="s">
        <v>376</v>
      </c>
    </row>
    <row r="286" spans="1:4" x14ac:dyDescent="0.25">
      <c r="A286" s="180">
        <f t="shared" si="4"/>
        <v>1120318</v>
      </c>
      <c r="B286" s="188" t="s">
        <v>377</v>
      </c>
      <c r="C286" s="188" t="s">
        <v>378</v>
      </c>
    </row>
    <row r="287" spans="1:4" x14ac:dyDescent="0.25">
      <c r="A287" s="180">
        <f t="shared" si="4"/>
        <v>1120319</v>
      </c>
      <c r="B287" s="188" t="s">
        <v>379</v>
      </c>
      <c r="C287" s="188" t="s">
        <v>380</v>
      </c>
    </row>
    <row r="288" spans="1:4" x14ac:dyDescent="0.25">
      <c r="A288" s="180">
        <f t="shared" si="4"/>
        <v>1120320</v>
      </c>
      <c r="B288" s="188" t="s">
        <v>381</v>
      </c>
      <c r="C288" s="188" t="s">
        <v>382</v>
      </c>
    </row>
    <row r="289" spans="1:4" x14ac:dyDescent="0.25">
      <c r="A289" s="180">
        <f t="shared" si="4"/>
        <v>1120321</v>
      </c>
      <c r="B289" s="188" t="s">
        <v>383</v>
      </c>
      <c r="C289" s="188" t="s">
        <v>384</v>
      </c>
    </row>
    <row r="290" spans="1:4" x14ac:dyDescent="0.25">
      <c r="A290" s="180">
        <f t="shared" si="4"/>
        <v>1120322</v>
      </c>
      <c r="B290" s="188" t="s">
        <v>385</v>
      </c>
      <c r="C290" s="188" t="s">
        <v>386</v>
      </c>
    </row>
    <row r="291" spans="1:4" x14ac:dyDescent="0.25">
      <c r="A291" s="180">
        <f t="shared" si="4"/>
        <v>1120323</v>
      </c>
      <c r="B291" s="188" t="s">
        <v>387</v>
      </c>
      <c r="C291" s="188" t="s">
        <v>388</v>
      </c>
      <c r="D291" t="s">
        <v>13411</v>
      </c>
    </row>
    <row r="292" spans="1:4" x14ac:dyDescent="0.25">
      <c r="A292" s="180">
        <f t="shared" si="4"/>
        <v>1120324</v>
      </c>
      <c r="B292" s="188" t="s">
        <v>389</v>
      </c>
      <c r="C292" s="188" t="s">
        <v>390</v>
      </c>
    </row>
    <row r="293" spans="1:4" x14ac:dyDescent="0.25">
      <c r="A293" s="180">
        <f t="shared" si="4"/>
        <v>1120325</v>
      </c>
      <c r="B293" s="188" t="s">
        <v>391</v>
      </c>
      <c r="C293" s="188" t="s">
        <v>392</v>
      </c>
      <c r="D293" t="s">
        <v>13411</v>
      </c>
    </row>
    <row r="294" spans="1:4" x14ac:dyDescent="0.25">
      <c r="A294" s="180">
        <f t="shared" si="4"/>
        <v>1120326</v>
      </c>
      <c r="B294" s="188" t="s">
        <v>393</v>
      </c>
      <c r="C294" s="189" t="s">
        <v>394</v>
      </c>
    </row>
    <row r="295" spans="1:4" x14ac:dyDescent="0.25">
      <c r="A295" s="180">
        <f t="shared" si="4"/>
        <v>1120327</v>
      </c>
      <c r="B295" s="188" t="s">
        <v>395</v>
      </c>
      <c r="C295" s="188" t="s">
        <v>396</v>
      </c>
    </row>
    <row r="296" spans="1:4" x14ac:dyDescent="0.25">
      <c r="A296" s="180">
        <f t="shared" si="4"/>
        <v>1120330</v>
      </c>
      <c r="B296" s="188" t="s">
        <v>397</v>
      </c>
      <c r="C296" s="189" t="s">
        <v>398</v>
      </c>
      <c r="D296" t="s">
        <v>13411</v>
      </c>
    </row>
    <row r="297" spans="1:4" x14ac:dyDescent="0.25">
      <c r="A297" s="180" t="str">
        <f t="shared" si="4"/>
        <v/>
      </c>
      <c r="B297" s="188" t="s">
        <v>12986</v>
      </c>
      <c r="C297" s="188"/>
    </row>
    <row r="298" spans="1:4" x14ac:dyDescent="0.25">
      <c r="A298" s="180">
        <f t="shared" si="4"/>
        <v>1120331</v>
      </c>
      <c r="B298" s="188" t="s">
        <v>399</v>
      </c>
      <c r="C298" s="189" t="s">
        <v>400</v>
      </c>
      <c r="D298" t="s">
        <v>13411</v>
      </c>
    </row>
    <row r="299" spans="1:4" x14ac:dyDescent="0.25">
      <c r="A299" s="180" t="str">
        <f t="shared" si="4"/>
        <v/>
      </c>
      <c r="B299" s="188" t="s">
        <v>12987</v>
      </c>
      <c r="C299" s="188"/>
    </row>
    <row r="300" spans="1:4" x14ac:dyDescent="0.25">
      <c r="A300" s="180">
        <f t="shared" si="4"/>
        <v>1120332</v>
      </c>
      <c r="B300" s="188" t="s">
        <v>401</v>
      </c>
      <c r="C300" s="188" t="s">
        <v>402</v>
      </c>
      <c r="D300" t="s">
        <v>13411</v>
      </c>
    </row>
    <row r="301" spans="1:4" x14ac:dyDescent="0.25">
      <c r="A301" s="180" t="str">
        <f t="shared" si="4"/>
        <v/>
      </c>
      <c r="B301" s="188" t="s">
        <v>12988</v>
      </c>
      <c r="C301" s="188"/>
    </row>
    <row r="302" spans="1:4" x14ac:dyDescent="0.25">
      <c r="A302" s="180">
        <f t="shared" si="4"/>
        <v>1120333</v>
      </c>
      <c r="B302" s="188" t="s">
        <v>403</v>
      </c>
      <c r="C302" s="188" t="s">
        <v>404</v>
      </c>
      <c r="D302" t="s">
        <v>13411</v>
      </c>
    </row>
    <row r="303" spans="1:4" x14ac:dyDescent="0.25">
      <c r="A303" s="180">
        <f t="shared" si="4"/>
        <v>1120334</v>
      </c>
      <c r="B303" s="188" t="s">
        <v>405</v>
      </c>
      <c r="C303" s="189" t="s">
        <v>406</v>
      </c>
      <c r="D303" t="s">
        <v>13411</v>
      </c>
    </row>
    <row r="304" spans="1:4" x14ac:dyDescent="0.25">
      <c r="A304" s="180">
        <f t="shared" si="4"/>
        <v>1120335</v>
      </c>
      <c r="B304" s="188" t="s">
        <v>407</v>
      </c>
      <c r="C304" s="188" t="s">
        <v>408</v>
      </c>
      <c r="D304" t="s">
        <v>13411</v>
      </c>
    </row>
    <row r="305" spans="1:4" x14ac:dyDescent="0.25">
      <c r="A305" s="180">
        <f t="shared" si="4"/>
        <v>1120336</v>
      </c>
      <c r="B305" s="188" t="s">
        <v>409</v>
      </c>
      <c r="C305" s="188" t="s">
        <v>410</v>
      </c>
    </row>
    <row r="306" spans="1:4" x14ac:dyDescent="0.25">
      <c r="A306" s="180">
        <f t="shared" si="4"/>
        <v>1120340</v>
      </c>
      <c r="B306" s="188" t="s">
        <v>14086</v>
      </c>
      <c r="C306" s="188" t="s">
        <v>14087</v>
      </c>
      <c r="D306" t="s">
        <v>13411</v>
      </c>
    </row>
    <row r="307" spans="1:4" x14ac:dyDescent="0.25">
      <c r="A307" s="180">
        <f t="shared" si="4"/>
        <v>1120341</v>
      </c>
      <c r="B307" s="188" t="s">
        <v>14088</v>
      </c>
      <c r="C307" s="188" t="s">
        <v>14089</v>
      </c>
      <c r="D307" t="s">
        <v>13411</v>
      </c>
    </row>
    <row r="308" spans="1:4" x14ac:dyDescent="0.25">
      <c r="A308" s="180">
        <f t="shared" si="4"/>
        <v>1120350</v>
      </c>
      <c r="B308" s="188" t="s">
        <v>411</v>
      </c>
      <c r="C308" s="188" t="s">
        <v>412</v>
      </c>
    </row>
    <row r="309" spans="1:4" x14ac:dyDescent="0.25">
      <c r="A309" s="180">
        <f t="shared" si="4"/>
        <v>1120351</v>
      </c>
      <c r="B309" s="188" t="s">
        <v>413</v>
      </c>
      <c r="C309" s="188" t="s">
        <v>414</v>
      </c>
      <c r="D309" t="s">
        <v>13411</v>
      </c>
    </row>
    <row r="310" spans="1:4" x14ac:dyDescent="0.25">
      <c r="A310" s="180">
        <f t="shared" si="4"/>
        <v>1120352</v>
      </c>
      <c r="B310" s="188" t="s">
        <v>415</v>
      </c>
      <c r="C310" s="188" t="s">
        <v>416</v>
      </c>
      <c r="D310" t="s">
        <v>13412</v>
      </c>
    </row>
    <row r="311" spans="1:4" x14ac:dyDescent="0.25">
      <c r="A311" s="180">
        <f t="shared" si="4"/>
        <v>1120353</v>
      </c>
      <c r="B311" s="188" t="s">
        <v>417</v>
      </c>
      <c r="C311" s="188" t="s">
        <v>418</v>
      </c>
    </row>
    <row r="312" spans="1:4" x14ac:dyDescent="0.25">
      <c r="A312" s="180">
        <f t="shared" si="4"/>
        <v>1120354</v>
      </c>
      <c r="B312" s="188" t="s">
        <v>419</v>
      </c>
      <c r="C312" s="189" t="s">
        <v>420</v>
      </c>
    </row>
    <row r="313" spans="1:4" x14ac:dyDescent="0.25">
      <c r="A313" s="180">
        <f t="shared" si="4"/>
        <v>1120355</v>
      </c>
      <c r="B313" s="188" t="s">
        <v>421</v>
      </c>
      <c r="C313" s="188" t="s">
        <v>422</v>
      </c>
      <c r="D313" t="s">
        <v>13412</v>
      </c>
    </row>
    <row r="314" spans="1:4" x14ac:dyDescent="0.25">
      <c r="A314" s="180">
        <f t="shared" si="4"/>
        <v>1120367</v>
      </c>
      <c r="B314" s="188" t="s">
        <v>423</v>
      </c>
      <c r="C314" s="189" t="s">
        <v>424</v>
      </c>
      <c r="D314" t="s">
        <v>13411</v>
      </c>
    </row>
    <row r="315" spans="1:4" x14ac:dyDescent="0.25">
      <c r="A315" s="180">
        <f t="shared" si="4"/>
        <v>1120368</v>
      </c>
      <c r="B315" s="188" t="s">
        <v>425</v>
      </c>
      <c r="C315" s="188" t="s">
        <v>426</v>
      </c>
      <c r="D315" t="s">
        <v>13411</v>
      </c>
    </row>
    <row r="316" spans="1:4" x14ac:dyDescent="0.25">
      <c r="A316" s="180">
        <f t="shared" si="4"/>
        <v>1120369</v>
      </c>
      <c r="B316" s="188" t="s">
        <v>427</v>
      </c>
      <c r="C316" s="189" t="s">
        <v>428</v>
      </c>
      <c r="D316" t="s">
        <v>13411</v>
      </c>
    </row>
    <row r="317" spans="1:4" x14ac:dyDescent="0.25">
      <c r="A317" s="180">
        <f t="shared" si="4"/>
        <v>1120400</v>
      </c>
      <c r="B317" s="188" t="s">
        <v>429</v>
      </c>
      <c r="C317" s="188" t="s">
        <v>430</v>
      </c>
      <c r="D317" t="s">
        <v>13411</v>
      </c>
    </row>
    <row r="318" spans="1:4" x14ac:dyDescent="0.25">
      <c r="A318" s="180" t="str">
        <f t="shared" si="4"/>
        <v/>
      </c>
      <c r="B318" s="188" t="s">
        <v>12989</v>
      </c>
      <c r="C318" s="188"/>
    </row>
    <row r="319" spans="1:4" x14ac:dyDescent="0.25">
      <c r="A319" s="180">
        <f t="shared" ref="A319:A382" si="5">IFERROR(B319*1,"")</f>
        <v>1120401</v>
      </c>
      <c r="B319" s="188" t="s">
        <v>431</v>
      </c>
      <c r="C319" s="188" t="s">
        <v>432</v>
      </c>
      <c r="D319" t="s">
        <v>13411</v>
      </c>
    </row>
    <row r="320" spans="1:4" x14ac:dyDescent="0.25">
      <c r="A320" s="180" t="str">
        <f t="shared" si="5"/>
        <v/>
      </c>
      <c r="B320" s="188" t="s">
        <v>12990</v>
      </c>
      <c r="C320" s="188"/>
    </row>
    <row r="321" spans="1:4" x14ac:dyDescent="0.25">
      <c r="A321" s="180">
        <f t="shared" si="5"/>
        <v>1120402</v>
      </c>
      <c r="B321" s="188" t="s">
        <v>433</v>
      </c>
      <c r="C321" s="188" t="s">
        <v>434</v>
      </c>
      <c r="D321" t="s">
        <v>13411</v>
      </c>
    </row>
    <row r="322" spans="1:4" x14ac:dyDescent="0.25">
      <c r="A322" s="180" t="str">
        <f t="shared" si="5"/>
        <v/>
      </c>
      <c r="B322" s="188" t="s">
        <v>12991</v>
      </c>
      <c r="C322" s="188"/>
    </row>
    <row r="323" spans="1:4" x14ac:dyDescent="0.25">
      <c r="A323" s="180">
        <f t="shared" si="5"/>
        <v>1120414</v>
      </c>
      <c r="B323" s="188" t="s">
        <v>435</v>
      </c>
      <c r="C323" s="188" t="s">
        <v>436</v>
      </c>
      <c r="D323" t="s">
        <v>13411</v>
      </c>
    </row>
    <row r="324" spans="1:4" x14ac:dyDescent="0.25">
      <c r="A324" s="180">
        <f t="shared" si="5"/>
        <v>1120415</v>
      </c>
      <c r="B324" s="188" t="s">
        <v>437</v>
      </c>
      <c r="C324" s="188" t="s">
        <v>438</v>
      </c>
      <c r="D324" t="s">
        <v>13411</v>
      </c>
    </row>
    <row r="325" spans="1:4" x14ac:dyDescent="0.25">
      <c r="A325" s="180">
        <f t="shared" si="5"/>
        <v>1120416</v>
      </c>
      <c r="B325" s="188" t="s">
        <v>439</v>
      </c>
      <c r="C325" s="188" t="s">
        <v>440</v>
      </c>
      <c r="D325" t="s">
        <v>13411</v>
      </c>
    </row>
    <row r="326" spans="1:4" x14ac:dyDescent="0.25">
      <c r="A326" s="180">
        <f t="shared" si="5"/>
        <v>1120417</v>
      </c>
      <c r="B326" s="188" t="s">
        <v>441</v>
      </c>
      <c r="C326" s="188" t="s">
        <v>442</v>
      </c>
      <c r="D326" t="s">
        <v>13411</v>
      </c>
    </row>
    <row r="327" spans="1:4" x14ac:dyDescent="0.25">
      <c r="A327" s="180" t="str">
        <f t="shared" si="5"/>
        <v/>
      </c>
      <c r="B327" s="188" t="s">
        <v>12992</v>
      </c>
      <c r="C327" s="188"/>
    </row>
    <row r="328" spans="1:4" x14ac:dyDescent="0.25">
      <c r="A328" s="180">
        <f t="shared" si="5"/>
        <v>1120428</v>
      </c>
      <c r="B328" s="188" t="s">
        <v>443</v>
      </c>
      <c r="C328" s="188" t="s">
        <v>444</v>
      </c>
      <c r="D328" t="s">
        <v>13411</v>
      </c>
    </row>
    <row r="329" spans="1:4" x14ac:dyDescent="0.25">
      <c r="A329" s="180">
        <f t="shared" si="5"/>
        <v>1120429</v>
      </c>
      <c r="B329" s="188" t="s">
        <v>445</v>
      </c>
      <c r="C329" s="188" t="s">
        <v>446</v>
      </c>
      <c r="D329" t="s">
        <v>13411</v>
      </c>
    </row>
    <row r="330" spans="1:4" x14ac:dyDescent="0.25">
      <c r="A330" s="180">
        <f t="shared" si="5"/>
        <v>1120430</v>
      </c>
      <c r="B330" s="188" t="s">
        <v>447</v>
      </c>
      <c r="C330" s="188" t="s">
        <v>448</v>
      </c>
    </row>
    <row r="331" spans="1:4" x14ac:dyDescent="0.25">
      <c r="A331" s="180">
        <f t="shared" si="5"/>
        <v>1120431</v>
      </c>
      <c r="B331" s="188" t="s">
        <v>449</v>
      </c>
      <c r="C331" s="188" t="s">
        <v>450</v>
      </c>
    </row>
    <row r="332" spans="1:4" x14ac:dyDescent="0.25">
      <c r="A332" s="180">
        <f t="shared" si="5"/>
        <v>1120433</v>
      </c>
      <c r="B332" s="188" t="s">
        <v>451</v>
      </c>
      <c r="C332" s="188" t="s">
        <v>452</v>
      </c>
      <c r="D332" t="s">
        <v>13411</v>
      </c>
    </row>
    <row r="333" spans="1:4" x14ac:dyDescent="0.25">
      <c r="A333" s="180">
        <f t="shared" si="5"/>
        <v>1120434</v>
      </c>
      <c r="B333" s="188" t="s">
        <v>453</v>
      </c>
      <c r="C333" s="188" t="s">
        <v>454</v>
      </c>
    </row>
    <row r="334" spans="1:4" x14ac:dyDescent="0.25">
      <c r="A334" s="180">
        <f t="shared" si="5"/>
        <v>1120441</v>
      </c>
      <c r="B334" s="188" t="s">
        <v>13580</v>
      </c>
      <c r="C334" s="188" t="s">
        <v>13581</v>
      </c>
      <c r="D334" t="s">
        <v>13411</v>
      </c>
    </row>
    <row r="335" spans="1:4" x14ac:dyDescent="0.25">
      <c r="A335" s="180">
        <f t="shared" si="5"/>
        <v>1120442</v>
      </c>
      <c r="B335" s="188" t="s">
        <v>455</v>
      </c>
      <c r="C335" s="188" t="s">
        <v>13582</v>
      </c>
      <c r="D335" t="s">
        <v>13411</v>
      </c>
    </row>
    <row r="336" spans="1:4" x14ac:dyDescent="0.25">
      <c r="A336" s="180" t="str">
        <f t="shared" si="5"/>
        <v/>
      </c>
      <c r="B336" s="188" t="s">
        <v>12993</v>
      </c>
      <c r="C336" s="188"/>
    </row>
    <row r="337" spans="1:4" x14ac:dyDescent="0.25">
      <c r="A337" s="180">
        <f t="shared" si="5"/>
        <v>1120443</v>
      </c>
      <c r="B337" s="188" t="s">
        <v>456</v>
      </c>
      <c r="C337" s="188" t="s">
        <v>13583</v>
      </c>
      <c r="D337" t="s">
        <v>13411</v>
      </c>
    </row>
    <row r="338" spans="1:4" x14ac:dyDescent="0.25">
      <c r="A338" s="180" t="str">
        <f t="shared" si="5"/>
        <v/>
      </c>
      <c r="B338" s="188" t="s">
        <v>12994</v>
      </c>
      <c r="C338" s="188"/>
    </row>
    <row r="339" spans="1:4" x14ac:dyDescent="0.25">
      <c r="A339" s="180">
        <f t="shared" si="5"/>
        <v>1120444</v>
      </c>
      <c r="B339" s="188" t="s">
        <v>457</v>
      </c>
      <c r="C339" s="188" t="s">
        <v>13584</v>
      </c>
      <c r="D339" t="s">
        <v>13411</v>
      </c>
    </row>
    <row r="340" spans="1:4" x14ac:dyDescent="0.25">
      <c r="A340" s="180" t="str">
        <f t="shared" si="5"/>
        <v/>
      </c>
      <c r="B340" s="188" t="s">
        <v>12995</v>
      </c>
      <c r="C340" s="188"/>
    </row>
    <row r="341" spans="1:4" x14ac:dyDescent="0.25">
      <c r="A341" s="180">
        <f t="shared" si="5"/>
        <v>1120445</v>
      </c>
      <c r="B341" s="188" t="s">
        <v>458</v>
      </c>
      <c r="C341" s="188" t="s">
        <v>459</v>
      </c>
      <c r="D341" t="s">
        <v>13411</v>
      </c>
    </row>
    <row r="342" spans="1:4" x14ac:dyDescent="0.25">
      <c r="A342" s="180">
        <f t="shared" si="5"/>
        <v>1120446</v>
      </c>
      <c r="B342" s="188" t="s">
        <v>460</v>
      </c>
      <c r="C342" s="188" t="s">
        <v>461</v>
      </c>
    </row>
    <row r="343" spans="1:4" x14ac:dyDescent="0.25">
      <c r="A343" s="180">
        <f t="shared" si="5"/>
        <v>1120447</v>
      </c>
      <c r="B343" s="188" t="s">
        <v>462</v>
      </c>
      <c r="C343" s="188" t="s">
        <v>463</v>
      </c>
    </row>
    <row r="344" spans="1:4" x14ac:dyDescent="0.25">
      <c r="A344" s="180">
        <f t="shared" si="5"/>
        <v>1120448</v>
      </c>
      <c r="B344" s="188" t="s">
        <v>464</v>
      </c>
      <c r="C344" s="188" t="s">
        <v>465</v>
      </c>
    </row>
    <row r="345" spans="1:4" x14ac:dyDescent="0.25">
      <c r="A345" s="180">
        <f t="shared" si="5"/>
        <v>1120449</v>
      </c>
      <c r="B345" s="188" t="s">
        <v>466</v>
      </c>
      <c r="C345" s="188" t="s">
        <v>467</v>
      </c>
      <c r="D345" t="s">
        <v>13411</v>
      </c>
    </row>
    <row r="346" spans="1:4" x14ac:dyDescent="0.25">
      <c r="A346" s="180">
        <f t="shared" si="5"/>
        <v>1120450</v>
      </c>
      <c r="B346" s="188" t="s">
        <v>468</v>
      </c>
      <c r="C346" s="188" t="s">
        <v>469</v>
      </c>
      <c r="D346" t="s">
        <v>13411</v>
      </c>
    </row>
    <row r="347" spans="1:4" x14ac:dyDescent="0.25">
      <c r="A347" s="180">
        <f t="shared" si="5"/>
        <v>1120451</v>
      </c>
      <c r="B347" s="188" t="s">
        <v>470</v>
      </c>
      <c r="C347" s="188" t="s">
        <v>471</v>
      </c>
      <c r="D347" t="s">
        <v>13411</v>
      </c>
    </row>
    <row r="348" spans="1:4" x14ac:dyDescent="0.25">
      <c r="A348" s="180">
        <f t="shared" si="5"/>
        <v>1120452</v>
      </c>
      <c r="B348" s="188" t="s">
        <v>472</v>
      </c>
      <c r="C348" s="188" t="s">
        <v>473</v>
      </c>
    </row>
    <row r="349" spans="1:4" x14ac:dyDescent="0.25">
      <c r="A349" s="180">
        <f t="shared" si="5"/>
        <v>1120453</v>
      </c>
      <c r="B349" s="188" t="s">
        <v>474</v>
      </c>
      <c r="C349" s="188" t="s">
        <v>475</v>
      </c>
    </row>
    <row r="350" spans="1:4" x14ac:dyDescent="0.25">
      <c r="A350" s="180">
        <f t="shared" si="5"/>
        <v>1120454</v>
      </c>
      <c r="B350" s="188" t="s">
        <v>476</v>
      </c>
      <c r="C350" s="188" t="s">
        <v>477</v>
      </c>
    </row>
    <row r="351" spans="1:4" x14ac:dyDescent="0.25">
      <c r="A351" s="180">
        <f t="shared" si="5"/>
        <v>1120455</v>
      </c>
      <c r="B351" s="188" t="s">
        <v>478</v>
      </c>
      <c r="C351" s="188" t="s">
        <v>479</v>
      </c>
      <c r="D351" t="s">
        <v>13411</v>
      </c>
    </row>
    <row r="352" spans="1:4" x14ac:dyDescent="0.25">
      <c r="A352" s="180">
        <f t="shared" si="5"/>
        <v>1120457</v>
      </c>
      <c r="B352" s="188" t="s">
        <v>480</v>
      </c>
      <c r="C352" s="188" t="s">
        <v>481</v>
      </c>
    </row>
    <row r="353" spans="1:4" x14ac:dyDescent="0.25">
      <c r="A353" s="180">
        <f t="shared" si="5"/>
        <v>1120458</v>
      </c>
      <c r="B353" s="188" t="s">
        <v>482</v>
      </c>
      <c r="C353" s="189" t="s">
        <v>483</v>
      </c>
      <c r="D353" t="s">
        <v>13411</v>
      </c>
    </row>
    <row r="354" spans="1:4" x14ac:dyDescent="0.25">
      <c r="A354" s="180">
        <f t="shared" si="5"/>
        <v>1120459</v>
      </c>
      <c r="B354" s="188" t="s">
        <v>484</v>
      </c>
      <c r="C354" s="188" t="s">
        <v>485</v>
      </c>
    </row>
    <row r="355" spans="1:4" x14ac:dyDescent="0.25">
      <c r="A355" s="180">
        <f t="shared" si="5"/>
        <v>1120460</v>
      </c>
      <c r="B355" s="188" t="s">
        <v>486</v>
      </c>
      <c r="C355" s="189" t="s">
        <v>487</v>
      </c>
    </row>
    <row r="356" spans="1:4" x14ac:dyDescent="0.25">
      <c r="A356" s="180">
        <f t="shared" si="5"/>
        <v>1120462</v>
      </c>
      <c r="B356" s="188" t="s">
        <v>488</v>
      </c>
      <c r="C356" s="188" t="s">
        <v>489</v>
      </c>
      <c r="D356" t="s">
        <v>13411</v>
      </c>
    </row>
    <row r="357" spans="1:4" x14ac:dyDescent="0.25">
      <c r="A357" s="180">
        <f t="shared" si="5"/>
        <v>1120463</v>
      </c>
      <c r="B357" s="188" t="s">
        <v>490</v>
      </c>
      <c r="C357" s="189" t="s">
        <v>491</v>
      </c>
      <c r="D357" t="s">
        <v>13411</v>
      </c>
    </row>
    <row r="358" spans="1:4" x14ac:dyDescent="0.25">
      <c r="A358" s="180">
        <f t="shared" si="5"/>
        <v>1120464</v>
      </c>
      <c r="B358" s="188" t="s">
        <v>492</v>
      </c>
      <c r="C358" s="188" t="s">
        <v>493</v>
      </c>
      <c r="D358" t="s">
        <v>13411</v>
      </c>
    </row>
    <row r="359" spans="1:4" x14ac:dyDescent="0.25">
      <c r="A359" s="180">
        <f t="shared" si="5"/>
        <v>1120466</v>
      </c>
      <c r="B359" s="188" t="s">
        <v>14185</v>
      </c>
      <c r="C359" s="189" t="s">
        <v>14186</v>
      </c>
    </row>
    <row r="360" spans="1:4" x14ac:dyDescent="0.25">
      <c r="A360" s="180">
        <f t="shared" si="5"/>
        <v>1120467</v>
      </c>
      <c r="B360" s="188" t="s">
        <v>14187</v>
      </c>
      <c r="C360" s="188" t="s">
        <v>14188</v>
      </c>
    </row>
    <row r="361" spans="1:4" x14ac:dyDescent="0.25">
      <c r="A361" s="180">
        <f t="shared" si="5"/>
        <v>1120468</v>
      </c>
      <c r="B361" s="188" t="s">
        <v>14189</v>
      </c>
      <c r="C361" s="188" t="s">
        <v>14190</v>
      </c>
    </row>
    <row r="362" spans="1:4" x14ac:dyDescent="0.25">
      <c r="A362" s="180">
        <f t="shared" si="5"/>
        <v>1120470</v>
      </c>
      <c r="B362" s="188" t="s">
        <v>494</v>
      </c>
      <c r="C362" s="188" t="s">
        <v>495</v>
      </c>
      <c r="D362" t="s">
        <v>13411</v>
      </c>
    </row>
    <row r="363" spans="1:4" x14ac:dyDescent="0.25">
      <c r="A363" s="180">
        <f t="shared" si="5"/>
        <v>1120471</v>
      </c>
      <c r="B363" s="188" t="s">
        <v>496</v>
      </c>
      <c r="C363" s="188" t="s">
        <v>497</v>
      </c>
    </row>
    <row r="364" spans="1:4" x14ac:dyDescent="0.25">
      <c r="A364" s="180">
        <f t="shared" si="5"/>
        <v>1120472</v>
      </c>
      <c r="B364" s="188" t="s">
        <v>498</v>
      </c>
      <c r="C364" s="188" t="s">
        <v>499</v>
      </c>
    </row>
    <row r="365" spans="1:4" x14ac:dyDescent="0.25">
      <c r="A365" s="180">
        <f t="shared" si="5"/>
        <v>1120473</v>
      </c>
      <c r="B365" s="188" t="s">
        <v>500</v>
      </c>
      <c r="C365" s="188" t="s">
        <v>501</v>
      </c>
    </row>
    <row r="366" spans="1:4" x14ac:dyDescent="0.25">
      <c r="A366" s="180">
        <f t="shared" si="5"/>
        <v>1120474</v>
      </c>
      <c r="B366" s="188" t="s">
        <v>502</v>
      </c>
      <c r="C366" s="188" t="s">
        <v>503</v>
      </c>
    </row>
    <row r="367" spans="1:4" x14ac:dyDescent="0.25">
      <c r="A367" s="180">
        <f t="shared" si="5"/>
        <v>1120475</v>
      </c>
      <c r="B367" s="188" t="s">
        <v>504</v>
      </c>
      <c r="C367" s="188" t="s">
        <v>505</v>
      </c>
    </row>
    <row r="368" spans="1:4" x14ac:dyDescent="0.25">
      <c r="A368" s="180">
        <f t="shared" si="5"/>
        <v>1120478</v>
      </c>
      <c r="B368" s="188" t="s">
        <v>506</v>
      </c>
      <c r="C368" s="188" t="s">
        <v>507</v>
      </c>
    </row>
    <row r="369" spans="1:4" x14ac:dyDescent="0.25">
      <c r="A369" s="180">
        <f t="shared" si="5"/>
        <v>1120479</v>
      </c>
      <c r="B369" s="188" t="s">
        <v>508</v>
      </c>
      <c r="C369" s="188" t="s">
        <v>509</v>
      </c>
      <c r="D369" t="s">
        <v>13411</v>
      </c>
    </row>
    <row r="370" spans="1:4" x14ac:dyDescent="0.25">
      <c r="A370" s="180">
        <f t="shared" si="5"/>
        <v>1120480</v>
      </c>
      <c r="B370" s="188" t="s">
        <v>510</v>
      </c>
      <c r="C370" s="188" t="s">
        <v>511</v>
      </c>
    </row>
    <row r="371" spans="1:4" x14ac:dyDescent="0.25">
      <c r="A371" s="180">
        <f t="shared" si="5"/>
        <v>1120485</v>
      </c>
      <c r="B371" s="188" t="s">
        <v>512</v>
      </c>
      <c r="C371" s="188" t="s">
        <v>513</v>
      </c>
      <c r="D371" t="s">
        <v>13411</v>
      </c>
    </row>
    <row r="372" spans="1:4" x14ac:dyDescent="0.25">
      <c r="A372" s="180">
        <f t="shared" si="5"/>
        <v>1120486</v>
      </c>
      <c r="B372" s="188" t="s">
        <v>514</v>
      </c>
      <c r="C372" s="188" t="s">
        <v>515</v>
      </c>
      <c r="D372" t="s">
        <v>13411</v>
      </c>
    </row>
    <row r="373" spans="1:4" x14ac:dyDescent="0.25">
      <c r="A373" s="180">
        <f t="shared" si="5"/>
        <v>1120490</v>
      </c>
      <c r="B373" s="188" t="s">
        <v>12996</v>
      </c>
      <c r="C373" s="188" t="s">
        <v>12997</v>
      </c>
    </row>
    <row r="374" spans="1:4" x14ac:dyDescent="0.25">
      <c r="A374" s="180">
        <f t="shared" si="5"/>
        <v>1120491</v>
      </c>
      <c r="B374" s="188" t="s">
        <v>12998</v>
      </c>
      <c r="C374" s="188" t="s">
        <v>12999</v>
      </c>
    </row>
    <row r="375" spans="1:4" x14ac:dyDescent="0.25">
      <c r="A375" s="180">
        <f t="shared" si="5"/>
        <v>1120492</v>
      </c>
      <c r="B375" s="188" t="s">
        <v>13000</v>
      </c>
      <c r="C375" s="188" t="s">
        <v>13001</v>
      </c>
    </row>
    <row r="376" spans="1:4" x14ac:dyDescent="0.25">
      <c r="A376" s="180">
        <f t="shared" si="5"/>
        <v>1120493</v>
      </c>
      <c r="B376" s="188" t="s">
        <v>13413</v>
      </c>
      <c r="C376" s="188" t="s">
        <v>13414</v>
      </c>
      <c r="D376" t="s">
        <v>13411</v>
      </c>
    </row>
    <row r="377" spans="1:4" x14ac:dyDescent="0.25">
      <c r="A377" s="180">
        <f t="shared" si="5"/>
        <v>1120494</v>
      </c>
      <c r="B377" s="188" t="s">
        <v>13415</v>
      </c>
      <c r="C377" s="188" t="s">
        <v>13416</v>
      </c>
      <c r="D377" t="s">
        <v>13411</v>
      </c>
    </row>
    <row r="378" spans="1:4" x14ac:dyDescent="0.25">
      <c r="A378" s="180">
        <f t="shared" si="5"/>
        <v>1120495</v>
      </c>
      <c r="B378" s="188" t="s">
        <v>517</v>
      </c>
      <c r="C378" s="188" t="s">
        <v>518</v>
      </c>
    </row>
    <row r="379" spans="1:4" x14ac:dyDescent="0.25">
      <c r="A379" s="180">
        <f t="shared" si="5"/>
        <v>1120496</v>
      </c>
      <c r="B379" s="188" t="s">
        <v>519</v>
      </c>
      <c r="C379" s="188" t="s">
        <v>520</v>
      </c>
      <c r="D379" t="s">
        <v>13411</v>
      </c>
    </row>
    <row r="380" spans="1:4" x14ac:dyDescent="0.25">
      <c r="A380" s="180" t="str">
        <f t="shared" si="5"/>
        <v/>
      </c>
      <c r="B380" s="188" t="s">
        <v>13002</v>
      </c>
      <c r="C380" s="188"/>
    </row>
    <row r="381" spans="1:4" x14ac:dyDescent="0.25">
      <c r="A381" s="180">
        <f t="shared" si="5"/>
        <v>1120497</v>
      </c>
      <c r="B381" s="188" t="s">
        <v>521</v>
      </c>
      <c r="C381" s="188" t="s">
        <v>522</v>
      </c>
      <c r="D381" t="s">
        <v>13411</v>
      </c>
    </row>
    <row r="382" spans="1:4" x14ac:dyDescent="0.25">
      <c r="A382" s="180" t="str">
        <f t="shared" si="5"/>
        <v/>
      </c>
      <c r="B382" s="188" t="s">
        <v>13003</v>
      </c>
      <c r="C382" s="188"/>
    </row>
    <row r="383" spans="1:4" x14ac:dyDescent="0.25">
      <c r="A383" s="180">
        <f t="shared" ref="A383:A446" si="6">IFERROR(B383*1,"")</f>
        <v>1120498</v>
      </c>
      <c r="B383" s="188" t="s">
        <v>523</v>
      </c>
      <c r="C383" s="188" t="s">
        <v>524</v>
      </c>
      <c r="D383" t="s">
        <v>13411</v>
      </c>
    </row>
    <row r="384" spans="1:4" x14ac:dyDescent="0.25">
      <c r="A384" s="180" t="str">
        <f t="shared" si="6"/>
        <v/>
      </c>
      <c r="B384" s="188" t="s">
        <v>13004</v>
      </c>
      <c r="C384" s="188"/>
    </row>
    <row r="385" spans="1:4" x14ac:dyDescent="0.25">
      <c r="A385" s="180">
        <f t="shared" si="6"/>
        <v>1120499</v>
      </c>
      <c r="B385" s="188" t="s">
        <v>525</v>
      </c>
      <c r="C385" s="188" t="s">
        <v>526</v>
      </c>
      <c r="D385" t="s">
        <v>13411</v>
      </c>
    </row>
    <row r="386" spans="1:4" x14ac:dyDescent="0.25">
      <c r="A386" s="180" t="str">
        <f t="shared" si="6"/>
        <v/>
      </c>
      <c r="B386" s="188" t="s">
        <v>13005</v>
      </c>
      <c r="C386" s="188"/>
    </row>
    <row r="387" spans="1:4" x14ac:dyDescent="0.25">
      <c r="A387" s="180">
        <f t="shared" si="6"/>
        <v>1120500</v>
      </c>
      <c r="B387" s="188" t="s">
        <v>527</v>
      </c>
      <c r="C387" s="188" t="s">
        <v>528</v>
      </c>
      <c r="D387" t="s">
        <v>13411</v>
      </c>
    </row>
    <row r="388" spans="1:4" x14ac:dyDescent="0.25">
      <c r="A388" s="180">
        <f t="shared" si="6"/>
        <v>1120501</v>
      </c>
      <c r="B388" s="188" t="s">
        <v>529</v>
      </c>
      <c r="C388" s="188" t="s">
        <v>530</v>
      </c>
      <c r="D388" t="s">
        <v>13411</v>
      </c>
    </row>
    <row r="389" spans="1:4" x14ac:dyDescent="0.25">
      <c r="A389" s="180">
        <f t="shared" si="6"/>
        <v>1120502</v>
      </c>
      <c r="B389" s="188" t="s">
        <v>531</v>
      </c>
      <c r="C389" s="188" t="s">
        <v>532</v>
      </c>
      <c r="D389" t="s">
        <v>13411</v>
      </c>
    </row>
    <row r="390" spans="1:4" x14ac:dyDescent="0.25">
      <c r="A390" s="180">
        <f t="shared" si="6"/>
        <v>1120503</v>
      </c>
      <c r="B390" s="188" t="s">
        <v>533</v>
      </c>
      <c r="C390" s="188" t="s">
        <v>534</v>
      </c>
      <c r="D390" t="s">
        <v>13411</v>
      </c>
    </row>
    <row r="391" spans="1:4" x14ac:dyDescent="0.25">
      <c r="A391" s="180">
        <f t="shared" si="6"/>
        <v>1120504</v>
      </c>
      <c r="B391" s="188" t="s">
        <v>535</v>
      </c>
      <c r="C391" s="188" t="s">
        <v>536</v>
      </c>
      <c r="D391" t="s">
        <v>13411</v>
      </c>
    </row>
    <row r="392" spans="1:4" x14ac:dyDescent="0.25">
      <c r="A392" s="180">
        <f t="shared" si="6"/>
        <v>1120505</v>
      </c>
      <c r="B392" s="188" t="s">
        <v>537</v>
      </c>
      <c r="C392" s="189" t="s">
        <v>538</v>
      </c>
      <c r="D392" t="s">
        <v>13411</v>
      </c>
    </row>
    <row r="393" spans="1:4" x14ac:dyDescent="0.25">
      <c r="A393" s="180">
        <f t="shared" si="6"/>
        <v>1120506</v>
      </c>
      <c r="B393" s="188" t="s">
        <v>539</v>
      </c>
      <c r="C393" s="188" t="s">
        <v>540</v>
      </c>
      <c r="D393" t="s">
        <v>13411</v>
      </c>
    </row>
    <row r="394" spans="1:4" x14ac:dyDescent="0.25">
      <c r="A394" s="180">
        <f t="shared" si="6"/>
        <v>1120507</v>
      </c>
      <c r="B394" s="188" t="s">
        <v>12753</v>
      </c>
      <c r="C394" s="188" t="s">
        <v>12754</v>
      </c>
      <c r="D394" t="s">
        <v>13411</v>
      </c>
    </row>
    <row r="395" spans="1:4" x14ac:dyDescent="0.25">
      <c r="A395" s="180">
        <f t="shared" si="6"/>
        <v>1120512</v>
      </c>
      <c r="B395" s="188" t="s">
        <v>6795</v>
      </c>
      <c r="C395" s="188" t="s">
        <v>6796</v>
      </c>
      <c r="D395" t="s">
        <v>13411</v>
      </c>
    </row>
    <row r="396" spans="1:4" x14ac:dyDescent="0.25">
      <c r="A396" s="180">
        <f t="shared" si="6"/>
        <v>1120513</v>
      </c>
      <c r="B396" s="188" t="s">
        <v>6797</v>
      </c>
      <c r="C396" s="188" t="s">
        <v>6798</v>
      </c>
      <c r="D396" t="s">
        <v>13411</v>
      </c>
    </row>
    <row r="397" spans="1:4" x14ac:dyDescent="0.25">
      <c r="A397" s="180">
        <f t="shared" si="6"/>
        <v>1120514</v>
      </c>
      <c r="B397" s="188" t="s">
        <v>6799</v>
      </c>
      <c r="C397" s="188" t="s">
        <v>6800</v>
      </c>
      <c r="D397" t="s">
        <v>13411</v>
      </c>
    </row>
    <row r="398" spans="1:4" x14ac:dyDescent="0.25">
      <c r="A398" s="180">
        <f t="shared" si="6"/>
        <v>1120520</v>
      </c>
      <c r="B398" s="188" t="s">
        <v>541</v>
      </c>
      <c r="C398" s="188" t="s">
        <v>542</v>
      </c>
    </row>
    <row r="399" spans="1:4" x14ac:dyDescent="0.25">
      <c r="A399" s="180">
        <f t="shared" si="6"/>
        <v>1120530</v>
      </c>
      <c r="B399" s="188" t="s">
        <v>543</v>
      </c>
      <c r="C399" s="188" t="s">
        <v>544</v>
      </c>
    </row>
    <row r="400" spans="1:4" x14ac:dyDescent="0.25">
      <c r="A400" s="180">
        <f t="shared" si="6"/>
        <v>1120540</v>
      </c>
      <c r="B400" s="188" t="s">
        <v>14912</v>
      </c>
      <c r="C400" s="188" t="s">
        <v>14913</v>
      </c>
      <c r="D400" t="s">
        <v>13411</v>
      </c>
    </row>
    <row r="401" spans="1:4" x14ac:dyDescent="0.25">
      <c r="A401" s="180">
        <f t="shared" si="6"/>
        <v>1120541</v>
      </c>
      <c r="B401" s="188" t="s">
        <v>14914</v>
      </c>
      <c r="C401" s="188" t="s">
        <v>14915</v>
      </c>
      <c r="D401" t="s">
        <v>13411</v>
      </c>
    </row>
    <row r="402" spans="1:4" x14ac:dyDescent="0.25">
      <c r="A402" s="180">
        <f t="shared" si="6"/>
        <v>1120555</v>
      </c>
      <c r="B402" s="188" t="s">
        <v>545</v>
      </c>
      <c r="C402" s="188" t="s">
        <v>546</v>
      </c>
      <c r="D402" t="s">
        <v>13411</v>
      </c>
    </row>
    <row r="403" spans="1:4" x14ac:dyDescent="0.25">
      <c r="A403" s="180">
        <f t="shared" si="6"/>
        <v>1120556</v>
      </c>
      <c r="B403" s="188" t="s">
        <v>547</v>
      </c>
      <c r="C403" s="188" t="s">
        <v>548</v>
      </c>
    </row>
    <row r="404" spans="1:4" x14ac:dyDescent="0.25">
      <c r="A404" s="180">
        <f t="shared" si="6"/>
        <v>1120557</v>
      </c>
      <c r="B404" s="188" t="s">
        <v>549</v>
      </c>
      <c r="C404" s="188" t="s">
        <v>550</v>
      </c>
      <c r="D404" t="s">
        <v>13411</v>
      </c>
    </row>
    <row r="405" spans="1:4" x14ac:dyDescent="0.25">
      <c r="A405" s="180">
        <f t="shared" si="6"/>
        <v>1120560</v>
      </c>
      <c r="B405" s="188" t="s">
        <v>551</v>
      </c>
      <c r="C405" s="188" t="s">
        <v>158</v>
      </c>
      <c r="D405" t="s">
        <v>14909</v>
      </c>
    </row>
    <row r="406" spans="1:4" x14ac:dyDescent="0.25">
      <c r="A406" s="180">
        <f t="shared" si="6"/>
        <v>1120595</v>
      </c>
      <c r="B406" s="188" t="s">
        <v>552</v>
      </c>
      <c r="C406" s="188" t="s">
        <v>553</v>
      </c>
    </row>
    <row r="407" spans="1:4" x14ac:dyDescent="0.25">
      <c r="A407" s="180">
        <f t="shared" si="6"/>
        <v>1120596</v>
      </c>
      <c r="B407" s="188" t="s">
        <v>554</v>
      </c>
      <c r="C407" s="188" t="s">
        <v>555</v>
      </c>
    </row>
    <row r="408" spans="1:4" x14ac:dyDescent="0.25">
      <c r="A408" s="180">
        <f t="shared" si="6"/>
        <v>1120597</v>
      </c>
      <c r="B408" s="188" t="s">
        <v>14191</v>
      </c>
      <c r="C408" s="188" t="s">
        <v>14192</v>
      </c>
      <c r="D408" t="s">
        <v>13411</v>
      </c>
    </row>
    <row r="409" spans="1:4" x14ac:dyDescent="0.25">
      <c r="A409" s="180">
        <f t="shared" si="6"/>
        <v>1120598</v>
      </c>
      <c r="B409" s="188" t="s">
        <v>556</v>
      </c>
      <c r="C409" s="188" t="s">
        <v>557</v>
      </c>
    </row>
    <row r="410" spans="1:4" x14ac:dyDescent="0.25">
      <c r="A410" s="180">
        <f t="shared" si="6"/>
        <v>1120599</v>
      </c>
      <c r="B410" s="188" t="s">
        <v>558</v>
      </c>
      <c r="C410" s="188" t="s">
        <v>559</v>
      </c>
    </row>
    <row r="411" spans="1:4" x14ac:dyDescent="0.25">
      <c r="A411" s="180">
        <f t="shared" si="6"/>
        <v>1120600</v>
      </c>
      <c r="B411" s="188" t="s">
        <v>560</v>
      </c>
      <c r="C411" s="188" t="s">
        <v>561</v>
      </c>
      <c r="D411" t="s">
        <v>13411</v>
      </c>
    </row>
    <row r="412" spans="1:4" x14ac:dyDescent="0.25">
      <c r="A412" s="180">
        <f t="shared" si="6"/>
        <v>1120601</v>
      </c>
      <c r="B412" s="188" t="s">
        <v>562</v>
      </c>
      <c r="C412" s="188" t="s">
        <v>563</v>
      </c>
    </row>
    <row r="413" spans="1:4" x14ac:dyDescent="0.25">
      <c r="A413" s="180">
        <f t="shared" si="6"/>
        <v>1120602</v>
      </c>
      <c r="B413" s="188" t="s">
        <v>564</v>
      </c>
      <c r="C413" s="188" t="s">
        <v>565</v>
      </c>
    </row>
    <row r="414" spans="1:4" x14ac:dyDescent="0.25">
      <c r="A414" s="180">
        <f t="shared" si="6"/>
        <v>1120603</v>
      </c>
      <c r="B414" s="188" t="s">
        <v>566</v>
      </c>
      <c r="C414" s="188" t="s">
        <v>567</v>
      </c>
    </row>
    <row r="415" spans="1:4" x14ac:dyDescent="0.25">
      <c r="A415" s="180">
        <f t="shared" si="6"/>
        <v>1120615</v>
      </c>
      <c r="B415" s="188" t="s">
        <v>568</v>
      </c>
      <c r="C415" s="188" t="s">
        <v>569</v>
      </c>
    </row>
    <row r="416" spans="1:4" x14ac:dyDescent="0.25">
      <c r="A416" s="180">
        <f t="shared" si="6"/>
        <v>1120616</v>
      </c>
      <c r="B416" s="188" t="s">
        <v>570</v>
      </c>
      <c r="C416" s="188" t="s">
        <v>571</v>
      </c>
    </row>
    <row r="417" spans="1:4" x14ac:dyDescent="0.25">
      <c r="A417" s="180">
        <f t="shared" si="6"/>
        <v>1120617</v>
      </c>
      <c r="B417" s="188" t="s">
        <v>572</v>
      </c>
      <c r="C417" s="188" t="s">
        <v>573</v>
      </c>
    </row>
    <row r="418" spans="1:4" x14ac:dyDescent="0.25">
      <c r="A418" s="180">
        <f t="shared" si="6"/>
        <v>1120618</v>
      </c>
      <c r="B418" s="188" t="s">
        <v>574</v>
      </c>
      <c r="C418" s="188" t="s">
        <v>575</v>
      </c>
    </row>
    <row r="419" spans="1:4" x14ac:dyDescent="0.25">
      <c r="A419" s="180">
        <f t="shared" si="6"/>
        <v>1120619</v>
      </c>
      <c r="B419" s="188" t="s">
        <v>576</v>
      </c>
      <c r="C419" s="188" t="s">
        <v>577</v>
      </c>
    </row>
    <row r="420" spans="1:4" x14ac:dyDescent="0.25">
      <c r="A420" s="180">
        <f t="shared" si="6"/>
        <v>1120620</v>
      </c>
      <c r="B420" s="188" t="s">
        <v>578</v>
      </c>
      <c r="C420" s="188" t="s">
        <v>579</v>
      </c>
    </row>
    <row r="421" spans="1:4" x14ac:dyDescent="0.25">
      <c r="A421" s="180">
        <f t="shared" si="6"/>
        <v>1120621</v>
      </c>
      <c r="B421" s="188" t="s">
        <v>581</v>
      </c>
      <c r="C421" s="188" t="s">
        <v>582</v>
      </c>
    </row>
    <row r="422" spans="1:4" x14ac:dyDescent="0.25">
      <c r="A422" s="180" t="str">
        <f t="shared" si="6"/>
        <v/>
      </c>
      <c r="B422" s="188" t="s">
        <v>13006</v>
      </c>
      <c r="C422" s="188"/>
    </row>
    <row r="423" spans="1:4" x14ac:dyDescent="0.25">
      <c r="A423" s="180">
        <f t="shared" si="6"/>
        <v>1120622</v>
      </c>
      <c r="B423" s="188" t="s">
        <v>583</v>
      </c>
      <c r="C423" s="188" t="s">
        <v>584</v>
      </c>
    </row>
    <row r="424" spans="1:4" x14ac:dyDescent="0.25">
      <c r="A424" s="180">
        <f t="shared" si="6"/>
        <v>1120623</v>
      </c>
      <c r="B424" s="188" t="s">
        <v>585</v>
      </c>
      <c r="C424" s="188" t="s">
        <v>586</v>
      </c>
      <c r="D424" t="s">
        <v>13411</v>
      </c>
    </row>
    <row r="425" spans="1:4" x14ac:dyDescent="0.25">
      <c r="A425" s="180">
        <f t="shared" si="6"/>
        <v>1120624</v>
      </c>
      <c r="B425" s="188" t="s">
        <v>587</v>
      </c>
      <c r="C425" s="188" t="s">
        <v>588</v>
      </c>
      <c r="D425" t="s">
        <v>13411</v>
      </c>
    </row>
    <row r="426" spans="1:4" x14ac:dyDescent="0.25">
      <c r="A426" s="180">
        <f t="shared" si="6"/>
        <v>1120625</v>
      </c>
      <c r="B426" s="188" t="s">
        <v>589</v>
      </c>
      <c r="C426" s="188" t="s">
        <v>590</v>
      </c>
    </row>
    <row r="427" spans="1:4" x14ac:dyDescent="0.25">
      <c r="A427" s="180">
        <f t="shared" si="6"/>
        <v>1120626</v>
      </c>
      <c r="B427" s="188" t="s">
        <v>591</v>
      </c>
      <c r="C427" s="188" t="s">
        <v>592</v>
      </c>
    </row>
    <row r="428" spans="1:4" x14ac:dyDescent="0.25">
      <c r="A428" s="180">
        <f t="shared" si="6"/>
        <v>1120630</v>
      </c>
      <c r="B428" s="188" t="s">
        <v>12755</v>
      </c>
      <c r="C428" s="188" t="s">
        <v>12756</v>
      </c>
      <c r="D428" t="s">
        <v>13411</v>
      </c>
    </row>
    <row r="429" spans="1:4" x14ac:dyDescent="0.25">
      <c r="A429" s="180">
        <f t="shared" si="6"/>
        <v>1120631</v>
      </c>
      <c r="B429" s="188" t="s">
        <v>12757</v>
      </c>
      <c r="C429" s="188" t="s">
        <v>12758</v>
      </c>
    </row>
    <row r="430" spans="1:4" x14ac:dyDescent="0.25">
      <c r="A430" s="180">
        <f t="shared" si="6"/>
        <v>1120632</v>
      </c>
      <c r="B430" s="188" t="s">
        <v>12759</v>
      </c>
      <c r="C430" s="188" t="s">
        <v>12760</v>
      </c>
    </row>
    <row r="431" spans="1:4" x14ac:dyDescent="0.25">
      <c r="A431" s="180">
        <f t="shared" si="6"/>
        <v>1120640</v>
      </c>
      <c r="B431" s="188" t="s">
        <v>593</v>
      </c>
      <c r="C431" s="188" t="s">
        <v>594</v>
      </c>
      <c r="D431" t="s">
        <v>13411</v>
      </c>
    </row>
    <row r="432" spans="1:4" x14ac:dyDescent="0.25">
      <c r="A432" s="180">
        <f t="shared" si="6"/>
        <v>1120641</v>
      </c>
      <c r="B432" s="188" t="s">
        <v>595</v>
      </c>
      <c r="C432" s="188" t="s">
        <v>596</v>
      </c>
      <c r="D432" t="s">
        <v>13411</v>
      </c>
    </row>
    <row r="433" spans="1:4" x14ac:dyDescent="0.25">
      <c r="A433" s="180">
        <f t="shared" si="6"/>
        <v>1120642</v>
      </c>
      <c r="B433" s="188" t="s">
        <v>597</v>
      </c>
      <c r="C433" s="188" t="s">
        <v>598</v>
      </c>
      <c r="D433" t="s">
        <v>13411</v>
      </c>
    </row>
    <row r="434" spans="1:4" x14ac:dyDescent="0.25">
      <c r="A434" s="180">
        <f t="shared" si="6"/>
        <v>1120643</v>
      </c>
      <c r="B434" s="188" t="s">
        <v>599</v>
      </c>
      <c r="C434" s="188" t="s">
        <v>600</v>
      </c>
    </row>
    <row r="435" spans="1:4" x14ac:dyDescent="0.25">
      <c r="A435" s="180">
        <f t="shared" si="6"/>
        <v>1120650</v>
      </c>
      <c r="B435" s="188" t="s">
        <v>601</v>
      </c>
      <c r="C435" s="188" t="s">
        <v>602</v>
      </c>
    </row>
    <row r="436" spans="1:4" x14ac:dyDescent="0.25">
      <c r="A436" s="180">
        <f t="shared" si="6"/>
        <v>1120651</v>
      </c>
      <c r="B436" s="188" t="s">
        <v>603</v>
      </c>
      <c r="C436" s="188" t="s">
        <v>604</v>
      </c>
      <c r="D436" t="s">
        <v>13411</v>
      </c>
    </row>
    <row r="437" spans="1:4" x14ac:dyDescent="0.25">
      <c r="A437" s="180">
        <f t="shared" si="6"/>
        <v>1120652</v>
      </c>
      <c r="B437" s="188" t="s">
        <v>605</v>
      </c>
      <c r="C437" s="188" t="s">
        <v>606</v>
      </c>
    </row>
    <row r="438" spans="1:4" x14ac:dyDescent="0.25">
      <c r="A438" s="180">
        <f t="shared" si="6"/>
        <v>1120653</v>
      </c>
      <c r="B438" s="188" t="s">
        <v>607</v>
      </c>
      <c r="C438" s="188" t="s">
        <v>608</v>
      </c>
    </row>
    <row r="439" spans="1:4" x14ac:dyDescent="0.25">
      <c r="A439" s="180">
        <f t="shared" si="6"/>
        <v>1120666</v>
      </c>
      <c r="B439" s="188" t="s">
        <v>609</v>
      </c>
      <c r="C439" s="188" t="s">
        <v>610</v>
      </c>
      <c r="D439" t="s">
        <v>13411</v>
      </c>
    </row>
    <row r="440" spans="1:4" x14ac:dyDescent="0.25">
      <c r="A440" s="180">
        <f t="shared" si="6"/>
        <v>1120667</v>
      </c>
      <c r="B440" s="188" t="s">
        <v>611</v>
      </c>
      <c r="C440" s="189" t="s">
        <v>612</v>
      </c>
      <c r="D440" t="s">
        <v>13411</v>
      </c>
    </row>
    <row r="441" spans="1:4" x14ac:dyDescent="0.25">
      <c r="A441" s="180">
        <f t="shared" si="6"/>
        <v>1120668</v>
      </c>
      <c r="B441" s="188" t="s">
        <v>613</v>
      </c>
      <c r="C441" s="188" t="s">
        <v>614</v>
      </c>
      <c r="D441" t="s">
        <v>13411</v>
      </c>
    </row>
    <row r="442" spans="1:4" x14ac:dyDescent="0.25">
      <c r="A442" s="180">
        <f t="shared" si="6"/>
        <v>1120669</v>
      </c>
      <c r="B442" s="188" t="s">
        <v>615</v>
      </c>
      <c r="C442" s="188" t="s">
        <v>616</v>
      </c>
      <c r="D442" t="s">
        <v>13411</v>
      </c>
    </row>
    <row r="443" spans="1:4" x14ac:dyDescent="0.25">
      <c r="A443" s="180">
        <f t="shared" si="6"/>
        <v>1120680</v>
      </c>
      <c r="B443" s="188" t="s">
        <v>617</v>
      </c>
      <c r="C443" s="188" t="s">
        <v>618</v>
      </c>
    </row>
    <row r="444" spans="1:4" x14ac:dyDescent="0.25">
      <c r="A444" s="180">
        <f t="shared" si="6"/>
        <v>1120681</v>
      </c>
      <c r="B444" s="188" t="s">
        <v>619</v>
      </c>
      <c r="C444" s="188" t="s">
        <v>620</v>
      </c>
    </row>
    <row r="445" spans="1:4" x14ac:dyDescent="0.25">
      <c r="A445" s="180">
        <f t="shared" si="6"/>
        <v>1120682</v>
      </c>
      <c r="B445" s="188" t="s">
        <v>621</v>
      </c>
      <c r="C445" s="188" t="s">
        <v>622</v>
      </c>
    </row>
    <row r="446" spans="1:4" x14ac:dyDescent="0.25">
      <c r="A446" s="180">
        <f t="shared" si="6"/>
        <v>1120700</v>
      </c>
      <c r="B446" s="188" t="s">
        <v>623</v>
      </c>
      <c r="C446" s="188" t="s">
        <v>624</v>
      </c>
      <c r="D446" t="s">
        <v>13411</v>
      </c>
    </row>
    <row r="447" spans="1:4" x14ac:dyDescent="0.25">
      <c r="A447" s="180">
        <f t="shared" ref="A447:A510" si="7">IFERROR(B447*1,"")</f>
        <v>1120710</v>
      </c>
      <c r="B447" s="188" t="s">
        <v>6801</v>
      </c>
      <c r="C447" s="188" t="s">
        <v>6802</v>
      </c>
      <c r="D447" t="s">
        <v>13411</v>
      </c>
    </row>
    <row r="448" spans="1:4" x14ac:dyDescent="0.25">
      <c r="A448" s="180">
        <f t="shared" si="7"/>
        <v>1120711</v>
      </c>
      <c r="B448" s="188" t="s">
        <v>6803</v>
      </c>
      <c r="C448" s="188" t="s">
        <v>6804</v>
      </c>
      <c r="D448" t="s">
        <v>13411</v>
      </c>
    </row>
    <row r="449" spans="1:4" x14ac:dyDescent="0.25">
      <c r="A449" s="180">
        <f t="shared" si="7"/>
        <v>1120712</v>
      </c>
      <c r="B449" s="188" t="s">
        <v>6805</v>
      </c>
      <c r="C449" s="188" t="s">
        <v>6806</v>
      </c>
    </row>
    <row r="450" spans="1:4" x14ac:dyDescent="0.25">
      <c r="A450" s="180">
        <f t="shared" si="7"/>
        <v>1120720</v>
      </c>
      <c r="B450" s="188" t="s">
        <v>625</v>
      </c>
      <c r="C450" s="188" t="s">
        <v>626</v>
      </c>
      <c r="D450" t="s">
        <v>13411</v>
      </c>
    </row>
    <row r="451" spans="1:4" x14ac:dyDescent="0.25">
      <c r="A451" s="180">
        <f t="shared" si="7"/>
        <v>1120721</v>
      </c>
      <c r="B451" s="188" t="s">
        <v>627</v>
      </c>
      <c r="C451" s="189" t="s">
        <v>628</v>
      </c>
      <c r="D451" t="s">
        <v>13411</v>
      </c>
    </row>
    <row r="452" spans="1:4" x14ac:dyDescent="0.25">
      <c r="A452" s="180">
        <f t="shared" si="7"/>
        <v>1120722</v>
      </c>
      <c r="B452" s="188" t="s">
        <v>629</v>
      </c>
      <c r="C452" s="188" t="s">
        <v>630</v>
      </c>
      <c r="D452" t="s">
        <v>13411</v>
      </c>
    </row>
    <row r="453" spans="1:4" x14ac:dyDescent="0.25">
      <c r="A453" s="180">
        <f t="shared" si="7"/>
        <v>1120723</v>
      </c>
      <c r="B453" s="188" t="s">
        <v>631</v>
      </c>
      <c r="C453" s="189" t="s">
        <v>632</v>
      </c>
    </row>
    <row r="454" spans="1:4" x14ac:dyDescent="0.25">
      <c r="A454" s="180">
        <f t="shared" si="7"/>
        <v>1120724</v>
      </c>
      <c r="B454" s="188" t="s">
        <v>633</v>
      </c>
      <c r="C454" s="188" t="s">
        <v>634</v>
      </c>
      <c r="D454" t="s">
        <v>13411</v>
      </c>
    </row>
    <row r="455" spans="1:4" x14ac:dyDescent="0.25">
      <c r="A455" s="180">
        <f t="shared" si="7"/>
        <v>1120725</v>
      </c>
      <c r="B455" s="188" t="s">
        <v>635</v>
      </c>
      <c r="C455" s="188" t="s">
        <v>636</v>
      </c>
      <c r="D455" t="s">
        <v>13411</v>
      </c>
    </row>
    <row r="456" spans="1:4" x14ac:dyDescent="0.25">
      <c r="A456" s="180">
        <f t="shared" si="7"/>
        <v>1120726</v>
      </c>
      <c r="B456" s="188" t="s">
        <v>637</v>
      </c>
      <c r="C456" s="188" t="s">
        <v>638</v>
      </c>
      <c r="D456" t="s">
        <v>13411</v>
      </c>
    </row>
    <row r="457" spans="1:4" x14ac:dyDescent="0.25">
      <c r="A457" s="180">
        <f t="shared" si="7"/>
        <v>1120727</v>
      </c>
      <c r="B457" s="188" t="s">
        <v>639</v>
      </c>
      <c r="C457" s="188" t="s">
        <v>640</v>
      </c>
    </row>
    <row r="458" spans="1:4" x14ac:dyDescent="0.25">
      <c r="A458" s="180">
        <f t="shared" si="7"/>
        <v>1120728</v>
      </c>
      <c r="B458" s="188" t="s">
        <v>641</v>
      </c>
      <c r="C458" s="188" t="s">
        <v>642</v>
      </c>
      <c r="D458" t="s">
        <v>13411</v>
      </c>
    </row>
    <row r="459" spans="1:4" x14ac:dyDescent="0.25">
      <c r="A459" s="180">
        <f t="shared" si="7"/>
        <v>1120729</v>
      </c>
      <c r="B459" s="188" t="s">
        <v>643</v>
      </c>
      <c r="C459" s="188" t="s">
        <v>644</v>
      </c>
      <c r="D459" t="s">
        <v>13411</v>
      </c>
    </row>
    <row r="460" spans="1:4" x14ac:dyDescent="0.25">
      <c r="A460" s="180">
        <f t="shared" si="7"/>
        <v>1120730</v>
      </c>
      <c r="B460" s="188" t="s">
        <v>645</v>
      </c>
      <c r="C460" s="188" t="s">
        <v>646</v>
      </c>
      <c r="D460" t="s">
        <v>13411</v>
      </c>
    </row>
    <row r="461" spans="1:4" x14ac:dyDescent="0.25">
      <c r="A461" s="180">
        <f t="shared" si="7"/>
        <v>1120731</v>
      </c>
      <c r="B461" s="188" t="s">
        <v>647</v>
      </c>
      <c r="C461" s="188" t="s">
        <v>648</v>
      </c>
    </row>
    <row r="462" spans="1:4" x14ac:dyDescent="0.25">
      <c r="A462" s="180">
        <f t="shared" si="7"/>
        <v>1120732</v>
      </c>
      <c r="B462" s="188" t="s">
        <v>649</v>
      </c>
      <c r="C462" s="188" t="s">
        <v>650</v>
      </c>
    </row>
    <row r="463" spans="1:4" x14ac:dyDescent="0.25">
      <c r="A463" s="180">
        <f t="shared" si="7"/>
        <v>1120733</v>
      </c>
      <c r="B463" s="188" t="s">
        <v>651</v>
      </c>
      <c r="C463" s="188" t="s">
        <v>652</v>
      </c>
    </row>
    <row r="464" spans="1:4" x14ac:dyDescent="0.25">
      <c r="A464" s="180">
        <f t="shared" si="7"/>
        <v>1120734</v>
      </c>
      <c r="B464" s="188" t="s">
        <v>653</v>
      </c>
      <c r="C464" s="188" t="s">
        <v>654</v>
      </c>
    </row>
    <row r="465" spans="1:4" x14ac:dyDescent="0.25">
      <c r="A465" s="180">
        <f t="shared" si="7"/>
        <v>1120735</v>
      </c>
      <c r="B465" s="188" t="s">
        <v>655</v>
      </c>
      <c r="C465" s="188" t="s">
        <v>656</v>
      </c>
    </row>
    <row r="466" spans="1:4" x14ac:dyDescent="0.25">
      <c r="A466" s="180">
        <f t="shared" si="7"/>
        <v>1120736</v>
      </c>
      <c r="B466" s="188" t="s">
        <v>657</v>
      </c>
      <c r="C466" s="188" t="s">
        <v>658</v>
      </c>
      <c r="D466" t="s">
        <v>13411</v>
      </c>
    </row>
    <row r="467" spans="1:4" x14ac:dyDescent="0.25">
      <c r="A467" s="180">
        <f t="shared" si="7"/>
        <v>1120737</v>
      </c>
      <c r="B467" s="188" t="s">
        <v>659</v>
      </c>
      <c r="C467" s="188" t="s">
        <v>660</v>
      </c>
      <c r="D467" t="s">
        <v>13411</v>
      </c>
    </row>
    <row r="468" spans="1:4" x14ac:dyDescent="0.25">
      <c r="A468" s="180">
        <f t="shared" si="7"/>
        <v>1120738</v>
      </c>
      <c r="B468" s="188" t="s">
        <v>661</v>
      </c>
      <c r="C468" s="188" t="s">
        <v>662</v>
      </c>
      <c r="D468" t="s">
        <v>13411</v>
      </c>
    </row>
    <row r="469" spans="1:4" x14ac:dyDescent="0.25">
      <c r="A469" s="180">
        <f t="shared" si="7"/>
        <v>1120739</v>
      </c>
      <c r="B469" s="188" t="s">
        <v>663</v>
      </c>
      <c r="C469" s="188" t="s">
        <v>664</v>
      </c>
      <c r="D469" t="s">
        <v>13411</v>
      </c>
    </row>
    <row r="470" spans="1:4" x14ac:dyDescent="0.25">
      <c r="A470" s="180" t="str">
        <f t="shared" si="7"/>
        <v/>
      </c>
      <c r="B470" s="188" t="s">
        <v>13007</v>
      </c>
      <c r="C470" s="188"/>
    </row>
    <row r="471" spans="1:4" x14ac:dyDescent="0.25">
      <c r="A471" s="180">
        <f t="shared" si="7"/>
        <v>1120742</v>
      </c>
      <c r="B471" s="188" t="s">
        <v>6807</v>
      </c>
      <c r="C471" s="188" t="s">
        <v>6808</v>
      </c>
      <c r="D471" t="s">
        <v>13412</v>
      </c>
    </row>
    <row r="472" spans="1:4" x14ac:dyDescent="0.25">
      <c r="A472" s="180">
        <f t="shared" si="7"/>
        <v>1120743</v>
      </c>
      <c r="B472" s="188" t="s">
        <v>6809</v>
      </c>
      <c r="C472" s="188" t="s">
        <v>6810</v>
      </c>
      <c r="D472" t="s">
        <v>13412</v>
      </c>
    </row>
    <row r="473" spans="1:4" x14ac:dyDescent="0.25">
      <c r="A473" s="180">
        <f t="shared" si="7"/>
        <v>1120744</v>
      </c>
      <c r="B473" s="188" t="s">
        <v>6811</v>
      </c>
      <c r="C473" s="188" t="s">
        <v>6812</v>
      </c>
      <c r="D473" t="s">
        <v>13412</v>
      </c>
    </row>
    <row r="474" spans="1:4" x14ac:dyDescent="0.25">
      <c r="A474" s="180">
        <f t="shared" si="7"/>
        <v>1120745</v>
      </c>
      <c r="B474" s="188" t="s">
        <v>6813</v>
      </c>
      <c r="C474" s="188" t="s">
        <v>6814</v>
      </c>
    </row>
    <row r="475" spans="1:4" x14ac:dyDescent="0.25">
      <c r="A475" s="180">
        <f t="shared" si="7"/>
        <v>1120746</v>
      </c>
      <c r="B475" s="188" t="s">
        <v>6815</v>
      </c>
      <c r="C475" s="188" t="s">
        <v>6816</v>
      </c>
      <c r="D475" t="s">
        <v>13411</v>
      </c>
    </row>
    <row r="476" spans="1:4" x14ac:dyDescent="0.25">
      <c r="A476" s="180">
        <f t="shared" si="7"/>
        <v>1120747</v>
      </c>
      <c r="B476" s="188" t="s">
        <v>6817</v>
      </c>
      <c r="C476" s="188" t="s">
        <v>6818</v>
      </c>
      <c r="D476" t="s">
        <v>13411</v>
      </c>
    </row>
    <row r="477" spans="1:4" x14ac:dyDescent="0.25">
      <c r="A477" s="180">
        <f t="shared" si="7"/>
        <v>1120748</v>
      </c>
      <c r="B477" s="188" t="s">
        <v>6819</v>
      </c>
      <c r="C477" s="188" t="s">
        <v>6820</v>
      </c>
      <c r="D477" t="s">
        <v>13411</v>
      </c>
    </row>
    <row r="478" spans="1:4" x14ac:dyDescent="0.25">
      <c r="A478" s="180">
        <f t="shared" si="7"/>
        <v>1120749</v>
      </c>
      <c r="B478" s="188" t="s">
        <v>6821</v>
      </c>
      <c r="C478" s="188" t="s">
        <v>6822</v>
      </c>
    </row>
    <row r="479" spans="1:4" x14ac:dyDescent="0.25">
      <c r="A479" s="180">
        <f t="shared" si="7"/>
        <v>1120750</v>
      </c>
      <c r="B479" s="188" t="s">
        <v>666</v>
      </c>
      <c r="C479" s="188" t="s">
        <v>667</v>
      </c>
      <c r="D479" t="s">
        <v>13411</v>
      </c>
    </row>
    <row r="480" spans="1:4" x14ac:dyDescent="0.25">
      <c r="A480" s="180">
        <f t="shared" si="7"/>
        <v>1120751</v>
      </c>
      <c r="B480" s="188" t="s">
        <v>668</v>
      </c>
      <c r="C480" s="188" t="s">
        <v>669</v>
      </c>
      <c r="D480" t="s">
        <v>13411</v>
      </c>
    </row>
    <row r="481" spans="1:4" x14ac:dyDescent="0.25">
      <c r="A481" s="180" t="str">
        <f t="shared" si="7"/>
        <v/>
      </c>
      <c r="B481" s="188" t="s">
        <v>13008</v>
      </c>
      <c r="C481" s="188"/>
    </row>
    <row r="482" spans="1:4" x14ac:dyDescent="0.25">
      <c r="A482" s="180">
        <f t="shared" si="7"/>
        <v>1120752</v>
      </c>
      <c r="B482" s="188" t="s">
        <v>670</v>
      </c>
      <c r="C482" s="188" t="s">
        <v>671</v>
      </c>
      <c r="D482" t="s">
        <v>13411</v>
      </c>
    </row>
    <row r="483" spans="1:4" x14ac:dyDescent="0.25">
      <c r="A483" s="180" t="str">
        <f t="shared" si="7"/>
        <v/>
      </c>
      <c r="B483" s="188" t="s">
        <v>13009</v>
      </c>
      <c r="C483" s="188"/>
    </row>
    <row r="484" spans="1:4" x14ac:dyDescent="0.25">
      <c r="A484" s="180">
        <f t="shared" si="7"/>
        <v>1120753</v>
      </c>
      <c r="B484" s="188" t="s">
        <v>672</v>
      </c>
      <c r="C484" s="188" t="s">
        <v>673</v>
      </c>
      <c r="D484" t="s">
        <v>13411</v>
      </c>
    </row>
    <row r="485" spans="1:4" x14ac:dyDescent="0.25">
      <c r="A485" s="180">
        <f t="shared" si="7"/>
        <v>1120755</v>
      </c>
      <c r="B485" s="188" t="s">
        <v>14193</v>
      </c>
      <c r="C485" s="188" t="s">
        <v>14194</v>
      </c>
      <c r="D485" t="s">
        <v>13411</v>
      </c>
    </row>
    <row r="486" spans="1:4" x14ac:dyDescent="0.25">
      <c r="A486" s="180">
        <f t="shared" si="7"/>
        <v>1120756</v>
      </c>
      <c r="B486" s="188" t="s">
        <v>14195</v>
      </c>
      <c r="C486" s="188" t="s">
        <v>14196</v>
      </c>
      <c r="D486" t="s">
        <v>13411</v>
      </c>
    </row>
    <row r="487" spans="1:4" x14ac:dyDescent="0.25">
      <c r="A487" s="180">
        <f t="shared" si="7"/>
        <v>1120757</v>
      </c>
      <c r="B487" s="188" t="s">
        <v>14197</v>
      </c>
      <c r="C487" s="188" t="s">
        <v>14198</v>
      </c>
      <c r="D487" t="s">
        <v>13411</v>
      </c>
    </row>
    <row r="488" spans="1:4" x14ac:dyDescent="0.25">
      <c r="A488" s="180">
        <f t="shared" si="7"/>
        <v>1120758</v>
      </c>
      <c r="B488" s="188" t="s">
        <v>14199</v>
      </c>
      <c r="C488" s="188" t="s">
        <v>14200</v>
      </c>
      <c r="D488" t="s">
        <v>13411</v>
      </c>
    </row>
    <row r="489" spans="1:4" x14ac:dyDescent="0.25">
      <c r="A489" s="180">
        <f t="shared" si="7"/>
        <v>1120760</v>
      </c>
      <c r="B489" s="188" t="s">
        <v>13250</v>
      </c>
      <c r="C489" s="188" t="s">
        <v>13251</v>
      </c>
      <c r="D489" t="s">
        <v>13411</v>
      </c>
    </row>
    <row r="490" spans="1:4" x14ac:dyDescent="0.25">
      <c r="A490" s="180">
        <f t="shared" si="7"/>
        <v>1120761</v>
      </c>
      <c r="B490" s="188" t="s">
        <v>13252</v>
      </c>
      <c r="C490" s="188" t="s">
        <v>13253</v>
      </c>
      <c r="D490" t="s">
        <v>13411</v>
      </c>
    </row>
    <row r="491" spans="1:4" x14ac:dyDescent="0.25">
      <c r="A491" s="180">
        <f t="shared" si="7"/>
        <v>1120762</v>
      </c>
      <c r="B491" s="188" t="s">
        <v>13254</v>
      </c>
      <c r="C491" s="189" t="s">
        <v>13255</v>
      </c>
      <c r="D491" t="s">
        <v>13411</v>
      </c>
    </row>
    <row r="492" spans="1:4" x14ac:dyDescent="0.25">
      <c r="A492" s="180">
        <f t="shared" si="7"/>
        <v>1120764</v>
      </c>
      <c r="B492" s="188" t="s">
        <v>674</v>
      </c>
      <c r="C492" s="188" t="s">
        <v>675</v>
      </c>
      <c r="D492" t="s">
        <v>13411</v>
      </c>
    </row>
    <row r="493" spans="1:4" x14ac:dyDescent="0.25">
      <c r="A493" s="180">
        <f t="shared" si="7"/>
        <v>1120765</v>
      </c>
      <c r="B493" s="188" t="s">
        <v>676</v>
      </c>
      <c r="C493" s="189" t="s">
        <v>677</v>
      </c>
      <c r="D493" t="s">
        <v>13411</v>
      </c>
    </row>
    <row r="494" spans="1:4" x14ac:dyDescent="0.25">
      <c r="A494" s="180">
        <f t="shared" si="7"/>
        <v>1120766</v>
      </c>
      <c r="B494" s="188" t="s">
        <v>678</v>
      </c>
      <c r="C494" s="188" t="s">
        <v>679</v>
      </c>
      <c r="D494" t="s">
        <v>13411</v>
      </c>
    </row>
    <row r="495" spans="1:4" x14ac:dyDescent="0.25">
      <c r="A495" s="180">
        <f t="shared" si="7"/>
        <v>1120767</v>
      </c>
      <c r="B495" s="188" t="s">
        <v>680</v>
      </c>
      <c r="C495" s="189" t="s">
        <v>681</v>
      </c>
      <c r="D495" t="s">
        <v>13411</v>
      </c>
    </row>
    <row r="496" spans="1:4" x14ac:dyDescent="0.25">
      <c r="A496" s="180">
        <f t="shared" si="7"/>
        <v>1120768</v>
      </c>
      <c r="B496" s="188" t="s">
        <v>682</v>
      </c>
      <c r="C496" s="188" t="s">
        <v>683</v>
      </c>
    </row>
    <row r="497" spans="1:4" x14ac:dyDescent="0.25">
      <c r="A497" s="180">
        <f t="shared" si="7"/>
        <v>1120770</v>
      </c>
      <c r="B497" s="188" t="s">
        <v>684</v>
      </c>
      <c r="C497" s="189" t="s">
        <v>685</v>
      </c>
    </row>
    <row r="498" spans="1:4" x14ac:dyDescent="0.25">
      <c r="A498" s="180">
        <f t="shared" si="7"/>
        <v>1120771</v>
      </c>
      <c r="B498" s="188" t="s">
        <v>686</v>
      </c>
      <c r="C498" s="188" t="s">
        <v>687</v>
      </c>
      <c r="D498" t="s">
        <v>13411</v>
      </c>
    </row>
    <row r="499" spans="1:4" x14ac:dyDescent="0.25">
      <c r="A499" s="180">
        <f t="shared" si="7"/>
        <v>1120772</v>
      </c>
      <c r="B499" s="188" t="s">
        <v>688</v>
      </c>
      <c r="C499" s="188" t="s">
        <v>689</v>
      </c>
      <c r="D499" t="s">
        <v>13411</v>
      </c>
    </row>
    <row r="500" spans="1:4" x14ac:dyDescent="0.25">
      <c r="A500" s="180">
        <f t="shared" si="7"/>
        <v>1120773</v>
      </c>
      <c r="B500" s="188" t="s">
        <v>690</v>
      </c>
      <c r="C500" s="188" t="s">
        <v>691</v>
      </c>
      <c r="D500" t="s">
        <v>13411</v>
      </c>
    </row>
    <row r="501" spans="1:4" x14ac:dyDescent="0.25">
      <c r="A501" s="180">
        <f t="shared" si="7"/>
        <v>1120774</v>
      </c>
      <c r="B501" s="188" t="s">
        <v>12640</v>
      </c>
      <c r="C501" s="188" t="s">
        <v>12641</v>
      </c>
      <c r="D501" t="s">
        <v>13411</v>
      </c>
    </row>
    <row r="502" spans="1:4" x14ac:dyDescent="0.25">
      <c r="A502" s="180">
        <f t="shared" si="7"/>
        <v>1120775</v>
      </c>
      <c r="B502" s="188" t="s">
        <v>692</v>
      </c>
      <c r="C502" s="188" t="s">
        <v>693</v>
      </c>
    </row>
    <row r="503" spans="1:4" x14ac:dyDescent="0.25">
      <c r="A503" s="180">
        <f t="shared" si="7"/>
        <v>1120776</v>
      </c>
      <c r="B503" s="188" t="s">
        <v>694</v>
      </c>
      <c r="C503" s="188" t="s">
        <v>695</v>
      </c>
      <c r="D503" t="s">
        <v>13411</v>
      </c>
    </row>
    <row r="504" spans="1:4" x14ac:dyDescent="0.25">
      <c r="A504" s="180">
        <f t="shared" si="7"/>
        <v>1120777</v>
      </c>
      <c r="B504" s="188" t="s">
        <v>696</v>
      </c>
      <c r="C504" s="188" t="s">
        <v>697</v>
      </c>
      <c r="D504" t="s">
        <v>13411</v>
      </c>
    </row>
    <row r="505" spans="1:4" x14ac:dyDescent="0.25">
      <c r="A505" s="180">
        <f t="shared" si="7"/>
        <v>1120778</v>
      </c>
      <c r="B505" s="188" t="s">
        <v>698</v>
      </c>
      <c r="C505" s="188" t="s">
        <v>699</v>
      </c>
    </row>
    <row r="506" spans="1:4" x14ac:dyDescent="0.25">
      <c r="A506" s="180">
        <f t="shared" si="7"/>
        <v>1120779</v>
      </c>
      <c r="B506" s="188" t="s">
        <v>13987</v>
      </c>
      <c r="C506" s="188" t="s">
        <v>13988</v>
      </c>
    </row>
    <row r="507" spans="1:4" x14ac:dyDescent="0.25">
      <c r="A507" s="180">
        <f t="shared" si="7"/>
        <v>1120780</v>
      </c>
      <c r="B507" s="188" t="s">
        <v>700</v>
      </c>
      <c r="C507" s="188" t="s">
        <v>701</v>
      </c>
      <c r="D507" t="s">
        <v>13411</v>
      </c>
    </row>
    <row r="508" spans="1:4" x14ac:dyDescent="0.25">
      <c r="A508" s="180">
        <f t="shared" si="7"/>
        <v>1120781</v>
      </c>
      <c r="B508" s="188" t="s">
        <v>702</v>
      </c>
      <c r="C508" s="188" t="s">
        <v>703</v>
      </c>
      <c r="D508" t="s">
        <v>13411</v>
      </c>
    </row>
    <row r="509" spans="1:4" x14ac:dyDescent="0.25">
      <c r="A509" s="180">
        <f t="shared" si="7"/>
        <v>1120782</v>
      </c>
      <c r="B509" s="188" t="s">
        <v>704</v>
      </c>
      <c r="C509" s="188" t="s">
        <v>705</v>
      </c>
    </row>
    <row r="510" spans="1:4" x14ac:dyDescent="0.25">
      <c r="A510" s="180">
        <f t="shared" si="7"/>
        <v>1120783</v>
      </c>
      <c r="B510" s="188" t="s">
        <v>706</v>
      </c>
      <c r="C510" s="188" t="s">
        <v>707</v>
      </c>
    </row>
    <row r="511" spans="1:4" x14ac:dyDescent="0.25">
      <c r="A511" s="180">
        <f t="shared" ref="A511:A574" si="8">IFERROR(B511*1,"")</f>
        <v>1120784</v>
      </c>
      <c r="B511" s="188" t="s">
        <v>708</v>
      </c>
      <c r="C511" s="188" t="s">
        <v>709</v>
      </c>
    </row>
    <row r="512" spans="1:4" x14ac:dyDescent="0.25">
      <c r="A512" s="180">
        <f t="shared" si="8"/>
        <v>1120785</v>
      </c>
      <c r="B512" s="188" t="s">
        <v>710</v>
      </c>
      <c r="C512" s="188" t="s">
        <v>711</v>
      </c>
      <c r="D512" t="s">
        <v>13411</v>
      </c>
    </row>
    <row r="513" spans="1:4" x14ac:dyDescent="0.25">
      <c r="A513" s="180">
        <f t="shared" si="8"/>
        <v>1120786</v>
      </c>
      <c r="B513" s="188" t="s">
        <v>712</v>
      </c>
      <c r="C513" s="188" t="s">
        <v>713</v>
      </c>
      <c r="D513" t="s">
        <v>13411</v>
      </c>
    </row>
    <row r="514" spans="1:4" x14ac:dyDescent="0.25">
      <c r="A514" s="180">
        <f t="shared" si="8"/>
        <v>1120787</v>
      </c>
      <c r="B514" s="188" t="s">
        <v>714</v>
      </c>
      <c r="C514" s="188" t="s">
        <v>715</v>
      </c>
    </row>
    <row r="515" spans="1:4" x14ac:dyDescent="0.25">
      <c r="A515" s="180">
        <f t="shared" si="8"/>
        <v>1120789</v>
      </c>
      <c r="B515" s="188" t="s">
        <v>716</v>
      </c>
      <c r="C515" s="188" t="s">
        <v>717</v>
      </c>
      <c r="D515" t="s">
        <v>13411</v>
      </c>
    </row>
    <row r="516" spans="1:4" x14ac:dyDescent="0.25">
      <c r="A516" s="180">
        <f t="shared" si="8"/>
        <v>1120790</v>
      </c>
      <c r="B516" s="188" t="s">
        <v>718</v>
      </c>
      <c r="C516" s="188" t="s">
        <v>719</v>
      </c>
      <c r="D516" t="s">
        <v>13411</v>
      </c>
    </row>
    <row r="517" spans="1:4" x14ac:dyDescent="0.25">
      <c r="A517" s="180">
        <f t="shared" si="8"/>
        <v>1120791</v>
      </c>
      <c r="B517" s="188" t="s">
        <v>720</v>
      </c>
      <c r="C517" s="188" t="s">
        <v>721</v>
      </c>
      <c r="D517" t="s">
        <v>13411</v>
      </c>
    </row>
    <row r="518" spans="1:4" x14ac:dyDescent="0.25">
      <c r="A518" s="180">
        <f t="shared" si="8"/>
        <v>1120792</v>
      </c>
      <c r="B518" s="188" t="s">
        <v>722</v>
      </c>
      <c r="C518" s="188" t="s">
        <v>723</v>
      </c>
      <c r="D518" t="s">
        <v>13411</v>
      </c>
    </row>
    <row r="519" spans="1:4" x14ac:dyDescent="0.25">
      <c r="A519" s="180">
        <f t="shared" si="8"/>
        <v>1120793</v>
      </c>
      <c r="B519" s="188" t="s">
        <v>6823</v>
      </c>
      <c r="C519" s="188" t="s">
        <v>6824</v>
      </c>
      <c r="D519" t="s">
        <v>13411</v>
      </c>
    </row>
    <row r="520" spans="1:4" x14ac:dyDescent="0.25">
      <c r="A520" s="180">
        <f t="shared" si="8"/>
        <v>1120795</v>
      </c>
      <c r="B520" s="188" t="s">
        <v>724</v>
      </c>
      <c r="C520" s="188" t="s">
        <v>725</v>
      </c>
      <c r="D520" t="s">
        <v>13411</v>
      </c>
    </row>
    <row r="521" spans="1:4" x14ac:dyDescent="0.25">
      <c r="A521" s="180">
        <f t="shared" si="8"/>
        <v>1120796</v>
      </c>
      <c r="B521" s="188" t="s">
        <v>726</v>
      </c>
      <c r="C521" s="188" t="s">
        <v>727</v>
      </c>
      <c r="D521" t="s">
        <v>13411</v>
      </c>
    </row>
    <row r="522" spans="1:4" x14ac:dyDescent="0.25">
      <c r="A522" s="180">
        <f t="shared" si="8"/>
        <v>1120797</v>
      </c>
      <c r="B522" s="188" t="s">
        <v>728</v>
      </c>
      <c r="C522" s="188" t="s">
        <v>729</v>
      </c>
      <c r="D522" t="s">
        <v>13411</v>
      </c>
    </row>
    <row r="523" spans="1:4" x14ac:dyDescent="0.25">
      <c r="A523" s="180">
        <f t="shared" si="8"/>
        <v>1120798</v>
      </c>
      <c r="B523" s="188" t="s">
        <v>730</v>
      </c>
      <c r="C523" s="188" t="s">
        <v>731</v>
      </c>
      <c r="D523" t="s">
        <v>13411</v>
      </c>
    </row>
    <row r="524" spans="1:4" x14ac:dyDescent="0.25">
      <c r="A524" s="180">
        <f t="shared" si="8"/>
        <v>1120799</v>
      </c>
      <c r="B524" s="188" t="s">
        <v>732</v>
      </c>
      <c r="C524" s="188" t="s">
        <v>733</v>
      </c>
      <c r="D524" t="s">
        <v>13411</v>
      </c>
    </row>
    <row r="525" spans="1:4" x14ac:dyDescent="0.25">
      <c r="A525" s="180">
        <f t="shared" si="8"/>
        <v>1120800</v>
      </c>
      <c r="B525" s="188" t="s">
        <v>734</v>
      </c>
      <c r="C525" s="188" t="s">
        <v>735</v>
      </c>
      <c r="D525" t="s">
        <v>13411</v>
      </c>
    </row>
    <row r="526" spans="1:4" x14ac:dyDescent="0.25">
      <c r="A526" s="180" t="str">
        <f t="shared" si="8"/>
        <v/>
      </c>
      <c r="B526" s="188" t="s">
        <v>13010</v>
      </c>
      <c r="C526" s="188"/>
    </row>
    <row r="527" spans="1:4" x14ac:dyDescent="0.25">
      <c r="A527" s="180">
        <f t="shared" si="8"/>
        <v>1120801</v>
      </c>
      <c r="B527" s="188" t="s">
        <v>736</v>
      </c>
      <c r="C527" s="188" t="s">
        <v>737</v>
      </c>
      <c r="D527" t="s">
        <v>13411</v>
      </c>
    </row>
    <row r="528" spans="1:4" x14ac:dyDescent="0.25">
      <c r="A528" s="180" t="str">
        <f t="shared" si="8"/>
        <v/>
      </c>
      <c r="B528" s="188" t="s">
        <v>13011</v>
      </c>
      <c r="C528" s="188"/>
    </row>
    <row r="529" spans="1:4" x14ac:dyDescent="0.25">
      <c r="A529" s="180">
        <f t="shared" si="8"/>
        <v>1120802</v>
      </c>
      <c r="B529" s="188" t="s">
        <v>738</v>
      </c>
      <c r="C529" s="188" t="s">
        <v>665</v>
      </c>
      <c r="D529" t="s">
        <v>13411</v>
      </c>
    </row>
    <row r="530" spans="1:4" x14ac:dyDescent="0.25">
      <c r="A530" s="180" t="str">
        <f t="shared" si="8"/>
        <v/>
      </c>
      <c r="B530" s="188" t="s">
        <v>13012</v>
      </c>
      <c r="C530" s="188"/>
    </row>
    <row r="531" spans="1:4" x14ac:dyDescent="0.25">
      <c r="A531" s="180">
        <f t="shared" si="8"/>
        <v>1120803</v>
      </c>
      <c r="B531" s="188" t="s">
        <v>739</v>
      </c>
      <c r="C531" s="188" t="s">
        <v>740</v>
      </c>
    </row>
    <row r="532" spans="1:4" x14ac:dyDescent="0.25">
      <c r="A532" s="180" t="str">
        <f t="shared" si="8"/>
        <v/>
      </c>
      <c r="B532" s="188" t="s">
        <v>13013</v>
      </c>
      <c r="C532" s="188"/>
    </row>
    <row r="533" spans="1:4" x14ac:dyDescent="0.25">
      <c r="A533" s="180">
        <f t="shared" si="8"/>
        <v>1120804</v>
      </c>
      <c r="B533" s="188" t="s">
        <v>6825</v>
      </c>
      <c r="C533" s="188" t="s">
        <v>14916</v>
      </c>
    </row>
    <row r="534" spans="1:4" x14ac:dyDescent="0.25">
      <c r="A534" s="180">
        <f t="shared" si="8"/>
        <v>1120805</v>
      </c>
      <c r="B534" s="188" t="s">
        <v>6826</v>
      </c>
      <c r="C534" s="188" t="s">
        <v>14917</v>
      </c>
    </row>
    <row r="535" spans="1:4" x14ac:dyDescent="0.25">
      <c r="A535" s="180">
        <f t="shared" si="8"/>
        <v>1120806</v>
      </c>
      <c r="B535" s="188" t="s">
        <v>6827</v>
      </c>
      <c r="C535" s="189" t="s">
        <v>14918</v>
      </c>
    </row>
    <row r="536" spans="1:4" x14ac:dyDescent="0.25">
      <c r="A536" s="180">
        <f t="shared" si="8"/>
        <v>1120807</v>
      </c>
      <c r="B536" s="188" t="s">
        <v>14919</v>
      </c>
      <c r="C536" s="188" t="s">
        <v>14920</v>
      </c>
    </row>
    <row r="537" spans="1:4" x14ac:dyDescent="0.25">
      <c r="A537" s="180">
        <f t="shared" si="8"/>
        <v>1120840</v>
      </c>
      <c r="B537" s="188" t="s">
        <v>741</v>
      </c>
      <c r="C537" s="189" t="s">
        <v>742</v>
      </c>
      <c r="D537" t="s">
        <v>13411</v>
      </c>
    </row>
    <row r="538" spans="1:4" x14ac:dyDescent="0.25">
      <c r="A538" s="180">
        <f t="shared" si="8"/>
        <v>1120841</v>
      </c>
      <c r="B538" s="188" t="s">
        <v>743</v>
      </c>
      <c r="C538" s="188" t="s">
        <v>744</v>
      </c>
      <c r="D538" t="s">
        <v>13411</v>
      </c>
    </row>
    <row r="539" spans="1:4" x14ac:dyDescent="0.25">
      <c r="A539" s="180">
        <f t="shared" si="8"/>
        <v>1120842</v>
      </c>
      <c r="B539" s="188" t="s">
        <v>745</v>
      </c>
      <c r="C539" s="188" t="s">
        <v>746</v>
      </c>
      <c r="D539" t="s">
        <v>13411</v>
      </c>
    </row>
    <row r="540" spans="1:4" x14ac:dyDescent="0.25">
      <c r="A540" s="180">
        <f t="shared" si="8"/>
        <v>1120843</v>
      </c>
      <c r="B540" s="188" t="s">
        <v>747</v>
      </c>
      <c r="C540" s="188" t="s">
        <v>748</v>
      </c>
    </row>
    <row r="541" spans="1:4" x14ac:dyDescent="0.25">
      <c r="A541" s="180">
        <f t="shared" si="8"/>
        <v>1120850</v>
      </c>
      <c r="B541" s="188" t="s">
        <v>749</v>
      </c>
      <c r="C541" s="188" t="s">
        <v>750</v>
      </c>
      <c r="D541" t="s">
        <v>13411</v>
      </c>
    </row>
    <row r="542" spans="1:4" x14ac:dyDescent="0.25">
      <c r="A542" s="180">
        <f t="shared" si="8"/>
        <v>1120851</v>
      </c>
      <c r="B542" s="188" t="s">
        <v>751</v>
      </c>
      <c r="C542" s="188" t="s">
        <v>752</v>
      </c>
      <c r="D542" t="s">
        <v>13411</v>
      </c>
    </row>
    <row r="543" spans="1:4" x14ac:dyDescent="0.25">
      <c r="A543" s="180">
        <f t="shared" si="8"/>
        <v>1120852</v>
      </c>
      <c r="B543" s="188" t="s">
        <v>753</v>
      </c>
      <c r="C543" s="188" t="s">
        <v>754</v>
      </c>
      <c r="D543" t="s">
        <v>13411</v>
      </c>
    </row>
    <row r="544" spans="1:4" x14ac:dyDescent="0.25">
      <c r="A544" s="180">
        <f t="shared" si="8"/>
        <v>1120853</v>
      </c>
      <c r="B544" s="188" t="s">
        <v>755</v>
      </c>
      <c r="C544" s="188" t="s">
        <v>756</v>
      </c>
    </row>
    <row r="545" spans="1:4" x14ac:dyDescent="0.25">
      <c r="A545" s="180">
        <f t="shared" si="8"/>
        <v>1120856</v>
      </c>
      <c r="B545" s="188" t="s">
        <v>757</v>
      </c>
      <c r="C545" s="188" t="s">
        <v>758</v>
      </c>
      <c r="D545" t="s">
        <v>13411</v>
      </c>
    </row>
    <row r="546" spans="1:4" x14ac:dyDescent="0.25">
      <c r="A546" s="180">
        <f t="shared" si="8"/>
        <v>1120857</v>
      </c>
      <c r="B546" s="188" t="s">
        <v>759</v>
      </c>
      <c r="C546" s="188" t="s">
        <v>760</v>
      </c>
      <c r="D546" t="s">
        <v>13411</v>
      </c>
    </row>
    <row r="547" spans="1:4" x14ac:dyDescent="0.25">
      <c r="A547" s="180">
        <f t="shared" si="8"/>
        <v>1120858</v>
      </c>
      <c r="B547" s="188" t="s">
        <v>761</v>
      </c>
      <c r="C547" s="188" t="s">
        <v>762</v>
      </c>
      <c r="D547" t="s">
        <v>13411</v>
      </c>
    </row>
    <row r="548" spans="1:4" x14ac:dyDescent="0.25">
      <c r="A548" s="180">
        <f t="shared" si="8"/>
        <v>1120859</v>
      </c>
      <c r="B548" s="188" t="s">
        <v>763</v>
      </c>
      <c r="C548" s="188" t="s">
        <v>764</v>
      </c>
      <c r="D548" t="s">
        <v>13411</v>
      </c>
    </row>
    <row r="549" spans="1:4" x14ac:dyDescent="0.25">
      <c r="A549" s="180">
        <f t="shared" si="8"/>
        <v>1120860</v>
      </c>
      <c r="B549" s="188" t="s">
        <v>765</v>
      </c>
      <c r="C549" s="188" t="s">
        <v>766</v>
      </c>
      <c r="D549" t="s">
        <v>13411</v>
      </c>
    </row>
    <row r="550" spans="1:4" x14ac:dyDescent="0.25">
      <c r="A550" s="180">
        <f t="shared" si="8"/>
        <v>1120861</v>
      </c>
      <c r="B550" s="188" t="s">
        <v>767</v>
      </c>
      <c r="C550" s="188" t="s">
        <v>768</v>
      </c>
      <c r="D550" t="s">
        <v>13411</v>
      </c>
    </row>
    <row r="551" spans="1:4" x14ac:dyDescent="0.25">
      <c r="A551" s="180">
        <f t="shared" si="8"/>
        <v>1120862</v>
      </c>
      <c r="B551" s="188" t="s">
        <v>769</v>
      </c>
      <c r="C551" s="188" t="s">
        <v>770</v>
      </c>
      <c r="D551" t="s">
        <v>13411</v>
      </c>
    </row>
    <row r="552" spans="1:4" x14ac:dyDescent="0.25">
      <c r="A552" s="180">
        <f t="shared" si="8"/>
        <v>1120863</v>
      </c>
      <c r="B552" s="188" t="s">
        <v>771</v>
      </c>
      <c r="C552" s="188" t="s">
        <v>772</v>
      </c>
      <c r="D552" t="s">
        <v>13411</v>
      </c>
    </row>
    <row r="553" spans="1:4" x14ac:dyDescent="0.25">
      <c r="A553" s="180">
        <f t="shared" si="8"/>
        <v>1120870</v>
      </c>
      <c r="B553" s="188" t="s">
        <v>13585</v>
      </c>
      <c r="C553" s="188" t="s">
        <v>13586</v>
      </c>
      <c r="D553" t="s">
        <v>13411</v>
      </c>
    </row>
    <row r="554" spans="1:4" x14ac:dyDescent="0.25">
      <c r="A554" s="180">
        <f t="shared" si="8"/>
        <v>1120873</v>
      </c>
      <c r="B554" s="188" t="s">
        <v>773</v>
      </c>
      <c r="C554" s="188" t="s">
        <v>774</v>
      </c>
      <c r="D554" t="s">
        <v>13411</v>
      </c>
    </row>
    <row r="555" spans="1:4" x14ac:dyDescent="0.25">
      <c r="A555" s="180">
        <f t="shared" si="8"/>
        <v>1120875</v>
      </c>
      <c r="B555" s="188" t="s">
        <v>775</v>
      </c>
      <c r="C555" s="188" t="s">
        <v>776</v>
      </c>
      <c r="D555" t="s">
        <v>13411</v>
      </c>
    </row>
    <row r="556" spans="1:4" x14ac:dyDescent="0.25">
      <c r="A556" s="180">
        <f t="shared" si="8"/>
        <v>1120876</v>
      </c>
      <c r="B556" s="188" t="s">
        <v>777</v>
      </c>
      <c r="C556" s="188" t="s">
        <v>778</v>
      </c>
      <c r="D556" t="s">
        <v>13411</v>
      </c>
    </row>
    <row r="557" spans="1:4" x14ac:dyDescent="0.25">
      <c r="A557" s="180">
        <f t="shared" si="8"/>
        <v>1120877</v>
      </c>
      <c r="B557" s="188" t="s">
        <v>779</v>
      </c>
      <c r="C557" s="188" t="s">
        <v>780</v>
      </c>
      <c r="D557" t="s">
        <v>13411</v>
      </c>
    </row>
    <row r="558" spans="1:4" x14ac:dyDescent="0.25">
      <c r="A558" s="180">
        <f t="shared" si="8"/>
        <v>1120878</v>
      </c>
      <c r="B558" s="188" t="s">
        <v>781</v>
      </c>
      <c r="C558" s="188" t="s">
        <v>782</v>
      </c>
      <c r="D558" t="s">
        <v>13411</v>
      </c>
    </row>
    <row r="559" spans="1:4" x14ac:dyDescent="0.25">
      <c r="A559" s="180">
        <f t="shared" si="8"/>
        <v>1120879</v>
      </c>
      <c r="B559" s="188" t="s">
        <v>783</v>
      </c>
      <c r="C559" s="188" t="s">
        <v>784</v>
      </c>
      <c r="D559" t="s">
        <v>13411</v>
      </c>
    </row>
    <row r="560" spans="1:4" x14ac:dyDescent="0.25">
      <c r="A560" s="180">
        <f t="shared" si="8"/>
        <v>1120880</v>
      </c>
      <c r="B560" s="188" t="s">
        <v>785</v>
      </c>
      <c r="C560" s="188" t="s">
        <v>786</v>
      </c>
      <c r="D560" t="s">
        <v>13411</v>
      </c>
    </row>
    <row r="561" spans="1:4" x14ac:dyDescent="0.25">
      <c r="A561" s="180">
        <f t="shared" si="8"/>
        <v>1120881</v>
      </c>
      <c r="B561" s="188" t="s">
        <v>787</v>
      </c>
      <c r="C561" s="188" t="s">
        <v>788</v>
      </c>
    </row>
    <row r="562" spans="1:4" x14ac:dyDescent="0.25">
      <c r="A562" s="180">
        <f t="shared" si="8"/>
        <v>1120882</v>
      </c>
      <c r="B562" s="188" t="s">
        <v>789</v>
      </c>
      <c r="C562" s="188" t="s">
        <v>790</v>
      </c>
    </row>
    <row r="563" spans="1:4" x14ac:dyDescent="0.25">
      <c r="A563" s="180">
        <f t="shared" si="8"/>
        <v>1120883</v>
      </c>
      <c r="B563" s="188" t="s">
        <v>791</v>
      </c>
      <c r="C563" s="188" t="s">
        <v>792</v>
      </c>
    </row>
    <row r="564" spans="1:4" x14ac:dyDescent="0.25">
      <c r="A564" s="180">
        <f t="shared" si="8"/>
        <v>1120884</v>
      </c>
      <c r="B564" s="188" t="s">
        <v>793</v>
      </c>
      <c r="C564" s="189" t="s">
        <v>794</v>
      </c>
    </row>
    <row r="565" spans="1:4" x14ac:dyDescent="0.25">
      <c r="A565" s="180">
        <f t="shared" si="8"/>
        <v>1120885</v>
      </c>
      <c r="B565" s="188" t="s">
        <v>795</v>
      </c>
      <c r="C565" s="188" t="s">
        <v>796</v>
      </c>
    </row>
    <row r="566" spans="1:4" x14ac:dyDescent="0.25">
      <c r="A566" s="180">
        <f t="shared" si="8"/>
        <v>1120886</v>
      </c>
      <c r="B566" s="188" t="s">
        <v>797</v>
      </c>
      <c r="C566" s="189" t="s">
        <v>798</v>
      </c>
    </row>
    <row r="567" spans="1:4" x14ac:dyDescent="0.25">
      <c r="A567" s="180">
        <f t="shared" si="8"/>
        <v>1120887</v>
      </c>
      <c r="B567" s="188" t="s">
        <v>799</v>
      </c>
      <c r="C567" s="188" t="s">
        <v>800</v>
      </c>
      <c r="D567" t="s">
        <v>13411</v>
      </c>
    </row>
    <row r="568" spans="1:4" x14ac:dyDescent="0.25">
      <c r="A568" s="180">
        <f t="shared" si="8"/>
        <v>1120888</v>
      </c>
      <c r="B568" s="188" t="s">
        <v>801</v>
      </c>
      <c r="C568" s="189" t="s">
        <v>802</v>
      </c>
      <c r="D568" t="s">
        <v>13411</v>
      </c>
    </row>
    <row r="569" spans="1:4" x14ac:dyDescent="0.25">
      <c r="A569" s="180">
        <f t="shared" si="8"/>
        <v>1120900</v>
      </c>
      <c r="B569" s="188" t="s">
        <v>803</v>
      </c>
      <c r="C569" s="188" t="s">
        <v>804</v>
      </c>
      <c r="D569" t="s">
        <v>13411</v>
      </c>
    </row>
    <row r="570" spans="1:4" x14ac:dyDescent="0.25">
      <c r="A570" s="180">
        <f t="shared" si="8"/>
        <v>1120901</v>
      </c>
      <c r="B570" s="188" t="s">
        <v>805</v>
      </c>
      <c r="C570" s="188" t="s">
        <v>806</v>
      </c>
      <c r="D570" t="s">
        <v>13411</v>
      </c>
    </row>
    <row r="571" spans="1:4" x14ac:dyDescent="0.25">
      <c r="A571" s="180" t="str">
        <f t="shared" si="8"/>
        <v/>
      </c>
      <c r="B571" s="188" t="s">
        <v>13014</v>
      </c>
      <c r="C571" s="188"/>
    </row>
    <row r="572" spans="1:4" x14ac:dyDescent="0.25">
      <c r="A572" s="180">
        <f t="shared" si="8"/>
        <v>1120902</v>
      </c>
      <c r="B572" s="188" t="s">
        <v>807</v>
      </c>
      <c r="C572" s="188" t="s">
        <v>808</v>
      </c>
      <c r="D572" t="s">
        <v>13411</v>
      </c>
    </row>
    <row r="573" spans="1:4" x14ac:dyDescent="0.25">
      <c r="A573" s="180" t="str">
        <f t="shared" si="8"/>
        <v/>
      </c>
      <c r="B573" s="188" t="s">
        <v>13015</v>
      </c>
      <c r="C573" s="188"/>
    </row>
    <row r="574" spans="1:4" x14ac:dyDescent="0.25">
      <c r="A574" s="180">
        <f t="shared" si="8"/>
        <v>1120903</v>
      </c>
      <c r="B574" s="188" t="s">
        <v>809</v>
      </c>
      <c r="C574" s="188" t="s">
        <v>810</v>
      </c>
      <c r="D574" t="s">
        <v>13411</v>
      </c>
    </row>
    <row r="575" spans="1:4" x14ac:dyDescent="0.25">
      <c r="A575" s="180">
        <f t="shared" ref="A575:A638" si="9">IFERROR(B575*1,"")</f>
        <v>1120904</v>
      </c>
      <c r="B575" s="188" t="s">
        <v>811</v>
      </c>
      <c r="C575" s="188" t="s">
        <v>812</v>
      </c>
      <c r="D575" t="s">
        <v>13411</v>
      </c>
    </row>
    <row r="576" spans="1:4" x14ac:dyDescent="0.25">
      <c r="A576" s="180">
        <f t="shared" si="9"/>
        <v>1120910</v>
      </c>
      <c r="B576" s="188" t="s">
        <v>6828</v>
      </c>
      <c r="C576" s="188" t="s">
        <v>6829</v>
      </c>
      <c r="D576" t="s">
        <v>13411</v>
      </c>
    </row>
    <row r="577" spans="1:4" x14ac:dyDescent="0.25">
      <c r="A577" s="180">
        <f t="shared" si="9"/>
        <v>1120911</v>
      </c>
      <c r="B577" s="188" t="s">
        <v>6830</v>
      </c>
      <c r="C577" s="188" t="s">
        <v>6831</v>
      </c>
      <c r="D577" t="s">
        <v>13411</v>
      </c>
    </row>
    <row r="578" spans="1:4" x14ac:dyDescent="0.25">
      <c r="A578" s="180">
        <f t="shared" si="9"/>
        <v>1120920</v>
      </c>
      <c r="B578" s="188" t="s">
        <v>12761</v>
      </c>
      <c r="C578" s="188" t="s">
        <v>12762</v>
      </c>
      <c r="D578" t="s">
        <v>13411</v>
      </c>
    </row>
    <row r="579" spans="1:4" x14ac:dyDescent="0.25">
      <c r="A579" s="180">
        <f t="shared" si="9"/>
        <v>1120921</v>
      </c>
      <c r="B579" s="188" t="s">
        <v>12763</v>
      </c>
      <c r="C579" s="188" t="s">
        <v>12764</v>
      </c>
    </row>
    <row r="580" spans="1:4" x14ac:dyDescent="0.25">
      <c r="A580" s="180">
        <f t="shared" si="9"/>
        <v>1120922</v>
      </c>
      <c r="B580" s="188" t="s">
        <v>12765</v>
      </c>
      <c r="C580" s="188" t="s">
        <v>12766</v>
      </c>
    </row>
    <row r="581" spans="1:4" x14ac:dyDescent="0.25">
      <c r="A581" s="180">
        <f t="shared" si="9"/>
        <v>1120923</v>
      </c>
      <c r="B581" s="188" t="s">
        <v>13016</v>
      </c>
      <c r="C581" s="188" t="s">
        <v>13017</v>
      </c>
      <c r="D581" t="s">
        <v>13411</v>
      </c>
    </row>
    <row r="582" spans="1:4" x14ac:dyDescent="0.25">
      <c r="A582" s="180">
        <f t="shared" si="9"/>
        <v>1120940</v>
      </c>
      <c r="B582" s="188" t="s">
        <v>813</v>
      </c>
      <c r="C582" s="188" t="s">
        <v>814</v>
      </c>
      <c r="D582" t="s">
        <v>13411</v>
      </c>
    </row>
    <row r="583" spans="1:4" x14ac:dyDescent="0.25">
      <c r="A583" s="180">
        <f t="shared" si="9"/>
        <v>112094034</v>
      </c>
      <c r="B583" s="188" t="s">
        <v>815</v>
      </c>
      <c r="C583" s="188" t="s">
        <v>816</v>
      </c>
    </row>
    <row r="584" spans="1:4" x14ac:dyDescent="0.25">
      <c r="A584" s="180">
        <f t="shared" si="9"/>
        <v>112094036</v>
      </c>
      <c r="B584" s="188" t="s">
        <v>817</v>
      </c>
      <c r="C584" s="188" t="s">
        <v>818</v>
      </c>
    </row>
    <row r="585" spans="1:4" x14ac:dyDescent="0.25">
      <c r="A585" s="180">
        <f t="shared" si="9"/>
        <v>112094038</v>
      </c>
      <c r="B585" s="188" t="s">
        <v>819</v>
      </c>
      <c r="C585" s="188" t="s">
        <v>820</v>
      </c>
    </row>
    <row r="586" spans="1:4" x14ac:dyDescent="0.25">
      <c r="A586" s="180">
        <f t="shared" si="9"/>
        <v>112094040</v>
      </c>
      <c r="B586" s="188" t="s">
        <v>821</v>
      </c>
      <c r="C586" s="188" t="s">
        <v>822</v>
      </c>
    </row>
    <row r="587" spans="1:4" x14ac:dyDescent="0.25">
      <c r="A587" s="180">
        <f t="shared" si="9"/>
        <v>112094044</v>
      </c>
      <c r="B587" s="188" t="s">
        <v>823</v>
      </c>
      <c r="C587" s="188" t="s">
        <v>516</v>
      </c>
    </row>
    <row r="588" spans="1:4" x14ac:dyDescent="0.25">
      <c r="A588" s="180">
        <f t="shared" si="9"/>
        <v>112094046</v>
      </c>
      <c r="B588" s="188" t="s">
        <v>824</v>
      </c>
      <c r="C588" s="188" t="s">
        <v>825</v>
      </c>
    </row>
    <row r="589" spans="1:4" x14ac:dyDescent="0.25">
      <c r="A589" s="180">
        <f t="shared" si="9"/>
        <v>112094048</v>
      </c>
      <c r="B589" s="188" t="s">
        <v>826</v>
      </c>
      <c r="C589" s="188" t="s">
        <v>827</v>
      </c>
    </row>
    <row r="590" spans="1:4" x14ac:dyDescent="0.25">
      <c r="A590" s="180">
        <f t="shared" si="9"/>
        <v>112094052</v>
      </c>
      <c r="B590" s="188" t="s">
        <v>828</v>
      </c>
      <c r="C590" s="188" t="s">
        <v>829</v>
      </c>
    </row>
    <row r="591" spans="1:4" x14ac:dyDescent="0.25">
      <c r="A591" s="180">
        <f t="shared" si="9"/>
        <v>1120941</v>
      </c>
      <c r="B591" s="188" t="s">
        <v>830</v>
      </c>
      <c r="C591" s="188" t="s">
        <v>831</v>
      </c>
      <c r="D591" t="s">
        <v>13411</v>
      </c>
    </row>
    <row r="592" spans="1:4" x14ac:dyDescent="0.25">
      <c r="A592" s="180">
        <f t="shared" si="9"/>
        <v>112094152</v>
      </c>
      <c r="B592" s="188" t="s">
        <v>832</v>
      </c>
      <c r="C592" s="188" t="s">
        <v>833</v>
      </c>
    </row>
    <row r="593" spans="1:4" x14ac:dyDescent="0.25">
      <c r="A593" s="180">
        <f t="shared" si="9"/>
        <v>112094154</v>
      </c>
      <c r="B593" s="188" t="s">
        <v>834</v>
      </c>
      <c r="C593" s="188" t="s">
        <v>835</v>
      </c>
    </row>
    <row r="594" spans="1:4" x14ac:dyDescent="0.25">
      <c r="A594" s="180">
        <f t="shared" si="9"/>
        <v>1120942</v>
      </c>
      <c r="B594" s="188" t="s">
        <v>836</v>
      </c>
      <c r="C594" s="188" t="s">
        <v>837</v>
      </c>
      <c r="D594" t="s">
        <v>13411</v>
      </c>
    </row>
    <row r="595" spans="1:4" x14ac:dyDescent="0.25">
      <c r="A595" s="180">
        <f t="shared" si="9"/>
        <v>112094256</v>
      </c>
      <c r="B595" s="188" t="s">
        <v>838</v>
      </c>
      <c r="C595" s="188" t="s">
        <v>839</v>
      </c>
    </row>
    <row r="596" spans="1:4" x14ac:dyDescent="0.25">
      <c r="A596" s="180">
        <f t="shared" si="9"/>
        <v>112094258</v>
      </c>
      <c r="B596" s="188" t="s">
        <v>840</v>
      </c>
      <c r="C596" s="188" t="s">
        <v>841</v>
      </c>
    </row>
    <row r="597" spans="1:4" x14ac:dyDescent="0.25">
      <c r="A597" s="180">
        <f t="shared" si="9"/>
        <v>112094260</v>
      </c>
      <c r="B597" s="188" t="s">
        <v>842</v>
      </c>
      <c r="C597" s="188" t="s">
        <v>843</v>
      </c>
    </row>
    <row r="598" spans="1:4" x14ac:dyDescent="0.25">
      <c r="A598" s="180">
        <f t="shared" si="9"/>
        <v>1120943</v>
      </c>
      <c r="B598" s="188" t="s">
        <v>844</v>
      </c>
      <c r="C598" s="188" t="s">
        <v>845</v>
      </c>
    </row>
    <row r="599" spans="1:4" x14ac:dyDescent="0.25">
      <c r="A599" s="180">
        <f t="shared" si="9"/>
        <v>1120945</v>
      </c>
      <c r="B599" s="188" t="s">
        <v>14201</v>
      </c>
      <c r="C599" s="188" t="s">
        <v>14202</v>
      </c>
    </row>
    <row r="600" spans="1:4" x14ac:dyDescent="0.25">
      <c r="A600" s="180">
        <f t="shared" si="9"/>
        <v>1120946</v>
      </c>
      <c r="B600" s="188" t="s">
        <v>846</v>
      </c>
      <c r="C600" s="188" t="s">
        <v>847</v>
      </c>
      <c r="D600" t="s">
        <v>13411</v>
      </c>
    </row>
    <row r="601" spans="1:4" x14ac:dyDescent="0.25">
      <c r="A601" s="180" t="str">
        <f t="shared" si="9"/>
        <v/>
      </c>
      <c r="B601" s="188" t="s">
        <v>13018</v>
      </c>
      <c r="C601" s="188"/>
    </row>
    <row r="602" spans="1:4" x14ac:dyDescent="0.25">
      <c r="A602" s="180">
        <f t="shared" si="9"/>
        <v>1120947</v>
      </c>
      <c r="B602" s="188" t="s">
        <v>848</v>
      </c>
      <c r="C602" s="188" t="s">
        <v>849</v>
      </c>
      <c r="D602" t="s">
        <v>13411</v>
      </c>
    </row>
    <row r="603" spans="1:4" x14ac:dyDescent="0.25">
      <c r="A603" s="180" t="str">
        <f t="shared" si="9"/>
        <v/>
      </c>
      <c r="B603" s="188" t="s">
        <v>13019</v>
      </c>
      <c r="C603" s="188"/>
    </row>
    <row r="604" spans="1:4" x14ac:dyDescent="0.25">
      <c r="A604" s="180">
        <f t="shared" si="9"/>
        <v>1120948</v>
      </c>
      <c r="B604" s="188" t="s">
        <v>850</v>
      </c>
      <c r="C604" s="188" t="s">
        <v>851</v>
      </c>
    </row>
    <row r="605" spans="1:4" x14ac:dyDescent="0.25">
      <c r="A605" s="180" t="str">
        <f t="shared" si="9"/>
        <v/>
      </c>
      <c r="B605" s="188" t="s">
        <v>13020</v>
      </c>
      <c r="C605" s="188"/>
    </row>
    <row r="606" spans="1:4" x14ac:dyDescent="0.25">
      <c r="A606" s="180">
        <f t="shared" si="9"/>
        <v>1120949</v>
      </c>
      <c r="B606" s="188" t="s">
        <v>852</v>
      </c>
      <c r="C606" s="188" t="s">
        <v>853</v>
      </c>
    </row>
    <row r="607" spans="1:4" x14ac:dyDescent="0.25">
      <c r="A607" s="180">
        <f t="shared" si="9"/>
        <v>1120950</v>
      </c>
      <c r="B607" s="188" t="s">
        <v>854</v>
      </c>
      <c r="C607" s="188" t="s">
        <v>855</v>
      </c>
      <c r="D607" t="s">
        <v>13411</v>
      </c>
    </row>
    <row r="608" spans="1:4" x14ac:dyDescent="0.25">
      <c r="A608" s="180">
        <f t="shared" si="9"/>
        <v>1120951</v>
      </c>
      <c r="B608" s="188" t="s">
        <v>14203</v>
      </c>
      <c r="C608" s="188" t="s">
        <v>14204</v>
      </c>
    </row>
    <row r="609" spans="1:4" x14ac:dyDescent="0.25">
      <c r="A609" s="180">
        <f t="shared" si="9"/>
        <v>1120952</v>
      </c>
      <c r="B609" s="188" t="s">
        <v>856</v>
      </c>
      <c r="C609" s="188" t="s">
        <v>857</v>
      </c>
      <c r="D609" t="s">
        <v>13411</v>
      </c>
    </row>
    <row r="610" spans="1:4" x14ac:dyDescent="0.25">
      <c r="A610" s="180">
        <f t="shared" si="9"/>
        <v>1120953</v>
      </c>
      <c r="B610" s="188" t="s">
        <v>858</v>
      </c>
      <c r="C610" s="188" t="s">
        <v>859</v>
      </c>
      <c r="D610" t="s">
        <v>13411</v>
      </c>
    </row>
    <row r="611" spans="1:4" x14ac:dyDescent="0.25">
      <c r="A611" s="180">
        <f t="shared" si="9"/>
        <v>1120954</v>
      </c>
      <c r="B611" s="188" t="s">
        <v>860</v>
      </c>
      <c r="C611" s="188" t="s">
        <v>861</v>
      </c>
    </row>
    <row r="612" spans="1:4" x14ac:dyDescent="0.25">
      <c r="A612" s="180">
        <f t="shared" si="9"/>
        <v>1120956</v>
      </c>
      <c r="B612" s="188" t="s">
        <v>14205</v>
      </c>
      <c r="C612" s="188" t="s">
        <v>14206</v>
      </c>
      <c r="D612" t="s">
        <v>13411</v>
      </c>
    </row>
    <row r="613" spans="1:4" x14ac:dyDescent="0.25">
      <c r="A613" s="180">
        <f t="shared" si="9"/>
        <v>1120957</v>
      </c>
      <c r="B613" s="188" t="s">
        <v>14207</v>
      </c>
      <c r="C613" s="188" t="s">
        <v>14208</v>
      </c>
    </row>
    <row r="614" spans="1:4" x14ac:dyDescent="0.25">
      <c r="A614" s="180">
        <f t="shared" si="9"/>
        <v>1120963</v>
      </c>
      <c r="B614" s="188" t="s">
        <v>862</v>
      </c>
      <c r="C614" s="188" t="s">
        <v>863</v>
      </c>
    </row>
    <row r="615" spans="1:4" x14ac:dyDescent="0.25">
      <c r="A615" s="180">
        <f t="shared" si="9"/>
        <v>1120977</v>
      </c>
      <c r="B615" s="188" t="s">
        <v>864</v>
      </c>
      <c r="C615" s="188" t="s">
        <v>865</v>
      </c>
      <c r="D615" t="s">
        <v>13411</v>
      </c>
    </row>
    <row r="616" spans="1:4" x14ac:dyDescent="0.25">
      <c r="A616" s="180">
        <f t="shared" si="9"/>
        <v>1120978</v>
      </c>
      <c r="B616" s="188" t="s">
        <v>6832</v>
      </c>
      <c r="C616" s="188" t="s">
        <v>6833</v>
      </c>
      <c r="D616" t="s">
        <v>13411</v>
      </c>
    </row>
    <row r="617" spans="1:4" x14ac:dyDescent="0.25">
      <c r="A617" s="180">
        <f t="shared" si="9"/>
        <v>1120979</v>
      </c>
      <c r="B617" s="188" t="s">
        <v>866</v>
      </c>
      <c r="C617" s="188" t="s">
        <v>867</v>
      </c>
      <c r="D617" t="s">
        <v>13411</v>
      </c>
    </row>
    <row r="618" spans="1:4" x14ac:dyDescent="0.25">
      <c r="A618" s="180">
        <f t="shared" si="9"/>
        <v>1120980</v>
      </c>
      <c r="B618" s="188" t="s">
        <v>6834</v>
      </c>
      <c r="C618" s="188" t="s">
        <v>6835</v>
      </c>
      <c r="D618" t="s">
        <v>13411</v>
      </c>
    </row>
    <row r="619" spans="1:4" x14ac:dyDescent="0.25">
      <c r="A619" s="180">
        <f t="shared" si="9"/>
        <v>1121003</v>
      </c>
      <c r="B619" s="188" t="s">
        <v>13587</v>
      </c>
      <c r="C619" s="188" t="s">
        <v>13588</v>
      </c>
      <c r="D619" t="s">
        <v>13411</v>
      </c>
    </row>
    <row r="620" spans="1:4" x14ac:dyDescent="0.25">
      <c r="A620" s="180">
        <f t="shared" si="9"/>
        <v>1121004</v>
      </c>
      <c r="B620" s="188" t="s">
        <v>13589</v>
      </c>
      <c r="C620" s="188" t="s">
        <v>13590</v>
      </c>
      <c r="D620" t="s">
        <v>13411</v>
      </c>
    </row>
    <row r="621" spans="1:4" x14ac:dyDescent="0.25">
      <c r="A621" s="180">
        <f t="shared" si="9"/>
        <v>1121005</v>
      </c>
      <c r="B621" s="188" t="s">
        <v>13591</v>
      </c>
      <c r="C621" s="188" t="s">
        <v>13592</v>
      </c>
      <c r="D621" t="s">
        <v>13411</v>
      </c>
    </row>
    <row r="622" spans="1:4" x14ac:dyDescent="0.25">
      <c r="A622" s="180">
        <f t="shared" si="9"/>
        <v>1121006</v>
      </c>
      <c r="B622" s="188" t="s">
        <v>13593</v>
      </c>
      <c r="C622" s="188" t="s">
        <v>13594</v>
      </c>
      <c r="D622" t="s">
        <v>13411</v>
      </c>
    </row>
    <row r="623" spans="1:4" x14ac:dyDescent="0.25">
      <c r="A623" s="180">
        <f t="shared" si="9"/>
        <v>1121106</v>
      </c>
      <c r="B623" s="188" t="s">
        <v>13595</v>
      </c>
      <c r="C623" s="188" t="s">
        <v>13596</v>
      </c>
      <c r="D623" t="s">
        <v>13411</v>
      </c>
    </row>
    <row r="624" spans="1:4" x14ac:dyDescent="0.25">
      <c r="A624" s="180">
        <f t="shared" si="9"/>
        <v>1121107</v>
      </c>
      <c r="B624" s="188" t="s">
        <v>13597</v>
      </c>
      <c r="C624" s="188" t="s">
        <v>13598</v>
      </c>
      <c r="D624" t="s">
        <v>13411</v>
      </c>
    </row>
    <row r="625" spans="1:4" x14ac:dyDescent="0.25">
      <c r="A625" s="180">
        <f t="shared" si="9"/>
        <v>1121110</v>
      </c>
      <c r="B625" s="188" t="s">
        <v>13599</v>
      </c>
      <c r="C625" s="188" t="s">
        <v>13600</v>
      </c>
      <c r="D625" t="s">
        <v>13411</v>
      </c>
    </row>
    <row r="626" spans="1:4" x14ac:dyDescent="0.25">
      <c r="A626" s="180">
        <f t="shared" si="9"/>
        <v>1121111</v>
      </c>
      <c r="B626" s="188" t="s">
        <v>13601</v>
      </c>
      <c r="C626" s="188" t="s">
        <v>13602</v>
      </c>
      <c r="D626" t="s">
        <v>13411</v>
      </c>
    </row>
    <row r="627" spans="1:4" x14ac:dyDescent="0.25">
      <c r="A627" s="180">
        <f t="shared" si="9"/>
        <v>1121130</v>
      </c>
      <c r="B627" s="188" t="s">
        <v>13603</v>
      </c>
      <c r="C627" s="188" t="s">
        <v>13604</v>
      </c>
      <c r="D627" t="s">
        <v>13411</v>
      </c>
    </row>
    <row r="628" spans="1:4" x14ac:dyDescent="0.25">
      <c r="A628" s="180">
        <f t="shared" si="9"/>
        <v>1121131</v>
      </c>
      <c r="B628" s="188" t="s">
        <v>13605</v>
      </c>
      <c r="C628" s="188" t="s">
        <v>13606</v>
      </c>
      <c r="D628" t="s">
        <v>13411</v>
      </c>
    </row>
    <row r="629" spans="1:4" x14ac:dyDescent="0.25">
      <c r="A629" s="180">
        <f t="shared" si="9"/>
        <v>1121132</v>
      </c>
      <c r="B629" s="188" t="s">
        <v>13607</v>
      </c>
      <c r="C629" s="188" t="s">
        <v>13608</v>
      </c>
      <c r="D629" t="s">
        <v>13411</v>
      </c>
    </row>
    <row r="630" spans="1:4" x14ac:dyDescent="0.25">
      <c r="A630" s="180">
        <f t="shared" si="9"/>
        <v>1121133</v>
      </c>
      <c r="B630" s="188" t="s">
        <v>13609</v>
      </c>
      <c r="C630" s="188" t="s">
        <v>13610</v>
      </c>
      <c r="D630" t="s">
        <v>13411</v>
      </c>
    </row>
    <row r="631" spans="1:4" x14ac:dyDescent="0.25">
      <c r="A631" s="180">
        <f t="shared" si="9"/>
        <v>1121140</v>
      </c>
      <c r="B631" s="188" t="s">
        <v>13611</v>
      </c>
      <c r="C631" s="188" t="s">
        <v>13612</v>
      </c>
      <c r="D631" t="s">
        <v>13411</v>
      </c>
    </row>
    <row r="632" spans="1:4" x14ac:dyDescent="0.25">
      <c r="A632" s="180">
        <f t="shared" si="9"/>
        <v>1121150</v>
      </c>
      <c r="B632" s="188" t="s">
        <v>13613</v>
      </c>
      <c r="C632" s="188" t="s">
        <v>13614</v>
      </c>
      <c r="D632" t="s">
        <v>13411</v>
      </c>
    </row>
    <row r="633" spans="1:4" x14ac:dyDescent="0.25">
      <c r="A633" s="180">
        <f t="shared" si="9"/>
        <v>1121160</v>
      </c>
      <c r="B633" s="188" t="s">
        <v>13615</v>
      </c>
      <c r="C633" s="188" t="s">
        <v>13616</v>
      </c>
      <c r="D633" t="s">
        <v>13411</v>
      </c>
    </row>
    <row r="634" spans="1:4" x14ac:dyDescent="0.25">
      <c r="A634" s="180">
        <f t="shared" si="9"/>
        <v>1121165</v>
      </c>
      <c r="B634" s="188" t="s">
        <v>13617</v>
      </c>
      <c r="C634" s="188" t="s">
        <v>13618</v>
      </c>
      <c r="D634" t="s">
        <v>13411</v>
      </c>
    </row>
    <row r="635" spans="1:4" x14ac:dyDescent="0.25">
      <c r="A635" s="180">
        <f t="shared" si="9"/>
        <v>1121166</v>
      </c>
      <c r="B635" s="188" t="s">
        <v>13619</v>
      </c>
      <c r="C635" s="188" t="s">
        <v>13620</v>
      </c>
      <c r="D635" t="s">
        <v>13411</v>
      </c>
    </row>
    <row r="636" spans="1:4" x14ac:dyDescent="0.25">
      <c r="A636" s="180">
        <f t="shared" si="9"/>
        <v>1121167</v>
      </c>
      <c r="B636" s="188" t="s">
        <v>13621</v>
      </c>
      <c r="C636" s="188" t="s">
        <v>13622</v>
      </c>
      <c r="D636" t="s">
        <v>13411</v>
      </c>
    </row>
    <row r="637" spans="1:4" x14ac:dyDescent="0.25">
      <c r="A637" s="180">
        <f t="shared" si="9"/>
        <v>1121168</v>
      </c>
      <c r="B637" s="188" t="s">
        <v>13623</v>
      </c>
      <c r="C637" s="188" t="s">
        <v>13624</v>
      </c>
      <c r="D637" t="s">
        <v>13411</v>
      </c>
    </row>
    <row r="638" spans="1:4" x14ac:dyDescent="0.25">
      <c r="A638" s="180">
        <f t="shared" si="9"/>
        <v>1121170</v>
      </c>
      <c r="B638" s="188" t="s">
        <v>13625</v>
      </c>
      <c r="C638" s="188" t="s">
        <v>13626</v>
      </c>
      <c r="D638" t="s">
        <v>13411</v>
      </c>
    </row>
    <row r="639" spans="1:4" x14ac:dyDescent="0.25">
      <c r="A639" s="180">
        <f t="shared" ref="A639:A702" si="10">IFERROR(B639*1,"")</f>
        <v>1121175</v>
      </c>
      <c r="B639" s="188" t="s">
        <v>13627</v>
      </c>
      <c r="C639" s="188" t="s">
        <v>13628</v>
      </c>
      <c r="D639" t="s">
        <v>13411</v>
      </c>
    </row>
    <row r="640" spans="1:4" x14ac:dyDescent="0.25">
      <c r="A640" s="180">
        <f t="shared" si="10"/>
        <v>1121180</v>
      </c>
      <c r="B640" s="188" t="s">
        <v>13629</v>
      </c>
      <c r="C640" s="188" t="s">
        <v>13630</v>
      </c>
      <c r="D640" t="s">
        <v>13411</v>
      </c>
    </row>
    <row r="641" spans="1:4" x14ac:dyDescent="0.25">
      <c r="A641" s="180">
        <f t="shared" si="10"/>
        <v>1121182</v>
      </c>
      <c r="B641" s="188" t="s">
        <v>13631</v>
      </c>
      <c r="C641" s="188" t="s">
        <v>13632</v>
      </c>
      <c r="D641" t="s">
        <v>13412</v>
      </c>
    </row>
    <row r="642" spans="1:4" x14ac:dyDescent="0.25">
      <c r="A642" s="180">
        <f t="shared" si="10"/>
        <v>1121183</v>
      </c>
      <c r="B642" s="188" t="s">
        <v>13633</v>
      </c>
      <c r="C642" s="188" t="s">
        <v>13634</v>
      </c>
      <c r="D642" t="s">
        <v>13412</v>
      </c>
    </row>
    <row r="643" spans="1:4" x14ac:dyDescent="0.25">
      <c r="A643" s="180">
        <f t="shared" si="10"/>
        <v>1121184</v>
      </c>
      <c r="B643" s="188" t="s">
        <v>13635</v>
      </c>
      <c r="C643" s="188" t="s">
        <v>13636</v>
      </c>
      <c r="D643" t="s">
        <v>13412</v>
      </c>
    </row>
    <row r="644" spans="1:4" x14ac:dyDescent="0.25">
      <c r="A644" s="180">
        <f t="shared" si="10"/>
        <v>1121185</v>
      </c>
      <c r="B644" s="188" t="s">
        <v>13637</v>
      </c>
      <c r="C644" s="188" t="s">
        <v>13638</v>
      </c>
      <c r="D644" t="s">
        <v>13412</v>
      </c>
    </row>
    <row r="645" spans="1:4" x14ac:dyDescent="0.25">
      <c r="A645" s="180">
        <f t="shared" si="10"/>
        <v>1121186</v>
      </c>
      <c r="B645" s="188" t="s">
        <v>14873</v>
      </c>
      <c r="C645" s="188" t="s">
        <v>14874</v>
      </c>
      <c r="D645" t="s">
        <v>13411</v>
      </c>
    </row>
    <row r="646" spans="1:4" x14ac:dyDescent="0.25">
      <c r="A646" s="180">
        <f t="shared" si="10"/>
        <v>1121187</v>
      </c>
      <c r="B646" s="188" t="s">
        <v>14875</v>
      </c>
      <c r="C646" s="188" t="s">
        <v>14876</v>
      </c>
      <c r="D646" t="s">
        <v>13411</v>
      </c>
    </row>
    <row r="647" spans="1:4" x14ac:dyDescent="0.25">
      <c r="A647" s="180">
        <f t="shared" si="10"/>
        <v>1121190</v>
      </c>
      <c r="B647" s="188" t="s">
        <v>13639</v>
      </c>
      <c r="C647" s="188" t="s">
        <v>13640</v>
      </c>
      <c r="D647" t="s">
        <v>13411</v>
      </c>
    </row>
    <row r="648" spans="1:4" x14ac:dyDescent="0.25">
      <c r="A648" s="180">
        <f t="shared" si="10"/>
        <v>1121195</v>
      </c>
      <c r="B648" s="188" t="s">
        <v>13641</v>
      </c>
      <c r="C648" s="188" t="s">
        <v>13642</v>
      </c>
      <c r="D648" t="s">
        <v>13411</v>
      </c>
    </row>
    <row r="649" spans="1:4" x14ac:dyDescent="0.25">
      <c r="A649" s="180">
        <f t="shared" si="10"/>
        <v>1121206</v>
      </c>
      <c r="B649" s="188" t="s">
        <v>13643</v>
      </c>
      <c r="C649" s="188" t="s">
        <v>13644</v>
      </c>
      <c r="D649" t="s">
        <v>13411</v>
      </c>
    </row>
    <row r="650" spans="1:4" x14ac:dyDescent="0.25">
      <c r="A650" s="180">
        <f t="shared" si="10"/>
        <v>1121207</v>
      </c>
      <c r="B650" s="188" t="s">
        <v>13645</v>
      </c>
      <c r="C650" s="188" t="s">
        <v>13646</v>
      </c>
      <c r="D650" t="s">
        <v>13411</v>
      </c>
    </row>
    <row r="651" spans="1:4" x14ac:dyDescent="0.25">
      <c r="A651" s="180">
        <f t="shared" si="10"/>
        <v>1121208</v>
      </c>
      <c r="B651" s="188" t="s">
        <v>13647</v>
      </c>
      <c r="C651" s="188" t="s">
        <v>13648</v>
      </c>
      <c r="D651" t="s">
        <v>13411</v>
      </c>
    </row>
    <row r="652" spans="1:4" x14ac:dyDescent="0.25">
      <c r="A652" s="180">
        <f t="shared" si="10"/>
        <v>1121209</v>
      </c>
      <c r="B652" s="188" t="s">
        <v>13649</v>
      </c>
      <c r="C652" s="188" t="s">
        <v>13650</v>
      </c>
      <c r="D652" t="s">
        <v>13411</v>
      </c>
    </row>
    <row r="653" spans="1:4" x14ac:dyDescent="0.25">
      <c r="A653" s="180">
        <f t="shared" si="10"/>
        <v>1121224</v>
      </c>
      <c r="B653" s="188" t="s">
        <v>13651</v>
      </c>
      <c r="C653" s="188" t="s">
        <v>13652</v>
      </c>
      <c r="D653" t="s">
        <v>13411</v>
      </c>
    </row>
    <row r="654" spans="1:4" x14ac:dyDescent="0.25">
      <c r="A654" s="180">
        <f t="shared" si="10"/>
        <v>1121225</v>
      </c>
      <c r="B654" s="188" t="s">
        <v>13653</v>
      </c>
      <c r="C654" s="188" t="s">
        <v>13654</v>
      </c>
      <c r="D654" t="s">
        <v>13411</v>
      </c>
    </row>
    <row r="655" spans="1:4" x14ac:dyDescent="0.25">
      <c r="A655" s="180">
        <f t="shared" si="10"/>
        <v>1121246</v>
      </c>
      <c r="B655" s="188" t="s">
        <v>13655</v>
      </c>
      <c r="C655" s="188" t="s">
        <v>13656</v>
      </c>
      <c r="D655" t="s">
        <v>13411</v>
      </c>
    </row>
    <row r="656" spans="1:4" x14ac:dyDescent="0.25">
      <c r="A656" s="180">
        <f t="shared" si="10"/>
        <v>1121247</v>
      </c>
      <c r="B656" s="188" t="s">
        <v>13657</v>
      </c>
      <c r="C656" s="188" t="s">
        <v>13658</v>
      </c>
      <c r="D656" t="s">
        <v>13411</v>
      </c>
    </row>
    <row r="657" spans="1:4" x14ac:dyDescent="0.25">
      <c r="A657" s="180">
        <f t="shared" si="10"/>
        <v>1121248</v>
      </c>
      <c r="B657" s="188" t="s">
        <v>13659</v>
      </c>
      <c r="C657" s="188" t="s">
        <v>13660</v>
      </c>
      <c r="D657" t="s">
        <v>13411</v>
      </c>
    </row>
    <row r="658" spans="1:4" x14ac:dyDescent="0.25">
      <c r="A658" s="180">
        <f t="shared" si="10"/>
        <v>1121250</v>
      </c>
      <c r="B658" s="188" t="s">
        <v>15023</v>
      </c>
      <c r="C658" s="188" t="s">
        <v>15024</v>
      </c>
      <c r="D658" t="s">
        <v>13411</v>
      </c>
    </row>
    <row r="659" spans="1:4" x14ac:dyDescent="0.25">
      <c r="A659" s="180">
        <f t="shared" si="10"/>
        <v>1121285</v>
      </c>
      <c r="B659" s="188" t="s">
        <v>13661</v>
      </c>
      <c r="C659" s="188" t="s">
        <v>13662</v>
      </c>
      <c r="D659" t="s">
        <v>13411</v>
      </c>
    </row>
    <row r="660" spans="1:4" x14ac:dyDescent="0.25">
      <c r="A660" s="180">
        <f t="shared" si="10"/>
        <v>1121286</v>
      </c>
      <c r="B660" s="188" t="s">
        <v>15025</v>
      </c>
      <c r="C660" s="188" t="s">
        <v>15026</v>
      </c>
      <c r="D660" t="s">
        <v>13411</v>
      </c>
    </row>
    <row r="661" spans="1:4" x14ac:dyDescent="0.25">
      <c r="A661" s="180">
        <f t="shared" si="10"/>
        <v>1121300</v>
      </c>
      <c r="B661" s="188" t="s">
        <v>15027</v>
      </c>
      <c r="C661" s="188" t="s">
        <v>15028</v>
      </c>
      <c r="D661" t="s">
        <v>13411</v>
      </c>
    </row>
    <row r="662" spans="1:4" x14ac:dyDescent="0.25">
      <c r="A662" s="180">
        <f t="shared" si="10"/>
        <v>1121310</v>
      </c>
      <c r="B662" s="188" t="s">
        <v>15029</v>
      </c>
      <c r="C662" s="188" t="s">
        <v>15030</v>
      </c>
      <c r="D662" t="s">
        <v>13411</v>
      </c>
    </row>
    <row r="663" spans="1:4" x14ac:dyDescent="0.25">
      <c r="A663" s="180">
        <f t="shared" si="10"/>
        <v>1121315</v>
      </c>
      <c r="B663" s="188" t="s">
        <v>13663</v>
      </c>
      <c r="C663" s="188" t="s">
        <v>13664</v>
      </c>
      <c r="D663" t="s">
        <v>13411</v>
      </c>
    </row>
    <row r="664" spans="1:4" x14ac:dyDescent="0.25">
      <c r="A664" s="180">
        <f t="shared" si="10"/>
        <v>1121316</v>
      </c>
      <c r="B664" s="188" t="s">
        <v>13665</v>
      </c>
      <c r="C664" s="188" t="s">
        <v>13666</v>
      </c>
      <c r="D664" t="s">
        <v>13411</v>
      </c>
    </row>
    <row r="665" spans="1:4" x14ac:dyDescent="0.25">
      <c r="A665" s="180">
        <f t="shared" si="10"/>
        <v>1121317</v>
      </c>
      <c r="B665" s="188" t="s">
        <v>13667</v>
      </c>
      <c r="C665" s="188" t="s">
        <v>13668</v>
      </c>
      <c r="D665" t="s">
        <v>13411</v>
      </c>
    </row>
    <row r="666" spans="1:4" x14ac:dyDescent="0.25">
      <c r="A666" s="180">
        <f t="shared" si="10"/>
        <v>1121318</v>
      </c>
      <c r="B666" s="188" t="s">
        <v>13669</v>
      </c>
      <c r="C666" s="188" t="s">
        <v>13670</v>
      </c>
      <c r="D666" t="s">
        <v>13411</v>
      </c>
    </row>
    <row r="667" spans="1:4" x14ac:dyDescent="0.25">
      <c r="A667" s="180">
        <f t="shared" si="10"/>
        <v>1121323</v>
      </c>
      <c r="B667" s="188" t="s">
        <v>13671</v>
      </c>
      <c r="C667" s="188" t="s">
        <v>13672</v>
      </c>
      <c r="D667" t="s">
        <v>13411</v>
      </c>
    </row>
    <row r="668" spans="1:4" x14ac:dyDescent="0.25">
      <c r="A668" s="180">
        <f t="shared" si="10"/>
        <v>1121324</v>
      </c>
      <c r="B668" s="188" t="s">
        <v>13673</v>
      </c>
      <c r="C668" s="188" t="s">
        <v>13674</v>
      </c>
      <c r="D668" t="s">
        <v>13411</v>
      </c>
    </row>
    <row r="669" spans="1:4" x14ac:dyDescent="0.25">
      <c r="A669" s="180">
        <f t="shared" si="10"/>
        <v>1121325</v>
      </c>
      <c r="B669" s="188" t="s">
        <v>13675</v>
      </c>
      <c r="C669" s="188" t="s">
        <v>13676</v>
      </c>
      <c r="D669" t="s">
        <v>13411</v>
      </c>
    </row>
    <row r="670" spans="1:4" x14ac:dyDescent="0.25">
      <c r="A670" s="180">
        <f t="shared" si="10"/>
        <v>1121330</v>
      </c>
      <c r="B670" s="188" t="s">
        <v>13677</v>
      </c>
      <c r="C670" s="188" t="s">
        <v>13678</v>
      </c>
      <c r="D670" t="s">
        <v>13411</v>
      </c>
    </row>
    <row r="671" spans="1:4" x14ac:dyDescent="0.25">
      <c r="A671" s="180">
        <f t="shared" si="10"/>
        <v>1121331</v>
      </c>
      <c r="B671" s="188" t="s">
        <v>13679</v>
      </c>
      <c r="C671" s="188" t="s">
        <v>13680</v>
      </c>
      <c r="D671" t="s">
        <v>13411</v>
      </c>
    </row>
    <row r="672" spans="1:4" x14ac:dyDescent="0.25">
      <c r="A672" s="180">
        <f t="shared" si="10"/>
        <v>1121332</v>
      </c>
      <c r="B672" s="188" t="s">
        <v>13681</v>
      </c>
      <c r="C672" s="188" t="s">
        <v>13682</v>
      </c>
      <c r="D672" t="s">
        <v>13411</v>
      </c>
    </row>
    <row r="673" spans="1:4" x14ac:dyDescent="0.25">
      <c r="A673" s="180">
        <f t="shared" si="10"/>
        <v>1121333</v>
      </c>
      <c r="B673" s="188" t="s">
        <v>13683</v>
      </c>
      <c r="C673" s="188" t="s">
        <v>13684</v>
      </c>
      <c r="D673" t="s">
        <v>13411</v>
      </c>
    </row>
    <row r="674" spans="1:4" x14ac:dyDescent="0.25">
      <c r="A674" s="180">
        <f t="shared" si="10"/>
        <v>1121334</v>
      </c>
      <c r="B674" s="188" t="s">
        <v>13685</v>
      </c>
      <c r="C674" s="188" t="s">
        <v>13686</v>
      </c>
      <c r="D674" t="s">
        <v>13411</v>
      </c>
    </row>
    <row r="675" spans="1:4" x14ac:dyDescent="0.25">
      <c r="A675" s="180">
        <f t="shared" si="10"/>
        <v>1121335</v>
      </c>
      <c r="B675" s="188" t="s">
        <v>13687</v>
      </c>
      <c r="C675" s="188" t="s">
        <v>13688</v>
      </c>
      <c r="D675" t="s">
        <v>13411</v>
      </c>
    </row>
    <row r="676" spans="1:4" x14ac:dyDescent="0.25">
      <c r="A676" s="180">
        <f t="shared" si="10"/>
        <v>1121336</v>
      </c>
      <c r="B676" s="188" t="s">
        <v>13689</v>
      </c>
      <c r="C676" s="188" t="s">
        <v>13690</v>
      </c>
      <c r="D676" t="s">
        <v>13411</v>
      </c>
    </row>
    <row r="677" spans="1:4" x14ac:dyDescent="0.25">
      <c r="A677" s="180">
        <f t="shared" si="10"/>
        <v>1121367</v>
      </c>
      <c r="B677" s="188" t="s">
        <v>15031</v>
      </c>
      <c r="C677" s="188" t="s">
        <v>15032</v>
      </c>
      <c r="D677" t="s">
        <v>13411</v>
      </c>
    </row>
    <row r="678" spans="1:4" x14ac:dyDescent="0.25">
      <c r="A678" s="180">
        <f t="shared" si="10"/>
        <v>1121368</v>
      </c>
      <c r="B678" s="188" t="s">
        <v>15033</v>
      </c>
      <c r="C678" s="188" t="s">
        <v>15034</v>
      </c>
      <c r="D678" t="s">
        <v>13411</v>
      </c>
    </row>
    <row r="679" spans="1:4" x14ac:dyDescent="0.25">
      <c r="A679" s="180">
        <f t="shared" si="10"/>
        <v>1121369</v>
      </c>
      <c r="B679" s="188" t="s">
        <v>15035</v>
      </c>
      <c r="C679" s="188" t="s">
        <v>15036</v>
      </c>
      <c r="D679" t="s">
        <v>13411</v>
      </c>
    </row>
    <row r="680" spans="1:4" x14ac:dyDescent="0.25">
      <c r="A680" s="180">
        <f t="shared" si="10"/>
        <v>1121400</v>
      </c>
      <c r="B680" s="188" t="s">
        <v>13691</v>
      </c>
      <c r="C680" s="188" t="s">
        <v>13692</v>
      </c>
      <c r="D680" t="s">
        <v>13411</v>
      </c>
    </row>
    <row r="681" spans="1:4" x14ac:dyDescent="0.25">
      <c r="A681" s="180">
        <f t="shared" si="10"/>
        <v>1121401</v>
      </c>
      <c r="B681" s="188" t="s">
        <v>13693</v>
      </c>
      <c r="C681" s="188" t="s">
        <v>13694</v>
      </c>
      <c r="D681" t="s">
        <v>13411</v>
      </c>
    </row>
    <row r="682" spans="1:4" x14ac:dyDescent="0.25">
      <c r="A682" s="180">
        <f t="shared" si="10"/>
        <v>1121402</v>
      </c>
      <c r="B682" s="188" t="s">
        <v>13695</v>
      </c>
      <c r="C682" s="188" t="s">
        <v>13696</v>
      </c>
      <c r="D682" t="s">
        <v>13411</v>
      </c>
    </row>
    <row r="683" spans="1:4" x14ac:dyDescent="0.25">
      <c r="A683" s="180">
        <f t="shared" si="10"/>
        <v>1121433</v>
      </c>
      <c r="B683" s="188" t="s">
        <v>13697</v>
      </c>
      <c r="C683" s="188" t="s">
        <v>13698</v>
      </c>
      <c r="D683" t="s">
        <v>13411</v>
      </c>
    </row>
    <row r="684" spans="1:4" x14ac:dyDescent="0.25">
      <c r="A684" s="180">
        <f t="shared" si="10"/>
        <v>1121434</v>
      </c>
      <c r="B684" s="188" t="s">
        <v>13699</v>
      </c>
      <c r="C684" s="188" t="s">
        <v>13700</v>
      </c>
      <c r="D684" t="s">
        <v>13411</v>
      </c>
    </row>
    <row r="685" spans="1:4" x14ac:dyDescent="0.25">
      <c r="A685" s="180">
        <f t="shared" si="10"/>
        <v>1121441</v>
      </c>
      <c r="B685" s="188" t="s">
        <v>13701</v>
      </c>
      <c r="C685" s="188" t="s">
        <v>13702</v>
      </c>
      <c r="D685" t="s">
        <v>13411</v>
      </c>
    </row>
    <row r="686" spans="1:4" x14ac:dyDescent="0.25">
      <c r="A686" s="180">
        <f t="shared" si="10"/>
        <v>1121442</v>
      </c>
      <c r="B686" s="188" t="s">
        <v>13703</v>
      </c>
      <c r="C686" s="188" t="s">
        <v>13704</v>
      </c>
      <c r="D686" t="s">
        <v>13411</v>
      </c>
    </row>
    <row r="687" spans="1:4" x14ac:dyDescent="0.25">
      <c r="A687" s="180">
        <f t="shared" si="10"/>
        <v>1121443</v>
      </c>
      <c r="B687" s="188" t="s">
        <v>13705</v>
      </c>
      <c r="C687" s="188" t="s">
        <v>13706</v>
      </c>
      <c r="D687" t="s">
        <v>13411</v>
      </c>
    </row>
    <row r="688" spans="1:4" x14ac:dyDescent="0.25">
      <c r="A688" s="180">
        <f t="shared" si="10"/>
        <v>1121444</v>
      </c>
      <c r="B688" s="188" t="s">
        <v>13707</v>
      </c>
      <c r="C688" s="188" t="s">
        <v>13708</v>
      </c>
      <c r="D688" t="s">
        <v>13411</v>
      </c>
    </row>
    <row r="689" spans="1:4" x14ac:dyDescent="0.25">
      <c r="A689" s="180">
        <f t="shared" si="10"/>
        <v>1121445</v>
      </c>
      <c r="B689" s="188" t="s">
        <v>13709</v>
      </c>
      <c r="C689" s="188" t="s">
        <v>13710</v>
      </c>
      <c r="D689" t="s">
        <v>13411</v>
      </c>
    </row>
    <row r="690" spans="1:4" x14ac:dyDescent="0.25">
      <c r="A690" s="180">
        <f t="shared" si="10"/>
        <v>1121446</v>
      </c>
      <c r="B690" s="188" t="s">
        <v>13711</v>
      </c>
      <c r="C690" s="188" t="s">
        <v>13712</v>
      </c>
      <c r="D690" t="s">
        <v>13411</v>
      </c>
    </row>
    <row r="691" spans="1:4" x14ac:dyDescent="0.25">
      <c r="A691" s="180">
        <f t="shared" si="10"/>
        <v>1121462</v>
      </c>
      <c r="B691" s="188" t="s">
        <v>13713</v>
      </c>
      <c r="C691" s="188" t="s">
        <v>13714</v>
      </c>
      <c r="D691" t="s">
        <v>13411</v>
      </c>
    </row>
    <row r="692" spans="1:4" x14ac:dyDescent="0.25">
      <c r="A692" s="180">
        <f t="shared" si="10"/>
        <v>1121463</v>
      </c>
      <c r="B692" s="188" t="s">
        <v>13715</v>
      </c>
      <c r="C692" s="188" t="s">
        <v>13716</v>
      </c>
      <c r="D692" t="s">
        <v>13411</v>
      </c>
    </row>
    <row r="693" spans="1:4" x14ac:dyDescent="0.25">
      <c r="A693" s="180">
        <f t="shared" si="10"/>
        <v>1121464</v>
      </c>
      <c r="B693" s="188" t="s">
        <v>13717</v>
      </c>
      <c r="C693" s="188" t="s">
        <v>13718</v>
      </c>
      <c r="D693" t="s">
        <v>13411</v>
      </c>
    </row>
    <row r="694" spans="1:4" x14ac:dyDescent="0.25">
      <c r="A694" s="180">
        <f t="shared" si="10"/>
        <v>1121478</v>
      </c>
      <c r="B694" s="188" t="s">
        <v>13719</v>
      </c>
      <c r="C694" s="188" t="s">
        <v>13720</v>
      </c>
      <c r="D694" t="s">
        <v>13411</v>
      </c>
    </row>
    <row r="695" spans="1:4" x14ac:dyDescent="0.25">
      <c r="A695" s="180">
        <f t="shared" si="10"/>
        <v>1121479</v>
      </c>
      <c r="B695" s="188" t="s">
        <v>13721</v>
      </c>
      <c r="C695" s="188" t="s">
        <v>13722</v>
      </c>
      <c r="D695" t="s">
        <v>13411</v>
      </c>
    </row>
    <row r="696" spans="1:4" x14ac:dyDescent="0.25">
      <c r="A696" s="180">
        <f t="shared" si="10"/>
        <v>1121493</v>
      </c>
      <c r="B696" s="188" t="s">
        <v>13723</v>
      </c>
      <c r="C696" s="188" t="s">
        <v>13724</v>
      </c>
      <c r="D696" t="s">
        <v>13411</v>
      </c>
    </row>
    <row r="697" spans="1:4" x14ac:dyDescent="0.25">
      <c r="A697" s="180">
        <f t="shared" si="10"/>
        <v>1121496</v>
      </c>
      <c r="B697" s="188" t="s">
        <v>13725</v>
      </c>
      <c r="C697" s="188" t="s">
        <v>13726</v>
      </c>
      <c r="D697" t="s">
        <v>13411</v>
      </c>
    </row>
    <row r="698" spans="1:4" x14ac:dyDescent="0.25">
      <c r="A698" s="180">
        <f t="shared" si="10"/>
        <v>1121497</v>
      </c>
      <c r="B698" s="188" t="s">
        <v>13727</v>
      </c>
      <c r="C698" s="188" t="s">
        <v>13728</v>
      </c>
      <c r="D698" t="s">
        <v>13411</v>
      </c>
    </row>
    <row r="699" spans="1:4" x14ac:dyDescent="0.25">
      <c r="A699" s="180">
        <f t="shared" si="10"/>
        <v>1121498</v>
      </c>
      <c r="B699" s="188" t="s">
        <v>13729</v>
      </c>
      <c r="C699" s="188" t="s">
        <v>13730</v>
      </c>
      <c r="D699" t="s">
        <v>13411</v>
      </c>
    </row>
    <row r="700" spans="1:4" x14ac:dyDescent="0.25">
      <c r="A700" s="180">
        <f t="shared" si="10"/>
        <v>1121499</v>
      </c>
      <c r="B700" s="188" t="s">
        <v>13731</v>
      </c>
      <c r="C700" s="188" t="s">
        <v>13732</v>
      </c>
      <c r="D700" t="s">
        <v>13411</v>
      </c>
    </row>
    <row r="701" spans="1:4" x14ac:dyDescent="0.25">
      <c r="A701" s="180">
        <f t="shared" si="10"/>
        <v>1121512</v>
      </c>
      <c r="B701" s="188" t="s">
        <v>13733</v>
      </c>
      <c r="C701" s="188" t="s">
        <v>13734</v>
      </c>
      <c r="D701" t="s">
        <v>13411</v>
      </c>
    </row>
    <row r="702" spans="1:4" x14ac:dyDescent="0.25">
      <c r="A702" s="180">
        <f t="shared" si="10"/>
        <v>1121513</v>
      </c>
      <c r="B702" s="188" t="s">
        <v>13735</v>
      </c>
      <c r="C702" s="188" t="s">
        <v>13736</v>
      </c>
      <c r="D702" t="s">
        <v>13411</v>
      </c>
    </row>
    <row r="703" spans="1:4" x14ac:dyDescent="0.25">
      <c r="A703" s="180">
        <f t="shared" ref="A703:A766" si="11">IFERROR(B703*1,"")</f>
        <v>1121514</v>
      </c>
      <c r="B703" s="188" t="s">
        <v>13737</v>
      </c>
      <c r="C703" s="188" t="s">
        <v>13738</v>
      </c>
      <c r="D703" t="s">
        <v>13411</v>
      </c>
    </row>
    <row r="704" spans="1:4" x14ac:dyDescent="0.25">
      <c r="A704" s="180">
        <f t="shared" si="11"/>
        <v>1121600</v>
      </c>
      <c r="B704" s="188" t="s">
        <v>15037</v>
      </c>
      <c r="C704" s="188" t="s">
        <v>15038</v>
      </c>
      <c r="D704" t="s">
        <v>13411</v>
      </c>
    </row>
    <row r="705" spans="1:4" x14ac:dyDescent="0.25">
      <c r="A705" s="180">
        <f t="shared" si="11"/>
        <v>1121623</v>
      </c>
      <c r="B705" s="188" t="s">
        <v>13739</v>
      </c>
      <c r="C705" s="188" t="s">
        <v>13740</v>
      </c>
      <c r="D705" t="s">
        <v>13411</v>
      </c>
    </row>
    <row r="706" spans="1:4" x14ac:dyDescent="0.25">
      <c r="A706" s="180">
        <f t="shared" si="11"/>
        <v>1121624</v>
      </c>
      <c r="B706" s="188" t="s">
        <v>13741</v>
      </c>
      <c r="C706" s="188" t="s">
        <v>13742</v>
      </c>
      <c r="D706" t="s">
        <v>13411</v>
      </c>
    </row>
    <row r="707" spans="1:4" x14ac:dyDescent="0.25">
      <c r="A707" s="180">
        <f t="shared" si="11"/>
        <v>1121625</v>
      </c>
      <c r="B707" s="188" t="s">
        <v>13743</v>
      </c>
      <c r="C707" s="188" t="s">
        <v>13744</v>
      </c>
      <c r="D707" t="s">
        <v>13411</v>
      </c>
    </row>
    <row r="708" spans="1:4" x14ac:dyDescent="0.25">
      <c r="A708" s="180">
        <f t="shared" si="11"/>
        <v>1121626</v>
      </c>
      <c r="B708" s="188" t="s">
        <v>13745</v>
      </c>
      <c r="C708" s="188" t="s">
        <v>13746</v>
      </c>
      <c r="D708" t="s">
        <v>13411</v>
      </c>
    </row>
    <row r="709" spans="1:4" x14ac:dyDescent="0.25">
      <c r="A709" s="180">
        <f t="shared" si="11"/>
        <v>1121640</v>
      </c>
      <c r="B709" s="188" t="s">
        <v>13747</v>
      </c>
      <c r="C709" s="188" t="s">
        <v>13748</v>
      </c>
      <c r="D709" t="s">
        <v>13411</v>
      </c>
    </row>
    <row r="710" spans="1:4" x14ac:dyDescent="0.25">
      <c r="A710" s="180">
        <f t="shared" si="11"/>
        <v>1121641</v>
      </c>
      <c r="B710" s="188" t="s">
        <v>13749</v>
      </c>
      <c r="C710" s="188" t="s">
        <v>13750</v>
      </c>
      <c r="D710" t="s">
        <v>13411</v>
      </c>
    </row>
    <row r="711" spans="1:4" x14ac:dyDescent="0.25">
      <c r="A711" s="180">
        <f t="shared" si="11"/>
        <v>1121642</v>
      </c>
      <c r="B711" s="188" t="s">
        <v>13751</v>
      </c>
      <c r="C711" s="188" t="s">
        <v>13752</v>
      </c>
      <c r="D711" t="s">
        <v>13411</v>
      </c>
    </row>
    <row r="712" spans="1:4" x14ac:dyDescent="0.25">
      <c r="A712" s="180">
        <f t="shared" si="11"/>
        <v>1121643</v>
      </c>
      <c r="B712" s="188" t="s">
        <v>13753</v>
      </c>
      <c r="C712" s="188" t="s">
        <v>13754</v>
      </c>
      <c r="D712" t="s">
        <v>13411</v>
      </c>
    </row>
    <row r="713" spans="1:4" x14ac:dyDescent="0.25">
      <c r="A713" s="180">
        <f t="shared" si="11"/>
        <v>1121666</v>
      </c>
      <c r="B713" s="188" t="s">
        <v>13755</v>
      </c>
      <c r="C713" s="188" t="s">
        <v>13756</v>
      </c>
      <c r="D713" t="s">
        <v>13411</v>
      </c>
    </row>
    <row r="714" spans="1:4" x14ac:dyDescent="0.25">
      <c r="A714" s="180">
        <f t="shared" si="11"/>
        <v>1121667</v>
      </c>
      <c r="B714" s="188" t="s">
        <v>13757</v>
      </c>
      <c r="C714" s="188" t="s">
        <v>13758</v>
      </c>
      <c r="D714" t="s">
        <v>13411</v>
      </c>
    </row>
    <row r="715" spans="1:4" x14ac:dyDescent="0.25">
      <c r="A715" s="180">
        <f t="shared" si="11"/>
        <v>1121668</v>
      </c>
      <c r="B715" s="188" t="s">
        <v>13759</v>
      </c>
      <c r="C715" s="188" t="s">
        <v>13760</v>
      </c>
      <c r="D715" t="s">
        <v>13411</v>
      </c>
    </row>
    <row r="716" spans="1:4" x14ac:dyDescent="0.25">
      <c r="A716" s="180">
        <f t="shared" si="11"/>
        <v>1121669</v>
      </c>
      <c r="B716" s="188" t="s">
        <v>13761</v>
      </c>
      <c r="C716" s="188" t="s">
        <v>13762</v>
      </c>
      <c r="D716" t="s">
        <v>13411</v>
      </c>
    </row>
    <row r="717" spans="1:4" x14ac:dyDescent="0.25">
      <c r="A717" s="180">
        <f t="shared" si="11"/>
        <v>1121750</v>
      </c>
      <c r="B717" s="188" t="s">
        <v>13763</v>
      </c>
      <c r="C717" s="188" t="s">
        <v>13764</v>
      </c>
      <c r="D717" t="s">
        <v>13411</v>
      </c>
    </row>
    <row r="718" spans="1:4" x14ac:dyDescent="0.25">
      <c r="A718" s="180">
        <f t="shared" si="11"/>
        <v>1121751</v>
      </c>
      <c r="B718" s="188" t="s">
        <v>13765</v>
      </c>
      <c r="C718" s="188" t="s">
        <v>13766</v>
      </c>
      <c r="D718" t="s">
        <v>13411</v>
      </c>
    </row>
    <row r="719" spans="1:4" x14ac:dyDescent="0.25">
      <c r="A719" s="180">
        <f t="shared" si="11"/>
        <v>1121752</v>
      </c>
      <c r="B719" s="188" t="s">
        <v>13767</v>
      </c>
      <c r="C719" s="188" t="s">
        <v>13768</v>
      </c>
      <c r="D719" t="s">
        <v>13411</v>
      </c>
    </row>
    <row r="720" spans="1:4" x14ac:dyDescent="0.25">
      <c r="A720" s="180">
        <f t="shared" si="11"/>
        <v>1121753</v>
      </c>
      <c r="B720" s="188" t="s">
        <v>13769</v>
      </c>
      <c r="C720" s="188" t="s">
        <v>13770</v>
      </c>
      <c r="D720" t="s">
        <v>13411</v>
      </c>
    </row>
    <row r="721" spans="1:4" x14ac:dyDescent="0.25">
      <c r="A721" s="180">
        <f t="shared" si="11"/>
        <v>1121800</v>
      </c>
      <c r="B721" s="188" t="s">
        <v>13771</v>
      </c>
      <c r="C721" s="188" t="s">
        <v>13772</v>
      </c>
      <c r="D721" t="s">
        <v>13411</v>
      </c>
    </row>
    <row r="722" spans="1:4" x14ac:dyDescent="0.25">
      <c r="A722" s="180">
        <f t="shared" si="11"/>
        <v>1121801</v>
      </c>
      <c r="B722" s="188" t="s">
        <v>13773</v>
      </c>
      <c r="C722" s="188" t="s">
        <v>13774</v>
      </c>
      <c r="D722" t="s">
        <v>13411</v>
      </c>
    </row>
    <row r="723" spans="1:4" x14ac:dyDescent="0.25">
      <c r="A723" s="180">
        <f t="shared" si="11"/>
        <v>1121802</v>
      </c>
      <c r="B723" s="188" t="s">
        <v>13775</v>
      </c>
      <c r="C723" s="188" t="s">
        <v>13776</v>
      </c>
      <c r="D723" t="s">
        <v>13411</v>
      </c>
    </row>
    <row r="724" spans="1:4" x14ac:dyDescent="0.25">
      <c r="A724" s="180">
        <f t="shared" si="11"/>
        <v>1121803</v>
      </c>
      <c r="B724" s="188" t="s">
        <v>13777</v>
      </c>
      <c r="C724" s="188" t="s">
        <v>13778</v>
      </c>
      <c r="D724" t="s">
        <v>13411</v>
      </c>
    </row>
    <row r="725" spans="1:4" x14ac:dyDescent="0.25">
      <c r="A725" s="180">
        <f t="shared" si="11"/>
        <v>1121850</v>
      </c>
      <c r="B725" s="188" t="s">
        <v>13779</v>
      </c>
      <c r="C725" s="188" t="s">
        <v>13780</v>
      </c>
      <c r="D725" t="s">
        <v>13411</v>
      </c>
    </row>
    <row r="726" spans="1:4" x14ac:dyDescent="0.25">
      <c r="A726" s="180">
        <f t="shared" si="11"/>
        <v>1121851</v>
      </c>
      <c r="B726" s="188" t="s">
        <v>13781</v>
      </c>
      <c r="C726" s="188" t="s">
        <v>13782</v>
      </c>
      <c r="D726" t="s">
        <v>13411</v>
      </c>
    </row>
    <row r="727" spans="1:4" x14ac:dyDescent="0.25">
      <c r="A727" s="180">
        <f t="shared" si="11"/>
        <v>1121852</v>
      </c>
      <c r="B727" s="188" t="s">
        <v>13783</v>
      </c>
      <c r="C727" s="188" t="s">
        <v>13784</v>
      </c>
      <c r="D727" t="s">
        <v>13411</v>
      </c>
    </row>
    <row r="728" spans="1:4" x14ac:dyDescent="0.25">
      <c r="A728" s="180">
        <f t="shared" si="11"/>
        <v>1121853</v>
      </c>
      <c r="B728" s="188" t="s">
        <v>13785</v>
      </c>
      <c r="C728" s="188" t="s">
        <v>13786</v>
      </c>
      <c r="D728" t="s">
        <v>13411</v>
      </c>
    </row>
    <row r="729" spans="1:4" x14ac:dyDescent="0.25">
      <c r="A729" s="180">
        <f t="shared" si="11"/>
        <v>1121856</v>
      </c>
      <c r="B729" s="188" t="s">
        <v>13787</v>
      </c>
      <c r="C729" s="189" t="s">
        <v>13788</v>
      </c>
      <c r="D729" t="s">
        <v>13411</v>
      </c>
    </row>
    <row r="730" spans="1:4" x14ac:dyDescent="0.25">
      <c r="A730" s="180">
        <f t="shared" si="11"/>
        <v>1121857</v>
      </c>
      <c r="B730" s="188" t="s">
        <v>13789</v>
      </c>
      <c r="C730" s="188" t="s">
        <v>13790</v>
      </c>
      <c r="D730" t="s">
        <v>13411</v>
      </c>
    </row>
    <row r="731" spans="1:4" x14ac:dyDescent="0.25">
      <c r="A731" s="180">
        <f t="shared" si="11"/>
        <v>1121858</v>
      </c>
      <c r="B731" s="188" t="s">
        <v>13791</v>
      </c>
      <c r="C731" s="188" t="s">
        <v>13792</v>
      </c>
      <c r="D731" t="s">
        <v>13411</v>
      </c>
    </row>
    <row r="732" spans="1:4" x14ac:dyDescent="0.25">
      <c r="A732" s="180">
        <f t="shared" si="11"/>
        <v>1121859</v>
      </c>
      <c r="B732" s="188" t="s">
        <v>13793</v>
      </c>
      <c r="C732" s="188" t="s">
        <v>13794</v>
      </c>
      <c r="D732" t="s">
        <v>13411</v>
      </c>
    </row>
    <row r="733" spans="1:4" x14ac:dyDescent="0.25">
      <c r="A733" s="180">
        <f t="shared" si="11"/>
        <v>1121860</v>
      </c>
      <c r="B733" s="188" t="s">
        <v>13795</v>
      </c>
      <c r="C733" s="188" t="s">
        <v>13796</v>
      </c>
      <c r="D733" t="s">
        <v>13411</v>
      </c>
    </row>
    <row r="734" spans="1:4" x14ac:dyDescent="0.25">
      <c r="A734" s="180">
        <f t="shared" si="11"/>
        <v>1121861</v>
      </c>
      <c r="B734" s="188" t="s">
        <v>13797</v>
      </c>
      <c r="C734" s="188" t="s">
        <v>13798</v>
      </c>
      <c r="D734" t="s">
        <v>13411</v>
      </c>
    </row>
    <row r="735" spans="1:4" x14ac:dyDescent="0.25">
      <c r="A735" s="180">
        <f t="shared" si="11"/>
        <v>1121862</v>
      </c>
      <c r="B735" s="188" t="s">
        <v>13799</v>
      </c>
      <c r="C735" s="188" t="s">
        <v>13800</v>
      </c>
      <c r="D735" t="s">
        <v>13411</v>
      </c>
    </row>
    <row r="736" spans="1:4" x14ac:dyDescent="0.25">
      <c r="A736" s="180">
        <f t="shared" si="11"/>
        <v>1121863</v>
      </c>
      <c r="B736" s="188" t="s">
        <v>13801</v>
      </c>
      <c r="C736" s="188" t="s">
        <v>13802</v>
      </c>
      <c r="D736" t="s">
        <v>13411</v>
      </c>
    </row>
    <row r="737" spans="1:4" x14ac:dyDescent="0.25">
      <c r="A737" s="180">
        <f t="shared" si="11"/>
        <v>1121873</v>
      </c>
      <c r="B737" s="188" t="s">
        <v>13803</v>
      </c>
      <c r="C737" s="188" t="s">
        <v>13804</v>
      </c>
      <c r="D737" t="s">
        <v>13411</v>
      </c>
    </row>
    <row r="738" spans="1:4" x14ac:dyDescent="0.25">
      <c r="A738" s="180">
        <f t="shared" si="11"/>
        <v>1121875</v>
      </c>
      <c r="B738" s="188" t="s">
        <v>13805</v>
      </c>
      <c r="C738" s="188" t="s">
        <v>13806</v>
      </c>
      <c r="D738" t="s">
        <v>13411</v>
      </c>
    </row>
    <row r="739" spans="1:4" x14ac:dyDescent="0.25">
      <c r="A739" s="180">
        <f t="shared" si="11"/>
        <v>1121876</v>
      </c>
      <c r="B739" s="188" t="s">
        <v>13807</v>
      </c>
      <c r="C739" s="188" t="s">
        <v>13808</v>
      </c>
      <c r="D739" t="s">
        <v>13411</v>
      </c>
    </row>
    <row r="740" spans="1:4" x14ac:dyDescent="0.25">
      <c r="A740" s="180">
        <f t="shared" si="11"/>
        <v>1121877</v>
      </c>
      <c r="B740" s="188" t="s">
        <v>13809</v>
      </c>
      <c r="C740" s="188" t="s">
        <v>13810</v>
      </c>
      <c r="D740" t="s">
        <v>13411</v>
      </c>
    </row>
    <row r="741" spans="1:4" x14ac:dyDescent="0.25">
      <c r="A741" s="180">
        <f t="shared" si="11"/>
        <v>1121878</v>
      </c>
      <c r="B741" s="188" t="s">
        <v>15039</v>
      </c>
      <c r="C741" s="188" t="s">
        <v>15040</v>
      </c>
      <c r="D741" t="s">
        <v>13411</v>
      </c>
    </row>
    <row r="742" spans="1:4" x14ac:dyDescent="0.25">
      <c r="A742" s="180">
        <f t="shared" si="11"/>
        <v>1121879</v>
      </c>
      <c r="B742" s="188" t="s">
        <v>13811</v>
      </c>
      <c r="C742" s="188" t="s">
        <v>13812</v>
      </c>
      <c r="D742" t="s">
        <v>13411</v>
      </c>
    </row>
    <row r="743" spans="1:4" x14ac:dyDescent="0.25">
      <c r="A743" s="180">
        <f t="shared" si="11"/>
        <v>1121880</v>
      </c>
      <c r="B743" s="188" t="s">
        <v>15041</v>
      </c>
      <c r="C743" s="188" t="s">
        <v>15042</v>
      </c>
      <c r="D743" t="s">
        <v>13411</v>
      </c>
    </row>
    <row r="744" spans="1:4" x14ac:dyDescent="0.25">
      <c r="A744" s="180">
        <f t="shared" si="11"/>
        <v>1121881</v>
      </c>
      <c r="B744" s="188" t="s">
        <v>13813</v>
      </c>
      <c r="C744" s="189" t="s">
        <v>13814</v>
      </c>
      <c r="D744" t="s">
        <v>13411</v>
      </c>
    </row>
    <row r="745" spans="1:4" x14ac:dyDescent="0.25">
      <c r="A745" s="180">
        <f t="shared" si="11"/>
        <v>1121882</v>
      </c>
      <c r="B745" s="188" t="s">
        <v>13815</v>
      </c>
      <c r="C745" s="188" t="s">
        <v>13816</v>
      </c>
      <c r="D745" t="s">
        <v>13411</v>
      </c>
    </row>
    <row r="746" spans="1:4" x14ac:dyDescent="0.25">
      <c r="A746" s="180">
        <f t="shared" si="11"/>
        <v>1121887</v>
      </c>
      <c r="B746" s="188" t="s">
        <v>13817</v>
      </c>
      <c r="C746" s="188" t="s">
        <v>13818</v>
      </c>
      <c r="D746" t="s">
        <v>13411</v>
      </c>
    </row>
    <row r="747" spans="1:4" x14ac:dyDescent="0.25">
      <c r="A747" s="180">
        <f t="shared" si="11"/>
        <v>1121900</v>
      </c>
      <c r="B747" s="188" t="s">
        <v>13819</v>
      </c>
      <c r="C747" s="189" t="s">
        <v>13820</v>
      </c>
      <c r="D747" t="s">
        <v>13411</v>
      </c>
    </row>
    <row r="748" spans="1:4" x14ac:dyDescent="0.25">
      <c r="A748" s="180">
        <f t="shared" si="11"/>
        <v>1121901</v>
      </c>
      <c r="B748" s="188" t="s">
        <v>13821</v>
      </c>
      <c r="C748" s="189" t="s">
        <v>13822</v>
      </c>
      <c r="D748" t="s">
        <v>13411</v>
      </c>
    </row>
    <row r="749" spans="1:4" x14ac:dyDescent="0.25">
      <c r="A749" s="180">
        <f t="shared" si="11"/>
        <v>1121902</v>
      </c>
      <c r="B749" s="188" t="s">
        <v>13823</v>
      </c>
      <c r="C749" s="188" t="s">
        <v>13824</v>
      </c>
      <c r="D749" t="s">
        <v>13411</v>
      </c>
    </row>
    <row r="750" spans="1:4" x14ac:dyDescent="0.25">
      <c r="A750" s="180">
        <f t="shared" si="11"/>
        <v>1121903</v>
      </c>
      <c r="B750" s="188" t="s">
        <v>13825</v>
      </c>
      <c r="C750" s="189" t="s">
        <v>13826</v>
      </c>
      <c r="D750" t="s">
        <v>13411</v>
      </c>
    </row>
    <row r="751" spans="1:4" x14ac:dyDescent="0.25">
      <c r="A751" s="180">
        <f t="shared" si="11"/>
        <v>1121904</v>
      </c>
      <c r="B751" s="188" t="s">
        <v>13827</v>
      </c>
      <c r="C751" s="188" t="s">
        <v>13828</v>
      </c>
      <c r="D751" t="s">
        <v>13411</v>
      </c>
    </row>
    <row r="752" spans="1:4" x14ac:dyDescent="0.25">
      <c r="A752" s="180">
        <f t="shared" si="11"/>
        <v>1121940</v>
      </c>
      <c r="B752" s="188" t="s">
        <v>13829</v>
      </c>
      <c r="C752" s="189" t="s">
        <v>13830</v>
      </c>
      <c r="D752" t="s">
        <v>13411</v>
      </c>
    </row>
    <row r="753" spans="1:4" x14ac:dyDescent="0.25">
      <c r="A753" s="180">
        <f t="shared" si="11"/>
        <v>1121941</v>
      </c>
      <c r="B753" s="188" t="s">
        <v>13831</v>
      </c>
      <c r="C753" s="188" t="s">
        <v>13832</v>
      </c>
      <c r="D753" t="s">
        <v>13411</v>
      </c>
    </row>
    <row r="754" spans="1:4" x14ac:dyDescent="0.25">
      <c r="A754" s="180">
        <f t="shared" si="11"/>
        <v>1121942</v>
      </c>
      <c r="B754" s="188" t="s">
        <v>13833</v>
      </c>
      <c r="C754" s="189" t="s">
        <v>13834</v>
      </c>
      <c r="D754" t="s">
        <v>13411</v>
      </c>
    </row>
    <row r="755" spans="1:4" x14ac:dyDescent="0.25">
      <c r="A755" s="180">
        <f t="shared" si="11"/>
        <v>1121943</v>
      </c>
      <c r="B755" s="188" t="s">
        <v>13835</v>
      </c>
      <c r="C755" s="188" t="s">
        <v>13836</v>
      </c>
      <c r="D755" t="s">
        <v>13411</v>
      </c>
    </row>
    <row r="756" spans="1:4" x14ac:dyDescent="0.25">
      <c r="A756" s="180">
        <f t="shared" si="11"/>
        <v>1121946</v>
      </c>
      <c r="B756" s="188" t="s">
        <v>13837</v>
      </c>
      <c r="C756" s="189" t="s">
        <v>13838</v>
      </c>
      <c r="D756" t="s">
        <v>13411</v>
      </c>
    </row>
    <row r="757" spans="1:4" x14ac:dyDescent="0.25">
      <c r="A757" s="180">
        <f t="shared" si="11"/>
        <v>1121947</v>
      </c>
      <c r="B757" s="188" t="s">
        <v>13839</v>
      </c>
      <c r="C757" s="188" t="s">
        <v>13840</v>
      </c>
      <c r="D757" t="s">
        <v>13411</v>
      </c>
    </row>
    <row r="758" spans="1:4" x14ac:dyDescent="0.25">
      <c r="A758" s="180">
        <f t="shared" si="11"/>
        <v>1121948</v>
      </c>
      <c r="B758" s="188" t="s">
        <v>13841</v>
      </c>
      <c r="C758" s="189" t="s">
        <v>13842</v>
      </c>
      <c r="D758" t="s">
        <v>13411</v>
      </c>
    </row>
    <row r="759" spans="1:4" x14ac:dyDescent="0.25">
      <c r="A759" s="180">
        <f t="shared" si="11"/>
        <v>1121949</v>
      </c>
      <c r="B759" s="188" t="s">
        <v>13843</v>
      </c>
      <c r="C759" s="188" t="s">
        <v>13844</v>
      </c>
      <c r="D759" t="s">
        <v>13411</v>
      </c>
    </row>
    <row r="760" spans="1:4" x14ac:dyDescent="0.25">
      <c r="A760" s="180">
        <f t="shared" si="11"/>
        <v>1121950</v>
      </c>
      <c r="B760" s="188" t="s">
        <v>13845</v>
      </c>
      <c r="C760" s="189" t="s">
        <v>13846</v>
      </c>
      <c r="D760" t="s">
        <v>13411</v>
      </c>
    </row>
    <row r="761" spans="1:4" x14ac:dyDescent="0.25">
      <c r="A761" s="180">
        <f t="shared" si="11"/>
        <v>1121952</v>
      </c>
      <c r="B761" s="188" t="s">
        <v>13847</v>
      </c>
      <c r="C761" s="188" t="s">
        <v>13848</v>
      </c>
      <c r="D761" t="s">
        <v>13411</v>
      </c>
    </row>
    <row r="762" spans="1:4" x14ac:dyDescent="0.25">
      <c r="A762" s="180">
        <f t="shared" si="11"/>
        <v>1121953</v>
      </c>
      <c r="B762" s="188" t="s">
        <v>13849</v>
      </c>
      <c r="C762" s="189" t="s">
        <v>13850</v>
      </c>
      <c r="D762" t="s">
        <v>13411</v>
      </c>
    </row>
    <row r="763" spans="1:4" x14ac:dyDescent="0.25">
      <c r="A763" s="180">
        <f t="shared" si="11"/>
        <v>1121954</v>
      </c>
      <c r="B763" s="188" t="s">
        <v>13851</v>
      </c>
      <c r="C763" s="188" t="s">
        <v>13852</v>
      </c>
      <c r="D763" t="s">
        <v>13411</v>
      </c>
    </row>
    <row r="764" spans="1:4" x14ac:dyDescent="0.25">
      <c r="A764" s="180">
        <f t="shared" si="11"/>
        <v>1121977</v>
      </c>
      <c r="B764" s="188" t="s">
        <v>13853</v>
      </c>
      <c r="C764" s="189" t="s">
        <v>13854</v>
      </c>
      <c r="D764" t="s">
        <v>13411</v>
      </c>
    </row>
    <row r="765" spans="1:4" x14ac:dyDescent="0.25">
      <c r="A765" s="180">
        <f t="shared" si="11"/>
        <v>1121978</v>
      </c>
      <c r="B765" s="188" t="s">
        <v>13855</v>
      </c>
      <c r="C765" s="188" t="s">
        <v>13856</v>
      </c>
      <c r="D765" t="s">
        <v>13411</v>
      </c>
    </row>
    <row r="766" spans="1:4" x14ac:dyDescent="0.25">
      <c r="A766" s="180">
        <f t="shared" si="11"/>
        <v>1121979</v>
      </c>
      <c r="B766" s="188" t="s">
        <v>13857</v>
      </c>
      <c r="C766" s="189" t="s">
        <v>13858</v>
      </c>
      <c r="D766" t="s">
        <v>13411</v>
      </c>
    </row>
    <row r="767" spans="1:4" x14ac:dyDescent="0.25">
      <c r="A767" s="180">
        <f t="shared" ref="A767:A830" si="12">IFERROR(B767*1,"")</f>
        <v>1121980</v>
      </c>
      <c r="B767" s="188" t="s">
        <v>13859</v>
      </c>
      <c r="C767" s="188" t="s">
        <v>13860</v>
      </c>
      <c r="D767" t="s">
        <v>13411</v>
      </c>
    </row>
    <row r="768" spans="1:4" x14ac:dyDescent="0.25">
      <c r="A768" s="180">
        <f t="shared" si="12"/>
        <v>1123456</v>
      </c>
      <c r="B768" s="188" t="s">
        <v>868</v>
      </c>
      <c r="C768" s="189" t="s">
        <v>869</v>
      </c>
      <c r="D768" t="s">
        <v>13411</v>
      </c>
    </row>
    <row r="769" spans="1:4" x14ac:dyDescent="0.25">
      <c r="A769" s="180">
        <f t="shared" si="12"/>
        <v>1123457</v>
      </c>
      <c r="B769" s="188" t="s">
        <v>870</v>
      </c>
      <c r="C769" s="188" t="s">
        <v>871</v>
      </c>
      <c r="D769" t="s">
        <v>13411</v>
      </c>
    </row>
    <row r="770" spans="1:4" x14ac:dyDescent="0.25">
      <c r="A770" s="180">
        <f t="shared" si="12"/>
        <v>1123458</v>
      </c>
      <c r="B770" s="188" t="s">
        <v>872</v>
      </c>
      <c r="C770" s="189" t="s">
        <v>873</v>
      </c>
    </row>
    <row r="771" spans="1:4" x14ac:dyDescent="0.25">
      <c r="A771" s="180">
        <f t="shared" si="12"/>
        <v>1130000</v>
      </c>
      <c r="B771" s="188" t="s">
        <v>6836</v>
      </c>
      <c r="C771" s="188" t="s">
        <v>6837</v>
      </c>
      <c r="D771" t="s">
        <v>14909</v>
      </c>
    </row>
    <row r="772" spans="1:4" x14ac:dyDescent="0.25">
      <c r="A772" s="180">
        <f t="shared" si="12"/>
        <v>1130001</v>
      </c>
      <c r="B772" s="188" t="s">
        <v>874</v>
      </c>
      <c r="C772" s="188" t="s">
        <v>875</v>
      </c>
    </row>
    <row r="773" spans="1:4" x14ac:dyDescent="0.25">
      <c r="A773" s="180">
        <f t="shared" si="12"/>
        <v>1130002</v>
      </c>
      <c r="B773" s="188" t="s">
        <v>876</v>
      </c>
      <c r="C773" s="188" t="s">
        <v>877</v>
      </c>
      <c r="D773" t="s">
        <v>13411</v>
      </c>
    </row>
    <row r="774" spans="1:4" x14ac:dyDescent="0.25">
      <c r="A774" s="180">
        <f t="shared" si="12"/>
        <v>1130003</v>
      </c>
      <c r="B774" s="188" t="s">
        <v>878</v>
      </c>
      <c r="C774" s="188" t="s">
        <v>879</v>
      </c>
      <c r="D774" t="s">
        <v>13411</v>
      </c>
    </row>
    <row r="775" spans="1:4" x14ac:dyDescent="0.25">
      <c r="A775" s="180">
        <f t="shared" si="12"/>
        <v>1130008</v>
      </c>
      <c r="B775" s="188" t="s">
        <v>880</v>
      </c>
      <c r="C775" s="188" t="s">
        <v>881</v>
      </c>
      <c r="D775" t="s">
        <v>14909</v>
      </c>
    </row>
    <row r="776" spans="1:4" x14ac:dyDescent="0.25">
      <c r="A776" s="180">
        <f t="shared" si="12"/>
        <v>1130009</v>
      </c>
      <c r="B776" s="188" t="s">
        <v>882</v>
      </c>
      <c r="C776" s="188" t="s">
        <v>883</v>
      </c>
      <c r="D776" t="s">
        <v>14909</v>
      </c>
    </row>
    <row r="777" spans="1:4" x14ac:dyDescent="0.25">
      <c r="A777" s="180">
        <f t="shared" si="12"/>
        <v>1130226</v>
      </c>
      <c r="B777" s="188" t="s">
        <v>884</v>
      </c>
      <c r="C777" s="189" t="s">
        <v>885</v>
      </c>
      <c r="D777" t="s">
        <v>13411</v>
      </c>
    </row>
    <row r="778" spans="1:4" x14ac:dyDescent="0.25">
      <c r="A778" s="180">
        <f t="shared" si="12"/>
        <v>1130254</v>
      </c>
      <c r="B778" s="188" t="s">
        <v>886</v>
      </c>
      <c r="C778" s="188" t="s">
        <v>887</v>
      </c>
      <c r="D778" t="s">
        <v>14909</v>
      </c>
    </row>
    <row r="779" spans="1:4" x14ac:dyDescent="0.25">
      <c r="A779" s="180">
        <f t="shared" si="12"/>
        <v>1130255</v>
      </c>
      <c r="B779" s="188" t="s">
        <v>888</v>
      </c>
      <c r="C779" s="188" t="s">
        <v>889</v>
      </c>
      <c r="D779" t="s">
        <v>14909</v>
      </c>
    </row>
    <row r="780" spans="1:4" x14ac:dyDescent="0.25">
      <c r="A780" s="180">
        <f t="shared" si="12"/>
        <v>1130284</v>
      </c>
      <c r="B780" s="188" t="s">
        <v>890</v>
      </c>
      <c r="C780" s="188" t="s">
        <v>891</v>
      </c>
    </row>
    <row r="781" spans="1:4" x14ac:dyDescent="0.25">
      <c r="A781" s="180" t="str">
        <f t="shared" si="12"/>
        <v/>
      </c>
      <c r="B781" s="188" t="s">
        <v>13021</v>
      </c>
      <c r="C781" s="189"/>
    </row>
    <row r="782" spans="1:4" x14ac:dyDescent="0.25">
      <c r="A782" s="180">
        <f t="shared" si="12"/>
        <v>1130285</v>
      </c>
      <c r="B782" s="188" t="s">
        <v>892</v>
      </c>
      <c r="C782" s="188" t="s">
        <v>893</v>
      </c>
    </row>
    <row r="783" spans="1:4" x14ac:dyDescent="0.25">
      <c r="A783" s="180">
        <f t="shared" si="12"/>
        <v>1130495</v>
      </c>
      <c r="B783" s="188" t="s">
        <v>894</v>
      </c>
      <c r="C783" s="188" t="s">
        <v>895</v>
      </c>
      <c r="D783" t="s">
        <v>14909</v>
      </c>
    </row>
    <row r="784" spans="1:4" x14ac:dyDescent="0.25">
      <c r="A784" s="180">
        <f t="shared" si="12"/>
        <v>1130496</v>
      </c>
      <c r="B784" s="188" t="s">
        <v>896</v>
      </c>
      <c r="C784" s="188" t="s">
        <v>897</v>
      </c>
      <c r="D784" t="s">
        <v>14909</v>
      </c>
    </row>
    <row r="785" spans="1:4" x14ac:dyDescent="0.25">
      <c r="A785" s="180">
        <f t="shared" si="12"/>
        <v>1130549</v>
      </c>
      <c r="B785" s="188" t="s">
        <v>898</v>
      </c>
      <c r="C785" s="188" t="s">
        <v>899</v>
      </c>
      <c r="D785" t="s">
        <v>14909</v>
      </c>
    </row>
    <row r="786" spans="1:4" x14ac:dyDescent="0.25">
      <c r="A786" s="180">
        <f t="shared" si="12"/>
        <v>1130555</v>
      </c>
      <c r="B786" s="188" t="s">
        <v>900</v>
      </c>
      <c r="C786" s="188" t="s">
        <v>901</v>
      </c>
      <c r="D786" t="s">
        <v>13411</v>
      </c>
    </row>
    <row r="787" spans="1:4" x14ac:dyDescent="0.25">
      <c r="A787" s="180">
        <f t="shared" si="12"/>
        <v>1130713</v>
      </c>
      <c r="B787" s="188" t="s">
        <v>902</v>
      </c>
      <c r="C787" s="188" t="s">
        <v>903</v>
      </c>
      <c r="D787" t="s">
        <v>14909</v>
      </c>
    </row>
    <row r="788" spans="1:4" x14ac:dyDescent="0.25">
      <c r="A788" s="180">
        <f t="shared" si="12"/>
        <v>1130745</v>
      </c>
      <c r="B788" s="188" t="s">
        <v>904</v>
      </c>
      <c r="C788" s="189" t="s">
        <v>905</v>
      </c>
      <c r="D788" t="s">
        <v>14909</v>
      </c>
    </row>
    <row r="789" spans="1:4" x14ac:dyDescent="0.25">
      <c r="A789" s="180">
        <f t="shared" si="12"/>
        <v>1130750</v>
      </c>
      <c r="B789" s="188" t="s">
        <v>906</v>
      </c>
      <c r="C789" s="188" t="s">
        <v>907</v>
      </c>
      <c r="D789" t="s">
        <v>14909</v>
      </c>
    </row>
    <row r="790" spans="1:4" x14ac:dyDescent="0.25">
      <c r="A790" s="180">
        <f t="shared" si="12"/>
        <v>1130751</v>
      </c>
      <c r="B790" s="188" t="s">
        <v>908</v>
      </c>
      <c r="C790" s="188" t="s">
        <v>909</v>
      </c>
    </row>
    <row r="791" spans="1:4" x14ac:dyDescent="0.25">
      <c r="A791" s="180">
        <f t="shared" si="12"/>
        <v>1130894</v>
      </c>
      <c r="B791" s="188" t="s">
        <v>910</v>
      </c>
      <c r="C791" s="188" t="s">
        <v>911</v>
      </c>
    </row>
    <row r="792" spans="1:4" x14ac:dyDescent="0.25">
      <c r="A792" s="180">
        <f t="shared" si="12"/>
        <v>1130900</v>
      </c>
      <c r="B792" s="188" t="s">
        <v>912</v>
      </c>
      <c r="C792" s="188" t="s">
        <v>913</v>
      </c>
    </row>
    <row r="793" spans="1:4" x14ac:dyDescent="0.25">
      <c r="A793" s="180">
        <f t="shared" si="12"/>
        <v>1130965</v>
      </c>
      <c r="B793" s="188" t="s">
        <v>914</v>
      </c>
      <c r="C793" s="188" t="s">
        <v>915</v>
      </c>
    </row>
    <row r="794" spans="1:4" x14ac:dyDescent="0.25">
      <c r="A794" s="180">
        <f t="shared" si="12"/>
        <v>1140000</v>
      </c>
      <c r="B794" s="188" t="s">
        <v>916</v>
      </c>
      <c r="C794" s="188" t="s">
        <v>917</v>
      </c>
      <c r="D794" t="s">
        <v>13411</v>
      </c>
    </row>
    <row r="795" spans="1:4" x14ac:dyDescent="0.25">
      <c r="A795" s="180">
        <f t="shared" si="12"/>
        <v>1140001</v>
      </c>
      <c r="B795" s="188" t="s">
        <v>918</v>
      </c>
      <c r="C795" s="188" t="s">
        <v>919</v>
      </c>
      <c r="D795" t="s">
        <v>13411</v>
      </c>
    </row>
    <row r="796" spans="1:4" x14ac:dyDescent="0.25">
      <c r="A796" s="180" t="str">
        <f t="shared" si="12"/>
        <v/>
      </c>
      <c r="B796" s="188" t="s">
        <v>13022</v>
      </c>
      <c r="C796" s="188"/>
    </row>
    <row r="797" spans="1:4" x14ac:dyDescent="0.25">
      <c r="A797" s="180">
        <f t="shared" si="12"/>
        <v>1200001</v>
      </c>
      <c r="B797" s="188" t="s">
        <v>920</v>
      </c>
      <c r="C797" s="188" t="s">
        <v>921</v>
      </c>
      <c r="D797" t="s">
        <v>13411</v>
      </c>
    </row>
    <row r="798" spans="1:4" x14ac:dyDescent="0.25">
      <c r="A798" s="180" t="str">
        <f t="shared" si="12"/>
        <v/>
      </c>
      <c r="B798" s="188" t="s">
        <v>922</v>
      </c>
      <c r="C798" s="188" t="s">
        <v>923</v>
      </c>
    </row>
    <row r="799" spans="1:4" x14ac:dyDescent="0.25">
      <c r="A799" s="180" t="str">
        <f t="shared" si="12"/>
        <v/>
      </c>
      <c r="B799" s="188" t="s">
        <v>13023</v>
      </c>
      <c r="C799" s="188"/>
    </row>
    <row r="800" spans="1:4" x14ac:dyDescent="0.25">
      <c r="A800" s="180" t="str">
        <f t="shared" si="12"/>
        <v/>
      </c>
      <c r="B800" s="188" t="s">
        <v>13024</v>
      </c>
      <c r="C800" s="188"/>
    </row>
    <row r="801" spans="1:4" x14ac:dyDescent="0.25">
      <c r="A801" s="180">
        <f t="shared" si="12"/>
        <v>1200003</v>
      </c>
      <c r="B801" s="188" t="s">
        <v>924</v>
      </c>
      <c r="C801" s="188" t="s">
        <v>925</v>
      </c>
      <c r="D801" t="s">
        <v>13411</v>
      </c>
    </row>
    <row r="802" spans="1:4" x14ac:dyDescent="0.25">
      <c r="A802" s="180" t="str">
        <f t="shared" si="12"/>
        <v/>
      </c>
      <c r="B802" s="188" t="s">
        <v>13025</v>
      </c>
      <c r="C802" s="188"/>
    </row>
    <row r="803" spans="1:4" x14ac:dyDescent="0.25">
      <c r="A803" s="180">
        <f t="shared" si="12"/>
        <v>1200004</v>
      </c>
      <c r="B803" s="188" t="s">
        <v>926</v>
      </c>
      <c r="C803" s="188" t="s">
        <v>927</v>
      </c>
    </row>
    <row r="804" spans="1:4" x14ac:dyDescent="0.25">
      <c r="A804" s="180" t="str">
        <f t="shared" si="12"/>
        <v/>
      </c>
      <c r="B804" s="188" t="s">
        <v>13026</v>
      </c>
      <c r="C804" s="188"/>
    </row>
    <row r="805" spans="1:4" x14ac:dyDescent="0.25">
      <c r="A805" s="180">
        <f t="shared" si="12"/>
        <v>1200005</v>
      </c>
      <c r="B805" s="188" t="s">
        <v>928</v>
      </c>
      <c r="C805" s="188" t="s">
        <v>929</v>
      </c>
    </row>
    <row r="806" spans="1:4" x14ac:dyDescent="0.25">
      <c r="A806" s="180" t="str">
        <f t="shared" si="12"/>
        <v/>
      </c>
      <c r="B806" s="188" t="s">
        <v>13027</v>
      </c>
      <c r="C806" s="188"/>
    </row>
    <row r="807" spans="1:4" x14ac:dyDescent="0.25">
      <c r="A807" s="180">
        <f t="shared" si="12"/>
        <v>1200011</v>
      </c>
      <c r="B807" s="188" t="s">
        <v>930</v>
      </c>
      <c r="C807" s="188" t="s">
        <v>931</v>
      </c>
      <c r="D807" t="s">
        <v>13411</v>
      </c>
    </row>
    <row r="808" spans="1:4" x14ac:dyDescent="0.25">
      <c r="A808" s="180" t="str">
        <f t="shared" si="12"/>
        <v/>
      </c>
      <c r="B808" s="188" t="s">
        <v>13028</v>
      </c>
      <c r="C808" s="188"/>
    </row>
    <row r="809" spans="1:4" x14ac:dyDescent="0.25">
      <c r="A809" s="180">
        <f t="shared" si="12"/>
        <v>1200012</v>
      </c>
      <c r="B809" s="188" t="s">
        <v>932</v>
      </c>
      <c r="C809" s="188" t="s">
        <v>933</v>
      </c>
      <c r="D809" t="s">
        <v>13411</v>
      </c>
    </row>
    <row r="810" spans="1:4" x14ac:dyDescent="0.25">
      <c r="A810" s="180" t="str">
        <f t="shared" si="12"/>
        <v/>
      </c>
      <c r="B810" s="188" t="s">
        <v>13029</v>
      </c>
      <c r="C810" s="188"/>
    </row>
    <row r="811" spans="1:4" x14ac:dyDescent="0.25">
      <c r="A811" s="180">
        <f t="shared" si="12"/>
        <v>1200013</v>
      </c>
      <c r="B811" s="188" t="s">
        <v>934</v>
      </c>
      <c r="C811" s="188" t="s">
        <v>935</v>
      </c>
    </row>
    <row r="812" spans="1:4" x14ac:dyDescent="0.25">
      <c r="A812" s="180" t="str">
        <f t="shared" si="12"/>
        <v/>
      </c>
      <c r="B812" s="188" t="s">
        <v>13030</v>
      </c>
      <c r="C812" s="188"/>
    </row>
    <row r="813" spans="1:4" x14ac:dyDescent="0.25">
      <c r="A813" s="180">
        <f t="shared" si="12"/>
        <v>1200014</v>
      </c>
      <c r="B813" s="188" t="s">
        <v>936</v>
      </c>
      <c r="C813" s="188" t="s">
        <v>937</v>
      </c>
      <c r="D813" t="s">
        <v>13411</v>
      </c>
    </row>
    <row r="814" spans="1:4" x14ac:dyDescent="0.25">
      <c r="A814" s="180" t="str">
        <f t="shared" si="12"/>
        <v/>
      </c>
      <c r="B814" s="188" t="s">
        <v>13031</v>
      </c>
      <c r="C814" s="188"/>
    </row>
    <row r="815" spans="1:4" x14ac:dyDescent="0.25">
      <c r="A815" s="180">
        <f t="shared" si="12"/>
        <v>1200015</v>
      </c>
      <c r="B815" s="188" t="s">
        <v>938</v>
      </c>
      <c r="C815" s="188" t="s">
        <v>939</v>
      </c>
      <c r="D815" t="s">
        <v>13411</v>
      </c>
    </row>
    <row r="816" spans="1:4" x14ac:dyDescent="0.25">
      <c r="A816" s="180" t="str">
        <f t="shared" si="12"/>
        <v/>
      </c>
      <c r="B816" s="188" t="s">
        <v>13032</v>
      </c>
      <c r="C816" s="188"/>
    </row>
    <row r="817" spans="1:4" x14ac:dyDescent="0.25">
      <c r="A817" s="180">
        <f t="shared" si="12"/>
        <v>1200016</v>
      </c>
      <c r="B817" s="188" t="s">
        <v>940</v>
      </c>
      <c r="C817" s="188" t="s">
        <v>941</v>
      </c>
    </row>
    <row r="818" spans="1:4" x14ac:dyDescent="0.25">
      <c r="A818" s="180" t="str">
        <f t="shared" si="12"/>
        <v/>
      </c>
      <c r="B818" s="188" t="s">
        <v>13033</v>
      </c>
      <c r="C818" s="188"/>
    </row>
    <row r="819" spans="1:4" x14ac:dyDescent="0.25">
      <c r="A819" s="180">
        <f t="shared" si="12"/>
        <v>1200900</v>
      </c>
      <c r="B819" s="188" t="s">
        <v>942</v>
      </c>
      <c r="C819" s="188" t="s">
        <v>943</v>
      </c>
      <c r="D819" t="s">
        <v>13411</v>
      </c>
    </row>
    <row r="820" spans="1:4" x14ac:dyDescent="0.25">
      <c r="A820" s="180" t="str">
        <f t="shared" si="12"/>
        <v/>
      </c>
      <c r="B820" s="188" t="s">
        <v>13034</v>
      </c>
      <c r="C820" s="188"/>
    </row>
    <row r="821" spans="1:4" x14ac:dyDescent="0.25">
      <c r="A821" s="180">
        <f t="shared" si="12"/>
        <v>1200901</v>
      </c>
      <c r="B821" s="188" t="s">
        <v>944</v>
      </c>
      <c r="C821" s="188" t="s">
        <v>945</v>
      </c>
      <c r="D821" t="s">
        <v>13411</v>
      </c>
    </row>
    <row r="822" spans="1:4" x14ac:dyDescent="0.25">
      <c r="A822" s="180" t="str">
        <f t="shared" si="12"/>
        <v/>
      </c>
      <c r="B822" s="188" t="s">
        <v>13035</v>
      </c>
      <c r="C822" s="188"/>
    </row>
    <row r="823" spans="1:4" x14ac:dyDescent="0.25">
      <c r="A823" s="180">
        <f t="shared" si="12"/>
        <v>1213131</v>
      </c>
      <c r="B823" s="188" t="s">
        <v>946</v>
      </c>
      <c r="C823" s="188" t="s">
        <v>947</v>
      </c>
    </row>
    <row r="824" spans="1:4" x14ac:dyDescent="0.25">
      <c r="A824" s="180">
        <f t="shared" si="12"/>
        <v>123456789</v>
      </c>
      <c r="B824" s="188" t="s">
        <v>948</v>
      </c>
      <c r="C824" s="188" t="s">
        <v>948</v>
      </c>
    </row>
    <row r="825" spans="1:4" x14ac:dyDescent="0.25">
      <c r="A825" s="180">
        <f t="shared" si="12"/>
        <v>1407001</v>
      </c>
      <c r="B825" s="188" t="s">
        <v>949</v>
      </c>
      <c r="C825" s="188" t="s">
        <v>950</v>
      </c>
      <c r="D825" t="s">
        <v>13411</v>
      </c>
    </row>
    <row r="826" spans="1:4" x14ac:dyDescent="0.25">
      <c r="A826" s="180">
        <f t="shared" si="12"/>
        <v>1407093</v>
      </c>
      <c r="B826" s="188" t="s">
        <v>951</v>
      </c>
      <c r="C826" s="188" t="s">
        <v>952</v>
      </c>
      <c r="D826" t="s">
        <v>13411</v>
      </c>
    </row>
    <row r="827" spans="1:4" x14ac:dyDescent="0.25">
      <c r="A827" s="180">
        <f t="shared" si="12"/>
        <v>1407094</v>
      </c>
      <c r="B827" s="188" t="s">
        <v>953</v>
      </c>
      <c r="C827" s="188" t="s">
        <v>954</v>
      </c>
      <c r="D827" t="s">
        <v>13411</v>
      </c>
    </row>
    <row r="828" spans="1:4" x14ac:dyDescent="0.25">
      <c r="A828" s="180">
        <f t="shared" si="12"/>
        <v>1524057</v>
      </c>
      <c r="B828" s="188" t="s">
        <v>955</v>
      </c>
      <c r="C828" s="188" t="s">
        <v>956</v>
      </c>
    </row>
    <row r="829" spans="1:4" x14ac:dyDescent="0.25">
      <c r="A829" s="180" t="str">
        <f t="shared" si="12"/>
        <v/>
      </c>
      <c r="B829" s="188" t="s">
        <v>13036</v>
      </c>
      <c r="C829" s="188"/>
    </row>
    <row r="830" spans="1:4" x14ac:dyDescent="0.25">
      <c r="A830" s="180">
        <f t="shared" si="12"/>
        <v>1524058</v>
      </c>
      <c r="B830" s="188" t="s">
        <v>957</v>
      </c>
      <c r="C830" s="188" t="s">
        <v>958</v>
      </c>
    </row>
    <row r="831" spans="1:4" x14ac:dyDescent="0.25">
      <c r="A831" s="180">
        <f t="shared" ref="A831:A894" si="13">IFERROR(B831*1,"")</f>
        <v>1900100</v>
      </c>
      <c r="B831" s="188" t="s">
        <v>959</v>
      </c>
      <c r="C831" s="188" t="s">
        <v>960</v>
      </c>
    </row>
    <row r="832" spans="1:4" x14ac:dyDescent="0.25">
      <c r="A832" s="180" t="str">
        <f t="shared" si="13"/>
        <v/>
      </c>
      <c r="B832" s="188" t="s">
        <v>961</v>
      </c>
      <c r="C832" s="188" t="s">
        <v>962</v>
      </c>
    </row>
    <row r="833" spans="1:4" x14ac:dyDescent="0.25">
      <c r="A833" s="180" t="str">
        <f t="shared" si="13"/>
        <v/>
      </c>
      <c r="B833" s="188" t="s">
        <v>13037</v>
      </c>
      <c r="C833" s="188"/>
    </row>
    <row r="834" spans="1:4" x14ac:dyDescent="0.25">
      <c r="A834" s="180">
        <f t="shared" si="13"/>
        <v>2</v>
      </c>
      <c r="B834" s="188" t="s">
        <v>963</v>
      </c>
      <c r="C834" s="188" t="s">
        <v>964</v>
      </c>
    </row>
    <row r="835" spans="1:4" x14ac:dyDescent="0.25">
      <c r="A835" s="180">
        <f t="shared" si="13"/>
        <v>2000036</v>
      </c>
      <c r="B835" s="188" t="s">
        <v>965</v>
      </c>
      <c r="C835" s="188" t="s">
        <v>966</v>
      </c>
      <c r="D835" t="s">
        <v>13412</v>
      </c>
    </row>
    <row r="836" spans="1:4" x14ac:dyDescent="0.25">
      <c r="A836" s="180">
        <f t="shared" si="13"/>
        <v>2000258</v>
      </c>
      <c r="B836" s="188" t="s">
        <v>967</v>
      </c>
      <c r="C836" s="188" t="s">
        <v>968</v>
      </c>
      <c r="D836" t="s">
        <v>13412</v>
      </c>
    </row>
    <row r="837" spans="1:4" x14ac:dyDescent="0.25">
      <c r="A837" s="180">
        <f t="shared" si="13"/>
        <v>2000386</v>
      </c>
      <c r="B837" s="188" t="s">
        <v>969</v>
      </c>
      <c r="C837" s="188" t="s">
        <v>970</v>
      </c>
      <c r="D837" t="s">
        <v>13411</v>
      </c>
    </row>
    <row r="838" spans="1:4" x14ac:dyDescent="0.25">
      <c r="A838" s="180">
        <f t="shared" si="13"/>
        <v>2000387</v>
      </c>
      <c r="B838" s="188" t="s">
        <v>14209</v>
      </c>
      <c r="C838" s="188" t="s">
        <v>14210</v>
      </c>
      <c r="D838" t="s">
        <v>13411</v>
      </c>
    </row>
    <row r="839" spans="1:4" x14ac:dyDescent="0.25">
      <c r="A839" s="180">
        <f t="shared" si="13"/>
        <v>2000388</v>
      </c>
      <c r="B839" s="188" t="s">
        <v>14353</v>
      </c>
      <c r="C839" s="188" t="s">
        <v>14354</v>
      </c>
      <c r="D839" t="s">
        <v>13411</v>
      </c>
    </row>
    <row r="840" spans="1:4" x14ac:dyDescent="0.25">
      <c r="A840" s="180">
        <f t="shared" si="13"/>
        <v>2014109</v>
      </c>
      <c r="B840" s="188" t="s">
        <v>971</v>
      </c>
      <c r="C840" s="188" t="s">
        <v>972</v>
      </c>
    </row>
    <row r="841" spans="1:4" x14ac:dyDescent="0.25">
      <c r="A841" s="180">
        <f t="shared" si="13"/>
        <v>2101000</v>
      </c>
      <c r="B841" s="188" t="s">
        <v>973</v>
      </c>
      <c r="C841" s="188" t="s">
        <v>974</v>
      </c>
      <c r="D841" t="s">
        <v>14909</v>
      </c>
    </row>
    <row r="842" spans="1:4" x14ac:dyDescent="0.25">
      <c r="A842" s="180" t="str">
        <f t="shared" si="13"/>
        <v/>
      </c>
      <c r="B842" s="188" t="s">
        <v>13038</v>
      </c>
      <c r="C842" s="188"/>
    </row>
    <row r="843" spans="1:4" x14ac:dyDescent="0.25">
      <c r="A843" s="180">
        <f t="shared" si="13"/>
        <v>2101001</v>
      </c>
      <c r="B843" s="188" t="s">
        <v>975</v>
      </c>
      <c r="C843" s="188" t="s">
        <v>976</v>
      </c>
    </row>
    <row r="844" spans="1:4" x14ac:dyDescent="0.25">
      <c r="A844" s="180">
        <f t="shared" si="13"/>
        <v>2101002</v>
      </c>
      <c r="B844" s="188" t="s">
        <v>977</v>
      </c>
      <c r="C844" s="188" t="s">
        <v>978</v>
      </c>
      <c r="D844" t="s">
        <v>14909</v>
      </c>
    </row>
    <row r="845" spans="1:4" x14ac:dyDescent="0.25">
      <c r="A845" s="180">
        <f t="shared" si="13"/>
        <v>2101003</v>
      </c>
      <c r="B845" s="188" t="s">
        <v>979</v>
      </c>
      <c r="C845" s="188" t="s">
        <v>980</v>
      </c>
    </row>
    <row r="846" spans="1:4" x14ac:dyDescent="0.25">
      <c r="A846" s="180">
        <f t="shared" si="13"/>
        <v>2101004</v>
      </c>
      <c r="B846" s="188" t="s">
        <v>981</v>
      </c>
      <c r="C846" s="188" t="s">
        <v>982</v>
      </c>
      <c r="D846" t="s">
        <v>14909</v>
      </c>
    </row>
    <row r="847" spans="1:4" x14ac:dyDescent="0.25">
      <c r="A847" s="180">
        <f t="shared" si="13"/>
        <v>2101005</v>
      </c>
      <c r="B847" s="188" t="s">
        <v>983</v>
      </c>
      <c r="C847" s="188" t="s">
        <v>984</v>
      </c>
    </row>
    <row r="848" spans="1:4" x14ac:dyDescent="0.25">
      <c r="A848" s="180">
        <f t="shared" si="13"/>
        <v>2101006</v>
      </c>
      <c r="B848" s="188" t="s">
        <v>985</v>
      </c>
      <c r="C848" s="188" t="s">
        <v>12767</v>
      </c>
      <c r="D848" t="s">
        <v>14909</v>
      </c>
    </row>
    <row r="849" spans="1:4" x14ac:dyDescent="0.25">
      <c r="A849" s="180">
        <f t="shared" si="13"/>
        <v>2101007</v>
      </c>
      <c r="B849" s="188" t="s">
        <v>986</v>
      </c>
      <c r="C849" s="188" t="s">
        <v>987</v>
      </c>
    </row>
    <row r="850" spans="1:4" x14ac:dyDescent="0.25">
      <c r="A850" s="180">
        <f t="shared" si="13"/>
        <v>2101008</v>
      </c>
      <c r="B850" s="188" t="s">
        <v>988</v>
      </c>
      <c r="C850" s="188" t="s">
        <v>989</v>
      </c>
    </row>
    <row r="851" spans="1:4" x14ac:dyDescent="0.25">
      <c r="A851" s="180">
        <f t="shared" si="13"/>
        <v>2101009</v>
      </c>
      <c r="B851" s="188" t="s">
        <v>13861</v>
      </c>
      <c r="C851" s="188" t="s">
        <v>13862</v>
      </c>
      <c r="D851" t="s">
        <v>14909</v>
      </c>
    </row>
    <row r="852" spans="1:4" x14ac:dyDescent="0.25">
      <c r="A852" s="180">
        <f t="shared" si="13"/>
        <v>2101010</v>
      </c>
      <c r="B852" s="188" t="s">
        <v>990</v>
      </c>
      <c r="C852" s="188" t="s">
        <v>991</v>
      </c>
      <c r="D852" t="s">
        <v>14909</v>
      </c>
    </row>
    <row r="853" spans="1:4" x14ac:dyDescent="0.25">
      <c r="A853" s="180">
        <f t="shared" si="13"/>
        <v>2101011</v>
      </c>
      <c r="B853" s="188" t="s">
        <v>14355</v>
      </c>
      <c r="C853" s="188" t="s">
        <v>14356</v>
      </c>
      <c r="D853" t="s">
        <v>14909</v>
      </c>
    </row>
    <row r="854" spans="1:4" x14ac:dyDescent="0.25">
      <c r="A854" s="180">
        <f t="shared" si="13"/>
        <v>2101012</v>
      </c>
      <c r="B854" s="188" t="s">
        <v>14357</v>
      </c>
      <c r="C854" s="188" t="s">
        <v>14358</v>
      </c>
      <c r="D854" t="s">
        <v>14909</v>
      </c>
    </row>
    <row r="855" spans="1:4" x14ac:dyDescent="0.25">
      <c r="A855" s="180">
        <f t="shared" si="13"/>
        <v>2101013</v>
      </c>
      <c r="B855" s="188" t="s">
        <v>992</v>
      </c>
      <c r="C855" s="188" t="s">
        <v>993</v>
      </c>
    </row>
    <row r="856" spans="1:4" x14ac:dyDescent="0.25">
      <c r="A856" s="180">
        <f t="shared" si="13"/>
        <v>2101014</v>
      </c>
      <c r="B856" s="188" t="s">
        <v>994</v>
      </c>
      <c r="C856" s="188" t="s">
        <v>995</v>
      </c>
    </row>
    <row r="857" spans="1:4" x14ac:dyDescent="0.25">
      <c r="A857" s="180">
        <f t="shared" si="13"/>
        <v>2101015</v>
      </c>
      <c r="B857" s="188" t="s">
        <v>996</v>
      </c>
      <c r="C857" s="188" t="s">
        <v>997</v>
      </c>
    </row>
    <row r="858" spans="1:4" x14ac:dyDescent="0.25">
      <c r="A858" s="180">
        <f t="shared" si="13"/>
        <v>2101016</v>
      </c>
      <c r="B858" s="188" t="s">
        <v>998</v>
      </c>
      <c r="C858" s="188" t="s">
        <v>999</v>
      </c>
    </row>
    <row r="859" spans="1:4" x14ac:dyDescent="0.25">
      <c r="A859" s="180">
        <f t="shared" si="13"/>
        <v>2101017</v>
      </c>
      <c r="B859" s="188" t="s">
        <v>14359</v>
      </c>
      <c r="C859" s="188" t="s">
        <v>14360</v>
      </c>
      <c r="D859" t="s">
        <v>14909</v>
      </c>
    </row>
    <row r="860" spans="1:4" x14ac:dyDescent="0.25">
      <c r="A860" s="180">
        <f t="shared" si="13"/>
        <v>2101025</v>
      </c>
      <c r="B860" s="188" t="s">
        <v>15001</v>
      </c>
      <c r="C860" s="188" t="s">
        <v>15002</v>
      </c>
    </row>
    <row r="861" spans="1:4" x14ac:dyDescent="0.25">
      <c r="A861" s="180">
        <f t="shared" si="13"/>
        <v>2101026</v>
      </c>
      <c r="B861" s="188" t="s">
        <v>15043</v>
      </c>
      <c r="C861" s="188" t="s">
        <v>15044</v>
      </c>
    </row>
    <row r="862" spans="1:4" x14ac:dyDescent="0.25">
      <c r="A862" s="180">
        <f t="shared" si="13"/>
        <v>2101027</v>
      </c>
      <c r="B862" s="188" t="s">
        <v>13863</v>
      </c>
      <c r="C862" s="188" t="s">
        <v>13864</v>
      </c>
    </row>
    <row r="863" spans="1:4" x14ac:dyDescent="0.25">
      <c r="A863" s="180">
        <f t="shared" si="13"/>
        <v>2101054</v>
      </c>
      <c r="B863" s="188" t="s">
        <v>13989</v>
      </c>
      <c r="C863" s="188" t="s">
        <v>13990</v>
      </c>
      <c r="D863" t="s">
        <v>14909</v>
      </c>
    </row>
    <row r="864" spans="1:4" x14ac:dyDescent="0.25">
      <c r="A864" s="180">
        <f t="shared" si="13"/>
        <v>2101060</v>
      </c>
      <c r="B864" s="188" t="s">
        <v>1000</v>
      </c>
      <c r="C864" s="188" t="s">
        <v>1001</v>
      </c>
    </row>
    <row r="865" spans="1:4" x14ac:dyDescent="0.25">
      <c r="A865" s="180">
        <f t="shared" si="13"/>
        <v>2101070</v>
      </c>
      <c r="B865" s="188" t="s">
        <v>14921</v>
      </c>
      <c r="C865" s="188" t="s">
        <v>14922</v>
      </c>
      <c r="D865" t="s">
        <v>14909</v>
      </c>
    </row>
    <row r="866" spans="1:4" x14ac:dyDescent="0.25">
      <c r="A866" s="180">
        <f t="shared" si="13"/>
        <v>2101071</v>
      </c>
      <c r="B866" s="188" t="s">
        <v>14923</v>
      </c>
      <c r="C866" s="188" t="s">
        <v>14924</v>
      </c>
    </row>
    <row r="867" spans="1:4" x14ac:dyDescent="0.25">
      <c r="A867" s="180">
        <f t="shared" si="13"/>
        <v>2101098</v>
      </c>
      <c r="B867" s="188" t="s">
        <v>1002</v>
      </c>
      <c r="C867" s="188" t="s">
        <v>1003</v>
      </c>
    </row>
    <row r="868" spans="1:4" x14ac:dyDescent="0.25">
      <c r="A868" s="180">
        <f t="shared" si="13"/>
        <v>2101099</v>
      </c>
      <c r="B868" s="188" t="s">
        <v>13991</v>
      </c>
      <c r="C868" s="188" t="s">
        <v>13992</v>
      </c>
    </row>
    <row r="869" spans="1:4" x14ac:dyDescent="0.25">
      <c r="A869" s="180">
        <f t="shared" si="13"/>
        <v>2101100</v>
      </c>
      <c r="B869" s="188" t="s">
        <v>1004</v>
      </c>
      <c r="C869" s="188" t="s">
        <v>1005</v>
      </c>
      <c r="D869" t="s">
        <v>14909</v>
      </c>
    </row>
    <row r="870" spans="1:4" x14ac:dyDescent="0.25">
      <c r="A870" s="180">
        <f t="shared" si="13"/>
        <v>2101101</v>
      </c>
      <c r="B870" s="188" t="s">
        <v>1006</v>
      </c>
      <c r="C870" s="188" t="s">
        <v>1007</v>
      </c>
      <c r="D870" t="s">
        <v>14909</v>
      </c>
    </row>
    <row r="871" spans="1:4" x14ac:dyDescent="0.25">
      <c r="A871" s="180">
        <f t="shared" si="13"/>
        <v>2101102</v>
      </c>
      <c r="B871" s="188" t="s">
        <v>1008</v>
      </c>
      <c r="C871" s="188" t="s">
        <v>13417</v>
      </c>
    </row>
    <row r="872" spans="1:4" x14ac:dyDescent="0.25">
      <c r="A872" s="180">
        <f t="shared" si="13"/>
        <v>2101103</v>
      </c>
      <c r="B872" s="188" t="s">
        <v>1009</v>
      </c>
      <c r="C872" s="188" t="s">
        <v>1010</v>
      </c>
      <c r="D872" t="s">
        <v>14909</v>
      </c>
    </row>
    <row r="873" spans="1:4" x14ac:dyDescent="0.25">
      <c r="A873" s="180">
        <f t="shared" si="13"/>
        <v>2101105</v>
      </c>
      <c r="B873" s="188" t="s">
        <v>1011</v>
      </c>
      <c r="C873" s="188" t="s">
        <v>1012</v>
      </c>
      <c r="D873" t="s">
        <v>14909</v>
      </c>
    </row>
    <row r="874" spans="1:4" x14ac:dyDescent="0.25">
      <c r="A874" s="180">
        <f t="shared" si="13"/>
        <v>2101106</v>
      </c>
      <c r="B874" s="188" t="s">
        <v>1013</v>
      </c>
      <c r="C874" s="188" t="s">
        <v>1014</v>
      </c>
      <c r="D874" t="s">
        <v>14909</v>
      </c>
    </row>
    <row r="875" spans="1:4" x14ac:dyDescent="0.25">
      <c r="A875" s="180">
        <f t="shared" si="13"/>
        <v>2101108</v>
      </c>
      <c r="B875" s="188" t="s">
        <v>13418</v>
      </c>
      <c r="C875" s="188" t="s">
        <v>13419</v>
      </c>
      <c r="D875" t="s">
        <v>13412</v>
      </c>
    </row>
    <row r="876" spans="1:4" x14ac:dyDescent="0.25">
      <c r="A876" s="180">
        <f t="shared" si="13"/>
        <v>2101109</v>
      </c>
      <c r="B876" s="188" t="s">
        <v>13420</v>
      </c>
      <c r="C876" s="188" t="s">
        <v>13421</v>
      </c>
      <c r="D876" t="s">
        <v>13412</v>
      </c>
    </row>
    <row r="877" spans="1:4" x14ac:dyDescent="0.25">
      <c r="A877" s="180">
        <f t="shared" si="13"/>
        <v>2101110</v>
      </c>
      <c r="B877" s="188" t="s">
        <v>1015</v>
      </c>
      <c r="C877" s="188" t="s">
        <v>1016</v>
      </c>
      <c r="D877" t="s">
        <v>14909</v>
      </c>
    </row>
    <row r="878" spans="1:4" x14ac:dyDescent="0.25">
      <c r="A878" s="180">
        <f t="shared" si="13"/>
        <v>2101111</v>
      </c>
      <c r="B878" s="188" t="s">
        <v>1017</v>
      </c>
      <c r="C878" s="188" t="s">
        <v>14090</v>
      </c>
      <c r="D878" t="s">
        <v>14909</v>
      </c>
    </row>
    <row r="879" spans="1:4" x14ac:dyDescent="0.25">
      <c r="A879" s="180">
        <f t="shared" si="13"/>
        <v>2101113</v>
      </c>
      <c r="B879" s="188" t="s">
        <v>1018</v>
      </c>
      <c r="C879" s="188" t="s">
        <v>1019</v>
      </c>
      <c r="D879" t="s">
        <v>14909</v>
      </c>
    </row>
    <row r="880" spans="1:4" x14ac:dyDescent="0.25">
      <c r="A880" s="180">
        <f t="shared" si="13"/>
        <v>2101114</v>
      </c>
      <c r="B880" s="188" t="s">
        <v>1020</v>
      </c>
      <c r="C880" s="188" t="s">
        <v>1021</v>
      </c>
    </row>
    <row r="881" spans="1:4" x14ac:dyDescent="0.25">
      <c r="A881" s="180">
        <f t="shared" si="13"/>
        <v>2101115</v>
      </c>
      <c r="B881" s="188" t="s">
        <v>1022</v>
      </c>
      <c r="C881" s="188" t="s">
        <v>1023</v>
      </c>
      <c r="D881" t="s">
        <v>14909</v>
      </c>
    </row>
    <row r="882" spans="1:4" x14ac:dyDescent="0.25">
      <c r="A882" s="180">
        <f t="shared" si="13"/>
        <v>2101116</v>
      </c>
      <c r="B882" s="188" t="s">
        <v>1024</v>
      </c>
      <c r="C882" s="188" t="s">
        <v>1025</v>
      </c>
    </row>
    <row r="883" spans="1:4" x14ac:dyDescent="0.25">
      <c r="A883" s="180">
        <f t="shared" si="13"/>
        <v>2101117</v>
      </c>
      <c r="B883" s="188" t="s">
        <v>1026</v>
      </c>
      <c r="C883" s="188" t="s">
        <v>1027</v>
      </c>
    </row>
    <row r="884" spans="1:4" x14ac:dyDescent="0.25">
      <c r="A884" s="180">
        <f t="shared" si="13"/>
        <v>2101118</v>
      </c>
      <c r="B884" s="188" t="s">
        <v>14211</v>
      </c>
      <c r="C884" s="188" t="s">
        <v>14212</v>
      </c>
      <c r="D884" t="s">
        <v>14909</v>
      </c>
    </row>
    <row r="885" spans="1:4" x14ac:dyDescent="0.25">
      <c r="A885" s="180">
        <f t="shared" si="13"/>
        <v>2101119</v>
      </c>
      <c r="B885" s="188" t="s">
        <v>14213</v>
      </c>
      <c r="C885" s="188" t="s">
        <v>14214</v>
      </c>
      <c r="D885" t="s">
        <v>14909</v>
      </c>
    </row>
    <row r="886" spans="1:4" x14ac:dyDescent="0.25">
      <c r="A886" s="180">
        <f t="shared" si="13"/>
        <v>2101120</v>
      </c>
      <c r="B886" s="188" t="s">
        <v>13865</v>
      </c>
      <c r="C886" s="188" t="s">
        <v>13866</v>
      </c>
      <c r="D886" t="s">
        <v>14909</v>
      </c>
    </row>
    <row r="887" spans="1:4" x14ac:dyDescent="0.25">
      <c r="A887" s="180">
        <f t="shared" si="13"/>
        <v>2101121</v>
      </c>
      <c r="B887" s="188" t="s">
        <v>13867</v>
      </c>
      <c r="C887" s="188" t="s">
        <v>13868</v>
      </c>
      <c r="D887" t="s">
        <v>14909</v>
      </c>
    </row>
    <row r="888" spans="1:4" x14ac:dyDescent="0.25">
      <c r="A888" s="180">
        <f t="shared" si="13"/>
        <v>2101122</v>
      </c>
      <c r="B888" s="188" t="s">
        <v>14215</v>
      </c>
      <c r="C888" s="188" t="s">
        <v>14216</v>
      </c>
      <c r="D888" t="s">
        <v>14925</v>
      </c>
    </row>
    <row r="889" spans="1:4" x14ac:dyDescent="0.25">
      <c r="A889" s="180">
        <f t="shared" si="13"/>
        <v>2101123</v>
      </c>
      <c r="B889" s="188" t="s">
        <v>14217</v>
      </c>
      <c r="C889" s="188" t="s">
        <v>14218</v>
      </c>
      <c r="D889" t="s">
        <v>14925</v>
      </c>
    </row>
    <row r="890" spans="1:4" x14ac:dyDescent="0.25">
      <c r="A890" s="180">
        <f t="shared" si="13"/>
        <v>2101124</v>
      </c>
      <c r="B890" s="188" t="s">
        <v>14219</v>
      </c>
      <c r="C890" s="188" t="s">
        <v>14220</v>
      </c>
      <c r="D890" t="s">
        <v>14925</v>
      </c>
    </row>
    <row r="891" spans="1:4" x14ac:dyDescent="0.25">
      <c r="A891" s="180">
        <f t="shared" si="13"/>
        <v>2101125</v>
      </c>
      <c r="B891" s="188" t="s">
        <v>14221</v>
      </c>
      <c r="C891" s="188" t="s">
        <v>14222</v>
      </c>
      <c r="D891" t="s">
        <v>14925</v>
      </c>
    </row>
    <row r="892" spans="1:4" x14ac:dyDescent="0.25">
      <c r="A892" s="180">
        <f t="shared" si="13"/>
        <v>2101158</v>
      </c>
      <c r="B892" s="188" t="s">
        <v>1028</v>
      </c>
      <c r="C892" s="188" t="s">
        <v>14877</v>
      </c>
      <c r="D892" t="s">
        <v>14909</v>
      </c>
    </row>
    <row r="893" spans="1:4" x14ac:dyDescent="0.25">
      <c r="A893" s="180">
        <f t="shared" si="13"/>
        <v>2101200</v>
      </c>
      <c r="B893" s="188" t="s">
        <v>1029</v>
      </c>
      <c r="C893" s="188" t="s">
        <v>1030</v>
      </c>
      <c r="D893" t="s">
        <v>14909</v>
      </c>
    </row>
    <row r="894" spans="1:4" x14ac:dyDescent="0.25">
      <c r="A894" s="180">
        <f t="shared" si="13"/>
        <v>2101201</v>
      </c>
      <c r="B894" s="188" t="s">
        <v>1031</v>
      </c>
      <c r="C894" s="188" t="s">
        <v>1032</v>
      </c>
    </row>
    <row r="895" spans="1:4" x14ac:dyDescent="0.25">
      <c r="A895" s="180">
        <f t="shared" ref="A895:A958" si="14">IFERROR(B895*1,"")</f>
        <v>2101202</v>
      </c>
      <c r="B895" s="188" t="s">
        <v>1033</v>
      </c>
      <c r="C895" s="188" t="s">
        <v>1034</v>
      </c>
      <c r="D895" t="s">
        <v>14909</v>
      </c>
    </row>
    <row r="896" spans="1:4" x14ac:dyDescent="0.25">
      <c r="A896" s="180">
        <f t="shared" si="14"/>
        <v>2101203</v>
      </c>
      <c r="B896" s="188" t="s">
        <v>1035</v>
      </c>
      <c r="C896" s="188" t="s">
        <v>1036</v>
      </c>
      <c r="D896" t="s">
        <v>14909</v>
      </c>
    </row>
    <row r="897" spans="1:4" x14ac:dyDescent="0.25">
      <c r="A897" s="180">
        <f t="shared" si="14"/>
        <v>2101207</v>
      </c>
      <c r="B897" s="188" t="s">
        <v>14361</v>
      </c>
      <c r="C897" s="188" t="s">
        <v>14362</v>
      </c>
      <c r="D897" t="s">
        <v>14909</v>
      </c>
    </row>
    <row r="898" spans="1:4" x14ac:dyDescent="0.25">
      <c r="A898" s="180">
        <f t="shared" si="14"/>
        <v>2101251</v>
      </c>
      <c r="B898" s="188" t="s">
        <v>1038</v>
      </c>
      <c r="C898" s="188" t="s">
        <v>1039</v>
      </c>
      <c r="D898" t="s">
        <v>14909</v>
      </c>
    </row>
    <row r="899" spans="1:4" x14ac:dyDescent="0.25">
      <c r="A899" s="180">
        <f t="shared" si="14"/>
        <v>2101300</v>
      </c>
      <c r="B899" s="188" t="s">
        <v>1040</v>
      </c>
      <c r="C899" s="188" t="s">
        <v>1041</v>
      </c>
      <c r="D899" t="s">
        <v>14909</v>
      </c>
    </row>
    <row r="900" spans="1:4" x14ac:dyDescent="0.25">
      <c r="A900" s="180">
        <f t="shared" si="14"/>
        <v>2101301</v>
      </c>
      <c r="B900" s="188" t="s">
        <v>1042</v>
      </c>
      <c r="C900" s="188" t="s">
        <v>1043</v>
      </c>
      <c r="D900" t="s">
        <v>14909</v>
      </c>
    </row>
    <row r="901" spans="1:4" x14ac:dyDescent="0.25">
      <c r="A901" s="180">
        <f t="shared" si="14"/>
        <v>2101302</v>
      </c>
      <c r="B901" s="188" t="s">
        <v>13422</v>
      </c>
      <c r="C901" s="188" t="s">
        <v>13423</v>
      </c>
      <c r="D901" t="s">
        <v>14909</v>
      </c>
    </row>
    <row r="902" spans="1:4" x14ac:dyDescent="0.25">
      <c r="A902" s="180">
        <f t="shared" si="14"/>
        <v>2101303</v>
      </c>
      <c r="B902" s="188" t="s">
        <v>13424</v>
      </c>
      <c r="C902" s="188" t="s">
        <v>13425</v>
      </c>
      <c r="D902" t="s">
        <v>14909</v>
      </c>
    </row>
    <row r="903" spans="1:4" x14ac:dyDescent="0.25">
      <c r="A903" s="180">
        <f t="shared" si="14"/>
        <v>2101321</v>
      </c>
      <c r="B903" s="188" t="s">
        <v>1044</v>
      </c>
      <c r="C903" s="188" t="s">
        <v>1045</v>
      </c>
      <c r="D903" t="s">
        <v>14909</v>
      </c>
    </row>
    <row r="904" spans="1:4" x14ac:dyDescent="0.25">
      <c r="A904" s="180">
        <f t="shared" si="14"/>
        <v>2101333</v>
      </c>
      <c r="B904" s="188" t="s">
        <v>1046</v>
      </c>
      <c r="C904" s="188" t="s">
        <v>1047</v>
      </c>
    </row>
    <row r="905" spans="1:4" x14ac:dyDescent="0.25">
      <c r="A905" s="180">
        <f t="shared" si="14"/>
        <v>2101350</v>
      </c>
      <c r="B905" s="188" t="s">
        <v>1048</v>
      </c>
      <c r="C905" s="188" t="s">
        <v>1049</v>
      </c>
      <c r="D905" t="s">
        <v>14909</v>
      </c>
    </row>
    <row r="906" spans="1:4" x14ac:dyDescent="0.25">
      <c r="A906" s="180">
        <f t="shared" si="14"/>
        <v>2101351</v>
      </c>
      <c r="B906" s="188" t="s">
        <v>1050</v>
      </c>
      <c r="C906" s="188" t="s">
        <v>1051</v>
      </c>
      <c r="D906" t="s">
        <v>14909</v>
      </c>
    </row>
    <row r="907" spans="1:4" x14ac:dyDescent="0.25">
      <c r="A907" s="180">
        <f t="shared" si="14"/>
        <v>2101369</v>
      </c>
      <c r="B907" s="188" t="s">
        <v>1052</v>
      </c>
      <c r="C907" s="188" t="s">
        <v>1053</v>
      </c>
    </row>
    <row r="908" spans="1:4" x14ac:dyDescent="0.25">
      <c r="A908" s="180">
        <f t="shared" si="14"/>
        <v>2101395</v>
      </c>
      <c r="B908" s="188" t="s">
        <v>1054</v>
      </c>
      <c r="C908" s="188" t="s">
        <v>1055</v>
      </c>
      <c r="D908" t="s">
        <v>14909</v>
      </c>
    </row>
    <row r="909" spans="1:4" x14ac:dyDescent="0.25">
      <c r="A909" s="180">
        <f t="shared" si="14"/>
        <v>2101396</v>
      </c>
      <c r="B909" s="188" t="s">
        <v>1056</v>
      </c>
      <c r="C909" s="188" t="s">
        <v>1057</v>
      </c>
    </row>
    <row r="910" spans="1:4" x14ac:dyDescent="0.25">
      <c r="A910" s="180">
        <f t="shared" si="14"/>
        <v>2101397</v>
      </c>
      <c r="B910" s="188" t="s">
        <v>1058</v>
      </c>
      <c r="C910" s="188" t="s">
        <v>1059</v>
      </c>
    </row>
    <row r="911" spans="1:4" x14ac:dyDescent="0.25">
      <c r="A911" s="180">
        <f t="shared" si="14"/>
        <v>2101400</v>
      </c>
      <c r="B911" s="188" t="s">
        <v>13256</v>
      </c>
      <c r="C911" s="188" t="s">
        <v>13257</v>
      </c>
      <c r="D911" t="s">
        <v>14909</v>
      </c>
    </row>
    <row r="912" spans="1:4" x14ac:dyDescent="0.25">
      <c r="A912" s="180">
        <f t="shared" si="14"/>
        <v>2101401</v>
      </c>
      <c r="B912" s="188" t="s">
        <v>13258</v>
      </c>
      <c r="C912" s="188" t="s">
        <v>13259</v>
      </c>
    </row>
    <row r="913" spans="1:4" x14ac:dyDescent="0.25">
      <c r="A913" s="180">
        <f t="shared" si="14"/>
        <v>2101493</v>
      </c>
      <c r="B913" s="188" t="s">
        <v>1060</v>
      </c>
      <c r="C913" s="188" t="s">
        <v>1061</v>
      </c>
      <c r="D913" t="s">
        <v>14909</v>
      </c>
    </row>
    <row r="914" spans="1:4" x14ac:dyDescent="0.25">
      <c r="A914" s="180">
        <f t="shared" si="14"/>
        <v>2101494</v>
      </c>
      <c r="B914" s="188" t="s">
        <v>1062</v>
      </c>
      <c r="C914" s="188" t="s">
        <v>1063</v>
      </c>
    </row>
    <row r="915" spans="1:4" x14ac:dyDescent="0.25">
      <c r="A915" s="180">
        <f t="shared" si="14"/>
        <v>2101495</v>
      </c>
      <c r="B915" s="188" t="s">
        <v>1064</v>
      </c>
      <c r="C915" s="188" t="s">
        <v>1065</v>
      </c>
      <c r="D915" t="s">
        <v>14909</v>
      </c>
    </row>
    <row r="916" spans="1:4" x14ac:dyDescent="0.25">
      <c r="A916" s="180">
        <f t="shared" si="14"/>
        <v>2101496</v>
      </c>
      <c r="B916" s="188" t="s">
        <v>1066</v>
      </c>
      <c r="C916" s="188" t="s">
        <v>1067</v>
      </c>
      <c r="D916" t="s">
        <v>14909</v>
      </c>
    </row>
    <row r="917" spans="1:4" x14ac:dyDescent="0.25">
      <c r="A917" s="180">
        <f t="shared" si="14"/>
        <v>2101497</v>
      </c>
      <c r="B917" s="188" t="s">
        <v>1068</v>
      </c>
      <c r="C917" s="188" t="s">
        <v>1069</v>
      </c>
    </row>
    <row r="918" spans="1:4" x14ac:dyDescent="0.25">
      <c r="A918" s="180">
        <f t="shared" si="14"/>
        <v>2101498</v>
      </c>
      <c r="B918" s="188" t="s">
        <v>12768</v>
      </c>
      <c r="C918" s="188" t="s">
        <v>12769</v>
      </c>
    </row>
    <row r="919" spans="1:4" x14ac:dyDescent="0.25">
      <c r="A919" s="180">
        <f t="shared" si="14"/>
        <v>2101499</v>
      </c>
      <c r="B919" s="188" t="s">
        <v>1070</v>
      </c>
      <c r="C919" s="188" t="s">
        <v>1071</v>
      </c>
      <c r="D919" t="s">
        <v>14909</v>
      </c>
    </row>
    <row r="920" spans="1:4" x14ac:dyDescent="0.25">
      <c r="A920" s="180">
        <f t="shared" si="14"/>
        <v>2101500</v>
      </c>
      <c r="B920" s="188" t="s">
        <v>1072</v>
      </c>
      <c r="C920" s="188" t="s">
        <v>1073</v>
      </c>
      <c r="D920" t="s">
        <v>14909</v>
      </c>
    </row>
    <row r="921" spans="1:4" x14ac:dyDescent="0.25">
      <c r="A921" s="180">
        <f t="shared" si="14"/>
        <v>2101501</v>
      </c>
      <c r="B921" s="188" t="s">
        <v>1074</v>
      </c>
      <c r="C921" s="189" t="s">
        <v>1075</v>
      </c>
    </row>
    <row r="922" spans="1:4" x14ac:dyDescent="0.25">
      <c r="A922" s="180">
        <f t="shared" si="14"/>
        <v>2101502</v>
      </c>
      <c r="B922" s="188" t="s">
        <v>13426</v>
      </c>
      <c r="C922" s="188" t="s">
        <v>13427</v>
      </c>
      <c r="D922" t="s">
        <v>14909</v>
      </c>
    </row>
    <row r="923" spans="1:4" x14ac:dyDescent="0.25">
      <c r="A923" s="180">
        <f t="shared" si="14"/>
        <v>2101503</v>
      </c>
      <c r="B923" s="188" t="s">
        <v>13428</v>
      </c>
      <c r="C923" s="188" t="s">
        <v>13429</v>
      </c>
      <c r="D923" t="s">
        <v>14909</v>
      </c>
    </row>
    <row r="924" spans="1:4" x14ac:dyDescent="0.25">
      <c r="A924" s="180">
        <f t="shared" si="14"/>
        <v>2101510</v>
      </c>
      <c r="B924" s="188" t="s">
        <v>13040</v>
      </c>
      <c r="C924" s="188" t="s">
        <v>13041</v>
      </c>
      <c r="D924" t="s">
        <v>14909</v>
      </c>
    </row>
    <row r="925" spans="1:4" x14ac:dyDescent="0.25">
      <c r="A925" s="180">
        <f t="shared" si="14"/>
        <v>2101520</v>
      </c>
      <c r="B925" s="188" t="s">
        <v>13260</v>
      </c>
      <c r="C925" s="188" t="s">
        <v>13430</v>
      </c>
      <c r="D925" t="s">
        <v>14909</v>
      </c>
    </row>
    <row r="926" spans="1:4" x14ac:dyDescent="0.25">
      <c r="A926" s="180">
        <f t="shared" si="14"/>
        <v>2101521</v>
      </c>
      <c r="B926" s="188" t="s">
        <v>13261</v>
      </c>
      <c r="C926" s="188" t="s">
        <v>13431</v>
      </c>
    </row>
    <row r="927" spans="1:4" x14ac:dyDescent="0.25">
      <c r="A927" s="180">
        <f t="shared" si="14"/>
        <v>2101530</v>
      </c>
      <c r="B927" s="188" t="s">
        <v>13262</v>
      </c>
      <c r="C927" s="188" t="s">
        <v>13263</v>
      </c>
      <c r="D927" t="s">
        <v>14909</v>
      </c>
    </row>
    <row r="928" spans="1:4" x14ac:dyDescent="0.25">
      <c r="A928" s="180">
        <f t="shared" si="14"/>
        <v>2101531</v>
      </c>
      <c r="B928" s="188" t="s">
        <v>13264</v>
      </c>
      <c r="C928" s="188" t="s">
        <v>13265</v>
      </c>
      <c r="D928" t="s">
        <v>14909</v>
      </c>
    </row>
    <row r="929" spans="1:4" x14ac:dyDescent="0.25">
      <c r="A929" s="180">
        <f t="shared" si="14"/>
        <v>2101532</v>
      </c>
      <c r="B929" s="188" t="s">
        <v>13869</v>
      </c>
      <c r="C929" s="188" t="s">
        <v>13870</v>
      </c>
      <c r="D929" t="s">
        <v>14909</v>
      </c>
    </row>
    <row r="930" spans="1:4" x14ac:dyDescent="0.25">
      <c r="A930" s="180">
        <f t="shared" si="14"/>
        <v>2101533</v>
      </c>
      <c r="B930" s="188" t="s">
        <v>13871</v>
      </c>
      <c r="C930" s="188" t="s">
        <v>13872</v>
      </c>
      <c r="D930" t="s">
        <v>14909</v>
      </c>
    </row>
    <row r="931" spans="1:4" x14ac:dyDescent="0.25">
      <c r="A931" s="180">
        <f t="shared" si="14"/>
        <v>2101550</v>
      </c>
      <c r="B931" s="188" t="s">
        <v>1076</v>
      </c>
      <c r="C931" s="188" t="s">
        <v>1077</v>
      </c>
      <c r="D931" t="s">
        <v>14909</v>
      </c>
    </row>
    <row r="932" spans="1:4" x14ac:dyDescent="0.25">
      <c r="A932" s="180">
        <f t="shared" si="14"/>
        <v>2101551</v>
      </c>
      <c r="B932" s="188" t="s">
        <v>1078</v>
      </c>
      <c r="C932" s="188" t="s">
        <v>1079</v>
      </c>
      <c r="D932" t="s">
        <v>14909</v>
      </c>
    </row>
    <row r="933" spans="1:4" x14ac:dyDescent="0.25">
      <c r="A933" s="180">
        <f t="shared" si="14"/>
        <v>2101552</v>
      </c>
      <c r="B933" s="188" t="s">
        <v>1080</v>
      </c>
      <c r="C933" s="188" t="s">
        <v>1081</v>
      </c>
      <c r="D933" t="s">
        <v>14909</v>
      </c>
    </row>
    <row r="934" spans="1:4" x14ac:dyDescent="0.25">
      <c r="A934" s="180">
        <f t="shared" si="14"/>
        <v>2101553</v>
      </c>
      <c r="B934" s="188" t="s">
        <v>1082</v>
      </c>
      <c r="C934" s="188" t="s">
        <v>1083</v>
      </c>
    </row>
    <row r="935" spans="1:4" x14ac:dyDescent="0.25">
      <c r="A935" s="180">
        <f t="shared" si="14"/>
        <v>2101555</v>
      </c>
      <c r="B935" s="188" t="s">
        <v>1084</v>
      </c>
      <c r="C935" s="188" t="s">
        <v>1085</v>
      </c>
      <c r="D935" t="s">
        <v>14909</v>
      </c>
    </row>
    <row r="936" spans="1:4" x14ac:dyDescent="0.25">
      <c r="A936" s="180">
        <f t="shared" si="14"/>
        <v>2101556</v>
      </c>
      <c r="B936" s="188" t="s">
        <v>1086</v>
      </c>
      <c r="C936" s="188" t="s">
        <v>1087</v>
      </c>
      <c r="D936" t="s">
        <v>14909</v>
      </c>
    </row>
    <row r="937" spans="1:4" x14ac:dyDescent="0.25">
      <c r="A937" s="180">
        <f t="shared" si="14"/>
        <v>2101557</v>
      </c>
      <c r="B937" s="188" t="s">
        <v>1088</v>
      </c>
      <c r="C937" s="188" t="s">
        <v>1089</v>
      </c>
    </row>
    <row r="938" spans="1:4" x14ac:dyDescent="0.25">
      <c r="A938" s="180">
        <f t="shared" si="14"/>
        <v>2101558</v>
      </c>
      <c r="B938" s="188" t="s">
        <v>1090</v>
      </c>
      <c r="C938" s="188" t="s">
        <v>1091</v>
      </c>
    </row>
    <row r="939" spans="1:4" x14ac:dyDescent="0.25">
      <c r="A939" s="180">
        <f t="shared" si="14"/>
        <v>2101559</v>
      </c>
      <c r="B939" s="188" t="s">
        <v>1092</v>
      </c>
      <c r="C939" s="188" t="s">
        <v>1093</v>
      </c>
    </row>
    <row r="940" spans="1:4" x14ac:dyDescent="0.25">
      <c r="A940" s="180">
        <f t="shared" si="14"/>
        <v>2101560</v>
      </c>
      <c r="B940" s="188" t="s">
        <v>1094</v>
      </c>
      <c r="C940" s="188" t="s">
        <v>1095</v>
      </c>
    </row>
    <row r="941" spans="1:4" x14ac:dyDescent="0.25">
      <c r="A941" s="180">
        <f t="shared" si="14"/>
        <v>2101561</v>
      </c>
      <c r="B941" s="188" t="s">
        <v>6838</v>
      </c>
      <c r="C941" s="188" t="s">
        <v>6839</v>
      </c>
      <c r="D941" t="s">
        <v>14909</v>
      </c>
    </row>
    <row r="942" spans="1:4" x14ac:dyDescent="0.25">
      <c r="A942" s="180">
        <f t="shared" si="14"/>
        <v>2101562</v>
      </c>
      <c r="B942" s="188" t="s">
        <v>6840</v>
      </c>
      <c r="C942" s="188" t="s">
        <v>12642</v>
      </c>
      <c r="D942" t="s">
        <v>14909</v>
      </c>
    </row>
    <row r="943" spans="1:4" x14ac:dyDescent="0.25">
      <c r="A943" s="180">
        <f t="shared" si="14"/>
        <v>2101563</v>
      </c>
      <c r="B943" s="188" t="s">
        <v>6841</v>
      </c>
      <c r="C943" s="188" t="s">
        <v>6842</v>
      </c>
      <c r="D943" t="s">
        <v>14909</v>
      </c>
    </row>
    <row r="944" spans="1:4" x14ac:dyDescent="0.25">
      <c r="A944" s="180">
        <f t="shared" si="14"/>
        <v>2101564</v>
      </c>
      <c r="B944" s="188" t="s">
        <v>6843</v>
      </c>
      <c r="C944" s="188" t="s">
        <v>6844</v>
      </c>
    </row>
    <row r="945" spans="1:4" x14ac:dyDescent="0.25">
      <c r="A945" s="180">
        <f t="shared" si="14"/>
        <v>2101565</v>
      </c>
      <c r="B945" s="188" t="s">
        <v>6845</v>
      </c>
      <c r="C945" s="188" t="s">
        <v>6846</v>
      </c>
      <c r="D945" t="s">
        <v>14909</v>
      </c>
    </row>
    <row r="946" spans="1:4" x14ac:dyDescent="0.25">
      <c r="A946" s="180">
        <f t="shared" si="14"/>
        <v>2101566</v>
      </c>
      <c r="B946" s="188" t="s">
        <v>6847</v>
      </c>
      <c r="C946" s="188" t="s">
        <v>6848</v>
      </c>
      <c r="D946" t="s">
        <v>14909</v>
      </c>
    </row>
    <row r="947" spans="1:4" x14ac:dyDescent="0.25">
      <c r="A947" s="180">
        <f t="shared" si="14"/>
        <v>2101567</v>
      </c>
      <c r="B947" s="188" t="s">
        <v>6849</v>
      </c>
      <c r="C947" s="188" t="s">
        <v>6850</v>
      </c>
      <c r="D947" t="s">
        <v>14909</v>
      </c>
    </row>
    <row r="948" spans="1:4" x14ac:dyDescent="0.25">
      <c r="A948" s="180">
        <f t="shared" si="14"/>
        <v>2101568</v>
      </c>
      <c r="B948" s="188" t="s">
        <v>6851</v>
      </c>
      <c r="C948" s="188" t="s">
        <v>6852</v>
      </c>
      <c r="D948" t="s">
        <v>14909</v>
      </c>
    </row>
    <row r="949" spans="1:4" x14ac:dyDescent="0.25">
      <c r="A949" s="180">
        <f t="shared" si="14"/>
        <v>2101569</v>
      </c>
      <c r="B949" s="188" t="s">
        <v>13042</v>
      </c>
      <c r="C949" s="188" t="s">
        <v>13043</v>
      </c>
      <c r="D949" t="s">
        <v>14909</v>
      </c>
    </row>
    <row r="950" spans="1:4" x14ac:dyDescent="0.25">
      <c r="A950" s="180">
        <f t="shared" si="14"/>
        <v>2101570</v>
      </c>
      <c r="B950" s="188" t="s">
        <v>13044</v>
      </c>
      <c r="C950" s="188" t="s">
        <v>13045</v>
      </c>
      <c r="D950" t="s">
        <v>14909</v>
      </c>
    </row>
    <row r="951" spans="1:4" x14ac:dyDescent="0.25">
      <c r="A951" s="180">
        <f t="shared" si="14"/>
        <v>2101580</v>
      </c>
      <c r="B951" s="188" t="s">
        <v>1096</v>
      </c>
      <c r="C951" s="188" t="s">
        <v>1097</v>
      </c>
      <c r="D951" t="s">
        <v>14909</v>
      </c>
    </row>
    <row r="952" spans="1:4" x14ac:dyDescent="0.25">
      <c r="A952" s="180">
        <f t="shared" si="14"/>
        <v>2101600</v>
      </c>
      <c r="B952" s="188" t="s">
        <v>1098</v>
      </c>
      <c r="C952" s="188" t="s">
        <v>1099</v>
      </c>
    </row>
    <row r="953" spans="1:4" x14ac:dyDescent="0.25">
      <c r="A953" s="180">
        <f t="shared" si="14"/>
        <v>2101601</v>
      </c>
      <c r="B953" s="188" t="s">
        <v>1100</v>
      </c>
      <c r="C953" s="188" t="s">
        <v>1101</v>
      </c>
    </row>
    <row r="954" spans="1:4" x14ac:dyDescent="0.25">
      <c r="A954" s="180">
        <f t="shared" si="14"/>
        <v>2101602</v>
      </c>
      <c r="B954" s="188" t="s">
        <v>1102</v>
      </c>
      <c r="C954" s="188" t="s">
        <v>1103</v>
      </c>
    </row>
    <row r="955" spans="1:4" x14ac:dyDescent="0.25">
      <c r="A955" s="180">
        <f t="shared" si="14"/>
        <v>2101603</v>
      </c>
      <c r="B955" s="188" t="s">
        <v>1104</v>
      </c>
      <c r="C955" s="188" t="s">
        <v>1105</v>
      </c>
    </row>
    <row r="956" spans="1:4" x14ac:dyDescent="0.25">
      <c r="A956" s="180">
        <f t="shared" si="14"/>
        <v>2101604</v>
      </c>
      <c r="B956" s="188" t="s">
        <v>1106</v>
      </c>
      <c r="C956" s="188" t="s">
        <v>1107</v>
      </c>
      <c r="D956" t="s">
        <v>13411</v>
      </c>
    </row>
    <row r="957" spans="1:4" x14ac:dyDescent="0.25">
      <c r="A957" s="180">
        <f t="shared" si="14"/>
        <v>2101605</v>
      </c>
      <c r="B957" s="188" t="s">
        <v>1108</v>
      </c>
      <c r="C957" s="188" t="s">
        <v>1109</v>
      </c>
    </row>
    <row r="958" spans="1:4" x14ac:dyDescent="0.25">
      <c r="A958" s="180">
        <f t="shared" si="14"/>
        <v>2101650</v>
      </c>
      <c r="B958" s="188" t="s">
        <v>1110</v>
      </c>
      <c r="C958" s="188" t="s">
        <v>6853</v>
      </c>
      <c r="D958" t="s">
        <v>14909</v>
      </c>
    </row>
    <row r="959" spans="1:4" x14ac:dyDescent="0.25">
      <c r="A959" s="180">
        <f t="shared" ref="A959:A1022" si="15">IFERROR(B959*1,"")</f>
        <v>2101651</v>
      </c>
      <c r="B959" s="188" t="s">
        <v>1111</v>
      </c>
      <c r="C959" s="188" t="s">
        <v>6854</v>
      </c>
      <c r="D959" t="s">
        <v>14909</v>
      </c>
    </row>
    <row r="960" spans="1:4" x14ac:dyDescent="0.25">
      <c r="A960" s="180">
        <f t="shared" si="15"/>
        <v>2101657</v>
      </c>
      <c r="B960" s="188" t="s">
        <v>1112</v>
      </c>
      <c r="C960" s="188" t="s">
        <v>14363</v>
      </c>
    </row>
    <row r="961" spans="1:4" x14ac:dyDescent="0.25">
      <c r="A961" s="180">
        <f t="shared" si="15"/>
        <v>2101658</v>
      </c>
      <c r="B961" s="188" t="s">
        <v>1113</v>
      </c>
      <c r="C961" s="188" t="s">
        <v>14364</v>
      </c>
    </row>
    <row r="962" spans="1:4" x14ac:dyDescent="0.25">
      <c r="A962" s="180">
        <f t="shared" si="15"/>
        <v>2101666</v>
      </c>
      <c r="B962" s="188" t="s">
        <v>1114</v>
      </c>
      <c r="C962" s="188" t="s">
        <v>1115</v>
      </c>
      <c r="D962" t="s">
        <v>14909</v>
      </c>
    </row>
    <row r="963" spans="1:4" x14ac:dyDescent="0.25">
      <c r="A963" s="180">
        <f t="shared" si="15"/>
        <v>2101741</v>
      </c>
      <c r="B963" s="188" t="s">
        <v>1116</v>
      </c>
      <c r="C963" s="188" t="s">
        <v>1117</v>
      </c>
      <c r="D963" t="s">
        <v>14909</v>
      </c>
    </row>
    <row r="964" spans="1:4" x14ac:dyDescent="0.25">
      <c r="A964" s="180">
        <f t="shared" si="15"/>
        <v>2101742</v>
      </c>
      <c r="B964" s="188" t="s">
        <v>1118</v>
      </c>
      <c r="C964" s="188" t="s">
        <v>1119</v>
      </c>
      <c r="D964" t="s">
        <v>14909</v>
      </c>
    </row>
    <row r="965" spans="1:4" x14ac:dyDescent="0.25">
      <c r="A965" s="180">
        <f t="shared" si="15"/>
        <v>2101743</v>
      </c>
      <c r="B965" s="188" t="s">
        <v>1120</v>
      </c>
      <c r="C965" s="188" t="s">
        <v>1121</v>
      </c>
    </row>
    <row r="966" spans="1:4" x14ac:dyDescent="0.25">
      <c r="A966" s="180">
        <f t="shared" si="15"/>
        <v>2101744</v>
      </c>
      <c r="B966" s="188" t="s">
        <v>1122</v>
      </c>
      <c r="C966" s="188" t="s">
        <v>1123</v>
      </c>
    </row>
    <row r="967" spans="1:4" x14ac:dyDescent="0.25">
      <c r="A967" s="180">
        <f t="shared" si="15"/>
        <v>2101745</v>
      </c>
      <c r="B967" s="188" t="s">
        <v>14223</v>
      </c>
      <c r="C967" s="188" t="s">
        <v>14224</v>
      </c>
      <c r="D967" t="s">
        <v>14909</v>
      </c>
    </row>
    <row r="968" spans="1:4" x14ac:dyDescent="0.25">
      <c r="A968" s="180">
        <f t="shared" si="15"/>
        <v>2101750</v>
      </c>
      <c r="B968" s="188" t="s">
        <v>1124</v>
      </c>
      <c r="C968" s="188" t="s">
        <v>1125</v>
      </c>
      <c r="D968" t="s">
        <v>14909</v>
      </c>
    </row>
    <row r="969" spans="1:4" x14ac:dyDescent="0.25">
      <c r="A969" s="180">
        <f t="shared" si="15"/>
        <v>2101751</v>
      </c>
      <c r="B969" s="188" t="s">
        <v>1126</v>
      </c>
      <c r="C969" s="188" t="s">
        <v>1127</v>
      </c>
      <c r="D969" t="s">
        <v>14909</v>
      </c>
    </row>
    <row r="970" spans="1:4" x14ac:dyDescent="0.25">
      <c r="A970" s="180">
        <f t="shared" si="15"/>
        <v>2101752</v>
      </c>
      <c r="B970" s="188" t="s">
        <v>1128</v>
      </c>
      <c r="C970" s="188" t="s">
        <v>1129</v>
      </c>
      <c r="D970" t="s">
        <v>14909</v>
      </c>
    </row>
    <row r="971" spans="1:4" x14ac:dyDescent="0.25">
      <c r="A971" s="180">
        <f t="shared" si="15"/>
        <v>2101760</v>
      </c>
      <c r="B971" s="188" t="s">
        <v>13873</v>
      </c>
      <c r="C971" s="188" t="s">
        <v>13874</v>
      </c>
      <c r="D971" t="s">
        <v>14909</v>
      </c>
    </row>
    <row r="972" spans="1:4" x14ac:dyDescent="0.25">
      <c r="A972" s="180">
        <f t="shared" si="15"/>
        <v>2101761</v>
      </c>
      <c r="B972" s="188" t="s">
        <v>13875</v>
      </c>
      <c r="C972" s="188" t="s">
        <v>13876</v>
      </c>
      <c r="D972" t="s">
        <v>14909</v>
      </c>
    </row>
    <row r="973" spans="1:4" x14ac:dyDescent="0.25">
      <c r="A973" s="180">
        <f t="shared" si="15"/>
        <v>2101770</v>
      </c>
      <c r="B973" s="188" t="s">
        <v>13877</v>
      </c>
      <c r="C973" s="188" t="s">
        <v>13878</v>
      </c>
      <c r="D973" t="s">
        <v>14909</v>
      </c>
    </row>
    <row r="974" spans="1:4" x14ac:dyDescent="0.25">
      <c r="A974" s="180">
        <f t="shared" si="15"/>
        <v>2101771</v>
      </c>
      <c r="B974" s="188" t="s">
        <v>13879</v>
      </c>
      <c r="C974" s="188" t="s">
        <v>13880</v>
      </c>
      <c r="D974" t="s">
        <v>14909</v>
      </c>
    </row>
    <row r="975" spans="1:4" x14ac:dyDescent="0.25">
      <c r="A975" s="180">
        <f t="shared" si="15"/>
        <v>2101799</v>
      </c>
      <c r="B975" s="188" t="s">
        <v>1130</v>
      </c>
      <c r="C975" s="188" t="s">
        <v>1131</v>
      </c>
      <c r="D975" t="s">
        <v>14909</v>
      </c>
    </row>
    <row r="976" spans="1:4" x14ac:dyDescent="0.25">
      <c r="A976" s="180">
        <f t="shared" si="15"/>
        <v>2101802</v>
      </c>
      <c r="B976" s="188" t="s">
        <v>13432</v>
      </c>
      <c r="C976" s="188" t="s">
        <v>13433</v>
      </c>
    </row>
    <row r="977" spans="1:4" x14ac:dyDescent="0.25">
      <c r="A977" s="180">
        <f t="shared" si="15"/>
        <v>2101803</v>
      </c>
      <c r="B977" s="188" t="s">
        <v>13434</v>
      </c>
      <c r="C977" s="188" t="s">
        <v>13435</v>
      </c>
    </row>
    <row r="978" spans="1:4" x14ac:dyDescent="0.25">
      <c r="A978" s="180">
        <f t="shared" si="15"/>
        <v>2101877</v>
      </c>
      <c r="B978" s="188" t="s">
        <v>1132</v>
      </c>
      <c r="C978" s="188" t="s">
        <v>1133</v>
      </c>
      <c r="D978" t="s">
        <v>14909</v>
      </c>
    </row>
    <row r="979" spans="1:4" x14ac:dyDescent="0.25">
      <c r="A979" s="180">
        <f t="shared" si="15"/>
        <v>2101878</v>
      </c>
      <c r="B979" s="188" t="s">
        <v>1134</v>
      </c>
      <c r="C979" s="188" t="s">
        <v>1135</v>
      </c>
      <c r="D979" t="s">
        <v>14909</v>
      </c>
    </row>
    <row r="980" spans="1:4" x14ac:dyDescent="0.25">
      <c r="A980" s="180">
        <f t="shared" si="15"/>
        <v>2101879</v>
      </c>
      <c r="B980" s="188" t="s">
        <v>1136</v>
      </c>
      <c r="C980" s="188" t="s">
        <v>1137</v>
      </c>
      <c r="D980" t="s">
        <v>14909</v>
      </c>
    </row>
    <row r="981" spans="1:4" x14ac:dyDescent="0.25">
      <c r="A981" s="180">
        <f t="shared" si="15"/>
        <v>2101880</v>
      </c>
      <c r="B981" s="188" t="s">
        <v>1138</v>
      </c>
      <c r="C981" s="188" t="s">
        <v>1139</v>
      </c>
      <c r="D981" t="s">
        <v>14909</v>
      </c>
    </row>
    <row r="982" spans="1:4" x14ac:dyDescent="0.25">
      <c r="A982" s="180">
        <f t="shared" si="15"/>
        <v>2101885</v>
      </c>
      <c r="B982" s="188" t="s">
        <v>14365</v>
      </c>
      <c r="C982" s="188" t="s">
        <v>14366</v>
      </c>
      <c r="D982" t="s">
        <v>14909</v>
      </c>
    </row>
    <row r="983" spans="1:4" x14ac:dyDescent="0.25">
      <c r="A983" s="180">
        <f t="shared" si="15"/>
        <v>2101886</v>
      </c>
      <c r="B983" s="188" t="s">
        <v>14367</v>
      </c>
      <c r="C983" s="188" t="s">
        <v>14368</v>
      </c>
      <c r="D983" t="s">
        <v>14909</v>
      </c>
    </row>
    <row r="984" spans="1:4" x14ac:dyDescent="0.25">
      <c r="A984" s="180">
        <f t="shared" si="15"/>
        <v>2101888</v>
      </c>
      <c r="B984" s="188" t="s">
        <v>1140</v>
      </c>
      <c r="C984" s="188" t="s">
        <v>12770</v>
      </c>
      <c r="D984" t="s">
        <v>14909</v>
      </c>
    </row>
    <row r="985" spans="1:4" x14ac:dyDescent="0.25">
      <c r="A985" s="180">
        <f t="shared" si="15"/>
        <v>2101889</v>
      </c>
      <c r="B985" s="188" t="s">
        <v>1141</v>
      </c>
      <c r="C985" s="188" t="s">
        <v>1142</v>
      </c>
    </row>
    <row r="986" spans="1:4" x14ac:dyDescent="0.25">
      <c r="A986" s="180" t="str">
        <f t="shared" si="15"/>
        <v/>
      </c>
      <c r="B986" s="188" t="s">
        <v>13046</v>
      </c>
      <c r="C986" s="188"/>
    </row>
    <row r="987" spans="1:4" x14ac:dyDescent="0.25">
      <c r="A987" s="180">
        <f t="shared" si="15"/>
        <v>2101895</v>
      </c>
      <c r="B987" s="188" t="s">
        <v>13266</v>
      </c>
      <c r="C987" s="188" t="s">
        <v>13436</v>
      </c>
      <c r="D987" t="s">
        <v>14909</v>
      </c>
    </row>
    <row r="988" spans="1:4" x14ac:dyDescent="0.25">
      <c r="A988" s="180">
        <f t="shared" si="15"/>
        <v>2101896</v>
      </c>
      <c r="B988" s="188" t="s">
        <v>13267</v>
      </c>
      <c r="C988" s="188" t="s">
        <v>13437</v>
      </c>
      <c r="D988" t="s">
        <v>14909</v>
      </c>
    </row>
    <row r="989" spans="1:4" x14ac:dyDescent="0.25">
      <c r="A989" s="180">
        <f t="shared" si="15"/>
        <v>2101897</v>
      </c>
      <c r="B989" s="188" t="s">
        <v>13438</v>
      </c>
      <c r="C989" s="188" t="s">
        <v>13439</v>
      </c>
      <c r="D989" t="s">
        <v>14909</v>
      </c>
    </row>
    <row r="990" spans="1:4" x14ac:dyDescent="0.25">
      <c r="A990" s="180">
        <f t="shared" si="15"/>
        <v>2101898</v>
      </c>
      <c r="B990" s="188" t="s">
        <v>13440</v>
      </c>
      <c r="C990" s="188" t="s">
        <v>13441</v>
      </c>
      <c r="D990" t="s">
        <v>14909</v>
      </c>
    </row>
    <row r="991" spans="1:4" x14ac:dyDescent="0.25">
      <c r="A991" s="180">
        <f t="shared" si="15"/>
        <v>2101900</v>
      </c>
      <c r="B991" s="188" t="s">
        <v>1143</v>
      </c>
      <c r="C991" s="188" t="s">
        <v>1144</v>
      </c>
      <c r="D991" t="s">
        <v>14909</v>
      </c>
    </row>
    <row r="992" spans="1:4" x14ac:dyDescent="0.25">
      <c r="A992" s="180">
        <f t="shared" si="15"/>
        <v>2101901</v>
      </c>
      <c r="B992" s="188" t="s">
        <v>1145</v>
      </c>
      <c r="C992" s="188" t="s">
        <v>1146</v>
      </c>
      <c r="D992" t="s">
        <v>14909</v>
      </c>
    </row>
    <row r="993" spans="1:4" x14ac:dyDescent="0.25">
      <c r="A993" s="180">
        <f t="shared" si="15"/>
        <v>2101902</v>
      </c>
      <c r="B993" s="188" t="s">
        <v>1147</v>
      </c>
      <c r="C993" s="188" t="s">
        <v>1148</v>
      </c>
      <c r="D993" t="s">
        <v>14909</v>
      </c>
    </row>
    <row r="994" spans="1:4" x14ac:dyDescent="0.25">
      <c r="A994" s="180">
        <f t="shared" si="15"/>
        <v>2101903</v>
      </c>
      <c r="B994" s="188" t="s">
        <v>6855</v>
      </c>
      <c r="C994" s="188" t="s">
        <v>6856</v>
      </c>
      <c r="D994" t="s">
        <v>13412</v>
      </c>
    </row>
    <row r="995" spans="1:4" x14ac:dyDescent="0.25">
      <c r="A995" s="180">
        <f t="shared" si="15"/>
        <v>2101904</v>
      </c>
      <c r="B995" s="188" t="s">
        <v>6857</v>
      </c>
      <c r="C995" s="188" t="s">
        <v>6858</v>
      </c>
    </row>
    <row r="996" spans="1:4" x14ac:dyDescent="0.25">
      <c r="A996" s="180">
        <f t="shared" si="15"/>
        <v>2101950</v>
      </c>
      <c r="B996" s="188" t="s">
        <v>1149</v>
      </c>
      <c r="C996" s="188" t="s">
        <v>1150</v>
      </c>
      <c r="D996" t="s">
        <v>14909</v>
      </c>
    </row>
    <row r="997" spans="1:4" x14ac:dyDescent="0.25">
      <c r="A997" s="180">
        <f t="shared" si="15"/>
        <v>2101951</v>
      </c>
      <c r="B997" s="188" t="s">
        <v>1151</v>
      </c>
      <c r="C997" s="188" t="s">
        <v>1152</v>
      </c>
    </row>
    <row r="998" spans="1:4" x14ac:dyDescent="0.25">
      <c r="A998" s="180">
        <f t="shared" si="15"/>
        <v>2101987</v>
      </c>
      <c r="B998" s="188" t="s">
        <v>1153</v>
      </c>
      <c r="C998" s="188" t="s">
        <v>1154</v>
      </c>
      <c r="D998" t="s">
        <v>14909</v>
      </c>
    </row>
    <row r="999" spans="1:4" x14ac:dyDescent="0.25">
      <c r="A999" s="180">
        <f t="shared" si="15"/>
        <v>2101988</v>
      </c>
      <c r="B999" s="188" t="s">
        <v>13881</v>
      </c>
      <c r="C999" s="188" t="s">
        <v>14369</v>
      </c>
      <c r="D999" t="s">
        <v>14909</v>
      </c>
    </row>
    <row r="1000" spans="1:4" x14ac:dyDescent="0.25">
      <c r="A1000" s="180">
        <f t="shared" si="15"/>
        <v>2101999</v>
      </c>
      <c r="B1000" s="188" t="s">
        <v>1155</v>
      </c>
      <c r="C1000" s="188" t="s">
        <v>1156</v>
      </c>
      <c r="D1000" t="s">
        <v>14909</v>
      </c>
    </row>
    <row r="1001" spans="1:4" x14ac:dyDescent="0.25">
      <c r="A1001" s="180">
        <f t="shared" si="15"/>
        <v>2103005</v>
      </c>
      <c r="B1001" s="188" t="s">
        <v>1157</v>
      </c>
      <c r="C1001" s="188" t="s">
        <v>1158</v>
      </c>
      <c r="D1001" t="s">
        <v>14909</v>
      </c>
    </row>
    <row r="1002" spans="1:4" x14ac:dyDescent="0.25">
      <c r="A1002" s="180">
        <f t="shared" si="15"/>
        <v>2103010</v>
      </c>
      <c r="B1002" s="188" t="s">
        <v>1159</v>
      </c>
      <c r="C1002" s="188" t="s">
        <v>1160</v>
      </c>
      <c r="D1002" t="s">
        <v>14909</v>
      </c>
    </row>
    <row r="1003" spans="1:4" x14ac:dyDescent="0.25">
      <c r="A1003" s="180">
        <f t="shared" si="15"/>
        <v>2103011</v>
      </c>
      <c r="B1003" s="188" t="s">
        <v>1161</v>
      </c>
      <c r="C1003" s="188" t="s">
        <v>1162</v>
      </c>
      <c r="D1003" t="s">
        <v>14909</v>
      </c>
    </row>
    <row r="1004" spans="1:4" x14ac:dyDescent="0.25">
      <c r="A1004" s="180">
        <f t="shared" si="15"/>
        <v>2103030</v>
      </c>
      <c r="B1004" s="188" t="s">
        <v>13993</v>
      </c>
      <c r="C1004" s="188" t="s">
        <v>13994</v>
      </c>
      <c r="D1004" t="s">
        <v>14909</v>
      </c>
    </row>
    <row r="1005" spans="1:4" x14ac:dyDescent="0.25">
      <c r="A1005" s="180">
        <f t="shared" si="15"/>
        <v>2103031</v>
      </c>
      <c r="B1005" s="188" t="s">
        <v>14091</v>
      </c>
      <c r="C1005" s="188" t="s">
        <v>14092</v>
      </c>
      <c r="D1005" t="s">
        <v>14909</v>
      </c>
    </row>
    <row r="1006" spans="1:4" x14ac:dyDescent="0.25">
      <c r="A1006" s="180">
        <f t="shared" si="15"/>
        <v>2103050</v>
      </c>
      <c r="B1006" s="188" t="s">
        <v>1163</v>
      </c>
      <c r="C1006" s="188" t="s">
        <v>13882</v>
      </c>
      <c r="D1006" t="s">
        <v>14909</v>
      </c>
    </row>
    <row r="1007" spans="1:4" x14ac:dyDescent="0.25">
      <c r="A1007" s="180">
        <f t="shared" si="15"/>
        <v>2103051</v>
      </c>
      <c r="B1007" s="188" t="s">
        <v>13047</v>
      </c>
      <c r="C1007" s="188" t="s">
        <v>13048</v>
      </c>
      <c r="D1007" t="s">
        <v>14909</v>
      </c>
    </row>
    <row r="1008" spans="1:4" x14ac:dyDescent="0.25">
      <c r="A1008" s="180">
        <f t="shared" si="15"/>
        <v>2103052</v>
      </c>
      <c r="B1008" s="188" t="s">
        <v>13883</v>
      </c>
      <c r="C1008" s="188" t="s">
        <v>13884</v>
      </c>
      <c r="D1008" t="s">
        <v>14909</v>
      </c>
    </row>
    <row r="1009" spans="1:4" x14ac:dyDescent="0.25">
      <c r="A1009" s="180">
        <f t="shared" si="15"/>
        <v>2103067</v>
      </c>
      <c r="B1009" s="188" t="s">
        <v>1164</v>
      </c>
      <c r="C1009" s="188" t="s">
        <v>1165</v>
      </c>
      <c r="D1009" t="s">
        <v>14909</v>
      </c>
    </row>
    <row r="1010" spans="1:4" x14ac:dyDescent="0.25">
      <c r="A1010" s="180">
        <f t="shared" si="15"/>
        <v>2103068</v>
      </c>
      <c r="B1010" s="188" t="s">
        <v>1166</v>
      </c>
      <c r="C1010" s="188" t="s">
        <v>1167</v>
      </c>
      <c r="D1010" t="s">
        <v>14909</v>
      </c>
    </row>
    <row r="1011" spans="1:4" x14ac:dyDescent="0.25">
      <c r="A1011" s="180">
        <f t="shared" si="15"/>
        <v>2103069</v>
      </c>
      <c r="B1011" s="188" t="s">
        <v>1168</v>
      </c>
      <c r="C1011" s="188" t="s">
        <v>1169</v>
      </c>
      <c r="D1011" t="s">
        <v>14909</v>
      </c>
    </row>
    <row r="1012" spans="1:4" x14ac:dyDescent="0.25">
      <c r="A1012" s="180">
        <f t="shared" si="15"/>
        <v>2103070</v>
      </c>
      <c r="B1012" s="188" t="s">
        <v>1170</v>
      </c>
      <c r="C1012" s="188" t="s">
        <v>1171</v>
      </c>
    </row>
    <row r="1013" spans="1:4" x14ac:dyDescent="0.25">
      <c r="A1013" s="180">
        <f t="shared" si="15"/>
        <v>2103071</v>
      </c>
      <c r="B1013" s="188" t="s">
        <v>1172</v>
      </c>
      <c r="C1013" s="188" t="s">
        <v>1173</v>
      </c>
    </row>
    <row r="1014" spans="1:4" x14ac:dyDescent="0.25">
      <c r="A1014" s="180">
        <f t="shared" si="15"/>
        <v>2103072</v>
      </c>
      <c r="B1014" s="188" t="s">
        <v>1174</v>
      </c>
      <c r="C1014" s="188" t="s">
        <v>1175</v>
      </c>
      <c r="D1014" t="s">
        <v>14909</v>
      </c>
    </row>
    <row r="1015" spans="1:4" x14ac:dyDescent="0.25">
      <c r="A1015" s="180">
        <f t="shared" si="15"/>
        <v>2103079</v>
      </c>
      <c r="B1015" s="188" t="s">
        <v>14926</v>
      </c>
      <c r="C1015" s="188" t="s">
        <v>14927</v>
      </c>
      <c r="D1015" t="s">
        <v>14909</v>
      </c>
    </row>
    <row r="1016" spans="1:4" x14ac:dyDescent="0.25">
      <c r="A1016" s="180">
        <f t="shared" si="15"/>
        <v>2103080</v>
      </c>
      <c r="B1016" s="188" t="s">
        <v>14928</v>
      </c>
      <c r="C1016" s="188" t="s">
        <v>14929</v>
      </c>
      <c r="D1016" t="s">
        <v>14909</v>
      </c>
    </row>
    <row r="1017" spans="1:4" x14ac:dyDescent="0.25">
      <c r="A1017" s="180">
        <f t="shared" si="15"/>
        <v>2103090</v>
      </c>
      <c r="B1017" s="188" t="s">
        <v>1176</v>
      </c>
      <c r="C1017" s="188" t="s">
        <v>13885</v>
      </c>
      <c r="D1017" t="s">
        <v>14909</v>
      </c>
    </row>
    <row r="1018" spans="1:4" x14ac:dyDescent="0.25">
      <c r="A1018" s="180">
        <f t="shared" si="15"/>
        <v>2103091</v>
      </c>
      <c r="B1018" s="188" t="s">
        <v>12643</v>
      </c>
      <c r="C1018" s="188" t="s">
        <v>12644</v>
      </c>
      <c r="D1018" t="s">
        <v>14909</v>
      </c>
    </row>
    <row r="1019" spans="1:4" x14ac:dyDescent="0.25">
      <c r="A1019" s="180">
        <f t="shared" si="15"/>
        <v>2103092</v>
      </c>
      <c r="B1019" s="188" t="s">
        <v>13886</v>
      </c>
      <c r="C1019" s="188" t="s">
        <v>13887</v>
      </c>
      <c r="D1019" t="s">
        <v>14909</v>
      </c>
    </row>
    <row r="1020" spans="1:4" x14ac:dyDescent="0.25">
      <c r="A1020" s="180">
        <f t="shared" si="15"/>
        <v>2103100</v>
      </c>
      <c r="B1020" s="188" t="s">
        <v>14930</v>
      </c>
      <c r="C1020" s="188" t="s">
        <v>14931</v>
      </c>
      <c r="D1020" t="s">
        <v>14909</v>
      </c>
    </row>
    <row r="1021" spans="1:4" x14ac:dyDescent="0.25">
      <c r="A1021" s="180">
        <f t="shared" si="15"/>
        <v>2103101</v>
      </c>
      <c r="B1021" s="188" t="s">
        <v>14932</v>
      </c>
      <c r="C1021" s="188" t="s">
        <v>14933</v>
      </c>
      <c r="D1021" t="s">
        <v>14909</v>
      </c>
    </row>
    <row r="1022" spans="1:4" x14ac:dyDescent="0.25">
      <c r="A1022" s="180">
        <f t="shared" si="15"/>
        <v>2103199</v>
      </c>
      <c r="B1022" s="188" t="s">
        <v>1177</v>
      </c>
      <c r="C1022" s="188" t="s">
        <v>1178</v>
      </c>
      <c r="D1022" t="s">
        <v>14909</v>
      </c>
    </row>
    <row r="1023" spans="1:4" x14ac:dyDescent="0.25">
      <c r="A1023" s="180">
        <f t="shared" ref="A1023:A1086" si="16">IFERROR(B1023*1,"")</f>
        <v>2103200</v>
      </c>
      <c r="B1023" s="188" t="s">
        <v>1179</v>
      </c>
      <c r="C1023" s="188" t="s">
        <v>1180</v>
      </c>
      <c r="D1023" t="s">
        <v>14909</v>
      </c>
    </row>
    <row r="1024" spans="1:4" x14ac:dyDescent="0.25">
      <c r="A1024" s="180">
        <f t="shared" si="16"/>
        <v>2103209</v>
      </c>
      <c r="B1024" s="188" t="s">
        <v>1181</v>
      </c>
      <c r="C1024" s="188" t="s">
        <v>1182</v>
      </c>
      <c r="D1024" t="s">
        <v>14909</v>
      </c>
    </row>
    <row r="1025" spans="1:4" x14ac:dyDescent="0.25">
      <c r="A1025" s="180">
        <f t="shared" si="16"/>
        <v>2103217</v>
      </c>
      <c r="B1025" s="188" t="s">
        <v>1183</v>
      </c>
      <c r="C1025" s="188" t="s">
        <v>1184</v>
      </c>
      <c r="D1025" t="s">
        <v>14909</v>
      </c>
    </row>
    <row r="1026" spans="1:4" x14ac:dyDescent="0.25">
      <c r="A1026" s="180">
        <f t="shared" si="16"/>
        <v>2103218</v>
      </c>
      <c r="B1026" s="188" t="s">
        <v>1185</v>
      </c>
      <c r="C1026" s="188" t="s">
        <v>1186</v>
      </c>
      <c r="D1026" t="s">
        <v>14909</v>
      </c>
    </row>
    <row r="1027" spans="1:4" x14ac:dyDescent="0.25">
      <c r="A1027" s="180">
        <f t="shared" si="16"/>
        <v>2103219</v>
      </c>
      <c r="B1027" s="188" t="s">
        <v>1187</v>
      </c>
      <c r="C1027" s="188" t="s">
        <v>1188</v>
      </c>
      <c r="D1027" t="s">
        <v>14909</v>
      </c>
    </row>
    <row r="1028" spans="1:4" x14ac:dyDescent="0.25">
      <c r="A1028" s="180">
        <f t="shared" si="16"/>
        <v>2103220</v>
      </c>
      <c r="B1028" s="188" t="s">
        <v>6859</v>
      </c>
      <c r="C1028" s="188" t="s">
        <v>6860</v>
      </c>
      <c r="D1028" t="s">
        <v>14909</v>
      </c>
    </row>
    <row r="1029" spans="1:4" x14ac:dyDescent="0.25">
      <c r="A1029" s="180">
        <f t="shared" si="16"/>
        <v>2103221</v>
      </c>
      <c r="B1029" s="188" t="s">
        <v>6861</v>
      </c>
      <c r="C1029" s="188" t="s">
        <v>6862</v>
      </c>
    </row>
    <row r="1030" spans="1:4" x14ac:dyDescent="0.25">
      <c r="A1030" s="180">
        <f t="shared" si="16"/>
        <v>2103222</v>
      </c>
      <c r="B1030" s="188" t="s">
        <v>12771</v>
      </c>
      <c r="C1030" s="188" t="s">
        <v>12772</v>
      </c>
      <c r="D1030" t="s">
        <v>14909</v>
      </c>
    </row>
    <row r="1031" spans="1:4" x14ac:dyDescent="0.25">
      <c r="A1031" s="180">
        <f t="shared" si="16"/>
        <v>2103223</v>
      </c>
      <c r="B1031" s="188" t="s">
        <v>12773</v>
      </c>
      <c r="C1031" s="188" t="s">
        <v>12774</v>
      </c>
      <c r="D1031" t="s">
        <v>14909</v>
      </c>
    </row>
    <row r="1032" spans="1:4" x14ac:dyDescent="0.25">
      <c r="A1032" s="180">
        <f t="shared" si="16"/>
        <v>2103224</v>
      </c>
      <c r="B1032" s="188" t="s">
        <v>15045</v>
      </c>
      <c r="C1032" s="188" t="s">
        <v>15046</v>
      </c>
    </row>
    <row r="1033" spans="1:4" x14ac:dyDescent="0.25">
      <c r="A1033" s="180">
        <f t="shared" si="16"/>
        <v>2103290</v>
      </c>
      <c r="B1033" s="188" t="s">
        <v>14934</v>
      </c>
      <c r="C1033" s="188" t="s">
        <v>14935</v>
      </c>
    </row>
    <row r="1034" spans="1:4" x14ac:dyDescent="0.25">
      <c r="A1034" s="180">
        <f t="shared" si="16"/>
        <v>2103291</v>
      </c>
      <c r="B1034" s="188" t="s">
        <v>14936</v>
      </c>
      <c r="C1034" s="188" t="s">
        <v>14937</v>
      </c>
    </row>
    <row r="1035" spans="1:4" x14ac:dyDescent="0.25">
      <c r="A1035" s="180">
        <f t="shared" si="16"/>
        <v>2103495</v>
      </c>
      <c r="B1035" s="188" t="s">
        <v>1189</v>
      </c>
      <c r="C1035" s="188" t="s">
        <v>1190</v>
      </c>
      <c r="D1035" t="s">
        <v>14909</v>
      </c>
    </row>
    <row r="1036" spans="1:4" x14ac:dyDescent="0.25">
      <c r="A1036" s="180">
        <f t="shared" si="16"/>
        <v>2103500</v>
      </c>
      <c r="B1036" s="188" t="s">
        <v>1191</v>
      </c>
      <c r="C1036" s="188" t="s">
        <v>1192</v>
      </c>
      <c r="D1036" t="s">
        <v>14909</v>
      </c>
    </row>
    <row r="1037" spans="1:4" x14ac:dyDescent="0.25">
      <c r="A1037" s="180">
        <f t="shared" si="16"/>
        <v>2103530</v>
      </c>
      <c r="B1037" s="188" t="s">
        <v>12645</v>
      </c>
      <c r="C1037" s="188" t="s">
        <v>12646</v>
      </c>
      <c r="D1037" t="s">
        <v>14925</v>
      </c>
    </row>
    <row r="1038" spans="1:4" x14ac:dyDescent="0.25">
      <c r="A1038" s="180">
        <f t="shared" si="16"/>
        <v>2103888</v>
      </c>
      <c r="B1038" s="188" t="s">
        <v>1193</v>
      </c>
      <c r="C1038" s="188" t="s">
        <v>1194</v>
      </c>
    </row>
    <row r="1039" spans="1:4" x14ac:dyDescent="0.25">
      <c r="A1039" s="180">
        <f t="shared" si="16"/>
        <v>210388808</v>
      </c>
      <c r="B1039" s="188" t="s">
        <v>1195</v>
      </c>
      <c r="C1039" s="188" t="s">
        <v>1196</v>
      </c>
    </row>
    <row r="1040" spans="1:4" x14ac:dyDescent="0.25">
      <c r="A1040" s="180">
        <f t="shared" si="16"/>
        <v>2105003</v>
      </c>
      <c r="B1040" s="188" t="s">
        <v>13995</v>
      </c>
      <c r="C1040" s="188" t="s">
        <v>13996</v>
      </c>
      <c r="D1040" t="s">
        <v>14909</v>
      </c>
    </row>
    <row r="1041" spans="1:4" x14ac:dyDescent="0.25">
      <c r="A1041" s="180">
        <f t="shared" si="16"/>
        <v>2105007</v>
      </c>
      <c r="B1041" s="188" t="s">
        <v>1197</v>
      </c>
      <c r="C1041" s="188" t="s">
        <v>1198</v>
      </c>
    </row>
    <row r="1042" spans="1:4" x14ac:dyDescent="0.25">
      <c r="A1042" s="180">
        <f t="shared" si="16"/>
        <v>2105008</v>
      </c>
      <c r="B1042" s="188" t="s">
        <v>1199</v>
      </c>
      <c r="C1042" s="188" t="s">
        <v>1200</v>
      </c>
      <c r="D1042" t="s">
        <v>14909</v>
      </c>
    </row>
    <row r="1043" spans="1:4" x14ac:dyDescent="0.25">
      <c r="A1043" s="180">
        <f t="shared" si="16"/>
        <v>2105009</v>
      </c>
      <c r="B1043" s="188" t="s">
        <v>1201</v>
      </c>
      <c r="C1043" s="188" t="s">
        <v>1202</v>
      </c>
      <c r="D1043" t="s">
        <v>14909</v>
      </c>
    </row>
    <row r="1044" spans="1:4" x14ac:dyDescent="0.25">
      <c r="A1044" s="180">
        <f t="shared" si="16"/>
        <v>2105041</v>
      </c>
      <c r="B1044" s="188" t="s">
        <v>14225</v>
      </c>
      <c r="C1044" s="188" t="s">
        <v>14226</v>
      </c>
      <c r="D1044" t="s">
        <v>14909</v>
      </c>
    </row>
    <row r="1045" spans="1:4" x14ac:dyDescent="0.25">
      <c r="A1045" s="180">
        <f t="shared" si="16"/>
        <v>2105042</v>
      </c>
      <c r="B1045" s="188" t="s">
        <v>14227</v>
      </c>
      <c r="C1045" s="188" t="s">
        <v>14228</v>
      </c>
      <c r="D1045" t="s">
        <v>14909</v>
      </c>
    </row>
    <row r="1046" spans="1:4" x14ac:dyDescent="0.25">
      <c r="A1046" s="180">
        <f t="shared" si="16"/>
        <v>2105043</v>
      </c>
      <c r="B1046" s="188" t="s">
        <v>14229</v>
      </c>
      <c r="C1046" s="188" t="s">
        <v>14230</v>
      </c>
      <c r="D1046" t="s">
        <v>14909</v>
      </c>
    </row>
    <row r="1047" spans="1:4" x14ac:dyDescent="0.25">
      <c r="A1047" s="180">
        <f t="shared" si="16"/>
        <v>2105352</v>
      </c>
      <c r="B1047" s="188" t="s">
        <v>1203</v>
      </c>
      <c r="C1047" s="188" t="s">
        <v>1204</v>
      </c>
      <c r="D1047" t="s">
        <v>14909</v>
      </c>
    </row>
    <row r="1048" spans="1:4" x14ac:dyDescent="0.25">
      <c r="A1048" s="180">
        <f t="shared" si="16"/>
        <v>2105353</v>
      </c>
      <c r="B1048" s="188" t="s">
        <v>1205</v>
      </c>
      <c r="C1048" s="188" t="s">
        <v>1206</v>
      </c>
    </row>
    <row r="1049" spans="1:4" x14ac:dyDescent="0.25">
      <c r="A1049" s="180">
        <f t="shared" si="16"/>
        <v>2105552</v>
      </c>
      <c r="B1049" s="188" t="s">
        <v>1207</v>
      </c>
      <c r="C1049" s="188" t="s">
        <v>1208</v>
      </c>
      <c r="D1049" t="s">
        <v>14909</v>
      </c>
    </row>
    <row r="1050" spans="1:4" x14ac:dyDescent="0.25">
      <c r="A1050" s="180">
        <f t="shared" si="16"/>
        <v>2105553</v>
      </c>
      <c r="B1050" s="188" t="s">
        <v>1209</v>
      </c>
      <c r="C1050" s="188" t="s">
        <v>1210</v>
      </c>
      <c r="D1050" t="s">
        <v>14909</v>
      </c>
    </row>
    <row r="1051" spans="1:4" x14ac:dyDescent="0.25">
      <c r="A1051" s="180">
        <f t="shared" si="16"/>
        <v>2105999</v>
      </c>
      <c r="B1051" s="188" t="s">
        <v>1211</v>
      </c>
      <c r="C1051" s="188" t="s">
        <v>1212</v>
      </c>
      <c r="D1051" t="s">
        <v>14909</v>
      </c>
    </row>
    <row r="1052" spans="1:4" x14ac:dyDescent="0.25">
      <c r="A1052" s="180">
        <f t="shared" si="16"/>
        <v>2203072</v>
      </c>
      <c r="B1052" s="188" t="s">
        <v>1213</v>
      </c>
      <c r="C1052" s="188" t="s">
        <v>1214</v>
      </c>
    </row>
    <row r="1053" spans="1:4" x14ac:dyDescent="0.25">
      <c r="A1053" s="180">
        <f t="shared" si="16"/>
        <v>2220000</v>
      </c>
      <c r="B1053" s="188" t="s">
        <v>1215</v>
      </c>
      <c r="C1053" s="188" t="s">
        <v>1216</v>
      </c>
      <c r="D1053" t="s">
        <v>14909</v>
      </c>
    </row>
    <row r="1054" spans="1:4" x14ac:dyDescent="0.25">
      <c r="A1054" s="180">
        <f t="shared" si="16"/>
        <v>2220004</v>
      </c>
      <c r="B1054" s="188" t="s">
        <v>1217</v>
      </c>
      <c r="C1054" s="188" t="s">
        <v>1218</v>
      </c>
      <c r="D1054" t="s">
        <v>14909</v>
      </c>
    </row>
    <row r="1055" spans="1:4" x14ac:dyDescent="0.25">
      <c r="A1055" s="180">
        <f t="shared" si="16"/>
        <v>2220024</v>
      </c>
      <c r="B1055" s="188" t="s">
        <v>1219</v>
      </c>
      <c r="C1055" s="188" t="s">
        <v>48</v>
      </c>
    </row>
    <row r="1056" spans="1:4" x14ac:dyDescent="0.25">
      <c r="A1056" s="180">
        <f t="shared" si="16"/>
        <v>2220027</v>
      </c>
      <c r="B1056" s="188" t="s">
        <v>1220</v>
      </c>
      <c r="C1056" s="188" t="s">
        <v>1221</v>
      </c>
      <c r="D1056" t="s">
        <v>14909</v>
      </c>
    </row>
    <row r="1057" spans="1:4" x14ac:dyDescent="0.25">
      <c r="A1057" s="180">
        <f t="shared" si="16"/>
        <v>2220028</v>
      </c>
      <c r="B1057" s="188" t="s">
        <v>1222</v>
      </c>
      <c r="C1057" s="188" t="s">
        <v>1223</v>
      </c>
      <c r="D1057" t="s">
        <v>14909</v>
      </c>
    </row>
    <row r="1058" spans="1:4" x14ac:dyDescent="0.25">
      <c r="A1058" s="180">
        <f t="shared" si="16"/>
        <v>2220030</v>
      </c>
      <c r="B1058" s="188" t="s">
        <v>1224</v>
      </c>
      <c r="C1058" s="188" t="s">
        <v>1225</v>
      </c>
      <c r="D1058" t="s">
        <v>14909</v>
      </c>
    </row>
    <row r="1059" spans="1:4" x14ac:dyDescent="0.25">
      <c r="A1059" s="180">
        <f t="shared" si="16"/>
        <v>2220032</v>
      </c>
      <c r="B1059" s="188" t="s">
        <v>1226</v>
      </c>
      <c r="C1059" s="188" t="s">
        <v>1227</v>
      </c>
      <c r="D1059" t="s">
        <v>14909</v>
      </c>
    </row>
    <row r="1060" spans="1:4" x14ac:dyDescent="0.25">
      <c r="A1060" s="180">
        <f t="shared" si="16"/>
        <v>2220034</v>
      </c>
      <c r="B1060" s="188" t="s">
        <v>1228</v>
      </c>
      <c r="C1060" s="188" t="s">
        <v>1229</v>
      </c>
      <c r="D1060" t="s">
        <v>14909</v>
      </c>
    </row>
    <row r="1061" spans="1:4" x14ac:dyDescent="0.25">
      <c r="A1061" s="180">
        <f t="shared" si="16"/>
        <v>2220037</v>
      </c>
      <c r="B1061" s="188" t="s">
        <v>1230</v>
      </c>
      <c r="C1061" s="188" t="s">
        <v>1231</v>
      </c>
      <c r="D1061" t="s">
        <v>14909</v>
      </c>
    </row>
    <row r="1062" spans="1:4" x14ac:dyDescent="0.25">
      <c r="A1062" s="180">
        <f t="shared" si="16"/>
        <v>2220053</v>
      </c>
      <c r="B1062" s="188" t="s">
        <v>1232</v>
      </c>
      <c r="C1062" s="188" t="s">
        <v>1233</v>
      </c>
      <c r="D1062" t="s">
        <v>14909</v>
      </c>
    </row>
    <row r="1063" spans="1:4" x14ac:dyDescent="0.25">
      <c r="A1063" s="180">
        <f t="shared" si="16"/>
        <v>2220074</v>
      </c>
      <c r="B1063" s="188" t="s">
        <v>1234</v>
      </c>
      <c r="C1063" s="188" t="s">
        <v>1235</v>
      </c>
      <c r="D1063" t="s">
        <v>14909</v>
      </c>
    </row>
    <row r="1064" spans="1:4" x14ac:dyDescent="0.25">
      <c r="A1064" s="180">
        <f t="shared" si="16"/>
        <v>2220076</v>
      </c>
      <c r="B1064" s="188" t="s">
        <v>1236</v>
      </c>
      <c r="C1064" s="188" t="s">
        <v>1237</v>
      </c>
      <c r="D1064" t="s">
        <v>14909</v>
      </c>
    </row>
    <row r="1065" spans="1:4" x14ac:dyDescent="0.25">
      <c r="A1065" s="180">
        <f t="shared" si="16"/>
        <v>2220077</v>
      </c>
      <c r="B1065" s="188" t="s">
        <v>13957</v>
      </c>
      <c r="C1065" s="188" t="s">
        <v>13958</v>
      </c>
      <c r="D1065" t="s">
        <v>14909</v>
      </c>
    </row>
    <row r="1066" spans="1:4" x14ac:dyDescent="0.25">
      <c r="A1066" s="180">
        <f t="shared" si="16"/>
        <v>2220078</v>
      </c>
      <c r="B1066" s="188" t="s">
        <v>1238</v>
      </c>
      <c r="C1066" s="188" t="s">
        <v>1239</v>
      </c>
      <c r="D1066" t="s">
        <v>14909</v>
      </c>
    </row>
    <row r="1067" spans="1:4" x14ac:dyDescent="0.25">
      <c r="A1067" s="180">
        <f t="shared" si="16"/>
        <v>2220080</v>
      </c>
      <c r="B1067" s="188" t="s">
        <v>1240</v>
      </c>
      <c r="C1067" s="188" t="s">
        <v>1241</v>
      </c>
      <c r="D1067" t="s">
        <v>14909</v>
      </c>
    </row>
    <row r="1068" spans="1:4" x14ac:dyDescent="0.25">
      <c r="A1068" s="180">
        <f t="shared" si="16"/>
        <v>2220081</v>
      </c>
      <c r="B1068" s="188" t="s">
        <v>1242</v>
      </c>
      <c r="C1068" s="188" t="s">
        <v>1243</v>
      </c>
      <c r="D1068" t="s">
        <v>14909</v>
      </c>
    </row>
    <row r="1069" spans="1:4" x14ac:dyDescent="0.25">
      <c r="A1069" s="180">
        <f t="shared" si="16"/>
        <v>2220099</v>
      </c>
      <c r="B1069" s="188" t="s">
        <v>1244</v>
      </c>
      <c r="C1069" s="188" t="s">
        <v>1245</v>
      </c>
    </row>
    <row r="1070" spans="1:4" x14ac:dyDescent="0.25">
      <c r="A1070" s="180">
        <f t="shared" si="16"/>
        <v>2220100</v>
      </c>
      <c r="B1070" s="188" t="s">
        <v>1246</v>
      </c>
      <c r="C1070" s="188" t="s">
        <v>1247</v>
      </c>
      <c r="D1070" t="s">
        <v>14909</v>
      </c>
    </row>
    <row r="1071" spans="1:4" x14ac:dyDescent="0.25">
      <c r="A1071" s="180">
        <f t="shared" si="16"/>
        <v>2220111</v>
      </c>
      <c r="B1071" s="188" t="s">
        <v>13442</v>
      </c>
      <c r="C1071" s="188" t="s">
        <v>13443</v>
      </c>
      <c r="D1071" t="s">
        <v>14909</v>
      </c>
    </row>
    <row r="1072" spans="1:4" x14ac:dyDescent="0.25">
      <c r="A1072" s="180">
        <f t="shared" si="16"/>
        <v>2220128</v>
      </c>
      <c r="B1072" s="188" t="s">
        <v>1248</v>
      </c>
      <c r="C1072" s="188" t="s">
        <v>1249</v>
      </c>
      <c r="D1072" t="s">
        <v>14909</v>
      </c>
    </row>
    <row r="1073" spans="1:4" x14ac:dyDescent="0.25">
      <c r="A1073" s="180">
        <f t="shared" si="16"/>
        <v>2220130</v>
      </c>
      <c r="B1073" s="188" t="s">
        <v>1250</v>
      </c>
      <c r="C1073" s="188" t="s">
        <v>1251</v>
      </c>
    </row>
    <row r="1074" spans="1:4" x14ac:dyDescent="0.25">
      <c r="A1074" s="180">
        <f t="shared" si="16"/>
        <v>2220136</v>
      </c>
      <c r="B1074" s="188" t="s">
        <v>1252</v>
      </c>
      <c r="C1074" s="188" t="s">
        <v>1253</v>
      </c>
      <c r="D1074" t="s">
        <v>14909</v>
      </c>
    </row>
    <row r="1075" spans="1:4" x14ac:dyDescent="0.25">
      <c r="A1075" s="180">
        <f t="shared" si="16"/>
        <v>2220250</v>
      </c>
      <c r="B1075" s="188" t="s">
        <v>1254</v>
      </c>
      <c r="C1075" s="188" t="s">
        <v>1255</v>
      </c>
      <c r="D1075" t="s">
        <v>14909</v>
      </c>
    </row>
    <row r="1076" spans="1:4" x14ac:dyDescent="0.25">
      <c r="A1076" s="180">
        <f t="shared" si="16"/>
        <v>2220252</v>
      </c>
      <c r="B1076" s="188" t="s">
        <v>12775</v>
      </c>
      <c r="C1076" s="188" t="s">
        <v>12776</v>
      </c>
      <c r="D1076" t="s">
        <v>14909</v>
      </c>
    </row>
    <row r="1077" spans="1:4" x14ac:dyDescent="0.25">
      <c r="A1077" s="180">
        <f t="shared" si="16"/>
        <v>2220253</v>
      </c>
      <c r="B1077" s="188" t="s">
        <v>1256</v>
      </c>
      <c r="C1077" s="188" t="s">
        <v>1257</v>
      </c>
      <c r="D1077" t="s">
        <v>14909</v>
      </c>
    </row>
    <row r="1078" spans="1:4" x14ac:dyDescent="0.25">
      <c r="A1078" s="180">
        <f t="shared" si="16"/>
        <v>2220254</v>
      </c>
      <c r="B1078" s="188" t="s">
        <v>1258</v>
      </c>
      <c r="C1078" s="188" t="s">
        <v>12777</v>
      </c>
      <c r="D1078" t="s">
        <v>14909</v>
      </c>
    </row>
    <row r="1079" spans="1:4" x14ac:dyDescent="0.25">
      <c r="A1079" s="180">
        <f t="shared" si="16"/>
        <v>2220256</v>
      </c>
      <c r="B1079" s="188" t="s">
        <v>1259</v>
      </c>
      <c r="C1079" s="188" t="s">
        <v>1260</v>
      </c>
    </row>
    <row r="1080" spans="1:4" x14ac:dyDescent="0.25">
      <c r="A1080" s="180">
        <f t="shared" si="16"/>
        <v>2220257</v>
      </c>
      <c r="B1080" s="188" t="s">
        <v>12778</v>
      </c>
      <c r="C1080" s="188" t="s">
        <v>12779</v>
      </c>
      <c r="D1080" t="s">
        <v>14909</v>
      </c>
    </row>
    <row r="1081" spans="1:4" x14ac:dyDescent="0.25">
      <c r="A1081" s="180">
        <f t="shared" si="16"/>
        <v>2220292</v>
      </c>
      <c r="B1081" s="188" t="s">
        <v>1261</v>
      </c>
      <c r="C1081" s="188" t="s">
        <v>1262</v>
      </c>
      <c r="D1081" t="s">
        <v>14909</v>
      </c>
    </row>
    <row r="1082" spans="1:4" x14ac:dyDescent="0.25">
      <c r="A1082" s="180">
        <f t="shared" si="16"/>
        <v>2220333</v>
      </c>
      <c r="B1082" s="188" t="s">
        <v>1263</v>
      </c>
      <c r="C1082" s="189" t="s">
        <v>1264</v>
      </c>
      <c r="D1082" t="s">
        <v>14909</v>
      </c>
    </row>
    <row r="1083" spans="1:4" x14ac:dyDescent="0.25">
      <c r="A1083" s="180">
        <f t="shared" si="16"/>
        <v>2220335</v>
      </c>
      <c r="B1083" s="188" t="s">
        <v>1265</v>
      </c>
      <c r="C1083" s="188" t="s">
        <v>13444</v>
      </c>
      <c r="D1083" t="s">
        <v>14909</v>
      </c>
    </row>
    <row r="1084" spans="1:4" x14ac:dyDescent="0.25">
      <c r="A1084" s="180">
        <f t="shared" si="16"/>
        <v>2220336</v>
      </c>
      <c r="B1084" s="188" t="s">
        <v>1266</v>
      </c>
      <c r="C1084" s="188" t="s">
        <v>1267</v>
      </c>
    </row>
    <row r="1085" spans="1:4" x14ac:dyDescent="0.25">
      <c r="A1085" s="180">
        <f t="shared" si="16"/>
        <v>2220345</v>
      </c>
      <c r="B1085" s="188" t="s">
        <v>1268</v>
      </c>
      <c r="C1085" s="188" t="s">
        <v>1269</v>
      </c>
      <c r="D1085" t="s">
        <v>14909</v>
      </c>
    </row>
    <row r="1086" spans="1:4" x14ac:dyDescent="0.25">
      <c r="A1086" s="180">
        <f t="shared" si="16"/>
        <v>2220389</v>
      </c>
      <c r="B1086" s="188" t="s">
        <v>1270</v>
      </c>
      <c r="C1086" s="188" t="s">
        <v>1271</v>
      </c>
    </row>
    <row r="1087" spans="1:4" x14ac:dyDescent="0.25">
      <c r="A1087" s="180">
        <f t="shared" ref="A1087:A1150" si="17">IFERROR(B1087*1,"")</f>
        <v>2220421</v>
      </c>
      <c r="B1087" s="188" t="s">
        <v>1272</v>
      </c>
      <c r="C1087" s="188" t="s">
        <v>1273</v>
      </c>
      <c r="D1087" t="s">
        <v>14909</v>
      </c>
    </row>
    <row r="1088" spans="1:4" x14ac:dyDescent="0.25">
      <c r="A1088" s="180">
        <f t="shared" si="17"/>
        <v>2220422</v>
      </c>
      <c r="B1088" s="188" t="s">
        <v>13268</v>
      </c>
      <c r="C1088" s="188" t="s">
        <v>13269</v>
      </c>
      <c r="D1088" t="s">
        <v>14909</v>
      </c>
    </row>
    <row r="1089" spans="1:4" x14ac:dyDescent="0.25">
      <c r="A1089" s="180">
        <f t="shared" si="17"/>
        <v>2220444</v>
      </c>
      <c r="B1089" s="188" t="s">
        <v>1274</v>
      </c>
      <c r="C1089" s="188" t="s">
        <v>1275</v>
      </c>
      <c r="D1089" t="s">
        <v>14909</v>
      </c>
    </row>
    <row r="1090" spans="1:4" x14ac:dyDescent="0.25">
      <c r="A1090" s="180">
        <f t="shared" si="17"/>
        <v>2220450</v>
      </c>
      <c r="B1090" s="188" t="s">
        <v>1276</v>
      </c>
      <c r="C1090" s="188" t="s">
        <v>1277</v>
      </c>
    </row>
    <row r="1091" spans="1:4" x14ac:dyDescent="0.25">
      <c r="A1091" s="180">
        <f t="shared" si="17"/>
        <v>2220451</v>
      </c>
      <c r="B1091" s="188" t="s">
        <v>1278</v>
      </c>
      <c r="C1091" s="188" t="s">
        <v>1279</v>
      </c>
    </row>
    <row r="1092" spans="1:4" x14ac:dyDescent="0.25">
      <c r="A1092" s="180">
        <f t="shared" si="17"/>
        <v>2220456</v>
      </c>
      <c r="B1092" s="188" t="s">
        <v>1280</v>
      </c>
      <c r="C1092" s="188" t="s">
        <v>1281</v>
      </c>
      <c r="D1092" t="s">
        <v>14909</v>
      </c>
    </row>
    <row r="1093" spans="1:4" x14ac:dyDescent="0.25">
      <c r="A1093" s="180">
        <f t="shared" si="17"/>
        <v>2220520</v>
      </c>
      <c r="B1093" s="188" t="s">
        <v>1282</v>
      </c>
      <c r="C1093" s="188" t="s">
        <v>1283</v>
      </c>
      <c r="D1093" t="s">
        <v>14909</v>
      </c>
    </row>
    <row r="1094" spans="1:4" x14ac:dyDescent="0.25">
      <c r="A1094" s="180">
        <f t="shared" si="17"/>
        <v>2220555</v>
      </c>
      <c r="B1094" s="188" t="s">
        <v>1284</v>
      </c>
      <c r="C1094" s="188" t="s">
        <v>1285</v>
      </c>
    </row>
    <row r="1095" spans="1:4" x14ac:dyDescent="0.25">
      <c r="A1095" s="180">
        <f t="shared" si="17"/>
        <v>2220591</v>
      </c>
      <c r="B1095" s="188" t="s">
        <v>1286</v>
      </c>
      <c r="C1095" s="188" t="s">
        <v>1287</v>
      </c>
      <c r="D1095" t="s">
        <v>14909</v>
      </c>
    </row>
    <row r="1096" spans="1:4" x14ac:dyDescent="0.25">
      <c r="A1096" s="180">
        <f t="shared" si="17"/>
        <v>2220601</v>
      </c>
      <c r="B1096" s="188" t="s">
        <v>1288</v>
      </c>
      <c r="C1096" s="188" t="s">
        <v>1289</v>
      </c>
      <c r="D1096" t="s">
        <v>14909</v>
      </c>
    </row>
    <row r="1097" spans="1:4" x14ac:dyDescent="0.25">
      <c r="A1097" s="180">
        <f t="shared" si="17"/>
        <v>2220666</v>
      </c>
      <c r="B1097" s="188" t="s">
        <v>1290</v>
      </c>
      <c r="C1097" s="188" t="s">
        <v>1291</v>
      </c>
      <c r="D1097" t="s">
        <v>14909</v>
      </c>
    </row>
    <row r="1098" spans="1:4" x14ac:dyDescent="0.25">
      <c r="A1098" s="180">
        <f t="shared" si="17"/>
        <v>2220750</v>
      </c>
      <c r="B1098" s="188" t="s">
        <v>1292</v>
      </c>
      <c r="C1098" s="188" t="s">
        <v>1293</v>
      </c>
      <c r="D1098" t="s">
        <v>14909</v>
      </c>
    </row>
    <row r="1099" spans="1:4" x14ac:dyDescent="0.25">
      <c r="A1099" s="180">
        <f t="shared" si="17"/>
        <v>2220751</v>
      </c>
      <c r="B1099" s="188" t="s">
        <v>1294</v>
      </c>
      <c r="C1099" s="188" t="s">
        <v>1295</v>
      </c>
      <c r="D1099" t="s">
        <v>14909</v>
      </c>
    </row>
    <row r="1100" spans="1:4" x14ac:dyDescent="0.25">
      <c r="A1100" s="180">
        <f t="shared" si="17"/>
        <v>2220755</v>
      </c>
      <c r="B1100" s="188" t="s">
        <v>1296</v>
      </c>
      <c r="C1100" s="188" t="s">
        <v>1297</v>
      </c>
      <c r="D1100" t="s">
        <v>14909</v>
      </c>
    </row>
    <row r="1101" spans="1:4" x14ac:dyDescent="0.25">
      <c r="A1101" s="180">
        <f t="shared" si="17"/>
        <v>2220756</v>
      </c>
      <c r="B1101" s="188" t="s">
        <v>1298</v>
      </c>
      <c r="C1101" s="188" t="s">
        <v>1299</v>
      </c>
    </row>
    <row r="1102" spans="1:4" x14ac:dyDescent="0.25">
      <c r="A1102" s="180">
        <f t="shared" si="17"/>
        <v>2220856</v>
      </c>
      <c r="B1102" s="188" t="s">
        <v>1300</v>
      </c>
      <c r="C1102" s="188" t="s">
        <v>1301</v>
      </c>
      <c r="D1102" t="s">
        <v>14909</v>
      </c>
    </row>
    <row r="1103" spans="1:4" x14ac:dyDescent="0.25">
      <c r="A1103" s="180">
        <f t="shared" si="17"/>
        <v>2220888</v>
      </c>
      <c r="B1103" s="188" t="s">
        <v>1302</v>
      </c>
      <c r="C1103" s="188" t="s">
        <v>1303</v>
      </c>
      <c r="D1103" t="s">
        <v>14909</v>
      </c>
    </row>
    <row r="1104" spans="1:4" x14ac:dyDescent="0.25">
      <c r="A1104" s="180">
        <f t="shared" si="17"/>
        <v>2220909</v>
      </c>
      <c r="B1104" s="188" t="s">
        <v>1304</v>
      </c>
      <c r="C1104" s="188" t="s">
        <v>1305</v>
      </c>
      <c r="D1104" t="s">
        <v>14909</v>
      </c>
    </row>
    <row r="1105" spans="1:4" x14ac:dyDescent="0.25">
      <c r="A1105" s="180">
        <f t="shared" si="17"/>
        <v>2220999</v>
      </c>
      <c r="B1105" s="188" t="s">
        <v>1306</v>
      </c>
      <c r="C1105" s="188" t="s">
        <v>12780</v>
      </c>
      <c r="D1105" t="s">
        <v>14909</v>
      </c>
    </row>
    <row r="1106" spans="1:4" x14ac:dyDescent="0.25">
      <c r="A1106" s="180">
        <f t="shared" si="17"/>
        <v>2230600</v>
      </c>
      <c r="B1106" s="188" t="s">
        <v>1307</v>
      </c>
      <c r="C1106" s="188" t="s">
        <v>1308</v>
      </c>
      <c r="D1106" t="s">
        <v>14909</v>
      </c>
    </row>
    <row r="1107" spans="1:4" x14ac:dyDescent="0.25">
      <c r="A1107" s="180">
        <f t="shared" si="17"/>
        <v>2301001</v>
      </c>
      <c r="B1107" s="188" t="s">
        <v>1309</v>
      </c>
      <c r="C1107" s="188" t="s">
        <v>1310</v>
      </c>
    </row>
    <row r="1108" spans="1:4" x14ac:dyDescent="0.25">
      <c r="A1108" s="180">
        <f t="shared" si="17"/>
        <v>2301002</v>
      </c>
      <c r="B1108" s="188" t="s">
        <v>1311</v>
      </c>
      <c r="C1108" s="188" t="s">
        <v>1312</v>
      </c>
    </row>
    <row r="1109" spans="1:4" x14ac:dyDescent="0.25">
      <c r="A1109" s="180">
        <f t="shared" si="17"/>
        <v>2301003</v>
      </c>
      <c r="B1109" s="188" t="s">
        <v>13270</v>
      </c>
      <c r="C1109" s="188" t="s">
        <v>13271</v>
      </c>
      <c r="D1109" t="s">
        <v>13412</v>
      </c>
    </row>
    <row r="1110" spans="1:4" x14ac:dyDescent="0.25">
      <c r="A1110" s="180">
        <f t="shared" si="17"/>
        <v>2301004</v>
      </c>
      <c r="B1110" s="188" t="s">
        <v>13997</v>
      </c>
      <c r="C1110" s="188" t="s">
        <v>13998</v>
      </c>
    </row>
    <row r="1111" spans="1:4" x14ac:dyDescent="0.25">
      <c r="A1111" s="180">
        <f t="shared" si="17"/>
        <v>2301046</v>
      </c>
      <c r="B1111" s="188" t="s">
        <v>1313</v>
      </c>
      <c r="C1111" s="188" t="s">
        <v>1314</v>
      </c>
      <c r="D1111" t="s">
        <v>13412</v>
      </c>
    </row>
    <row r="1112" spans="1:4" x14ac:dyDescent="0.25">
      <c r="A1112" s="180">
        <f t="shared" si="17"/>
        <v>2301047</v>
      </c>
      <c r="B1112" s="188" t="s">
        <v>6863</v>
      </c>
      <c r="C1112" s="188" t="s">
        <v>6864</v>
      </c>
      <c r="D1112" t="s">
        <v>13412</v>
      </c>
    </row>
    <row r="1113" spans="1:4" x14ac:dyDescent="0.25">
      <c r="A1113" s="180">
        <f t="shared" si="17"/>
        <v>2301048</v>
      </c>
      <c r="B1113" s="188" t="s">
        <v>1315</v>
      </c>
      <c r="C1113" s="188" t="s">
        <v>1316</v>
      </c>
      <c r="D1113" t="s">
        <v>13412</v>
      </c>
    </row>
    <row r="1114" spans="1:4" x14ac:dyDescent="0.25">
      <c r="A1114" s="180">
        <f t="shared" si="17"/>
        <v>2301143</v>
      </c>
      <c r="B1114" s="188" t="s">
        <v>1317</v>
      </c>
      <c r="C1114" s="188" t="s">
        <v>1318</v>
      </c>
    </row>
    <row r="1115" spans="1:4" x14ac:dyDescent="0.25">
      <c r="A1115" s="180">
        <f t="shared" si="17"/>
        <v>2301158</v>
      </c>
      <c r="B1115" s="188" t="s">
        <v>1319</v>
      </c>
      <c r="C1115" s="188" t="s">
        <v>1320</v>
      </c>
      <c r="D1115" t="s">
        <v>13412</v>
      </c>
    </row>
    <row r="1116" spans="1:4" x14ac:dyDescent="0.25">
      <c r="A1116" s="180">
        <f t="shared" si="17"/>
        <v>2301160</v>
      </c>
      <c r="B1116" s="188" t="s">
        <v>1321</v>
      </c>
      <c r="C1116" s="188" t="s">
        <v>1322</v>
      </c>
      <c r="D1116" t="s">
        <v>13412</v>
      </c>
    </row>
    <row r="1117" spans="1:4" x14ac:dyDescent="0.25">
      <c r="A1117" s="180">
        <f t="shared" si="17"/>
        <v>2301175</v>
      </c>
      <c r="B1117" s="188" t="s">
        <v>1323</v>
      </c>
      <c r="C1117" s="188" t="s">
        <v>1324</v>
      </c>
      <c r="D1117" t="s">
        <v>13412</v>
      </c>
    </row>
    <row r="1118" spans="1:4" x14ac:dyDescent="0.25">
      <c r="A1118" s="180">
        <f t="shared" si="17"/>
        <v>2301300</v>
      </c>
      <c r="B1118" s="188" t="s">
        <v>1325</v>
      </c>
      <c r="C1118" s="188" t="s">
        <v>1326</v>
      </c>
      <c r="D1118" t="s">
        <v>13412</v>
      </c>
    </row>
    <row r="1119" spans="1:4" x14ac:dyDescent="0.25">
      <c r="A1119" s="180">
        <f t="shared" si="17"/>
        <v>2301333</v>
      </c>
      <c r="B1119" s="188" t="s">
        <v>1327</v>
      </c>
      <c r="C1119" s="188" t="s">
        <v>1328</v>
      </c>
      <c r="D1119" t="s">
        <v>13412</v>
      </c>
    </row>
    <row r="1120" spans="1:4" x14ac:dyDescent="0.25">
      <c r="A1120" s="180">
        <f t="shared" si="17"/>
        <v>2301520</v>
      </c>
      <c r="B1120" s="188" t="s">
        <v>1329</v>
      </c>
      <c r="C1120" s="188" t="s">
        <v>1330</v>
      </c>
      <c r="D1120" t="s">
        <v>13412</v>
      </c>
    </row>
    <row r="1121" spans="1:4" x14ac:dyDescent="0.25">
      <c r="A1121" s="180">
        <f t="shared" si="17"/>
        <v>2301666</v>
      </c>
      <c r="B1121" s="188" t="s">
        <v>1331</v>
      </c>
      <c r="C1121" s="188" t="s">
        <v>1332</v>
      </c>
      <c r="D1121" t="s">
        <v>13412</v>
      </c>
    </row>
    <row r="1122" spans="1:4" x14ac:dyDescent="0.25">
      <c r="A1122" s="180">
        <f t="shared" si="17"/>
        <v>2301777</v>
      </c>
      <c r="B1122" s="188" t="s">
        <v>1333</v>
      </c>
      <c r="C1122" s="188" t="s">
        <v>1334</v>
      </c>
      <c r="D1122" t="s">
        <v>13412</v>
      </c>
    </row>
    <row r="1123" spans="1:4" x14ac:dyDescent="0.25">
      <c r="A1123" s="180">
        <f t="shared" si="17"/>
        <v>2301852</v>
      </c>
      <c r="B1123" s="188" t="s">
        <v>1335</v>
      </c>
      <c r="C1123" s="188" t="s">
        <v>1336</v>
      </c>
      <c r="D1123" t="s">
        <v>13412</v>
      </c>
    </row>
    <row r="1124" spans="1:4" x14ac:dyDescent="0.25">
      <c r="A1124" s="180">
        <f t="shared" si="17"/>
        <v>2301887</v>
      </c>
      <c r="B1124" s="188" t="s">
        <v>1337</v>
      </c>
      <c r="C1124" s="188" t="s">
        <v>1338</v>
      </c>
      <c r="D1124" t="s">
        <v>13412</v>
      </c>
    </row>
    <row r="1125" spans="1:4" x14ac:dyDescent="0.25">
      <c r="A1125" s="180">
        <f t="shared" si="17"/>
        <v>2301888</v>
      </c>
      <c r="B1125" s="188" t="s">
        <v>1339</v>
      </c>
      <c r="C1125" s="188" t="s">
        <v>1340</v>
      </c>
      <c r="D1125" t="s">
        <v>13412</v>
      </c>
    </row>
    <row r="1126" spans="1:4" x14ac:dyDescent="0.25">
      <c r="A1126" s="180">
        <f t="shared" si="17"/>
        <v>2301900</v>
      </c>
      <c r="B1126" s="188" t="s">
        <v>1341</v>
      </c>
      <c r="C1126" s="188" t="s">
        <v>1342</v>
      </c>
      <c r="D1126" t="s">
        <v>13412</v>
      </c>
    </row>
    <row r="1127" spans="1:4" x14ac:dyDescent="0.25">
      <c r="A1127" s="180">
        <f t="shared" si="17"/>
        <v>2401012</v>
      </c>
      <c r="B1127" s="188" t="s">
        <v>1343</v>
      </c>
      <c r="C1127" s="188" t="s">
        <v>1344</v>
      </c>
    </row>
    <row r="1128" spans="1:4" x14ac:dyDescent="0.25">
      <c r="A1128" s="180">
        <f t="shared" si="17"/>
        <v>2401021</v>
      </c>
      <c r="B1128" s="188" t="s">
        <v>1345</v>
      </c>
      <c r="C1128" s="189" t="s">
        <v>1346</v>
      </c>
    </row>
    <row r="1129" spans="1:4" x14ac:dyDescent="0.25">
      <c r="A1129" s="180">
        <f t="shared" si="17"/>
        <v>2401022</v>
      </c>
      <c r="B1129" s="188" t="s">
        <v>1347</v>
      </c>
      <c r="C1129" s="188" t="s">
        <v>1348</v>
      </c>
      <c r="D1129" t="s">
        <v>13412</v>
      </c>
    </row>
    <row r="1130" spans="1:4" x14ac:dyDescent="0.25">
      <c r="A1130" s="180">
        <f t="shared" si="17"/>
        <v>2401023</v>
      </c>
      <c r="B1130" s="188" t="s">
        <v>1349</v>
      </c>
      <c r="C1130" s="188" t="s">
        <v>1350</v>
      </c>
    </row>
    <row r="1131" spans="1:4" x14ac:dyDescent="0.25">
      <c r="A1131" s="180">
        <f t="shared" si="17"/>
        <v>2401024</v>
      </c>
      <c r="B1131" s="188" t="s">
        <v>12781</v>
      </c>
      <c r="C1131" s="188" t="s">
        <v>12782</v>
      </c>
    </row>
    <row r="1132" spans="1:4" x14ac:dyDescent="0.25">
      <c r="A1132" s="180">
        <f t="shared" si="17"/>
        <v>2401025</v>
      </c>
      <c r="B1132" s="188" t="s">
        <v>13888</v>
      </c>
      <c r="C1132" s="188" t="s">
        <v>14938</v>
      </c>
    </row>
    <row r="1133" spans="1:4" x14ac:dyDescent="0.25">
      <c r="A1133" s="180">
        <f t="shared" si="17"/>
        <v>2401026</v>
      </c>
      <c r="B1133" s="188" t="s">
        <v>13049</v>
      </c>
      <c r="C1133" s="188" t="s">
        <v>13039</v>
      </c>
    </row>
    <row r="1134" spans="1:4" x14ac:dyDescent="0.25">
      <c r="A1134" s="180">
        <f t="shared" si="17"/>
        <v>2401027</v>
      </c>
      <c r="B1134" s="188" t="s">
        <v>14093</v>
      </c>
      <c r="C1134" s="188" t="s">
        <v>14939</v>
      </c>
      <c r="D1134" t="s">
        <v>13412</v>
      </c>
    </row>
    <row r="1135" spans="1:4" x14ac:dyDescent="0.25">
      <c r="A1135" s="180">
        <f t="shared" si="17"/>
        <v>2401028</v>
      </c>
      <c r="B1135" s="188" t="s">
        <v>14370</v>
      </c>
      <c r="C1135" s="188" t="s">
        <v>14371</v>
      </c>
      <c r="D1135" t="s">
        <v>13412</v>
      </c>
    </row>
    <row r="1136" spans="1:4" x14ac:dyDescent="0.25">
      <c r="A1136" s="180">
        <f t="shared" si="17"/>
        <v>2401029</v>
      </c>
      <c r="B1136" s="188" t="s">
        <v>15047</v>
      </c>
      <c r="C1136" s="188" t="s">
        <v>15048</v>
      </c>
    </row>
    <row r="1137" spans="1:4" x14ac:dyDescent="0.25">
      <c r="A1137" s="180">
        <f t="shared" si="17"/>
        <v>2401100</v>
      </c>
      <c r="B1137" s="188" t="s">
        <v>1351</v>
      </c>
      <c r="C1137" s="188" t="s">
        <v>1352</v>
      </c>
      <c r="D1137" t="s">
        <v>13412</v>
      </c>
    </row>
    <row r="1138" spans="1:4" x14ac:dyDescent="0.25">
      <c r="A1138" s="180">
        <f t="shared" si="17"/>
        <v>2401101</v>
      </c>
      <c r="B1138" s="188" t="s">
        <v>1353</v>
      </c>
      <c r="C1138" s="188" t="s">
        <v>1354</v>
      </c>
      <c r="D1138" t="s">
        <v>13412</v>
      </c>
    </row>
    <row r="1139" spans="1:4" x14ac:dyDescent="0.25">
      <c r="A1139" s="180">
        <f t="shared" si="17"/>
        <v>2401103</v>
      </c>
      <c r="B1139" s="188" t="s">
        <v>1355</v>
      </c>
      <c r="C1139" s="188" t="s">
        <v>1356</v>
      </c>
      <c r="D1139" t="s">
        <v>13412</v>
      </c>
    </row>
    <row r="1140" spans="1:4" x14ac:dyDescent="0.25">
      <c r="A1140" s="180">
        <f t="shared" si="17"/>
        <v>2401110</v>
      </c>
      <c r="B1140" s="188" t="s">
        <v>13272</v>
      </c>
      <c r="C1140" s="188" t="s">
        <v>13273</v>
      </c>
    </row>
    <row r="1141" spans="1:4" x14ac:dyDescent="0.25">
      <c r="A1141" s="180">
        <f t="shared" si="17"/>
        <v>2401111</v>
      </c>
      <c r="B1141" s="188" t="s">
        <v>13274</v>
      </c>
      <c r="C1141" s="188" t="s">
        <v>13275</v>
      </c>
    </row>
    <row r="1142" spans="1:4" x14ac:dyDescent="0.25">
      <c r="A1142" s="180">
        <f t="shared" si="17"/>
        <v>2401112</v>
      </c>
      <c r="B1142" s="188" t="s">
        <v>13999</v>
      </c>
      <c r="C1142" s="188" t="s">
        <v>14000</v>
      </c>
      <c r="D1142" t="s">
        <v>13412</v>
      </c>
    </row>
    <row r="1143" spans="1:4" x14ac:dyDescent="0.25">
      <c r="A1143" s="180">
        <f t="shared" si="17"/>
        <v>2401123</v>
      </c>
      <c r="B1143" s="188" t="s">
        <v>1357</v>
      </c>
      <c r="C1143" s="188" t="s">
        <v>1358</v>
      </c>
    </row>
    <row r="1144" spans="1:4" x14ac:dyDescent="0.25">
      <c r="A1144" s="180">
        <f t="shared" si="17"/>
        <v>2401200</v>
      </c>
      <c r="B1144" s="188" t="s">
        <v>1359</v>
      </c>
      <c r="C1144" s="188" t="s">
        <v>1360</v>
      </c>
    </row>
    <row r="1145" spans="1:4" x14ac:dyDescent="0.25">
      <c r="A1145" s="180">
        <f t="shared" si="17"/>
        <v>2401201</v>
      </c>
      <c r="B1145" s="188" t="s">
        <v>1361</v>
      </c>
      <c r="C1145" s="188" t="s">
        <v>1362</v>
      </c>
    </row>
    <row r="1146" spans="1:4" x14ac:dyDescent="0.25">
      <c r="A1146" s="180">
        <f t="shared" si="17"/>
        <v>2401242</v>
      </c>
      <c r="B1146" s="188" t="s">
        <v>1363</v>
      </c>
      <c r="C1146" s="188" t="s">
        <v>1364</v>
      </c>
      <c r="D1146" t="s">
        <v>13412</v>
      </c>
    </row>
    <row r="1147" spans="1:4" x14ac:dyDescent="0.25">
      <c r="A1147" s="180">
        <f t="shared" si="17"/>
        <v>2401249</v>
      </c>
      <c r="B1147" s="188" t="s">
        <v>1365</v>
      </c>
      <c r="C1147" s="188" t="s">
        <v>1366</v>
      </c>
      <c r="D1147" t="s">
        <v>13412</v>
      </c>
    </row>
    <row r="1148" spans="1:4" x14ac:dyDescent="0.25">
      <c r="A1148" s="180">
        <f t="shared" si="17"/>
        <v>2401250</v>
      </c>
      <c r="B1148" s="188" t="s">
        <v>1367</v>
      </c>
      <c r="C1148" s="188" t="s">
        <v>1368</v>
      </c>
    </row>
    <row r="1149" spans="1:4" x14ac:dyDescent="0.25">
      <c r="A1149" s="180">
        <f t="shared" si="17"/>
        <v>2401258</v>
      </c>
      <c r="B1149" s="188" t="s">
        <v>1369</v>
      </c>
      <c r="C1149" s="188" t="s">
        <v>1370</v>
      </c>
      <c r="D1149" t="s">
        <v>14925</v>
      </c>
    </row>
    <row r="1150" spans="1:4" x14ac:dyDescent="0.25">
      <c r="A1150" s="180">
        <f t="shared" si="17"/>
        <v>2401260</v>
      </c>
      <c r="B1150" s="188" t="s">
        <v>1371</v>
      </c>
      <c r="C1150" s="188" t="s">
        <v>1372</v>
      </c>
    </row>
    <row r="1151" spans="1:4" x14ac:dyDescent="0.25">
      <c r="A1151" s="180">
        <f t="shared" ref="A1151:A1214" si="18">IFERROR(B1151*1,"")</f>
        <v>2401298</v>
      </c>
      <c r="B1151" s="188" t="s">
        <v>1373</v>
      </c>
      <c r="C1151" s="188" t="s">
        <v>1374</v>
      </c>
      <c r="D1151" t="s">
        <v>13412</v>
      </c>
    </row>
    <row r="1152" spans="1:4" x14ac:dyDescent="0.25">
      <c r="A1152" s="180">
        <f t="shared" si="18"/>
        <v>2401350</v>
      </c>
      <c r="B1152" s="188" t="s">
        <v>1375</v>
      </c>
      <c r="C1152" s="188" t="s">
        <v>1376</v>
      </c>
      <c r="D1152" t="s">
        <v>13412</v>
      </c>
    </row>
    <row r="1153" spans="1:4" x14ac:dyDescent="0.25">
      <c r="A1153" s="180">
        <f t="shared" si="18"/>
        <v>2401550</v>
      </c>
      <c r="B1153" s="188" t="s">
        <v>1377</v>
      </c>
      <c r="C1153" s="188" t="s">
        <v>1378</v>
      </c>
      <c r="D1153" t="s">
        <v>13412</v>
      </c>
    </row>
    <row r="1154" spans="1:4" x14ac:dyDescent="0.25">
      <c r="A1154" s="180">
        <f t="shared" si="18"/>
        <v>2401555</v>
      </c>
      <c r="B1154" s="188" t="s">
        <v>1379</v>
      </c>
      <c r="C1154" s="188" t="s">
        <v>1380</v>
      </c>
    </row>
    <row r="1155" spans="1:4" x14ac:dyDescent="0.25">
      <c r="A1155" s="180">
        <f t="shared" si="18"/>
        <v>2401584</v>
      </c>
      <c r="B1155" s="188" t="s">
        <v>1381</v>
      </c>
      <c r="C1155" s="189" t="s">
        <v>1382</v>
      </c>
      <c r="D1155" t="s">
        <v>13412</v>
      </c>
    </row>
    <row r="1156" spans="1:4" x14ac:dyDescent="0.25">
      <c r="A1156" s="180">
        <f t="shared" si="18"/>
        <v>2401585</v>
      </c>
      <c r="B1156" s="188" t="s">
        <v>14001</v>
      </c>
      <c r="C1156" s="188" t="s">
        <v>14002</v>
      </c>
    </row>
    <row r="1157" spans="1:4" x14ac:dyDescent="0.25">
      <c r="A1157" s="180">
        <f t="shared" si="18"/>
        <v>2401700</v>
      </c>
      <c r="B1157" s="188" t="s">
        <v>15049</v>
      </c>
      <c r="C1157" s="189" t="s">
        <v>15050</v>
      </c>
      <c r="D1157" t="s">
        <v>13412</v>
      </c>
    </row>
    <row r="1158" spans="1:4" x14ac:dyDescent="0.25">
      <c r="A1158" s="180">
        <f t="shared" si="18"/>
        <v>2401800</v>
      </c>
      <c r="B1158" s="188" t="s">
        <v>1383</v>
      </c>
      <c r="C1158" s="188" t="s">
        <v>1384</v>
      </c>
      <c r="D1158" t="s">
        <v>13412</v>
      </c>
    </row>
    <row r="1159" spans="1:4" x14ac:dyDescent="0.25">
      <c r="A1159" s="180">
        <f t="shared" si="18"/>
        <v>2401803</v>
      </c>
      <c r="B1159" s="188" t="s">
        <v>1385</v>
      </c>
      <c r="C1159" s="189" t="s">
        <v>13276</v>
      </c>
      <c r="D1159" t="s">
        <v>13412</v>
      </c>
    </row>
    <row r="1160" spans="1:4" x14ac:dyDescent="0.25">
      <c r="A1160" s="180" t="str">
        <f t="shared" si="18"/>
        <v/>
      </c>
      <c r="B1160" s="188" t="s">
        <v>13050</v>
      </c>
      <c r="C1160" s="188"/>
    </row>
    <row r="1161" spans="1:4" x14ac:dyDescent="0.25">
      <c r="A1161" s="180">
        <f t="shared" si="18"/>
        <v>2401805</v>
      </c>
      <c r="B1161" s="188" t="s">
        <v>1386</v>
      </c>
      <c r="C1161" s="189" t="s">
        <v>1387</v>
      </c>
      <c r="D1161" t="s">
        <v>13412</v>
      </c>
    </row>
    <row r="1162" spans="1:4" x14ac:dyDescent="0.25">
      <c r="A1162" s="180">
        <f t="shared" si="18"/>
        <v>2401806</v>
      </c>
      <c r="B1162" s="188" t="s">
        <v>1388</v>
      </c>
      <c r="C1162" s="188" t="s">
        <v>1389</v>
      </c>
      <c r="D1162" t="s">
        <v>13412</v>
      </c>
    </row>
    <row r="1163" spans="1:4" x14ac:dyDescent="0.25">
      <c r="A1163" s="180">
        <f t="shared" si="18"/>
        <v>2601003</v>
      </c>
      <c r="B1163" s="188" t="s">
        <v>1390</v>
      </c>
      <c r="C1163" s="188" t="s">
        <v>1391</v>
      </c>
      <c r="D1163" t="s">
        <v>13412</v>
      </c>
    </row>
    <row r="1164" spans="1:4" x14ac:dyDescent="0.25">
      <c r="A1164" s="180">
        <f t="shared" si="18"/>
        <v>2601004</v>
      </c>
      <c r="B1164" s="188" t="s">
        <v>1392</v>
      </c>
      <c r="C1164" s="188" t="s">
        <v>1393</v>
      </c>
      <c r="D1164" t="s">
        <v>13412</v>
      </c>
    </row>
    <row r="1165" spans="1:4" x14ac:dyDescent="0.25">
      <c r="A1165" s="180">
        <f t="shared" si="18"/>
        <v>2601007</v>
      </c>
      <c r="B1165" s="188" t="s">
        <v>13277</v>
      </c>
      <c r="C1165" s="188" t="s">
        <v>14372</v>
      </c>
      <c r="D1165" t="s">
        <v>14909</v>
      </c>
    </row>
    <row r="1166" spans="1:4" x14ac:dyDescent="0.25">
      <c r="A1166" s="180">
        <f t="shared" si="18"/>
        <v>2601008</v>
      </c>
      <c r="B1166" s="188" t="s">
        <v>14094</v>
      </c>
      <c r="C1166" s="188" t="s">
        <v>14095</v>
      </c>
      <c r="D1166" t="s">
        <v>13412</v>
      </c>
    </row>
    <row r="1167" spans="1:4" x14ac:dyDescent="0.25">
      <c r="A1167" s="180">
        <f t="shared" si="18"/>
        <v>2601009</v>
      </c>
      <c r="B1167" s="188" t="s">
        <v>14373</v>
      </c>
      <c r="C1167" s="188" t="s">
        <v>14374</v>
      </c>
      <c r="D1167" t="s">
        <v>13412</v>
      </c>
    </row>
    <row r="1168" spans="1:4" x14ac:dyDescent="0.25">
      <c r="A1168" s="180">
        <f t="shared" si="18"/>
        <v>2601010</v>
      </c>
      <c r="B1168" s="188" t="s">
        <v>14375</v>
      </c>
      <c r="C1168" s="188" t="s">
        <v>14376</v>
      </c>
      <c r="D1168" t="s">
        <v>13412</v>
      </c>
    </row>
    <row r="1169" spans="1:4" x14ac:dyDescent="0.25">
      <c r="A1169" s="180">
        <f t="shared" si="18"/>
        <v>2601011</v>
      </c>
      <c r="B1169" s="188" t="s">
        <v>14878</v>
      </c>
      <c r="C1169" s="188" t="s">
        <v>14879</v>
      </c>
      <c r="D1169" t="s">
        <v>13412</v>
      </c>
    </row>
    <row r="1170" spans="1:4" x14ac:dyDescent="0.25">
      <c r="A1170" s="180">
        <f t="shared" si="18"/>
        <v>2601495</v>
      </c>
      <c r="B1170" s="188" t="s">
        <v>1394</v>
      </c>
      <c r="C1170" s="188" t="s">
        <v>1395</v>
      </c>
      <c r="D1170" t="s">
        <v>13412</v>
      </c>
    </row>
    <row r="1171" spans="1:4" x14ac:dyDescent="0.25">
      <c r="A1171" s="180">
        <f t="shared" si="18"/>
        <v>2601496</v>
      </c>
      <c r="B1171" s="188" t="s">
        <v>1396</v>
      </c>
      <c r="C1171" s="188" t="s">
        <v>1397</v>
      </c>
      <c r="D1171" t="s">
        <v>13412</v>
      </c>
    </row>
    <row r="1172" spans="1:4" x14ac:dyDescent="0.25">
      <c r="A1172" s="180">
        <f t="shared" si="18"/>
        <v>2601594</v>
      </c>
      <c r="B1172" s="188" t="s">
        <v>1398</v>
      </c>
      <c r="C1172" s="188" t="s">
        <v>1399</v>
      </c>
      <c r="D1172" t="s">
        <v>13412</v>
      </c>
    </row>
    <row r="1173" spans="1:4" x14ac:dyDescent="0.25">
      <c r="A1173" s="180">
        <f t="shared" si="18"/>
        <v>2601695</v>
      </c>
      <c r="B1173" s="188" t="s">
        <v>14880</v>
      </c>
      <c r="C1173" s="188" t="s">
        <v>14881</v>
      </c>
      <c r="D1173" t="s">
        <v>13412</v>
      </c>
    </row>
    <row r="1174" spans="1:4" x14ac:dyDescent="0.25">
      <c r="A1174" s="180">
        <f t="shared" si="18"/>
        <v>2601696</v>
      </c>
      <c r="B1174" s="188" t="s">
        <v>14882</v>
      </c>
      <c r="C1174" s="188" t="s">
        <v>14883</v>
      </c>
      <c r="D1174" t="s">
        <v>13412</v>
      </c>
    </row>
    <row r="1175" spans="1:4" x14ac:dyDescent="0.25">
      <c r="A1175" s="180">
        <f t="shared" si="18"/>
        <v>2601750</v>
      </c>
      <c r="B1175" s="188" t="s">
        <v>1400</v>
      </c>
      <c r="C1175" s="188" t="s">
        <v>1401</v>
      </c>
      <c r="D1175" t="s">
        <v>13412</v>
      </c>
    </row>
    <row r="1176" spans="1:4" x14ac:dyDescent="0.25">
      <c r="A1176" s="180">
        <f t="shared" si="18"/>
        <v>2601850</v>
      </c>
      <c r="B1176" s="188" t="s">
        <v>1402</v>
      </c>
      <c r="C1176" s="188" t="s">
        <v>1403</v>
      </c>
      <c r="D1176" t="s">
        <v>13412</v>
      </c>
    </row>
    <row r="1177" spans="1:4" x14ac:dyDescent="0.25">
      <c r="A1177" s="180">
        <f t="shared" si="18"/>
        <v>2601851</v>
      </c>
      <c r="B1177" s="188" t="s">
        <v>1404</v>
      </c>
      <c r="C1177" s="188" t="s">
        <v>1405</v>
      </c>
      <c r="D1177" t="s">
        <v>13412</v>
      </c>
    </row>
    <row r="1178" spans="1:4" x14ac:dyDescent="0.25">
      <c r="A1178" s="180">
        <f t="shared" si="18"/>
        <v>2601888</v>
      </c>
      <c r="B1178" s="188" t="s">
        <v>1406</v>
      </c>
      <c r="C1178" s="188" t="s">
        <v>1407</v>
      </c>
      <c r="D1178" t="s">
        <v>13412</v>
      </c>
    </row>
    <row r="1179" spans="1:4" x14ac:dyDescent="0.25">
      <c r="A1179" s="180">
        <f t="shared" si="18"/>
        <v>2601900</v>
      </c>
      <c r="B1179" s="188" t="s">
        <v>1408</v>
      </c>
      <c r="C1179" s="188" t="s">
        <v>1409</v>
      </c>
      <c r="D1179" t="s">
        <v>13412</v>
      </c>
    </row>
    <row r="1180" spans="1:4" x14ac:dyDescent="0.25">
      <c r="A1180" s="180">
        <f t="shared" si="18"/>
        <v>2601901</v>
      </c>
      <c r="B1180" s="188" t="s">
        <v>1410</v>
      </c>
      <c r="C1180" s="188" t="s">
        <v>1411</v>
      </c>
      <c r="D1180" t="s">
        <v>13412</v>
      </c>
    </row>
    <row r="1181" spans="1:4" x14ac:dyDescent="0.25">
      <c r="A1181" s="180">
        <f t="shared" si="18"/>
        <v>2727030</v>
      </c>
      <c r="B1181" s="188" t="s">
        <v>1412</v>
      </c>
      <c r="C1181" s="188" t="s">
        <v>1413</v>
      </c>
    </row>
    <row r="1182" spans="1:4" x14ac:dyDescent="0.25">
      <c r="A1182" s="180">
        <f t="shared" si="18"/>
        <v>2846646</v>
      </c>
      <c r="B1182" s="188" t="s">
        <v>1414</v>
      </c>
      <c r="C1182" s="188" t="s">
        <v>1415</v>
      </c>
      <c r="D1182" t="s">
        <v>13411</v>
      </c>
    </row>
    <row r="1183" spans="1:4" x14ac:dyDescent="0.25">
      <c r="A1183" s="180">
        <f t="shared" si="18"/>
        <v>2849103</v>
      </c>
      <c r="B1183" s="188" t="s">
        <v>1416</v>
      </c>
      <c r="C1183" s="188" t="s">
        <v>1417</v>
      </c>
    </row>
    <row r="1184" spans="1:4" x14ac:dyDescent="0.25">
      <c r="A1184" s="180">
        <f t="shared" si="18"/>
        <v>2849225</v>
      </c>
      <c r="B1184" s="188" t="s">
        <v>1418</v>
      </c>
      <c r="C1184" s="188" t="s">
        <v>1419</v>
      </c>
    </row>
    <row r="1185" spans="1:3" x14ac:dyDescent="0.25">
      <c r="A1185" s="180">
        <f t="shared" si="18"/>
        <v>2849230</v>
      </c>
      <c r="B1185" s="188" t="s">
        <v>1420</v>
      </c>
      <c r="C1185" s="188" t="s">
        <v>1421</v>
      </c>
    </row>
    <row r="1186" spans="1:3" x14ac:dyDescent="0.25">
      <c r="A1186" s="180">
        <f t="shared" si="18"/>
        <v>2849231</v>
      </c>
      <c r="B1186" s="188" t="s">
        <v>1422</v>
      </c>
      <c r="C1186" s="188" t="s">
        <v>1423</v>
      </c>
    </row>
    <row r="1187" spans="1:3" x14ac:dyDescent="0.25">
      <c r="A1187" s="180">
        <f t="shared" si="18"/>
        <v>2849232</v>
      </c>
      <c r="B1187" s="188" t="s">
        <v>1424</v>
      </c>
      <c r="C1187" s="188" t="s">
        <v>1425</v>
      </c>
    </row>
    <row r="1188" spans="1:3" x14ac:dyDescent="0.25">
      <c r="A1188" s="180">
        <f t="shared" si="18"/>
        <v>2849233</v>
      </c>
      <c r="B1188" s="188" t="s">
        <v>1426</v>
      </c>
      <c r="C1188" s="188" t="s">
        <v>1427</v>
      </c>
    </row>
    <row r="1189" spans="1:3" x14ac:dyDescent="0.25">
      <c r="A1189" s="180">
        <f t="shared" si="18"/>
        <v>2849238</v>
      </c>
      <c r="B1189" s="188" t="s">
        <v>1428</v>
      </c>
      <c r="C1189" s="188" t="s">
        <v>1429</v>
      </c>
    </row>
    <row r="1190" spans="1:3" x14ac:dyDescent="0.25">
      <c r="A1190" s="180">
        <f t="shared" si="18"/>
        <v>2849250</v>
      </c>
      <c r="B1190" s="188" t="s">
        <v>1430</v>
      </c>
      <c r="C1190" s="188" t="s">
        <v>1431</v>
      </c>
    </row>
    <row r="1191" spans="1:3" x14ac:dyDescent="0.25">
      <c r="A1191" s="180">
        <f t="shared" si="18"/>
        <v>2849302</v>
      </c>
      <c r="B1191" s="188" t="s">
        <v>1432</v>
      </c>
      <c r="C1191" s="188" t="s">
        <v>1433</v>
      </c>
    </row>
    <row r="1192" spans="1:3" x14ac:dyDescent="0.25">
      <c r="A1192" s="180">
        <f t="shared" si="18"/>
        <v>2849304</v>
      </c>
      <c r="B1192" s="188" t="s">
        <v>1434</v>
      </c>
      <c r="C1192" s="188" t="s">
        <v>1435</v>
      </c>
    </row>
    <row r="1193" spans="1:3" x14ac:dyDescent="0.25">
      <c r="A1193" s="180">
        <f t="shared" si="18"/>
        <v>2849361</v>
      </c>
      <c r="B1193" s="188" t="s">
        <v>1436</v>
      </c>
      <c r="C1193" s="188" t="s">
        <v>1437</v>
      </c>
    </row>
    <row r="1194" spans="1:3" x14ac:dyDescent="0.25">
      <c r="A1194" s="180">
        <f t="shared" si="18"/>
        <v>2849425</v>
      </c>
      <c r="B1194" s="188" t="s">
        <v>1438</v>
      </c>
      <c r="C1194" s="188" t="s">
        <v>1439</v>
      </c>
    </row>
    <row r="1195" spans="1:3" x14ac:dyDescent="0.25">
      <c r="A1195" s="180">
        <f t="shared" si="18"/>
        <v>2849437</v>
      </c>
      <c r="B1195" s="188" t="s">
        <v>1440</v>
      </c>
      <c r="C1195" s="188" t="s">
        <v>1441</v>
      </c>
    </row>
    <row r="1196" spans="1:3" x14ac:dyDescent="0.25">
      <c r="A1196" s="180">
        <f t="shared" si="18"/>
        <v>2849438</v>
      </c>
      <c r="B1196" s="188" t="s">
        <v>1442</v>
      </c>
      <c r="C1196" s="188" t="s">
        <v>1443</v>
      </c>
    </row>
    <row r="1197" spans="1:3" x14ac:dyDescent="0.25">
      <c r="A1197" s="180">
        <f t="shared" si="18"/>
        <v>2849450</v>
      </c>
      <c r="B1197" s="188" t="s">
        <v>1444</v>
      </c>
      <c r="C1197" s="188" t="s">
        <v>1445</v>
      </c>
    </row>
    <row r="1198" spans="1:3" x14ac:dyDescent="0.25">
      <c r="A1198" s="180">
        <f t="shared" si="18"/>
        <v>2849505</v>
      </c>
      <c r="B1198" s="188" t="s">
        <v>1446</v>
      </c>
      <c r="C1198" s="188" t="s">
        <v>1447</v>
      </c>
    </row>
    <row r="1199" spans="1:3" x14ac:dyDescent="0.25">
      <c r="A1199" s="180">
        <f t="shared" si="18"/>
        <v>2849525</v>
      </c>
      <c r="B1199" s="188" t="s">
        <v>1448</v>
      </c>
      <c r="C1199" s="188" t="s">
        <v>1449</v>
      </c>
    </row>
    <row r="1200" spans="1:3" x14ac:dyDescent="0.25">
      <c r="A1200" s="180">
        <f t="shared" si="18"/>
        <v>2849538</v>
      </c>
      <c r="B1200" s="188" t="s">
        <v>1450</v>
      </c>
      <c r="C1200" s="188" t="s">
        <v>1451</v>
      </c>
    </row>
    <row r="1201" spans="1:4" x14ac:dyDescent="0.25">
      <c r="A1201" s="180">
        <f t="shared" si="18"/>
        <v>2849549</v>
      </c>
      <c r="B1201" s="188" t="s">
        <v>12647</v>
      </c>
      <c r="C1201" s="188" t="s">
        <v>12648</v>
      </c>
      <c r="D1201" t="s">
        <v>13411</v>
      </c>
    </row>
    <row r="1202" spans="1:4" x14ac:dyDescent="0.25">
      <c r="A1202" s="180">
        <f t="shared" si="18"/>
        <v>2849612</v>
      </c>
      <c r="B1202" s="188" t="s">
        <v>1452</v>
      </c>
      <c r="C1202" s="188" t="s">
        <v>1453</v>
      </c>
    </row>
    <row r="1203" spans="1:4" x14ac:dyDescent="0.25">
      <c r="A1203" s="180">
        <f t="shared" si="18"/>
        <v>2849646</v>
      </c>
      <c r="B1203" s="188" t="s">
        <v>1454</v>
      </c>
      <c r="C1203" s="188" t="s">
        <v>1455</v>
      </c>
    </row>
    <row r="1204" spans="1:4" x14ac:dyDescent="0.25">
      <c r="A1204" s="180">
        <f t="shared" si="18"/>
        <v>2849647</v>
      </c>
      <c r="B1204" s="188" t="s">
        <v>1456</v>
      </c>
      <c r="C1204" s="188" t="s">
        <v>1457</v>
      </c>
    </row>
    <row r="1205" spans="1:4" x14ac:dyDescent="0.25">
      <c r="A1205" s="180">
        <f t="shared" si="18"/>
        <v>2849648</v>
      </c>
      <c r="B1205" s="188" t="s">
        <v>1458</v>
      </c>
      <c r="C1205" s="188" t="s">
        <v>1459</v>
      </c>
    </row>
    <row r="1206" spans="1:4" x14ac:dyDescent="0.25">
      <c r="A1206" s="180">
        <f t="shared" si="18"/>
        <v>2849736</v>
      </c>
      <c r="B1206" s="188" t="s">
        <v>1460</v>
      </c>
      <c r="C1206" s="188" t="s">
        <v>1461</v>
      </c>
    </row>
    <row r="1207" spans="1:4" x14ac:dyDescent="0.25">
      <c r="A1207" s="180">
        <f t="shared" si="18"/>
        <v>2849737</v>
      </c>
      <c r="B1207" s="188" t="s">
        <v>1462</v>
      </c>
      <c r="C1207" s="189" t="s">
        <v>1463</v>
      </c>
    </row>
    <row r="1208" spans="1:4" x14ac:dyDescent="0.25">
      <c r="A1208" s="180">
        <f t="shared" si="18"/>
        <v>2849738</v>
      </c>
      <c r="B1208" s="188" t="s">
        <v>1464</v>
      </c>
      <c r="C1208" s="188" t="s">
        <v>1465</v>
      </c>
    </row>
    <row r="1209" spans="1:4" x14ac:dyDescent="0.25">
      <c r="A1209" s="180">
        <f t="shared" si="18"/>
        <v>2849907</v>
      </c>
      <c r="B1209" s="188" t="s">
        <v>1466</v>
      </c>
      <c r="C1209" s="188" t="s">
        <v>1467</v>
      </c>
    </row>
    <row r="1210" spans="1:4" x14ac:dyDescent="0.25">
      <c r="A1210" s="180" t="str">
        <f t="shared" si="18"/>
        <v/>
      </c>
      <c r="B1210" s="188" t="s">
        <v>13051</v>
      </c>
      <c r="C1210" s="188"/>
    </row>
    <row r="1211" spans="1:4" x14ac:dyDescent="0.25">
      <c r="A1211" s="180">
        <f t="shared" si="18"/>
        <v>3</v>
      </c>
      <c r="B1211" s="188" t="s">
        <v>1468</v>
      </c>
      <c r="C1211" s="188" t="s">
        <v>1469</v>
      </c>
    </row>
    <row r="1212" spans="1:4" x14ac:dyDescent="0.25">
      <c r="A1212" s="180" t="str">
        <f t="shared" si="18"/>
        <v/>
      </c>
      <c r="B1212" s="188" t="s">
        <v>1470</v>
      </c>
      <c r="C1212" s="188" t="s">
        <v>1471</v>
      </c>
    </row>
    <row r="1213" spans="1:4" x14ac:dyDescent="0.25">
      <c r="A1213" s="180">
        <f t="shared" si="18"/>
        <v>3101019</v>
      </c>
      <c r="B1213" s="188" t="s">
        <v>14231</v>
      </c>
      <c r="C1213" s="188" t="s">
        <v>14232</v>
      </c>
    </row>
    <row r="1214" spans="1:4" x14ac:dyDescent="0.25">
      <c r="A1214" s="180">
        <f t="shared" si="18"/>
        <v>3101024</v>
      </c>
      <c r="B1214" s="188" t="s">
        <v>1472</v>
      </c>
      <c r="C1214" s="188" t="s">
        <v>1473</v>
      </c>
      <c r="D1214" t="s">
        <v>13412</v>
      </c>
    </row>
    <row r="1215" spans="1:4" x14ac:dyDescent="0.25">
      <c r="A1215" s="180">
        <f t="shared" ref="A1215:A1278" si="19">IFERROR(B1215*1,"")</f>
        <v>3101025</v>
      </c>
      <c r="B1215" s="188" t="s">
        <v>1474</v>
      </c>
      <c r="C1215" s="188" t="s">
        <v>1475</v>
      </c>
      <c r="D1215" t="s">
        <v>14909</v>
      </c>
    </row>
    <row r="1216" spans="1:4" x14ac:dyDescent="0.25">
      <c r="A1216" s="180">
        <f t="shared" si="19"/>
        <v>3101027</v>
      </c>
      <c r="B1216" s="188" t="s">
        <v>1476</v>
      </c>
      <c r="C1216" s="188" t="s">
        <v>1477</v>
      </c>
    </row>
    <row r="1217" spans="1:4" x14ac:dyDescent="0.25">
      <c r="A1217" s="180">
        <f t="shared" si="19"/>
        <v>3101028</v>
      </c>
      <c r="B1217" s="188" t="s">
        <v>1478</v>
      </c>
      <c r="C1217" s="188" t="s">
        <v>1479</v>
      </c>
    </row>
    <row r="1218" spans="1:4" x14ac:dyDescent="0.25">
      <c r="A1218" s="180">
        <f t="shared" si="19"/>
        <v>3101097</v>
      </c>
      <c r="B1218" s="188" t="s">
        <v>14233</v>
      </c>
      <c r="C1218" s="188" t="s">
        <v>14234</v>
      </c>
    </row>
    <row r="1219" spans="1:4" x14ac:dyDescent="0.25">
      <c r="A1219" s="180">
        <f t="shared" si="19"/>
        <v>3101100</v>
      </c>
      <c r="B1219" s="188" t="s">
        <v>1480</v>
      </c>
      <c r="C1219" s="188" t="s">
        <v>1481</v>
      </c>
      <c r="D1219" t="s">
        <v>13412</v>
      </c>
    </row>
    <row r="1220" spans="1:4" x14ac:dyDescent="0.25">
      <c r="A1220" s="180">
        <f t="shared" si="19"/>
        <v>3101101</v>
      </c>
      <c r="B1220" s="188" t="s">
        <v>1482</v>
      </c>
      <c r="C1220" s="188" t="s">
        <v>1483</v>
      </c>
      <c r="D1220" t="s">
        <v>13412</v>
      </c>
    </row>
    <row r="1221" spans="1:4" x14ac:dyDescent="0.25">
      <c r="A1221" s="180">
        <f t="shared" si="19"/>
        <v>3101102</v>
      </c>
      <c r="B1221" s="188" t="s">
        <v>1484</v>
      </c>
      <c r="C1221" s="188" t="s">
        <v>1485</v>
      </c>
      <c r="D1221" t="s">
        <v>13412</v>
      </c>
    </row>
    <row r="1222" spans="1:4" x14ac:dyDescent="0.25">
      <c r="A1222" s="180">
        <f t="shared" si="19"/>
        <v>3101103</v>
      </c>
      <c r="B1222" s="188" t="s">
        <v>1486</v>
      </c>
      <c r="C1222" s="188" t="s">
        <v>1487</v>
      </c>
      <c r="D1222" t="s">
        <v>14909</v>
      </c>
    </row>
    <row r="1223" spans="1:4" x14ac:dyDescent="0.25">
      <c r="A1223" s="180">
        <f t="shared" si="19"/>
        <v>3101150</v>
      </c>
      <c r="B1223" s="188" t="s">
        <v>14235</v>
      </c>
      <c r="C1223" s="188" t="s">
        <v>14236</v>
      </c>
    </row>
    <row r="1224" spans="1:4" x14ac:dyDescent="0.25">
      <c r="A1224" s="180">
        <f t="shared" si="19"/>
        <v>3101154</v>
      </c>
      <c r="B1224" s="188" t="s">
        <v>14237</v>
      </c>
      <c r="C1224" s="188" t="s">
        <v>14238</v>
      </c>
    </row>
    <row r="1225" spans="1:4" x14ac:dyDescent="0.25">
      <c r="A1225" s="180">
        <f t="shared" si="19"/>
        <v>3101370</v>
      </c>
      <c r="B1225" s="188" t="s">
        <v>1488</v>
      </c>
      <c r="C1225" s="188" t="s">
        <v>1489</v>
      </c>
      <c r="D1225" t="s">
        <v>13412</v>
      </c>
    </row>
    <row r="1226" spans="1:4" x14ac:dyDescent="0.25">
      <c r="A1226" s="180">
        <f t="shared" si="19"/>
        <v>3101485</v>
      </c>
      <c r="B1226" s="188" t="s">
        <v>1490</v>
      </c>
      <c r="C1226" s="188" t="s">
        <v>1491</v>
      </c>
      <c r="D1226" t="s">
        <v>14909</v>
      </c>
    </row>
    <row r="1227" spans="1:4" x14ac:dyDescent="0.25">
      <c r="A1227" s="180">
        <f t="shared" si="19"/>
        <v>3101486</v>
      </c>
      <c r="B1227" s="188" t="s">
        <v>1492</v>
      </c>
      <c r="C1227" s="188" t="s">
        <v>1493</v>
      </c>
      <c r="D1227" t="s">
        <v>13411</v>
      </c>
    </row>
    <row r="1228" spans="1:4" x14ac:dyDescent="0.25">
      <c r="A1228" s="180">
        <f t="shared" si="19"/>
        <v>3101487</v>
      </c>
      <c r="B1228" s="188" t="s">
        <v>1494</v>
      </c>
      <c r="C1228" s="188" t="s">
        <v>1495</v>
      </c>
      <c r="D1228" t="s">
        <v>14909</v>
      </c>
    </row>
    <row r="1229" spans="1:4" x14ac:dyDescent="0.25">
      <c r="A1229" s="180">
        <f t="shared" si="19"/>
        <v>3101488</v>
      </c>
      <c r="B1229" s="188" t="s">
        <v>14377</v>
      </c>
      <c r="C1229" s="188" t="s">
        <v>14378</v>
      </c>
    </row>
    <row r="1230" spans="1:4" x14ac:dyDescent="0.25">
      <c r="A1230" s="180">
        <f t="shared" si="19"/>
        <v>3101489</v>
      </c>
      <c r="B1230" s="188" t="s">
        <v>6865</v>
      </c>
      <c r="C1230" s="188" t="s">
        <v>13278</v>
      </c>
      <c r="D1230" t="s">
        <v>14909</v>
      </c>
    </row>
    <row r="1231" spans="1:4" x14ac:dyDescent="0.25">
      <c r="A1231" s="180">
        <f t="shared" si="19"/>
        <v>3101490</v>
      </c>
      <c r="B1231" s="188" t="s">
        <v>14379</v>
      </c>
      <c r="C1231" s="188" t="s">
        <v>14380</v>
      </c>
    </row>
    <row r="1232" spans="1:4" x14ac:dyDescent="0.25">
      <c r="A1232" s="180">
        <f t="shared" si="19"/>
        <v>3101491</v>
      </c>
      <c r="B1232" s="188" t="s">
        <v>14381</v>
      </c>
      <c r="C1232" s="188" t="s">
        <v>14382</v>
      </c>
    </row>
    <row r="1233" spans="1:4" x14ac:dyDescent="0.25">
      <c r="A1233" s="180">
        <f t="shared" si="19"/>
        <v>3101492</v>
      </c>
      <c r="B1233" s="188" t="s">
        <v>14383</v>
      </c>
      <c r="C1233" s="188" t="s">
        <v>14384</v>
      </c>
    </row>
    <row r="1234" spans="1:4" x14ac:dyDescent="0.25">
      <c r="A1234" s="180">
        <f t="shared" si="19"/>
        <v>3101493</v>
      </c>
      <c r="B1234" s="188" t="s">
        <v>14385</v>
      </c>
      <c r="C1234" s="188" t="s">
        <v>14386</v>
      </c>
    </row>
    <row r="1235" spans="1:4" x14ac:dyDescent="0.25">
      <c r="A1235" s="180">
        <f t="shared" si="19"/>
        <v>3101555</v>
      </c>
      <c r="B1235" s="188" t="s">
        <v>1496</v>
      </c>
      <c r="C1235" s="188" t="s">
        <v>1497</v>
      </c>
      <c r="D1235" t="s">
        <v>13412</v>
      </c>
    </row>
    <row r="1236" spans="1:4" x14ac:dyDescent="0.25">
      <c r="A1236" s="180">
        <f t="shared" si="19"/>
        <v>3101666</v>
      </c>
      <c r="B1236" s="188" t="s">
        <v>1498</v>
      </c>
      <c r="C1236" s="188" t="s">
        <v>1499</v>
      </c>
      <c r="D1236" t="s">
        <v>13412</v>
      </c>
    </row>
    <row r="1237" spans="1:4" x14ac:dyDescent="0.25">
      <c r="A1237" s="180">
        <f t="shared" si="19"/>
        <v>3101777</v>
      </c>
      <c r="B1237" s="188" t="s">
        <v>1500</v>
      </c>
      <c r="C1237" s="188" t="s">
        <v>1501</v>
      </c>
      <c r="D1237" t="s">
        <v>14909</v>
      </c>
    </row>
    <row r="1238" spans="1:4" x14ac:dyDescent="0.25">
      <c r="A1238" s="180">
        <f t="shared" si="19"/>
        <v>3101888</v>
      </c>
      <c r="B1238" s="188" t="s">
        <v>1502</v>
      </c>
      <c r="C1238" s="188" t="s">
        <v>1503</v>
      </c>
      <c r="D1238" t="s">
        <v>14909</v>
      </c>
    </row>
    <row r="1239" spans="1:4" x14ac:dyDescent="0.25">
      <c r="A1239" s="180">
        <f t="shared" si="19"/>
        <v>3101948</v>
      </c>
      <c r="B1239" s="188" t="s">
        <v>1504</v>
      </c>
      <c r="C1239" s="188" t="s">
        <v>1505</v>
      </c>
      <c r="D1239" t="s">
        <v>14909</v>
      </c>
    </row>
    <row r="1240" spans="1:4" x14ac:dyDescent="0.25">
      <c r="A1240" s="180">
        <f t="shared" si="19"/>
        <v>3101949</v>
      </c>
      <c r="B1240" s="188" t="s">
        <v>12649</v>
      </c>
      <c r="C1240" s="188" t="s">
        <v>14239</v>
      </c>
      <c r="D1240" t="s">
        <v>14909</v>
      </c>
    </row>
    <row r="1241" spans="1:4" x14ac:dyDescent="0.25">
      <c r="A1241" s="180">
        <f t="shared" si="19"/>
        <v>3101998</v>
      </c>
      <c r="B1241" s="188" t="s">
        <v>1506</v>
      </c>
      <c r="C1241" s="188" t="s">
        <v>1507</v>
      </c>
    </row>
    <row r="1242" spans="1:4" x14ac:dyDescent="0.25">
      <c r="A1242" s="180">
        <f t="shared" si="19"/>
        <v>3101999</v>
      </c>
      <c r="B1242" s="188" t="s">
        <v>1508</v>
      </c>
      <c r="C1242" s="188" t="s">
        <v>1509</v>
      </c>
      <c r="D1242" t="s">
        <v>13412</v>
      </c>
    </row>
    <row r="1243" spans="1:4" x14ac:dyDescent="0.25">
      <c r="A1243" s="180">
        <f t="shared" si="19"/>
        <v>4</v>
      </c>
      <c r="B1243" s="188" t="s">
        <v>1510</v>
      </c>
      <c r="C1243" s="188" t="s">
        <v>1511</v>
      </c>
    </row>
    <row r="1244" spans="1:4" x14ac:dyDescent="0.25">
      <c r="A1244" s="180">
        <f t="shared" si="19"/>
        <v>4027105</v>
      </c>
      <c r="B1244" s="188" t="s">
        <v>1512</v>
      </c>
      <c r="C1244" s="188" t="s">
        <v>1513</v>
      </c>
    </row>
    <row r="1245" spans="1:4" x14ac:dyDescent="0.25">
      <c r="A1245" s="180" t="str">
        <f t="shared" si="19"/>
        <v/>
      </c>
      <c r="B1245" s="188" t="s">
        <v>13052</v>
      </c>
      <c r="C1245" s="188"/>
    </row>
    <row r="1246" spans="1:4" x14ac:dyDescent="0.25">
      <c r="A1246" s="180">
        <f t="shared" si="19"/>
        <v>4027142</v>
      </c>
      <c r="B1246" s="188" t="s">
        <v>1514</v>
      </c>
      <c r="C1246" s="188" t="s">
        <v>1515</v>
      </c>
    </row>
    <row r="1247" spans="1:4" x14ac:dyDescent="0.25">
      <c r="A1247" s="180" t="str">
        <f t="shared" si="19"/>
        <v/>
      </c>
      <c r="B1247" s="188" t="s">
        <v>13053</v>
      </c>
      <c r="C1247" s="188"/>
    </row>
    <row r="1248" spans="1:4" x14ac:dyDescent="0.25">
      <c r="A1248" s="180">
        <f t="shared" si="19"/>
        <v>4027710</v>
      </c>
      <c r="B1248" s="188" t="s">
        <v>1516</v>
      </c>
      <c r="C1248" s="188" t="s">
        <v>1517</v>
      </c>
    </row>
    <row r="1249" spans="1:4" x14ac:dyDescent="0.25">
      <c r="A1249" s="180" t="str">
        <f t="shared" si="19"/>
        <v/>
      </c>
      <c r="B1249" s="188" t="s">
        <v>13054</v>
      </c>
      <c r="C1249" s="188"/>
    </row>
    <row r="1250" spans="1:4" x14ac:dyDescent="0.25">
      <c r="A1250" s="180">
        <f t="shared" si="19"/>
        <v>4027813</v>
      </c>
      <c r="B1250" s="188" t="s">
        <v>1518</v>
      </c>
      <c r="C1250" s="188" t="s">
        <v>1519</v>
      </c>
    </row>
    <row r="1251" spans="1:4" x14ac:dyDescent="0.25">
      <c r="A1251" s="180" t="str">
        <f t="shared" si="19"/>
        <v/>
      </c>
      <c r="B1251" s="188" t="s">
        <v>13055</v>
      </c>
      <c r="C1251" s="188"/>
    </row>
    <row r="1252" spans="1:4" x14ac:dyDescent="0.25">
      <c r="A1252" s="180">
        <f t="shared" si="19"/>
        <v>4101002</v>
      </c>
      <c r="B1252" s="188" t="s">
        <v>1520</v>
      </c>
      <c r="C1252" s="188" t="s">
        <v>1521</v>
      </c>
    </row>
    <row r="1253" spans="1:4" x14ac:dyDescent="0.25">
      <c r="A1253" s="180">
        <f t="shared" si="19"/>
        <v>4101003</v>
      </c>
      <c r="B1253" s="188" t="s">
        <v>1522</v>
      </c>
      <c r="C1253" s="188" t="s">
        <v>1523</v>
      </c>
    </row>
    <row r="1254" spans="1:4" x14ac:dyDescent="0.25">
      <c r="A1254" s="180">
        <f t="shared" si="19"/>
        <v>4120000</v>
      </c>
      <c r="B1254" s="188" t="s">
        <v>1524</v>
      </c>
      <c r="C1254" s="188" t="s">
        <v>6866</v>
      </c>
      <c r="D1254" t="s">
        <v>14925</v>
      </c>
    </row>
    <row r="1255" spans="1:4" x14ac:dyDescent="0.25">
      <c r="A1255" s="180">
        <f t="shared" si="19"/>
        <v>4120001</v>
      </c>
      <c r="B1255" s="188" t="s">
        <v>1525</v>
      </c>
      <c r="C1255" s="188" t="s">
        <v>1526</v>
      </c>
      <c r="D1255" t="s">
        <v>14925</v>
      </c>
    </row>
    <row r="1256" spans="1:4" x14ac:dyDescent="0.25">
      <c r="A1256" s="180">
        <f t="shared" si="19"/>
        <v>4120003</v>
      </c>
      <c r="B1256" s="188" t="s">
        <v>1527</v>
      </c>
      <c r="C1256" s="188" t="s">
        <v>1528</v>
      </c>
      <c r="D1256" t="s">
        <v>14925</v>
      </c>
    </row>
    <row r="1257" spans="1:4" x14ac:dyDescent="0.25">
      <c r="A1257" s="180">
        <f t="shared" si="19"/>
        <v>4120004</v>
      </c>
      <c r="B1257" s="188" t="s">
        <v>1529</v>
      </c>
      <c r="C1257" s="188" t="s">
        <v>1530</v>
      </c>
      <c r="D1257" t="s">
        <v>14925</v>
      </c>
    </row>
    <row r="1258" spans="1:4" x14ac:dyDescent="0.25">
      <c r="A1258" s="180">
        <f t="shared" si="19"/>
        <v>4120005</v>
      </c>
      <c r="B1258" s="188" t="s">
        <v>1531</v>
      </c>
      <c r="C1258" s="188" t="s">
        <v>1532</v>
      </c>
      <c r="D1258" t="s">
        <v>14925</v>
      </c>
    </row>
    <row r="1259" spans="1:4" x14ac:dyDescent="0.25">
      <c r="A1259" s="180">
        <f t="shared" si="19"/>
        <v>4120006</v>
      </c>
      <c r="B1259" s="188" t="s">
        <v>1533</v>
      </c>
      <c r="C1259" s="188" t="s">
        <v>1534</v>
      </c>
      <c r="D1259" t="s">
        <v>14925</v>
      </c>
    </row>
    <row r="1260" spans="1:4" x14ac:dyDescent="0.25">
      <c r="A1260" s="180">
        <f t="shared" si="19"/>
        <v>4120007</v>
      </c>
      <c r="B1260" s="188" t="s">
        <v>1535</v>
      </c>
      <c r="C1260" s="188" t="s">
        <v>1536</v>
      </c>
      <c r="D1260" t="s">
        <v>14925</v>
      </c>
    </row>
    <row r="1261" spans="1:4" x14ac:dyDescent="0.25">
      <c r="A1261" s="180">
        <f t="shared" si="19"/>
        <v>4120008</v>
      </c>
      <c r="B1261" s="188" t="s">
        <v>1537</v>
      </c>
      <c r="C1261" s="188" t="s">
        <v>1538</v>
      </c>
      <c r="D1261" t="s">
        <v>14925</v>
      </c>
    </row>
    <row r="1262" spans="1:4" x14ac:dyDescent="0.25">
      <c r="A1262" s="180">
        <f t="shared" si="19"/>
        <v>4120009</v>
      </c>
      <c r="B1262" s="188" t="s">
        <v>1539</v>
      </c>
      <c r="C1262" s="188" t="s">
        <v>1540</v>
      </c>
      <c r="D1262" t="s">
        <v>14925</v>
      </c>
    </row>
    <row r="1263" spans="1:4" x14ac:dyDescent="0.25">
      <c r="A1263" s="180">
        <f t="shared" si="19"/>
        <v>4120010</v>
      </c>
      <c r="B1263" s="188" t="s">
        <v>1541</v>
      </c>
      <c r="C1263" s="188" t="s">
        <v>1542</v>
      </c>
      <c r="D1263" t="s">
        <v>14925</v>
      </c>
    </row>
    <row r="1264" spans="1:4" x14ac:dyDescent="0.25">
      <c r="A1264" s="180">
        <f t="shared" si="19"/>
        <v>4120011</v>
      </c>
      <c r="B1264" s="188" t="s">
        <v>1543</v>
      </c>
      <c r="C1264" s="188" t="s">
        <v>1544</v>
      </c>
      <c r="D1264" t="s">
        <v>14940</v>
      </c>
    </row>
    <row r="1265" spans="1:4" x14ac:dyDescent="0.25">
      <c r="A1265" s="180">
        <f t="shared" si="19"/>
        <v>4120012</v>
      </c>
      <c r="B1265" s="188" t="s">
        <v>1545</v>
      </c>
      <c r="C1265" s="188" t="s">
        <v>1546</v>
      </c>
      <c r="D1265" t="s">
        <v>14940</v>
      </c>
    </row>
    <row r="1266" spans="1:4" x14ac:dyDescent="0.25">
      <c r="A1266" s="180">
        <f t="shared" si="19"/>
        <v>4120013</v>
      </c>
      <c r="B1266" s="188" t="s">
        <v>1547</v>
      </c>
      <c r="C1266" s="188" t="s">
        <v>1548</v>
      </c>
      <c r="D1266" t="s">
        <v>14925</v>
      </c>
    </row>
    <row r="1267" spans="1:4" x14ac:dyDescent="0.25">
      <c r="A1267" s="180">
        <f t="shared" si="19"/>
        <v>4120014</v>
      </c>
      <c r="B1267" s="188" t="s">
        <v>14387</v>
      </c>
      <c r="C1267" s="188" t="s">
        <v>14388</v>
      </c>
      <c r="D1267" t="s">
        <v>14940</v>
      </c>
    </row>
    <row r="1268" spans="1:4" x14ac:dyDescent="0.25">
      <c r="A1268" s="180">
        <f t="shared" si="19"/>
        <v>4120015</v>
      </c>
      <c r="B1268" s="188" t="s">
        <v>1549</v>
      </c>
      <c r="C1268" s="188" t="s">
        <v>14941</v>
      </c>
      <c r="D1268" t="s">
        <v>13412</v>
      </c>
    </row>
    <row r="1269" spans="1:4" x14ac:dyDescent="0.25">
      <c r="A1269" s="180">
        <f t="shared" si="19"/>
        <v>4120016</v>
      </c>
      <c r="B1269" s="188" t="s">
        <v>1550</v>
      </c>
      <c r="C1269" s="188" t="s">
        <v>14942</v>
      </c>
      <c r="D1269" t="s">
        <v>13412</v>
      </c>
    </row>
    <row r="1270" spans="1:4" x14ac:dyDescent="0.25">
      <c r="A1270" s="180">
        <f t="shared" si="19"/>
        <v>4120018</v>
      </c>
      <c r="B1270" s="188" t="s">
        <v>1551</v>
      </c>
      <c r="C1270" s="188" t="s">
        <v>14943</v>
      </c>
      <c r="D1270" t="s">
        <v>14925</v>
      </c>
    </row>
    <row r="1271" spans="1:4" x14ac:dyDescent="0.25">
      <c r="A1271" s="180">
        <f t="shared" si="19"/>
        <v>4120020</v>
      </c>
      <c r="B1271" s="188" t="s">
        <v>1552</v>
      </c>
      <c r="C1271" s="188" t="s">
        <v>1553</v>
      </c>
      <c r="D1271" t="s">
        <v>14925</v>
      </c>
    </row>
    <row r="1272" spans="1:4" x14ac:dyDescent="0.25">
      <c r="A1272" s="180">
        <f t="shared" si="19"/>
        <v>4120021</v>
      </c>
      <c r="B1272" s="188" t="s">
        <v>1554</v>
      </c>
      <c r="C1272" s="188" t="s">
        <v>1555</v>
      </c>
      <c r="D1272" t="s">
        <v>14925</v>
      </c>
    </row>
    <row r="1273" spans="1:4" x14ac:dyDescent="0.25">
      <c r="A1273" s="180">
        <f t="shared" si="19"/>
        <v>4120022</v>
      </c>
      <c r="B1273" s="188" t="s">
        <v>1556</v>
      </c>
      <c r="C1273" s="188" t="s">
        <v>1557</v>
      </c>
    </row>
    <row r="1274" spans="1:4" x14ac:dyDescent="0.25">
      <c r="A1274" s="180">
        <f t="shared" si="19"/>
        <v>4120023</v>
      </c>
      <c r="B1274" s="188" t="s">
        <v>1558</v>
      </c>
      <c r="C1274" s="188" t="s">
        <v>1559</v>
      </c>
      <c r="D1274" t="s">
        <v>14925</v>
      </c>
    </row>
    <row r="1275" spans="1:4" x14ac:dyDescent="0.25">
      <c r="A1275" s="180">
        <f t="shared" si="19"/>
        <v>4120024</v>
      </c>
      <c r="B1275" s="188" t="s">
        <v>1560</v>
      </c>
      <c r="C1275" s="188" t="s">
        <v>1561</v>
      </c>
      <c r="D1275" t="s">
        <v>14925</v>
      </c>
    </row>
    <row r="1276" spans="1:4" x14ac:dyDescent="0.25">
      <c r="A1276" s="180">
        <f t="shared" si="19"/>
        <v>4120025</v>
      </c>
      <c r="B1276" s="188" t="s">
        <v>1562</v>
      </c>
      <c r="C1276" s="188" t="s">
        <v>1563</v>
      </c>
      <c r="D1276" t="s">
        <v>14925</v>
      </c>
    </row>
    <row r="1277" spans="1:4" x14ac:dyDescent="0.25">
      <c r="A1277" s="180">
        <f t="shared" si="19"/>
        <v>4120026</v>
      </c>
      <c r="B1277" s="188" t="s">
        <v>1564</v>
      </c>
      <c r="C1277" s="188" t="s">
        <v>1565</v>
      </c>
    </row>
    <row r="1278" spans="1:4" x14ac:dyDescent="0.25">
      <c r="A1278" s="180">
        <f t="shared" si="19"/>
        <v>4120027</v>
      </c>
      <c r="B1278" s="188" t="s">
        <v>1566</v>
      </c>
      <c r="C1278" s="188" t="s">
        <v>1567</v>
      </c>
      <c r="D1278" t="s">
        <v>14925</v>
      </c>
    </row>
    <row r="1279" spans="1:4" x14ac:dyDescent="0.25">
      <c r="A1279" s="180">
        <f t="shared" ref="A1279:A1342" si="20">IFERROR(B1279*1,"")</f>
        <v>4120028</v>
      </c>
      <c r="B1279" s="188" t="s">
        <v>1568</v>
      </c>
      <c r="C1279" s="188" t="s">
        <v>1569</v>
      </c>
      <c r="D1279" t="s">
        <v>14925</v>
      </c>
    </row>
    <row r="1280" spans="1:4" x14ac:dyDescent="0.25">
      <c r="A1280" s="180">
        <f t="shared" si="20"/>
        <v>4120029</v>
      </c>
      <c r="B1280" s="188" t="s">
        <v>1570</v>
      </c>
      <c r="C1280" s="188" t="s">
        <v>1571</v>
      </c>
    </row>
    <row r="1281" spans="1:4" x14ac:dyDescent="0.25">
      <c r="A1281" s="180">
        <f t="shared" si="20"/>
        <v>4120030</v>
      </c>
      <c r="B1281" s="188" t="s">
        <v>1572</v>
      </c>
      <c r="C1281" s="188" t="s">
        <v>14944</v>
      </c>
      <c r="D1281" t="s">
        <v>14925</v>
      </c>
    </row>
    <row r="1282" spans="1:4" x14ac:dyDescent="0.25">
      <c r="A1282" s="180">
        <f t="shared" si="20"/>
        <v>4120031</v>
      </c>
      <c r="B1282" s="188" t="s">
        <v>1574</v>
      </c>
      <c r="C1282" s="188" t="s">
        <v>14945</v>
      </c>
      <c r="D1282" t="s">
        <v>14925</v>
      </c>
    </row>
    <row r="1283" spans="1:4" x14ac:dyDescent="0.25">
      <c r="A1283" s="180">
        <f t="shared" si="20"/>
        <v>4120032</v>
      </c>
      <c r="B1283" s="188" t="s">
        <v>14946</v>
      </c>
      <c r="C1283" s="188" t="s">
        <v>14947</v>
      </c>
      <c r="D1283" t="s">
        <v>14925</v>
      </c>
    </row>
    <row r="1284" spans="1:4" x14ac:dyDescent="0.25">
      <c r="A1284" s="180">
        <f t="shared" si="20"/>
        <v>4120033</v>
      </c>
      <c r="B1284" s="188" t="s">
        <v>1575</v>
      </c>
      <c r="C1284" s="188" t="s">
        <v>1573</v>
      </c>
    </row>
    <row r="1285" spans="1:4" x14ac:dyDescent="0.25">
      <c r="A1285" s="180">
        <f t="shared" si="20"/>
        <v>4120035</v>
      </c>
      <c r="B1285" s="188" t="s">
        <v>1576</v>
      </c>
      <c r="C1285" s="188" t="s">
        <v>1577</v>
      </c>
    </row>
    <row r="1286" spans="1:4" x14ac:dyDescent="0.25">
      <c r="A1286" s="180">
        <f t="shared" si="20"/>
        <v>4120036</v>
      </c>
      <c r="B1286" s="188" t="s">
        <v>1578</v>
      </c>
      <c r="C1286" s="188" t="s">
        <v>1579</v>
      </c>
    </row>
    <row r="1287" spans="1:4" x14ac:dyDescent="0.25">
      <c r="A1287" s="180">
        <f t="shared" si="20"/>
        <v>4120037</v>
      </c>
      <c r="B1287" s="188" t="s">
        <v>1580</v>
      </c>
      <c r="C1287" s="188" t="s">
        <v>1581</v>
      </c>
    </row>
    <row r="1288" spans="1:4" x14ac:dyDescent="0.25">
      <c r="A1288" s="180">
        <f t="shared" si="20"/>
        <v>4120038</v>
      </c>
      <c r="B1288" s="188" t="s">
        <v>1582</v>
      </c>
      <c r="C1288" s="188" t="s">
        <v>1583</v>
      </c>
      <c r="D1288" t="s">
        <v>14925</v>
      </c>
    </row>
    <row r="1289" spans="1:4" x14ac:dyDescent="0.25">
      <c r="A1289" s="180">
        <f t="shared" si="20"/>
        <v>4120039</v>
      </c>
      <c r="B1289" s="188" t="s">
        <v>1584</v>
      </c>
      <c r="C1289" s="188" t="s">
        <v>1585</v>
      </c>
      <c r="D1289" t="s">
        <v>14925</v>
      </c>
    </row>
    <row r="1290" spans="1:4" x14ac:dyDescent="0.25">
      <c r="A1290" s="180">
        <f t="shared" si="20"/>
        <v>4120040</v>
      </c>
      <c r="B1290" s="188" t="s">
        <v>1586</v>
      </c>
      <c r="C1290" s="188" t="s">
        <v>1587</v>
      </c>
    </row>
    <row r="1291" spans="1:4" x14ac:dyDescent="0.25">
      <c r="A1291" s="180">
        <f t="shared" si="20"/>
        <v>4120041</v>
      </c>
      <c r="B1291" s="188" t="s">
        <v>1588</v>
      </c>
      <c r="C1291" s="188" t="s">
        <v>1589</v>
      </c>
    </row>
    <row r="1292" spans="1:4" x14ac:dyDescent="0.25">
      <c r="A1292" s="180">
        <f t="shared" si="20"/>
        <v>4120042</v>
      </c>
      <c r="B1292" s="188" t="s">
        <v>1590</v>
      </c>
      <c r="C1292" s="188" t="s">
        <v>1591</v>
      </c>
      <c r="D1292" t="s">
        <v>14925</v>
      </c>
    </row>
    <row r="1293" spans="1:4" x14ac:dyDescent="0.25">
      <c r="A1293" s="180">
        <f t="shared" si="20"/>
        <v>4120043</v>
      </c>
      <c r="B1293" s="188" t="s">
        <v>1592</v>
      </c>
      <c r="C1293" s="188" t="s">
        <v>1593</v>
      </c>
      <c r="D1293" t="s">
        <v>14925</v>
      </c>
    </row>
    <row r="1294" spans="1:4" x14ac:dyDescent="0.25">
      <c r="A1294" s="180">
        <f t="shared" si="20"/>
        <v>4120044</v>
      </c>
      <c r="B1294" s="188" t="s">
        <v>1594</v>
      </c>
      <c r="C1294" s="188" t="s">
        <v>1595</v>
      </c>
    </row>
    <row r="1295" spans="1:4" x14ac:dyDescent="0.25">
      <c r="A1295" s="180">
        <f t="shared" si="20"/>
        <v>4120045</v>
      </c>
      <c r="B1295" s="188" t="s">
        <v>1596</v>
      </c>
      <c r="C1295" s="188" t="s">
        <v>1597</v>
      </c>
    </row>
    <row r="1296" spans="1:4" x14ac:dyDescent="0.25">
      <c r="A1296" s="180">
        <f t="shared" si="20"/>
        <v>4120046</v>
      </c>
      <c r="B1296" s="188" t="s">
        <v>1598</v>
      </c>
      <c r="C1296" s="188" t="s">
        <v>14389</v>
      </c>
      <c r="D1296" t="s">
        <v>14925</v>
      </c>
    </row>
    <row r="1297" spans="1:4" x14ac:dyDescent="0.25">
      <c r="A1297" s="180">
        <f t="shared" si="20"/>
        <v>4120047</v>
      </c>
      <c r="B1297" s="188" t="s">
        <v>1599</v>
      </c>
      <c r="C1297" s="188" t="s">
        <v>14390</v>
      </c>
      <c r="D1297" t="s">
        <v>14925</v>
      </c>
    </row>
    <row r="1298" spans="1:4" x14ac:dyDescent="0.25">
      <c r="A1298" s="180" t="str">
        <f t="shared" si="20"/>
        <v/>
      </c>
      <c r="B1298" s="188" t="s">
        <v>13056</v>
      </c>
      <c r="C1298" s="188"/>
    </row>
    <row r="1299" spans="1:4" x14ac:dyDescent="0.25">
      <c r="A1299" s="180">
        <f t="shared" si="20"/>
        <v>4120048</v>
      </c>
      <c r="B1299" s="188" t="s">
        <v>1600</v>
      </c>
      <c r="C1299" s="188" t="s">
        <v>14391</v>
      </c>
      <c r="D1299" t="s">
        <v>14925</v>
      </c>
    </row>
    <row r="1300" spans="1:4" x14ac:dyDescent="0.25">
      <c r="A1300" s="180">
        <f t="shared" si="20"/>
        <v>4120050</v>
      </c>
      <c r="B1300" s="188" t="s">
        <v>1601</v>
      </c>
      <c r="C1300" s="188" t="s">
        <v>1602</v>
      </c>
    </row>
    <row r="1301" spans="1:4" x14ac:dyDescent="0.25">
      <c r="A1301" s="180">
        <f t="shared" si="20"/>
        <v>4120051</v>
      </c>
      <c r="B1301" s="188" t="s">
        <v>1603</v>
      </c>
      <c r="C1301" s="188" t="s">
        <v>1604</v>
      </c>
    </row>
    <row r="1302" spans="1:4" x14ac:dyDescent="0.25">
      <c r="A1302" s="180">
        <f t="shared" si="20"/>
        <v>4120052</v>
      </c>
      <c r="B1302" s="188" t="s">
        <v>1605</v>
      </c>
      <c r="C1302" s="188" t="s">
        <v>1606</v>
      </c>
    </row>
    <row r="1303" spans="1:4" x14ac:dyDescent="0.25">
      <c r="A1303" s="180">
        <f t="shared" si="20"/>
        <v>4120055</v>
      </c>
      <c r="B1303" s="188" t="s">
        <v>1607</v>
      </c>
      <c r="C1303" s="188" t="s">
        <v>1608</v>
      </c>
    </row>
    <row r="1304" spans="1:4" x14ac:dyDescent="0.25">
      <c r="A1304" s="180">
        <f t="shared" si="20"/>
        <v>4120056</v>
      </c>
      <c r="B1304" s="188" t="s">
        <v>1609</v>
      </c>
      <c r="C1304" s="188" t="s">
        <v>1610</v>
      </c>
    </row>
    <row r="1305" spans="1:4" x14ac:dyDescent="0.25">
      <c r="A1305" s="180">
        <f t="shared" si="20"/>
        <v>4120057</v>
      </c>
      <c r="B1305" s="188" t="s">
        <v>1611</v>
      </c>
      <c r="C1305" s="188" t="s">
        <v>1612</v>
      </c>
    </row>
    <row r="1306" spans="1:4" x14ac:dyDescent="0.25">
      <c r="A1306" s="180">
        <f t="shared" si="20"/>
        <v>4120058</v>
      </c>
      <c r="B1306" s="188" t="s">
        <v>1613</v>
      </c>
      <c r="C1306" s="188" t="s">
        <v>1614</v>
      </c>
      <c r="D1306" t="s">
        <v>14925</v>
      </c>
    </row>
    <row r="1307" spans="1:4" x14ac:dyDescent="0.25">
      <c r="A1307" s="180">
        <f t="shared" si="20"/>
        <v>4120059</v>
      </c>
      <c r="B1307" s="188" t="s">
        <v>1615</v>
      </c>
      <c r="C1307" s="188" t="s">
        <v>1616</v>
      </c>
      <c r="D1307" t="s">
        <v>14925</v>
      </c>
    </row>
    <row r="1308" spans="1:4" x14ac:dyDescent="0.25">
      <c r="A1308" s="180">
        <f t="shared" si="20"/>
        <v>4120060</v>
      </c>
      <c r="B1308" s="188" t="s">
        <v>1617</v>
      </c>
      <c r="C1308" s="188" t="s">
        <v>1618</v>
      </c>
      <c r="D1308" t="s">
        <v>14925</v>
      </c>
    </row>
    <row r="1309" spans="1:4" x14ac:dyDescent="0.25">
      <c r="A1309" s="180">
        <f t="shared" si="20"/>
        <v>4120061</v>
      </c>
      <c r="B1309" s="188" t="s">
        <v>1619</v>
      </c>
      <c r="C1309" s="188" t="s">
        <v>1620</v>
      </c>
      <c r="D1309" t="s">
        <v>14925</v>
      </c>
    </row>
    <row r="1310" spans="1:4" x14ac:dyDescent="0.25">
      <c r="A1310" s="180">
        <f t="shared" si="20"/>
        <v>4120062</v>
      </c>
      <c r="B1310" s="188" t="s">
        <v>1621</v>
      </c>
      <c r="C1310" s="188" t="s">
        <v>1622</v>
      </c>
      <c r="D1310" t="s">
        <v>14925</v>
      </c>
    </row>
    <row r="1311" spans="1:4" x14ac:dyDescent="0.25">
      <c r="A1311" s="180">
        <f t="shared" si="20"/>
        <v>4120063</v>
      </c>
      <c r="B1311" s="188" t="s">
        <v>1623</v>
      </c>
      <c r="C1311" s="188" t="s">
        <v>1624</v>
      </c>
      <c r="D1311" t="s">
        <v>14925</v>
      </c>
    </row>
    <row r="1312" spans="1:4" x14ac:dyDescent="0.25">
      <c r="A1312" s="180">
        <f t="shared" si="20"/>
        <v>4120064</v>
      </c>
      <c r="B1312" s="188" t="s">
        <v>1625</v>
      </c>
      <c r="C1312" s="188" t="s">
        <v>1626</v>
      </c>
      <c r="D1312" t="s">
        <v>14925</v>
      </c>
    </row>
    <row r="1313" spans="1:4" x14ac:dyDescent="0.25">
      <c r="A1313" s="180">
        <f t="shared" si="20"/>
        <v>4120065</v>
      </c>
      <c r="B1313" s="188" t="s">
        <v>1627</v>
      </c>
      <c r="C1313" s="188" t="s">
        <v>1628</v>
      </c>
    </row>
    <row r="1314" spans="1:4" x14ac:dyDescent="0.25">
      <c r="A1314" s="180">
        <f t="shared" si="20"/>
        <v>4120066</v>
      </c>
      <c r="B1314" s="188" t="s">
        <v>1629</v>
      </c>
      <c r="C1314" s="188" t="s">
        <v>1630</v>
      </c>
      <c r="D1314" t="s">
        <v>14925</v>
      </c>
    </row>
    <row r="1315" spans="1:4" x14ac:dyDescent="0.25">
      <c r="A1315" s="180">
        <f t="shared" si="20"/>
        <v>4120067</v>
      </c>
      <c r="B1315" s="188" t="s">
        <v>1631</v>
      </c>
      <c r="C1315" s="188" t="s">
        <v>1632</v>
      </c>
      <c r="D1315" t="s">
        <v>14925</v>
      </c>
    </row>
    <row r="1316" spans="1:4" x14ac:dyDescent="0.25">
      <c r="A1316" s="180">
        <f t="shared" si="20"/>
        <v>4120068</v>
      </c>
      <c r="B1316" s="188" t="s">
        <v>1633</v>
      </c>
      <c r="C1316" s="188" t="s">
        <v>1634</v>
      </c>
      <c r="D1316" t="s">
        <v>14925</v>
      </c>
    </row>
    <row r="1317" spans="1:4" x14ac:dyDescent="0.25">
      <c r="A1317" s="180">
        <f t="shared" si="20"/>
        <v>4120069</v>
      </c>
      <c r="B1317" s="188" t="s">
        <v>1635</v>
      </c>
      <c r="C1317" s="188" t="s">
        <v>1636</v>
      </c>
    </row>
    <row r="1318" spans="1:4" x14ac:dyDescent="0.25">
      <c r="A1318" s="180">
        <f t="shared" si="20"/>
        <v>4120070</v>
      </c>
      <c r="B1318" s="188" t="s">
        <v>1637</v>
      </c>
      <c r="C1318" s="188" t="s">
        <v>1638</v>
      </c>
    </row>
    <row r="1319" spans="1:4" x14ac:dyDescent="0.25">
      <c r="A1319" s="180">
        <f t="shared" si="20"/>
        <v>4120071</v>
      </c>
      <c r="B1319" s="188" t="s">
        <v>1639</v>
      </c>
      <c r="C1319" s="188" t="s">
        <v>1640</v>
      </c>
      <c r="D1319" t="s">
        <v>14925</v>
      </c>
    </row>
    <row r="1320" spans="1:4" x14ac:dyDescent="0.25">
      <c r="A1320" s="180">
        <f t="shared" si="20"/>
        <v>4120072</v>
      </c>
      <c r="B1320" s="188" t="s">
        <v>1641</v>
      </c>
      <c r="C1320" s="188" t="s">
        <v>1642</v>
      </c>
      <c r="D1320" t="s">
        <v>14925</v>
      </c>
    </row>
    <row r="1321" spans="1:4" x14ac:dyDescent="0.25">
      <c r="A1321" s="180">
        <f t="shared" si="20"/>
        <v>4120073</v>
      </c>
      <c r="B1321" s="188" t="s">
        <v>1643</v>
      </c>
      <c r="C1321" s="188" t="s">
        <v>1644</v>
      </c>
    </row>
    <row r="1322" spans="1:4" x14ac:dyDescent="0.25">
      <c r="A1322" s="180">
        <f t="shared" si="20"/>
        <v>4120074</v>
      </c>
      <c r="B1322" s="188" t="s">
        <v>1645</v>
      </c>
      <c r="C1322" s="188" t="s">
        <v>1646</v>
      </c>
      <c r="D1322" t="s">
        <v>14925</v>
      </c>
    </row>
    <row r="1323" spans="1:4" x14ac:dyDescent="0.25">
      <c r="A1323" s="180">
        <f t="shared" si="20"/>
        <v>4120075</v>
      </c>
      <c r="B1323" s="188" t="s">
        <v>1647</v>
      </c>
      <c r="C1323" s="188" t="s">
        <v>1648</v>
      </c>
      <c r="D1323" t="s">
        <v>14925</v>
      </c>
    </row>
    <row r="1324" spans="1:4" x14ac:dyDescent="0.25">
      <c r="A1324" s="180">
        <f t="shared" si="20"/>
        <v>4120076</v>
      </c>
      <c r="B1324" s="188" t="s">
        <v>1649</v>
      </c>
      <c r="C1324" s="188" t="s">
        <v>1650</v>
      </c>
      <c r="D1324" t="s">
        <v>14925</v>
      </c>
    </row>
    <row r="1325" spans="1:4" x14ac:dyDescent="0.25">
      <c r="A1325" s="180">
        <f t="shared" si="20"/>
        <v>4120077</v>
      </c>
      <c r="B1325" s="188" t="s">
        <v>1651</v>
      </c>
      <c r="C1325" s="188" t="s">
        <v>1652</v>
      </c>
    </row>
    <row r="1326" spans="1:4" x14ac:dyDescent="0.25">
      <c r="A1326" s="180">
        <f t="shared" si="20"/>
        <v>4120078</v>
      </c>
      <c r="B1326" s="188" t="s">
        <v>1653</v>
      </c>
      <c r="C1326" s="188" t="s">
        <v>1654</v>
      </c>
    </row>
    <row r="1327" spans="1:4" x14ac:dyDescent="0.25">
      <c r="A1327" s="180">
        <f t="shared" si="20"/>
        <v>4120079</v>
      </c>
      <c r="B1327" s="188" t="s">
        <v>1655</v>
      </c>
      <c r="C1327" s="188" t="s">
        <v>1656</v>
      </c>
      <c r="D1327" t="s">
        <v>14925</v>
      </c>
    </row>
    <row r="1328" spans="1:4" x14ac:dyDescent="0.25">
      <c r="A1328" s="180">
        <f t="shared" si="20"/>
        <v>4120080</v>
      </c>
      <c r="B1328" s="188" t="s">
        <v>1657</v>
      </c>
      <c r="C1328" s="188" t="s">
        <v>1658</v>
      </c>
      <c r="D1328" t="s">
        <v>14925</v>
      </c>
    </row>
    <row r="1329" spans="1:4" x14ac:dyDescent="0.25">
      <c r="A1329" s="180">
        <f t="shared" si="20"/>
        <v>4120081</v>
      </c>
      <c r="B1329" s="188" t="s">
        <v>1659</v>
      </c>
      <c r="C1329" s="188" t="s">
        <v>1660</v>
      </c>
    </row>
    <row r="1330" spans="1:4" x14ac:dyDescent="0.25">
      <c r="A1330" s="180">
        <f t="shared" si="20"/>
        <v>4120082</v>
      </c>
      <c r="B1330" s="188" t="s">
        <v>1661</v>
      </c>
      <c r="C1330" s="188" t="s">
        <v>1662</v>
      </c>
    </row>
    <row r="1331" spans="1:4" x14ac:dyDescent="0.25">
      <c r="A1331" s="180">
        <f t="shared" si="20"/>
        <v>4120083</v>
      </c>
      <c r="B1331" s="188" t="s">
        <v>1663</v>
      </c>
      <c r="C1331" s="188" t="s">
        <v>1664</v>
      </c>
      <c r="D1331" t="s">
        <v>14925</v>
      </c>
    </row>
    <row r="1332" spans="1:4" x14ac:dyDescent="0.25">
      <c r="A1332" s="180">
        <f t="shared" si="20"/>
        <v>4120084</v>
      </c>
      <c r="B1332" s="188" t="s">
        <v>1665</v>
      </c>
      <c r="C1332" s="188" t="s">
        <v>1666</v>
      </c>
    </row>
    <row r="1333" spans="1:4" x14ac:dyDescent="0.25">
      <c r="A1333" s="180">
        <f t="shared" si="20"/>
        <v>4120085</v>
      </c>
      <c r="B1333" s="188" t="s">
        <v>1667</v>
      </c>
      <c r="C1333" s="188" t="s">
        <v>1668</v>
      </c>
    </row>
    <row r="1334" spans="1:4" x14ac:dyDescent="0.25">
      <c r="A1334" s="180">
        <f t="shared" si="20"/>
        <v>4120086</v>
      </c>
      <c r="B1334" s="188" t="s">
        <v>1669</v>
      </c>
      <c r="C1334" s="188" t="s">
        <v>1670</v>
      </c>
    </row>
    <row r="1335" spans="1:4" x14ac:dyDescent="0.25">
      <c r="A1335" s="180">
        <f t="shared" si="20"/>
        <v>4120087</v>
      </c>
      <c r="B1335" s="188" t="s">
        <v>1671</v>
      </c>
      <c r="C1335" s="188" t="s">
        <v>1672</v>
      </c>
      <c r="D1335" t="s">
        <v>14925</v>
      </c>
    </row>
    <row r="1336" spans="1:4" x14ac:dyDescent="0.25">
      <c r="A1336" s="180">
        <f t="shared" si="20"/>
        <v>4120088</v>
      </c>
      <c r="B1336" s="188" t="s">
        <v>1673</v>
      </c>
      <c r="C1336" s="188" t="s">
        <v>1674</v>
      </c>
      <c r="D1336" t="s">
        <v>14925</v>
      </c>
    </row>
    <row r="1337" spans="1:4" x14ac:dyDescent="0.25">
      <c r="A1337" s="180">
        <f t="shared" si="20"/>
        <v>4120089</v>
      </c>
      <c r="B1337" s="188" t="s">
        <v>1675</v>
      </c>
      <c r="C1337" s="188" t="s">
        <v>1676</v>
      </c>
    </row>
    <row r="1338" spans="1:4" x14ac:dyDescent="0.25">
      <c r="A1338" s="180">
        <f t="shared" si="20"/>
        <v>4120100</v>
      </c>
      <c r="B1338" s="188" t="s">
        <v>1677</v>
      </c>
      <c r="C1338" s="188" t="s">
        <v>1678</v>
      </c>
      <c r="D1338" t="s">
        <v>14925</v>
      </c>
    </row>
    <row r="1339" spans="1:4" x14ac:dyDescent="0.25">
      <c r="A1339" s="180">
        <f t="shared" si="20"/>
        <v>4120101</v>
      </c>
      <c r="B1339" s="188" t="s">
        <v>1679</v>
      </c>
      <c r="C1339" s="188" t="s">
        <v>1680</v>
      </c>
      <c r="D1339" t="s">
        <v>14925</v>
      </c>
    </row>
    <row r="1340" spans="1:4" x14ac:dyDescent="0.25">
      <c r="A1340" s="180">
        <f t="shared" si="20"/>
        <v>4120103</v>
      </c>
      <c r="B1340" s="188" t="s">
        <v>1681</v>
      </c>
      <c r="C1340" s="188" t="s">
        <v>1682</v>
      </c>
      <c r="D1340" t="s">
        <v>14925</v>
      </c>
    </row>
    <row r="1341" spans="1:4" x14ac:dyDescent="0.25">
      <c r="A1341" s="180">
        <f t="shared" si="20"/>
        <v>4120104</v>
      </c>
      <c r="B1341" s="188" t="s">
        <v>1683</v>
      </c>
      <c r="C1341" s="188" t="s">
        <v>1684</v>
      </c>
      <c r="D1341" t="s">
        <v>14925</v>
      </c>
    </row>
    <row r="1342" spans="1:4" x14ac:dyDescent="0.25">
      <c r="A1342" s="180">
        <f t="shared" si="20"/>
        <v>4120105</v>
      </c>
      <c r="B1342" s="188" t="s">
        <v>1685</v>
      </c>
      <c r="C1342" s="188" t="s">
        <v>1686</v>
      </c>
    </row>
    <row r="1343" spans="1:4" x14ac:dyDescent="0.25">
      <c r="A1343" s="180">
        <f t="shared" ref="A1343:A1406" si="21">IFERROR(B1343*1,"")</f>
        <v>4120106</v>
      </c>
      <c r="B1343" s="188" t="s">
        <v>1687</v>
      </c>
      <c r="C1343" s="188" t="s">
        <v>1688</v>
      </c>
      <c r="D1343" t="s">
        <v>14925</v>
      </c>
    </row>
    <row r="1344" spans="1:4" x14ac:dyDescent="0.25">
      <c r="A1344" s="180">
        <f t="shared" si="21"/>
        <v>4120107</v>
      </c>
      <c r="B1344" s="188" t="s">
        <v>1689</v>
      </c>
      <c r="C1344" s="188" t="s">
        <v>1690</v>
      </c>
      <c r="D1344" t="s">
        <v>14925</v>
      </c>
    </row>
    <row r="1345" spans="1:4" x14ac:dyDescent="0.25">
      <c r="A1345" s="180">
        <f t="shared" si="21"/>
        <v>4120108</v>
      </c>
      <c r="B1345" s="188" t="s">
        <v>1691</v>
      </c>
      <c r="C1345" s="188" t="s">
        <v>1692</v>
      </c>
    </row>
    <row r="1346" spans="1:4" x14ac:dyDescent="0.25">
      <c r="A1346" s="180">
        <f t="shared" si="21"/>
        <v>4120109</v>
      </c>
      <c r="B1346" s="188" t="s">
        <v>1693</v>
      </c>
      <c r="C1346" s="188" t="s">
        <v>1694</v>
      </c>
    </row>
    <row r="1347" spans="1:4" x14ac:dyDescent="0.25">
      <c r="A1347" s="180">
        <f t="shared" si="21"/>
        <v>4120110</v>
      </c>
      <c r="B1347" s="188" t="s">
        <v>1695</v>
      </c>
      <c r="C1347" s="188" t="s">
        <v>1696</v>
      </c>
      <c r="D1347" t="s">
        <v>14925</v>
      </c>
    </row>
    <row r="1348" spans="1:4" x14ac:dyDescent="0.25">
      <c r="A1348" s="180">
        <f t="shared" si="21"/>
        <v>4120111</v>
      </c>
      <c r="B1348" s="188" t="s">
        <v>1697</v>
      </c>
      <c r="C1348" s="188" t="s">
        <v>1698</v>
      </c>
      <c r="D1348" t="s">
        <v>14925</v>
      </c>
    </row>
    <row r="1349" spans="1:4" x14ac:dyDescent="0.25">
      <c r="A1349" s="180">
        <f t="shared" si="21"/>
        <v>4120112</v>
      </c>
      <c r="B1349" s="188" t="s">
        <v>1699</v>
      </c>
      <c r="C1349" s="188" t="s">
        <v>1692</v>
      </c>
    </row>
    <row r="1350" spans="1:4" x14ac:dyDescent="0.25">
      <c r="A1350" s="180">
        <f t="shared" si="21"/>
        <v>4120113</v>
      </c>
      <c r="B1350" s="188" t="s">
        <v>1700</v>
      </c>
      <c r="C1350" s="188" t="s">
        <v>1692</v>
      </c>
    </row>
    <row r="1351" spans="1:4" x14ac:dyDescent="0.25">
      <c r="A1351" s="180">
        <f t="shared" si="21"/>
        <v>4120115</v>
      </c>
      <c r="B1351" s="188" t="s">
        <v>1701</v>
      </c>
      <c r="C1351" s="188" t="s">
        <v>1702</v>
      </c>
      <c r="D1351" t="s">
        <v>14925</v>
      </c>
    </row>
    <row r="1352" spans="1:4" x14ac:dyDescent="0.25">
      <c r="A1352" s="180">
        <f t="shared" si="21"/>
        <v>4120116</v>
      </c>
      <c r="B1352" s="188" t="s">
        <v>1703</v>
      </c>
      <c r="C1352" s="188" t="s">
        <v>1704</v>
      </c>
      <c r="D1352" t="s">
        <v>14925</v>
      </c>
    </row>
    <row r="1353" spans="1:4" x14ac:dyDescent="0.25">
      <c r="A1353" s="180">
        <f t="shared" si="21"/>
        <v>4120117</v>
      </c>
      <c r="B1353" s="188" t="s">
        <v>13445</v>
      </c>
      <c r="C1353" s="188" t="s">
        <v>13446</v>
      </c>
      <c r="D1353" t="s">
        <v>14925</v>
      </c>
    </row>
    <row r="1354" spans="1:4" x14ac:dyDescent="0.25">
      <c r="A1354" s="180">
        <f t="shared" si="21"/>
        <v>4120118</v>
      </c>
      <c r="B1354" s="188" t="s">
        <v>13447</v>
      </c>
      <c r="C1354" s="188" t="s">
        <v>13448</v>
      </c>
      <c r="D1354" t="s">
        <v>14925</v>
      </c>
    </row>
    <row r="1355" spans="1:4" x14ac:dyDescent="0.25">
      <c r="A1355" s="180">
        <f t="shared" si="21"/>
        <v>4120120</v>
      </c>
      <c r="B1355" s="188" t="s">
        <v>1705</v>
      </c>
      <c r="C1355" s="188" t="s">
        <v>1706</v>
      </c>
      <c r="D1355" t="s">
        <v>14925</v>
      </c>
    </row>
    <row r="1356" spans="1:4" x14ac:dyDescent="0.25">
      <c r="A1356" s="180">
        <f t="shared" si="21"/>
        <v>4120121</v>
      </c>
      <c r="B1356" s="188" t="s">
        <v>1707</v>
      </c>
      <c r="C1356" s="189" t="s">
        <v>1708</v>
      </c>
      <c r="D1356" t="s">
        <v>14925</v>
      </c>
    </row>
    <row r="1357" spans="1:4" x14ac:dyDescent="0.25">
      <c r="A1357" s="180">
        <f t="shared" si="21"/>
        <v>4120123</v>
      </c>
      <c r="B1357" s="188" t="s">
        <v>1709</v>
      </c>
      <c r="C1357" s="188" t="s">
        <v>1710</v>
      </c>
      <c r="D1357" t="s">
        <v>14925</v>
      </c>
    </row>
    <row r="1358" spans="1:4" x14ac:dyDescent="0.25">
      <c r="A1358" s="180">
        <f t="shared" si="21"/>
        <v>4120124</v>
      </c>
      <c r="B1358" s="188" t="s">
        <v>1711</v>
      </c>
      <c r="C1358" s="188" t="s">
        <v>1712</v>
      </c>
    </row>
    <row r="1359" spans="1:4" x14ac:dyDescent="0.25">
      <c r="A1359" s="180">
        <f t="shared" si="21"/>
        <v>4120130</v>
      </c>
      <c r="B1359" s="188" t="s">
        <v>1713</v>
      </c>
      <c r="C1359" s="188" t="s">
        <v>1714</v>
      </c>
      <c r="D1359" t="s">
        <v>14925</v>
      </c>
    </row>
    <row r="1360" spans="1:4" x14ac:dyDescent="0.25">
      <c r="A1360" s="180">
        <f t="shared" si="21"/>
        <v>4120131</v>
      </c>
      <c r="B1360" s="188" t="s">
        <v>1715</v>
      </c>
      <c r="C1360" s="188" t="s">
        <v>1716</v>
      </c>
      <c r="D1360" t="s">
        <v>14925</v>
      </c>
    </row>
    <row r="1361" spans="1:4" x14ac:dyDescent="0.25">
      <c r="A1361" s="180">
        <f t="shared" si="21"/>
        <v>4120138</v>
      </c>
      <c r="B1361" s="188" t="s">
        <v>1717</v>
      </c>
      <c r="C1361" s="188" t="s">
        <v>1718</v>
      </c>
      <c r="D1361" t="s">
        <v>14925</v>
      </c>
    </row>
    <row r="1362" spans="1:4" x14ac:dyDescent="0.25">
      <c r="A1362" s="180">
        <f t="shared" si="21"/>
        <v>4120139</v>
      </c>
      <c r="B1362" s="188" t="s">
        <v>1719</v>
      </c>
      <c r="C1362" s="188" t="s">
        <v>1720</v>
      </c>
    </row>
    <row r="1363" spans="1:4" x14ac:dyDescent="0.25">
      <c r="A1363" s="180">
        <f t="shared" si="21"/>
        <v>4120140</v>
      </c>
      <c r="B1363" s="188" t="s">
        <v>13279</v>
      </c>
      <c r="C1363" s="188" t="s">
        <v>13280</v>
      </c>
      <c r="D1363" t="s">
        <v>14925</v>
      </c>
    </row>
    <row r="1364" spans="1:4" x14ac:dyDescent="0.25">
      <c r="A1364" s="180">
        <f t="shared" si="21"/>
        <v>4120150</v>
      </c>
      <c r="B1364" s="188" t="s">
        <v>1721</v>
      </c>
      <c r="C1364" s="188" t="s">
        <v>1722</v>
      </c>
    </row>
    <row r="1365" spans="1:4" x14ac:dyDescent="0.25">
      <c r="A1365" s="180">
        <f t="shared" si="21"/>
        <v>4120151</v>
      </c>
      <c r="B1365" s="188" t="s">
        <v>1723</v>
      </c>
      <c r="C1365" s="188" t="s">
        <v>1724</v>
      </c>
    </row>
    <row r="1366" spans="1:4" x14ac:dyDescent="0.25">
      <c r="A1366" s="180">
        <f t="shared" si="21"/>
        <v>4120159</v>
      </c>
      <c r="B1366" s="188" t="s">
        <v>1725</v>
      </c>
      <c r="C1366" s="188" t="s">
        <v>1726</v>
      </c>
    </row>
    <row r="1367" spans="1:4" x14ac:dyDescent="0.25">
      <c r="A1367" s="180">
        <f t="shared" si="21"/>
        <v>4120160</v>
      </c>
      <c r="B1367" s="188" t="s">
        <v>1727</v>
      </c>
      <c r="C1367" s="188" t="s">
        <v>1728</v>
      </c>
      <c r="D1367" t="s">
        <v>14925</v>
      </c>
    </row>
    <row r="1368" spans="1:4" x14ac:dyDescent="0.25">
      <c r="A1368" s="180">
        <f t="shared" si="21"/>
        <v>4120161</v>
      </c>
      <c r="B1368" s="188" t="s">
        <v>1729</v>
      </c>
      <c r="C1368" s="188" t="s">
        <v>1730</v>
      </c>
    </row>
    <row r="1369" spans="1:4" x14ac:dyDescent="0.25">
      <c r="A1369" s="180" t="str">
        <f t="shared" si="21"/>
        <v/>
      </c>
      <c r="B1369" s="188" t="s">
        <v>1731</v>
      </c>
      <c r="C1369" s="188" t="s">
        <v>1732</v>
      </c>
    </row>
    <row r="1370" spans="1:4" x14ac:dyDescent="0.25">
      <c r="A1370" s="180">
        <f t="shared" si="21"/>
        <v>4120162</v>
      </c>
      <c r="B1370" s="188" t="s">
        <v>1733</v>
      </c>
      <c r="C1370" s="188" t="s">
        <v>1734</v>
      </c>
    </row>
    <row r="1371" spans="1:4" x14ac:dyDescent="0.25">
      <c r="A1371" s="180">
        <f t="shared" si="21"/>
        <v>412017</v>
      </c>
      <c r="B1371" s="188" t="s">
        <v>14003</v>
      </c>
      <c r="C1371" s="188" t="s">
        <v>14004</v>
      </c>
    </row>
    <row r="1372" spans="1:4" x14ac:dyDescent="0.25">
      <c r="A1372" s="180">
        <f t="shared" si="21"/>
        <v>4120170</v>
      </c>
      <c r="B1372" s="188" t="s">
        <v>6867</v>
      </c>
      <c r="C1372" s="188" t="s">
        <v>6868</v>
      </c>
      <c r="D1372" t="s">
        <v>14925</v>
      </c>
    </row>
    <row r="1373" spans="1:4" x14ac:dyDescent="0.25">
      <c r="A1373" s="180">
        <f t="shared" si="21"/>
        <v>4120171</v>
      </c>
      <c r="B1373" s="188" t="s">
        <v>6869</v>
      </c>
      <c r="C1373" s="188" t="s">
        <v>6870</v>
      </c>
      <c r="D1373" t="s">
        <v>14925</v>
      </c>
    </row>
    <row r="1374" spans="1:4" x14ac:dyDescent="0.25">
      <c r="A1374" s="180">
        <f t="shared" si="21"/>
        <v>4120172</v>
      </c>
      <c r="B1374" s="188" t="s">
        <v>6871</v>
      </c>
      <c r="C1374" s="188" t="s">
        <v>6872</v>
      </c>
    </row>
    <row r="1375" spans="1:4" x14ac:dyDescent="0.25">
      <c r="A1375" s="180">
        <f t="shared" si="21"/>
        <v>4120201</v>
      </c>
      <c r="B1375" s="188" t="s">
        <v>1735</v>
      </c>
      <c r="C1375" s="188" t="s">
        <v>1736</v>
      </c>
    </row>
    <row r="1376" spans="1:4" x14ac:dyDescent="0.25">
      <c r="A1376" s="180">
        <f t="shared" si="21"/>
        <v>4120202</v>
      </c>
      <c r="B1376" s="188" t="s">
        <v>1737</v>
      </c>
      <c r="C1376" s="188" t="s">
        <v>1738</v>
      </c>
    </row>
    <row r="1377" spans="1:4" x14ac:dyDescent="0.25">
      <c r="A1377" s="180">
        <f t="shared" si="21"/>
        <v>4120210</v>
      </c>
      <c r="B1377" s="188" t="s">
        <v>13281</v>
      </c>
      <c r="C1377" s="188" t="s">
        <v>13282</v>
      </c>
      <c r="D1377" t="s">
        <v>14925</v>
      </c>
    </row>
    <row r="1378" spans="1:4" x14ac:dyDescent="0.25">
      <c r="A1378" s="180">
        <f t="shared" si="21"/>
        <v>4120212</v>
      </c>
      <c r="B1378" s="188" t="s">
        <v>14240</v>
      </c>
      <c r="C1378" s="188" t="s">
        <v>14241</v>
      </c>
    </row>
    <row r="1379" spans="1:4" x14ac:dyDescent="0.25">
      <c r="A1379" s="180">
        <f t="shared" si="21"/>
        <v>4120215</v>
      </c>
      <c r="B1379" s="188" t="s">
        <v>14005</v>
      </c>
      <c r="C1379" s="188" t="s">
        <v>14006</v>
      </c>
    </row>
    <row r="1380" spans="1:4" x14ac:dyDescent="0.25">
      <c r="A1380" s="180">
        <f t="shared" si="21"/>
        <v>4120216</v>
      </c>
      <c r="B1380" s="188" t="s">
        <v>14007</v>
      </c>
      <c r="C1380" s="188" t="s">
        <v>14008</v>
      </c>
    </row>
    <row r="1381" spans="1:4" x14ac:dyDescent="0.25">
      <c r="A1381" s="180">
        <f t="shared" si="21"/>
        <v>4120217</v>
      </c>
      <c r="B1381" s="188" t="s">
        <v>14009</v>
      </c>
      <c r="C1381" s="188" t="s">
        <v>14010</v>
      </c>
    </row>
    <row r="1382" spans="1:4" x14ac:dyDescent="0.25">
      <c r="A1382" s="180">
        <f t="shared" si="21"/>
        <v>4120220</v>
      </c>
      <c r="B1382" s="188" t="s">
        <v>1739</v>
      </c>
      <c r="C1382" s="188" t="s">
        <v>1740</v>
      </c>
      <c r="D1382" t="s">
        <v>14925</v>
      </c>
    </row>
    <row r="1383" spans="1:4" x14ac:dyDescent="0.25">
      <c r="A1383" s="180">
        <f t="shared" si="21"/>
        <v>4120221</v>
      </c>
      <c r="B1383" s="188" t="s">
        <v>1741</v>
      </c>
      <c r="C1383" s="188" t="s">
        <v>1742</v>
      </c>
      <c r="D1383" t="s">
        <v>14925</v>
      </c>
    </row>
    <row r="1384" spans="1:4" x14ac:dyDescent="0.25">
      <c r="A1384" s="180">
        <f t="shared" si="21"/>
        <v>4120222</v>
      </c>
      <c r="B1384" s="188" t="s">
        <v>1743</v>
      </c>
      <c r="C1384" s="188" t="s">
        <v>1744</v>
      </c>
      <c r="D1384" t="s">
        <v>14925</v>
      </c>
    </row>
    <row r="1385" spans="1:4" x14ac:dyDescent="0.25">
      <c r="A1385" s="180">
        <f t="shared" si="21"/>
        <v>4120223</v>
      </c>
      <c r="B1385" s="188" t="s">
        <v>1745</v>
      </c>
      <c r="C1385" s="188" t="s">
        <v>1746</v>
      </c>
      <c r="D1385" t="s">
        <v>14925</v>
      </c>
    </row>
    <row r="1386" spans="1:4" x14ac:dyDescent="0.25">
      <c r="A1386" s="180">
        <f t="shared" si="21"/>
        <v>4120224</v>
      </c>
      <c r="B1386" s="188" t="s">
        <v>1747</v>
      </c>
      <c r="C1386" s="188" t="s">
        <v>1748</v>
      </c>
      <c r="D1386" t="s">
        <v>14925</v>
      </c>
    </row>
    <row r="1387" spans="1:4" x14ac:dyDescent="0.25">
      <c r="A1387" s="180">
        <f t="shared" si="21"/>
        <v>4120232</v>
      </c>
      <c r="B1387" s="188" t="s">
        <v>1749</v>
      </c>
      <c r="C1387" s="188" t="s">
        <v>14884</v>
      </c>
      <c r="D1387" t="s">
        <v>14925</v>
      </c>
    </row>
    <row r="1388" spans="1:4" x14ac:dyDescent="0.25">
      <c r="A1388" s="180">
        <f t="shared" si="21"/>
        <v>4120233</v>
      </c>
      <c r="B1388" s="188" t="s">
        <v>1750</v>
      </c>
      <c r="C1388" s="188" t="s">
        <v>14885</v>
      </c>
    </row>
    <row r="1389" spans="1:4" x14ac:dyDescent="0.25">
      <c r="A1389" s="180">
        <f t="shared" si="21"/>
        <v>4120234</v>
      </c>
      <c r="B1389" s="188" t="s">
        <v>1751</v>
      </c>
      <c r="C1389" s="188" t="s">
        <v>14886</v>
      </c>
    </row>
    <row r="1390" spans="1:4" x14ac:dyDescent="0.25">
      <c r="A1390" s="180">
        <f t="shared" si="21"/>
        <v>4120235</v>
      </c>
      <c r="B1390" s="188" t="s">
        <v>1752</v>
      </c>
      <c r="C1390" s="188" t="s">
        <v>14887</v>
      </c>
    </row>
    <row r="1391" spans="1:4" x14ac:dyDescent="0.25">
      <c r="A1391" s="180">
        <f t="shared" si="21"/>
        <v>4120236</v>
      </c>
      <c r="B1391" s="188" t="s">
        <v>1753</v>
      </c>
      <c r="C1391" s="188" t="s">
        <v>14888</v>
      </c>
      <c r="D1391" t="s">
        <v>14925</v>
      </c>
    </row>
    <row r="1392" spans="1:4" x14ac:dyDescent="0.25">
      <c r="A1392" s="180">
        <f t="shared" si="21"/>
        <v>4120237</v>
      </c>
      <c r="B1392" s="188" t="s">
        <v>1754</v>
      </c>
      <c r="C1392" s="188" t="s">
        <v>14889</v>
      </c>
      <c r="D1392" t="s">
        <v>14925</v>
      </c>
    </row>
    <row r="1393" spans="1:4" x14ac:dyDescent="0.25">
      <c r="A1393" s="180">
        <f t="shared" si="21"/>
        <v>4120238</v>
      </c>
      <c r="B1393" s="188" t="s">
        <v>1755</v>
      </c>
      <c r="C1393" s="188" t="s">
        <v>14890</v>
      </c>
      <c r="D1393" t="s">
        <v>14925</v>
      </c>
    </row>
    <row r="1394" spans="1:4" x14ac:dyDescent="0.25">
      <c r="A1394" s="180">
        <f t="shared" si="21"/>
        <v>4120239</v>
      </c>
      <c r="B1394" s="188" t="s">
        <v>1756</v>
      </c>
      <c r="C1394" s="188" t="s">
        <v>14891</v>
      </c>
      <c r="D1394" t="s">
        <v>14925</v>
      </c>
    </row>
    <row r="1395" spans="1:4" x14ac:dyDescent="0.25">
      <c r="A1395" s="180">
        <f t="shared" si="21"/>
        <v>4120240</v>
      </c>
      <c r="B1395" s="188" t="s">
        <v>1757</v>
      </c>
      <c r="C1395" s="188" t="s">
        <v>14892</v>
      </c>
      <c r="D1395" t="s">
        <v>14925</v>
      </c>
    </row>
    <row r="1396" spans="1:4" x14ac:dyDescent="0.25">
      <c r="A1396" s="180">
        <f t="shared" si="21"/>
        <v>4120241</v>
      </c>
      <c r="B1396" s="188" t="s">
        <v>1758</v>
      </c>
      <c r="C1396" s="188" t="s">
        <v>14893</v>
      </c>
      <c r="D1396" t="s">
        <v>14925</v>
      </c>
    </row>
    <row r="1397" spans="1:4" x14ac:dyDescent="0.25">
      <c r="A1397" s="180">
        <f t="shared" si="21"/>
        <v>4120242</v>
      </c>
      <c r="B1397" s="188" t="s">
        <v>1759</v>
      </c>
      <c r="C1397" s="188" t="s">
        <v>14894</v>
      </c>
    </row>
    <row r="1398" spans="1:4" x14ac:dyDescent="0.25">
      <c r="A1398" s="180">
        <f t="shared" si="21"/>
        <v>4120243</v>
      </c>
      <c r="B1398" s="188" t="s">
        <v>1760</v>
      </c>
      <c r="C1398" s="188" t="s">
        <v>14895</v>
      </c>
      <c r="D1398" t="s">
        <v>14925</v>
      </c>
    </row>
    <row r="1399" spans="1:4" x14ac:dyDescent="0.25">
      <c r="A1399" s="180">
        <f t="shared" si="21"/>
        <v>4120244</v>
      </c>
      <c r="B1399" s="188" t="s">
        <v>1761</v>
      </c>
      <c r="C1399" s="188" t="s">
        <v>14896</v>
      </c>
      <c r="D1399" t="s">
        <v>14925</v>
      </c>
    </row>
    <row r="1400" spans="1:4" x14ac:dyDescent="0.25">
      <c r="A1400" s="180">
        <f t="shared" si="21"/>
        <v>4120245</v>
      </c>
      <c r="B1400" s="188" t="s">
        <v>1762</v>
      </c>
      <c r="C1400" s="188" t="s">
        <v>14897</v>
      </c>
      <c r="D1400" t="s">
        <v>14925</v>
      </c>
    </row>
    <row r="1401" spans="1:4" x14ac:dyDescent="0.25">
      <c r="A1401" s="180">
        <f t="shared" si="21"/>
        <v>4120246</v>
      </c>
      <c r="B1401" s="188" t="s">
        <v>1763</v>
      </c>
      <c r="C1401" s="188" t="s">
        <v>14898</v>
      </c>
      <c r="D1401" t="s">
        <v>14925</v>
      </c>
    </row>
    <row r="1402" spans="1:4" x14ac:dyDescent="0.25">
      <c r="A1402" s="180">
        <f t="shared" si="21"/>
        <v>4120247</v>
      </c>
      <c r="B1402" s="188" t="s">
        <v>1764</v>
      </c>
      <c r="C1402" s="188" t="s">
        <v>14899</v>
      </c>
      <c r="D1402" t="s">
        <v>14925</v>
      </c>
    </row>
    <row r="1403" spans="1:4" x14ac:dyDescent="0.25">
      <c r="A1403" s="180">
        <f t="shared" si="21"/>
        <v>4120250</v>
      </c>
      <c r="B1403" s="188" t="s">
        <v>1765</v>
      </c>
      <c r="C1403" s="188" t="s">
        <v>14392</v>
      </c>
    </row>
    <row r="1404" spans="1:4" x14ac:dyDescent="0.25">
      <c r="A1404" s="180">
        <f t="shared" si="21"/>
        <v>4120251</v>
      </c>
      <c r="B1404" s="188" t="s">
        <v>1766</v>
      </c>
      <c r="C1404" s="188" t="s">
        <v>14393</v>
      </c>
    </row>
    <row r="1405" spans="1:4" x14ac:dyDescent="0.25">
      <c r="A1405" s="180">
        <f t="shared" si="21"/>
        <v>4120252</v>
      </c>
      <c r="B1405" s="188" t="s">
        <v>1767</v>
      </c>
      <c r="C1405" s="188" t="s">
        <v>14394</v>
      </c>
    </row>
    <row r="1406" spans="1:4" x14ac:dyDescent="0.25">
      <c r="A1406" s="180">
        <f t="shared" si="21"/>
        <v>4120254</v>
      </c>
      <c r="B1406" s="188" t="s">
        <v>1768</v>
      </c>
      <c r="C1406" s="188" t="s">
        <v>1769</v>
      </c>
    </row>
    <row r="1407" spans="1:4" x14ac:dyDescent="0.25">
      <c r="A1407" s="180">
        <f t="shared" ref="A1407:A1470" si="22">IFERROR(B1407*1,"")</f>
        <v>4120255</v>
      </c>
      <c r="B1407" s="188" t="s">
        <v>1770</v>
      </c>
      <c r="C1407" s="188" t="s">
        <v>1771</v>
      </c>
    </row>
    <row r="1408" spans="1:4" x14ac:dyDescent="0.25">
      <c r="A1408" s="180">
        <f t="shared" si="22"/>
        <v>4120256</v>
      </c>
      <c r="B1408" s="188" t="s">
        <v>1772</v>
      </c>
      <c r="C1408" s="188" t="s">
        <v>1773</v>
      </c>
    </row>
    <row r="1409" spans="1:4" x14ac:dyDescent="0.25">
      <c r="A1409" s="180">
        <f t="shared" si="22"/>
        <v>4120270</v>
      </c>
      <c r="B1409" s="188" t="s">
        <v>1774</v>
      </c>
      <c r="C1409" s="188" t="s">
        <v>1775</v>
      </c>
      <c r="D1409" t="s">
        <v>14925</v>
      </c>
    </row>
    <row r="1410" spans="1:4" x14ac:dyDescent="0.25">
      <c r="A1410" s="180">
        <f t="shared" si="22"/>
        <v>4120271</v>
      </c>
      <c r="B1410" s="188" t="s">
        <v>1776</v>
      </c>
      <c r="C1410" s="188" t="s">
        <v>1777</v>
      </c>
      <c r="D1410" t="s">
        <v>14925</v>
      </c>
    </row>
    <row r="1411" spans="1:4" x14ac:dyDescent="0.25">
      <c r="A1411" s="180">
        <f t="shared" si="22"/>
        <v>4120272</v>
      </c>
      <c r="B1411" s="188" t="s">
        <v>1778</v>
      </c>
      <c r="C1411" s="188" t="s">
        <v>1779</v>
      </c>
      <c r="D1411" t="s">
        <v>14925</v>
      </c>
    </row>
    <row r="1412" spans="1:4" x14ac:dyDescent="0.25">
      <c r="A1412" s="180">
        <f t="shared" si="22"/>
        <v>4120300</v>
      </c>
      <c r="B1412" s="188" t="s">
        <v>1780</v>
      </c>
      <c r="C1412" s="188" t="s">
        <v>1781</v>
      </c>
      <c r="D1412" t="s">
        <v>14925</v>
      </c>
    </row>
    <row r="1413" spans="1:4" x14ac:dyDescent="0.25">
      <c r="A1413" s="180">
        <f t="shared" si="22"/>
        <v>4120301</v>
      </c>
      <c r="B1413" s="188" t="s">
        <v>1782</v>
      </c>
      <c r="C1413" s="188" t="s">
        <v>1783</v>
      </c>
    </row>
    <row r="1414" spans="1:4" x14ac:dyDescent="0.25">
      <c r="A1414" s="180">
        <f t="shared" si="22"/>
        <v>4120302</v>
      </c>
      <c r="B1414" s="188" t="s">
        <v>1784</v>
      </c>
      <c r="C1414" s="188" t="s">
        <v>1785</v>
      </c>
    </row>
    <row r="1415" spans="1:4" x14ac:dyDescent="0.25">
      <c r="A1415" s="180">
        <f t="shared" si="22"/>
        <v>4120303</v>
      </c>
      <c r="B1415" s="188" t="s">
        <v>1786</v>
      </c>
      <c r="C1415" s="188" t="s">
        <v>1787</v>
      </c>
      <c r="D1415" t="s">
        <v>14925</v>
      </c>
    </row>
    <row r="1416" spans="1:4" x14ac:dyDescent="0.25">
      <c r="A1416" s="180">
        <f t="shared" si="22"/>
        <v>4120304</v>
      </c>
      <c r="B1416" s="188" t="s">
        <v>1788</v>
      </c>
      <c r="C1416" s="188" t="s">
        <v>1789</v>
      </c>
    </row>
    <row r="1417" spans="1:4" x14ac:dyDescent="0.25">
      <c r="A1417" s="180">
        <f t="shared" si="22"/>
        <v>4120305</v>
      </c>
      <c r="B1417" s="188" t="s">
        <v>14395</v>
      </c>
      <c r="C1417" s="188" t="s">
        <v>14396</v>
      </c>
    </row>
    <row r="1418" spans="1:4" x14ac:dyDescent="0.25">
      <c r="A1418" s="180">
        <f t="shared" si="22"/>
        <v>4120306</v>
      </c>
      <c r="B1418" s="188" t="s">
        <v>14397</v>
      </c>
      <c r="C1418" s="188" t="s">
        <v>14398</v>
      </c>
    </row>
    <row r="1419" spans="1:4" x14ac:dyDescent="0.25">
      <c r="A1419" s="180">
        <f t="shared" si="22"/>
        <v>4120307</v>
      </c>
      <c r="B1419" s="188" t="s">
        <v>14399</v>
      </c>
      <c r="C1419" s="188" t="s">
        <v>14400</v>
      </c>
    </row>
    <row r="1420" spans="1:4" x14ac:dyDescent="0.25">
      <c r="A1420" s="180">
        <f t="shared" si="22"/>
        <v>4120315</v>
      </c>
      <c r="B1420" s="188" t="s">
        <v>14401</v>
      </c>
      <c r="C1420" s="188" t="s">
        <v>14402</v>
      </c>
    </row>
    <row r="1421" spans="1:4" x14ac:dyDescent="0.25">
      <c r="A1421" s="180">
        <f t="shared" si="22"/>
        <v>4120316</v>
      </c>
      <c r="B1421" s="188" t="s">
        <v>14403</v>
      </c>
      <c r="C1421" s="188" t="s">
        <v>14404</v>
      </c>
    </row>
    <row r="1422" spans="1:4" x14ac:dyDescent="0.25">
      <c r="A1422" s="180">
        <f t="shared" si="22"/>
        <v>4120317</v>
      </c>
      <c r="B1422" s="188" t="s">
        <v>14405</v>
      </c>
      <c r="C1422" s="188" t="s">
        <v>14406</v>
      </c>
    </row>
    <row r="1423" spans="1:4" x14ac:dyDescent="0.25">
      <c r="A1423" s="180">
        <f t="shared" si="22"/>
        <v>4120334</v>
      </c>
      <c r="B1423" s="188" t="s">
        <v>1790</v>
      </c>
      <c r="C1423" s="188" t="s">
        <v>1791</v>
      </c>
      <c r="D1423" t="s">
        <v>14925</v>
      </c>
    </row>
    <row r="1424" spans="1:4" x14ac:dyDescent="0.25">
      <c r="A1424" s="180">
        <f t="shared" si="22"/>
        <v>4120335</v>
      </c>
      <c r="B1424" s="188" t="s">
        <v>1792</v>
      </c>
      <c r="C1424" s="188" t="s">
        <v>1793</v>
      </c>
      <c r="D1424" t="s">
        <v>14925</v>
      </c>
    </row>
    <row r="1425" spans="1:4" x14ac:dyDescent="0.25">
      <c r="A1425" s="180">
        <f t="shared" si="22"/>
        <v>4120350</v>
      </c>
      <c r="B1425" s="188" t="s">
        <v>1794</v>
      </c>
      <c r="C1425" s="188" t="s">
        <v>1795</v>
      </c>
      <c r="D1425" t="s">
        <v>14925</v>
      </c>
    </row>
    <row r="1426" spans="1:4" x14ac:dyDescent="0.25">
      <c r="A1426" s="180">
        <f t="shared" si="22"/>
        <v>4120351</v>
      </c>
      <c r="B1426" s="188" t="s">
        <v>1796</v>
      </c>
      <c r="C1426" s="188" t="s">
        <v>1797</v>
      </c>
      <c r="D1426" t="s">
        <v>14925</v>
      </c>
    </row>
    <row r="1427" spans="1:4" x14ac:dyDescent="0.25">
      <c r="A1427" s="180">
        <f t="shared" si="22"/>
        <v>4120352</v>
      </c>
      <c r="B1427" s="188" t="s">
        <v>1798</v>
      </c>
      <c r="C1427" s="188" t="s">
        <v>1799</v>
      </c>
      <c r="D1427" t="s">
        <v>14925</v>
      </c>
    </row>
    <row r="1428" spans="1:4" x14ac:dyDescent="0.25">
      <c r="A1428" s="180">
        <f t="shared" si="22"/>
        <v>4120353</v>
      </c>
      <c r="B1428" s="188" t="s">
        <v>1800</v>
      </c>
      <c r="C1428" s="188" t="s">
        <v>1801</v>
      </c>
    </row>
    <row r="1429" spans="1:4" x14ac:dyDescent="0.25">
      <c r="A1429" s="180">
        <f t="shared" si="22"/>
        <v>4120354</v>
      </c>
      <c r="B1429" s="188" t="s">
        <v>1802</v>
      </c>
      <c r="C1429" s="188" t="s">
        <v>1803</v>
      </c>
    </row>
    <row r="1430" spans="1:4" x14ac:dyDescent="0.25">
      <c r="A1430" s="180">
        <f t="shared" si="22"/>
        <v>4120355</v>
      </c>
      <c r="B1430" s="188" t="s">
        <v>1804</v>
      </c>
      <c r="C1430" s="188" t="s">
        <v>1805</v>
      </c>
    </row>
    <row r="1431" spans="1:4" x14ac:dyDescent="0.25">
      <c r="A1431" s="180">
        <f t="shared" si="22"/>
        <v>4120356</v>
      </c>
      <c r="B1431" s="188" t="s">
        <v>1806</v>
      </c>
      <c r="C1431" s="188" t="s">
        <v>1807</v>
      </c>
    </row>
    <row r="1432" spans="1:4" x14ac:dyDescent="0.25">
      <c r="A1432" s="180">
        <f t="shared" si="22"/>
        <v>4120357</v>
      </c>
      <c r="B1432" s="188" t="s">
        <v>1808</v>
      </c>
      <c r="C1432" s="188" t="s">
        <v>1809</v>
      </c>
    </row>
    <row r="1433" spans="1:4" x14ac:dyDescent="0.25">
      <c r="A1433" s="180">
        <f t="shared" si="22"/>
        <v>4120358</v>
      </c>
      <c r="B1433" s="188" t="s">
        <v>1810</v>
      </c>
      <c r="C1433" s="188" t="s">
        <v>1811</v>
      </c>
    </row>
    <row r="1434" spans="1:4" x14ac:dyDescent="0.25">
      <c r="A1434" s="180">
        <f t="shared" si="22"/>
        <v>4120359</v>
      </c>
      <c r="B1434" s="188" t="s">
        <v>1812</v>
      </c>
      <c r="C1434" s="188" t="s">
        <v>1813</v>
      </c>
    </row>
    <row r="1435" spans="1:4" x14ac:dyDescent="0.25">
      <c r="A1435" s="180">
        <f t="shared" si="22"/>
        <v>4120400</v>
      </c>
      <c r="B1435" s="188" t="s">
        <v>1814</v>
      </c>
      <c r="C1435" s="188" t="s">
        <v>1815</v>
      </c>
      <c r="D1435" t="s">
        <v>14925</v>
      </c>
    </row>
    <row r="1436" spans="1:4" x14ac:dyDescent="0.25">
      <c r="A1436" s="180">
        <f t="shared" si="22"/>
        <v>4120401</v>
      </c>
      <c r="B1436" s="188" t="s">
        <v>1816</v>
      </c>
      <c r="C1436" s="188" t="s">
        <v>1817</v>
      </c>
    </row>
    <row r="1437" spans="1:4" x14ac:dyDescent="0.25">
      <c r="A1437" s="180">
        <f t="shared" si="22"/>
        <v>4120402</v>
      </c>
      <c r="B1437" s="188" t="s">
        <v>1818</v>
      </c>
      <c r="C1437" s="188" t="s">
        <v>1819</v>
      </c>
    </row>
    <row r="1438" spans="1:4" x14ac:dyDescent="0.25">
      <c r="A1438" s="180">
        <f t="shared" si="22"/>
        <v>4120418</v>
      </c>
      <c r="B1438" s="188" t="s">
        <v>1820</v>
      </c>
      <c r="C1438" s="188" t="s">
        <v>1821</v>
      </c>
      <c r="D1438" t="s">
        <v>14925</v>
      </c>
    </row>
    <row r="1439" spans="1:4" x14ac:dyDescent="0.25">
      <c r="A1439" s="180">
        <f t="shared" si="22"/>
        <v>4120419</v>
      </c>
      <c r="B1439" s="188" t="s">
        <v>1822</v>
      </c>
      <c r="C1439" s="188" t="s">
        <v>1823</v>
      </c>
    </row>
    <row r="1440" spans="1:4" x14ac:dyDescent="0.25">
      <c r="A1440" s="180">
        <f t="shared" si="22"/>
        <v>4120420</v>
      </c>
      <c r="B1440" s="188" t="s">
        <v>1824</v>
      </c>
      <c r="C1440" s="188" t="s">
        <v>1825</v>
      </c>
    </row>
    <row r="1441" spans="1:4" x14ac:dyDescent="0.25">
      <c r="A1441" s="180">
        <f t="shared" si="22"/>
        <v>4120421</v>
      </c>
      <c r="B1441" s="188" t="s">
        <v>1826</v>
      </c>
      <c r="C1441" s="188" t="s">
        <v>1827</v>
      </c>
    </row>
    <row r="1442" spans="1:4" x14ac:dyDescent="0.25">
      <c r="A1442" s="180">
        <f t="shared" si="22"/>
        <v>4120442</v>
      </c>
      <c r="B1442" s="188" t="s">
        <v>1828</v>
      </c>
      <c r="C1442" s="188" t="s">
        <v>1829</v>
      </c>
    </row>
    <row r="1443" spans="1:4" x14ac:dyDescent="0.25">
      <c r="A1443" s="180">
        <f t="shared" si="22"/>
        <v>4120443</v>
      </c>
      <c r="B1443" s="188" t="s">
        <v>1830</v>
      </c>
      <c r="C1443" s="188" t="s">
        <v>1831</v>
      </c>
    </row>
    <row r="1444" spans="1:4" x14ac:dyDescent="0.25">
      <c r="A1444" s="180">
        <f t="shared" si="22"/>
        <v>4120444</v>
      </c>
      <c r="B1444" s="188" t="s">
        <v>1832</v>
      </c>
      <c r="C1444" s="188" t="s">
        <v>1833</v>
      </c>
    </row>
    <row r="1445" spans="1:4" x14ac:dyDescent="0.25">
      <c r="A1445" s="180">
        <f t="shared" si="22"/>
        <v>4120450</v>
      </c>
      <c r="B1445" s="188" t="s">
        <v>1834</v>
      </c>
      <c r="C1445" s="188" t="s">
        <v>1835</v>
      </c>
    </row>
    <row r="1446" spans="1:4" x14ac:dyDescent="0.25">
      <c r="A1446" s="180">
        <f t="shared" si="22"/>
        <v>4120451</v>
      </c>
      <c r="B1446" s="188" t="s">
        <v>1836</v>
      </c>
      <c r="C1446" s="188" t="s">
        <v>1837</v>
      </c>
    </row>
    <row r="1447" spans="1:4" x14ac:dyDescent="0.25">
      <c r="A1447" s="180">
        <f t="shared" si="22"/>
        <v>4120454</v>
      </c>
      <c r="B1447" s="188" t="s">
        <v>1838</v>
      </c>
      <c r="C1447" s="188" t="s">
        <v>1839</v>
      </c>
      <c r="D1447" t="s">
        <v>14925</v>
      </c>
    </row>
    <row r="1448" spans="1:4" x14ac:dyDescent="0.25">
      <c r="A1448" s="180">
        <f t="shared" si="22"/>
        <v>4120455</v>
      </c>
      <c r="B1448" s="188" t="s">
        <v>1840</v>
      </c>
      <c r="C1448" s="188" t="s">
        <v>1841</v>
      </c>
    </row>
    <row r="1449" spans="1:4" x14ac:dyDescent="0.25">
      <c r="A1449" s="180">
        <f t="shared" si="22"/>
        <v>4120456</v>
      </c>
      <c r="B1449" s="188" t="s">
        <v>1842</v>
      </c>
      <c r="C1449" s="188" t="s">
        <v>1843</v>
      </c>
    </row>
    <row r="1450" spans="1:4" x14ac:dyDescent="0.25">
      <c r="A1450" s="180">
        <f t="shared" si="22"/>
        <v>4120457</v>
      </c>
      <c r="B1450" s="188" t="s">
        <v>1844</v>
      </c>
      <c r="C1450" s="188" t="s">
        <v>1845</v>
      </c>
    </row>
    <row r="1451" spans="1:4" x14ac:dyDescent="0.25">
      <c r="A1451" s="180">
        <f t="shared" si="22"/>
        <v>4120458</v>
      </c>
      <c r="B1451" s="188" t="s">
        <v>1846</v>
      </c>
      <c r="C1451" s="188" t="s">
        <v>1847</v>
      </c>
    </row>
    <row r="1452" spans="1:4" x14ac:dyDescent="0.25">
      <c r="A1452" s="180">
        <f t="shared" si="22"/>
        <v>4120459</v>
      </c>
      <c r="B1452" s="188" t="s">
        <v>1848</v>
      </c>
      <c r="C1452" s="188" t="s">
        <v>1849</v>
      </c>
    </row>
    <row r="1453" spans="1:4" x14ac:dyDescent="0.25">
      <c r="A1453" s="180">
        <f t="shared" si="22"/>
        <v>4120460</v>
      </c>
      <c r="B1453" s="188" t="s">
        <v>1850</v>
      </c>
      <c r="C1453" s="188" t="s">
        <v>1851</v>
      </c>
      <c r="D1453" t="s">
        <v>14925</v>
      </c>
    </row>
    <row r="1454" spans="1:4" x14ac:dyDescent="0.25">
      <c r="A1454" s="180">
        <f t="shared" si="22"/>
        <v>4120461</v>
      </c>
      <c r="B1454" s="188" t="s">
        <v>1852</v>
      </c>
      <c r="C1454" s="188" t="s">
        <v>1853</v>
      </c>
      <c r="D1454" t="s">
        <v>14925</v>
      </c>
    </row>
    <row r="1455" spans="1:4" x14ac:dyDescent="0.25">
      <c r="A1455" s="180">
        <f t="shared" si="22"/>
        <v>4120462</v>
      </c>
      <c r="B1455" s="188" t="s">
        <v>1854</v>
      </c>
      <c r="C1455" s="188" t="s">
        <v>1855</v>
      </c>
    </row>
    <row r="1456" spans="1:4" x14ac:dyDescent="0.25">
      <c r="A1456" s="180">
        <f t="shared" si="22"/>
        <v>4120464</v>
      </c>
      <c r="B1456" s="188" t="s">
        <v>1856</v>
      </c>
      <c r="C1456" s="188" t="s">
        <v>1857</v>
      </c>
    </row>
    <row r="1457" spans="1:4" x14ac:dyDescent="0.25">
      <c r="A1457" s="180" t="str">
        <f t="shared" si="22"/>
        <v/>
      </c>
      <c r="B1457" s="188" t="s">
        <v>13057</v>
      </c>
      <c r="C1457" s="188"/>
    </row>
    <row r="1458" spans="1:4" x14ac:dyDescent="0.25">
      <c r="A1458" s="180">
        <f t="shared" si="22"/>
        <v>4120465</v>
      </c>
      <c r="B1458" s="188" t="s">
        <v>1858</v>
      </c>
      <c r="C1458" s="188" t="s">
        <v>1859</v>
      </c>
    </row>
    <row r="1459" spans="1:4" x14ac:dyDescent="0.25">
      <c r="A1459" s="180">
        <f t="shared" si="22"/>
        <v>4120466</v>
      </c>
      <c r="B1459" s="188" t="s">
        <v>1860</v>
      </c>
      <c r="C1459" s="188" t="s">
        <v>1861</v>
      </c>
    </row>
    <row r="1460" spans="1:4" x14ac:dyDescent="0.25">
      <c r="A1460" s="180">
        <f t="shared" si="22"/>
        <v>4120467</v>
      </c>
      <c r="B1460" s="188" t="s">
        <v>1862</v>
      </c>
      <c r="C1460" s="188" t="s">
        <v>1863</v>
      </c>
    </row>
    <row r="1461" spans="1:4" x14ac:dyDescent="0.25">
      <c r="A1461" s="180">
        <f t="shared" si="22"/>
        <v>4120470</v>
      </c>
      <c r="B1461" s="188" t="s">
        <v>15003</v>
      </c>
      <c r="C1461" s="189" t="s">
        <v>15004</v>
      </c>
      <c r="D1461" t="s">
        <v>14925</v>
      </c>
    </row>
    <row r="1462" spans="1:4" x14ac:dyDescent="0.25">
      <c r="A1462" s="180">
        <f t="shared" si="22"/>
        <v>4120471</v>
      </c>
      <c r="B1462" s="188" t="s">
        <v>15005</v>
      </c>
      <c r="C1462" s="188" t="s">
        <v>15006</v>
      </c>
      <c r="D1462" t="s">
        <v>14925</v>
      </c>
    </row>
    <row r="1463" spans="1:4" x14ac:dyDescent="0.25">
      <c r="A1463" s="180">
        <f t="shared" si="22"/>
        <v>4120472</v>
      </c>
      <c r="B1463" s="188" t="s">
        <v>15007</v>
      </c>
      <c r="C1463" s="188" t="s">
        <v>15008</v>
      </c>
      <c r="D1463" t="s">
        <v>14925</v>
      </c>
    </row>
    <row r="1464" spans="1:4" x14ac:dyDescent="0.25">
      <c r="A1464" s="180">
        <f t="shared" si="22"/>
        <v>4120473</v>
      </c>
      <c r="B1464" s="188" t="s">
        <v>15009</v>
      </c>
      <c r="C1464" s="188" t="s">
        <v>15010</v>
      </c>
      <c r="D1464" t="s">
        <v>14925</v>
      </c>
    </row>
    <row r="1465" spans="1:4" x14ac:dyDescent="0.25">
      <c r="A1465" s="180">
        <f t="shared" si="22"/>
        <v>4120495</v>
      </c>
      <c r="B1465" s="188" t="s">
        <v>1864</v>
      </c>
      <c r="C1465" s="188" t="s">
        <v>1865</v>
      </c>
      <c r="D1465" t="s">
        <v>14925</v>
      </c>
    </row>
    <row r="1466" spans="1:4" x14ac:dyDescent="0.25">
      <c r="A1466" s="180">
        <f t="shared" si="22"/>
        <v>4120496</v>
      </c>
      <c r="B1466" s="188" t="s">
        <v>1866</v>
      </c>
      <c r="C1466" s="188" t="s">
        <v>1867</v>
      </c>
      <c r="D1466" t="s">
        <v>14925</v>
      </c>
    </row>
    <row r="1467" spans="1:4" x14ac:dyDescent="0.25">
      <c r="A1467" s="180">
        <f t="shared" si="22"/>
        <v>4120497</v>
      </c>
      <c r="B1467" s="188" t="s">
        <v>1868</v>
      </c>
      <c r="C1467" s="188" t="s">
        <v>1869</v>
      </c>
      <c r="D1467" t="s">
        <v>14925</v>
      </c>
    </row>
    <row r="1468" spans="1:4" x14ac:dyDescent="0.25">
      <c r="A1468" s="180">
        <f t="shared" si="22"/>
        <v>4120500</v>
      </c>
      <c r="B1468" s="188" t="s">
        <v>12650</v>
      </c>
      <c r="C1468" s="188" t="s">
        <v>12651</v>
      </c>
      <c r="D1468" t="s">
        <v>14925</v>
      </c>
    </row>
    <row r="1469" spans="1:4" x14ac:dyDescent="0.25">
      <c r="A1469" s="180">
        <f t="shared" si="22"/>
        <v>4120501</v>
      </c>
      <c r="B1469" s="188" t="s">
        <v>12652</v>
      </c>
      <c r="C1469" s="188" t="s">
        <v>12653</v>
      </c>
      <c r="D1469" t="s">
        <v>14925</v>
      </c>
    </row>
    <row r="1470" spans="1:4" x14ac:dyDescent="0.25">
      <c r="A1470" s="180">
        <f t="shared" si="22"/>
        <v>4120502</v>
      </c>
      <c r="B1470" s="188" t="s">
        <v>12783</v>
      </c>
      <c r="C1470" s="188" t="s">
        <v>12784</v>
      </c>
      <c r="D1470" t="s">
        <v>14925</v>
      </c>
    </row>
    <row r="1471" spans="1:4" x14ac:dyDescent="0.25">
      <c r="A1471" s="180">
        <f t="shared" ref="A1471:A1534" si="23">IFERROR(B1471*1,"")</f>
        <v>4120505</v>
      </c>
      <c r="B1471" s="188" t="s">
        <v>12654</v>
      </c>
      <c r="C1471" s="188" t="s">
        <v>14948</v>
      </c>
      <c r="D1471" t="s">
        <v>14925</v>
      </c>
    </row>
    <row r="1472" spans="1:4" x14ac:dyDescent="0.25">
      <c r="A1472" s="180">
        <f t="shared" si="23"/>
        <v>4120506</v>
      </c>
      <c r="B1472" s="188" t="s">
        <v>12655</v>
      </c>
      <c r="C1472" s="188" t="s">
        <v>14949</v>
      </c>
      <c r="D1472" t="s">
        <v>14925</v>
      </c>
    </row>
    <row r="1473" spans="1:4" x14ac:dyDescent="0.25">
      <c r="A1473" s="180">
        <f t="shared" si="23"/>
        <v>4120507</v>
      </c>
      <c r="B1473" s="188" t="s">
        <v>13058</v>
      </c>
      <c r="C1473" s="188" t="s">
        <v>14950</v>
      </c>
      <c r="D1473" t="s">
        <v>14925</v>
      </c>
    </row>
    <row r="1474" spans="1:4" x14ac:dyDescent="0.25">
      <c r="A1474" s="180">
        <f t="shared" si="23"/>
        <v>4120508</v>
      </c>
      <c r="B1474" s="188" t="s">
        <v>14242</v>
      </c>
      <c r="C1474" s="188" t="s">
        <v>14951</v>
      </c>
      <c r="D1474" t="s">
        <v>14925</v>
      </c>
    </row>
    <row r="1475" spans="1:4" x14ac:dyDescent="0.25">
      <c r="A1475" s="180">
        <f t="shared" si="23"/>
        <v>4120510</v>
      </c>
      <c r="B1475" s="188" t="s">
        <v>14243</v>
      </c>
      <c r="C1475" s="188" t="s">
        <v>14244</v>
      </c>
      <c r="D1475" t="s">
        <v>14925</v>
      </c>
    </row>
    <row r="1476" spans="1:4" x14ac:dyDescent="0.25">
      <c r="A1476" s="180">
        <f t="shared" si="23"/>
        <v>4120511</v>
      </c>
      <c r="B1476" s="188" t="s">
        <v>14245</v>
      </c>
      <c r="C1476" s="188" t="s">
        <v>14246</v>
      </c>
      <c r="D1476" t="s">
        <v>14925</v>
      </c>
    </row>
    <row r="1477" spans="1:4" x14ac:dyDescent="0.25">
      <c r="A1477" s="180">
        <f t="shared" si="23"/>
        <v>4120512</v>
      </c>
      <c r="B1477" s="188" t="s">
        <v>14247</v>
      </c>
      <c r="C1477" s="188" t="s">
        <v>14248</v>
      </c>
      <c r="D1477" t="s">
        <v>14925</v>
      </c>
    </row>
    <row r="1478" spans="1:4" x14ac:dyDescent="0.25">
      <c r="A1478" s="180">
        <f t="shared" si="23"/>
        <v>4120513</v>
      </c>
      <c r="B1478" s="188" t="s">
        <v>14249</v>
      </c>
      <c r="C1478" s="188" t="s">
        <v>14250</v>
      </c>
      <c r="D1478" t="s">
        <v>13411</v>
      </c>
    </row>
    <row r="1479" spans="1:4" x14ac:dyDescent="0.25">
      <c r="A1479" s="180">
        <f t="shared" si="23"/>
        <v>4120514</v>
      </c>
      <c r="B1479" s="188" t="s">
        <v>14900</v>
      </c>
      <c r="C1479" s="188" t="s">
        <v>14901</v>
      </c>
      <c r="D1479" t="s">
        <v>14925</v>
      </c>
    </row>
    <row r="1480" spans="1:4" x14ac:dyDescent="0.25">
      <c r="A1480" s="180">
        <f t="shared" si="23"/>
        <v>4120515</v>
      </c>
      <c r="B1480" s="188" t="s">
        <v>14407</v>
      </c>
      <c r="C1480" s="189" t="s">
        <v>14408</v>
      </c>
      <c r="D1480" t="s">
        <v>14925</v>
      </c>
    </row>
    <row r="1481" spans="1:4" x14ac:dyDescent="0.25">
      <c r="A1481" s="180">
        <f t="shared" si="23"/>
        <v>4120516</v>
      </c>
      <c r="B1481" s="188" t="s">
        <v>14409</v>
      </c>
      <c r="C1481" s="188" t="s">
        <v>14410</v>
      </c>
      <c r="D1481" t="s">
        <v>14925</v>
      </c>
    </row>
    <row r="1482" spans="1:4" x14ac:dyDescent="0.25">
      <c r="A1482" s="180">
        <f t="shared" si="23"/>
        <v>4120517</v>
      </c>
      <c r="B1482" s="188" t="s">
        <v>14411</v>
      </c>
      <c r="C1482" s="188" t="s">
        <v>14412</v>
      </c>
      <c r="D1482" t="s">
        <v>14925</v>
      </c>
    </row>
    <row r="1483" spans="1:4" x14ac:dyDescent="0.25">
      <c r="A1483" s="180">
        <f t="shared" si="23"/>
        <v>4120524</v>
      </c>
      <c r="B1483" s="188" t="s">
        <v>15051</v>
      </c>
      <c r="C1483" s="188" t="s">
        <v>15052</v>
      </c>
      <c r="D1483" t="s">
        <v>14925</v>
      </c>
    </row>
    <row r="1484" spans="1:4" x14ac:dyDescent="0.25">
      <c r="A1484" s="180">
        <f t="shared" si="23"/>
        <v>4120525</v>
      </c>
      <c r="B1484" s="188" t="s">
        <v>15053</v>
      </c>
      <c r="C1484" s="188" t="s">
        <v>15054</v>
      </c>
      <c r="D1484" t="s">
        <v>14925</v>
      </c>
    </row>
    <row r="1485" spans="1:4" x14ac:dyDescent="0.25">
      <c r="A1485" s="180">
        <f t="shared" si="23"/>
        <v>4120526</v>
      </c>
      <c r="B1485" s="188" t="s">
        <v>15055</v>
      </c>
      <c r="C1485" s="188" t="s">
        <v>15056</v>
      </c>
      <c r="D1485" t="s">
        <v>14925</v>
      </c>
    </row>
    <row r="1486" spans="1:4" x14ac:dyDescent="0.25">
      <c r="A1486" s="180">
        <f t="shared" si="23"/>
        <v>4120527</v>
      </c>
      <c r="B1486" s="188" t="s">
        <v>15057</v>
      </c>
      <c r="C1486" s="188" t="s">
        <v>15058</v>
      </c>
      <c r="D1486" t="s">
        <v>14925</v>
      </c>
    </row>
    <row r="1487" spans="1:4" x14ac:dyDescent="0.25">
      <c r="A1487" s="180">
        <f t="shared" si="23"/>
        <v>4120544</v>
      </c>
      <c r="B1487" s="188" t="s">
        <v>1870</v>
      </c>
      <c r="C1487" s="188" t="s">
        <v>1871</v>
      </c>
      <c r="D1487" t="s">
        <v>14925</v>
      </c>
    </row>
    <row r="1488" spans="1:4" x14ac:dyDescent="0.25">
      <c r="A1488" s="180">
        <f t="shared" si="23"/>
        <v>4120545</v>
      </c>
      <c r="B1488" s="188" t="s">
        <v>1872</v>
      </c>
      <c r="C1488" s="188" t="s">
        <v>1873</v>
      </c>
      <c r="D1488" t="s">
        <v>14925</v>
      </c>
    </row>
    <row r="1489" spans="1:4" x14ac:dyDescent="0.25">
      <c r="A1489" s="180">
        <f t="shared" si="23"/>
        <v>4120546</v>
      </c>
      <c r="B1489" s="188" t="s">
        <v>1874</v>
      </c>
      <c r="C1489" s="188" t="s">
        <v>1875</v>
      </c>
      <c r="D1489" t="s">
        <v>14925</v>
      </c>
    </row>
    <row r="1490" spans="1:4" x14ac:dyDescent="0.25">
      <c r="A1490" s="180">
        <f t="shared" si="23"/>
        <v>4120549</v>
      </c>
      <c r="B1490" s="188" t="s">
        <v>1876</v>
      </c>
      <c r="C1490" s="188" t="s">
        <v>1877</v>
      </c>
    </row>
    <row r="1491" spans="1:4" x14ac:dyDescent="0.25">
      <c r="A1491" s="180">
        <f t="shared" si="23"/>
        <v>4120567</v>
      </c>
      <c r="B1491" s="188" t="s">
        <v>1878</v>
      </c>
      <c r="C1491" s="188" t="s">
        <v>1879</v>
      </c>
      <c r="D1491" t="s">
        <v>14925</v>
      </c>
    </row>
    <row r="1492" spans="1:4" x14ac:dyDescent="0.25">
      <c r="A1492" s="180">
        <f t="shared" si="23"/>
        <v>4120568</v>
      </c>
      <c r="B1492" s="188" t="s">
        <v>1880</v>
      </c>
      <c r="C1492" s="188" t="s">
        <v>1881</v>
      </c>
      <c r="D1492" t="s">
        <v>14925</v>
      </c>
    </row>
    <row r="1493" spans="1:4" x14ac:dyDescent="0.25">
      <c r="A1493" s="180">
        <f t="shared" si="23"/>
        <v>4120569</v>
      </c>
      <c r="B1493" s="188" t="s">
        <v>1882</v>
      </c>
      <c r="C1493" s="188" t="s">
        <v>1883</v>
      </c>
      <c r="D1493" t="s">
        <v>14925</v>
      </c>
    </row>
    <row r="1494" spans="1:4" x14ac:dyDescent="0.25">
      <c r="A1494" s="180">
        <f t="shared" si="23"/>
        <v>4120570</v>
      </c>
      <c r="B1494" s="188" t="s">
        <v>1884</v>
      </c>
      <c r="C1494" s="188" t="s">
        <v>15059</v>
      </c>
      <c r="D1494" t="s">
        <v>14925</v>
      </c>
    </row>
    <row r="1495" spans="1:4" x14ac:dyDescent="0.25">
      <c r="A1495" s="180">
        <f t="shared" si="23"/>
        <v>4120600</v>
      </c>
      <c r="B1495" s="188" t="s">
        <v>1885</v>
      </c>
      <c r="C1495" s="188" t="s">
        <v>1886</v>
      </c>
      <c r="D1495" t="s">
        <v>14925</v>
      </c>
    </row>
    <row r="1496" spans="1:4" x14ac:dyDescent="0.25">
      <c r="A1496" s="180">
        <f t="shared" si="23"/>
        <v>4120601</v>
      </c>
      <c r="B1496" s="188" t="s">
        <v>1887</v>
      </c>
      <c r="C1496" s="188" t="s">
        <v>1888</v>
      </c>
      <c r="D1496" t="s">
        <v>14925</v>
      </c>
    </row>
    <row r="1497" spans="1:4" x14ac:dyDescent="0.25">
      <c r="A1497" s="180">
        <f t="shared" si="23"/>
        <v>4120602</v>
      </c>
      <c r="B1497" s="188" t="s">
        <v>1889</v>
      </c>
      <c r="C1497" s="188" t="s">
        <v>1890</v>
      </c>
      <c r="D1497" t="s">
        <v>14925</v>
      </c>
    </row>
    <row r="1498" spans="1:4" x14ac:dyDescent="0.25">
      <c r="A1498" s="180">
        <f t="shared" si="23"/>
        <v>4120625</v>
      </c>
      <c r="B1498" s="188" t="s">
        <v>1891</v>
      </c>
      <c r="C1498" s="188" t="s">
        <v>1892</v>
      </c>
      <c r="D1498" t="s">
        <v>14925</v>
      </c>
    </row>
    <row r="1499" spans="1:4" x14ac:dyDescent="0.25">
      <c r="A1499" s="180">
        <f t="shared" si="23"/>
        <v>4120627</v>
      </c>
      <c r="B1499" s="188" t="s">
        <v>1893</v>
      </c>
      <c r="C1499" s="188" t="s">
        <v>1894</v>
      </c>
      <c r="D1499" t="s">
        <v>14925</v>
      </c>
    </row>
    <row r="1500" spans="1:4" x14ac:dyDescent="0.25">
      <c r="A1500" s="180">
        <f t="shared" si="23"/>
        <v>4120628</v>
      </c>
      <c r="B1500" s="188" t="s">
        <v>1895</v>
      </c>
      <c r="C1500" s="188" t="s">
        <v>1896</v>
      </c>
    </row>
    <row r="1501" spans="1:4" x14ac:dyDescent="0.25">
      <c r="A1501" s="180">
        <f t="shared" si="23"/>
        <v>4120670</v>
      </c>
      <c r="B1501" s="188" t="s">
        <v>1897</v>
      </c>
      <c r="C1501" s="188" t="s">
        <v>1898</v>
      </c>
      <c r="D1501" t="s">
        <v>14925</v>
      </c>
    </row>
    <row r="1502" spans="1:4" x14ac:dyDescent="0.25">
      <c r="A1502" s="180">
        <f t="shared" si="23"/>
        <v>4120672</v>
      </c>
      <c r="B1502" s="188" t="s">
        <v>1899</v>
      </c>
      <c r="C1502" s="188" t="s">
        <v>1900</v>
      </c>
      <c r="D1502" t="s">
        <v>14925</v>
      </c>
    </row>
    <row r="1503" spans="1:4" x14ac:dyDescent="0.25">
      <c r="A1503" s="180">
        <f t="shared" si="23"/>
        <v>4120674</v>
      </c>
      <c r="B1503" s="188" t="s">
        <v>1901</v>
      </c>
      <c r="C1503" s="188" t="s">
        <v>1902</v>
      </c>
      <c r="D1503" t="s">
        <v>14925</v>
      </c>
    </row>
    <row r="1504" spans="1:4" x14ac:dyDescent="0.25">
      <c r="A1504" s="180">
        <f t="shared" si="23"/>
        <v>4120676</v>
      </c>
      <c r="B1504" s="188" t="s">
        <v>1903</v>
      </c>
      <c r="C1504" s="188" t="s">
        <v>1904</v>
      </c>
      <c r="D1504" t="s">
        <v>14925</v>
      </c>
    </row>
    <row r="1505" spans="1:4" x14ac:dyDescent="0.25">
      <c r="A1505" s="180">
        <f t="shared" si="23"/>
        <v>4120700</v>
      </c>
      <c r="B1505" s="188" t="s">
        <v>1905</v>
      </c>
      <c r="C1505" s="188" t="s">
        <v>1906</v>
      </c>
      <c r="D1505" t="s">
        <v>14925</v>
      </c>
    </row>
    <row r="1506" spans="1:4" x14ac:dyDescent="0.25">
      <c r="A1506" s="180">
        <f t="shared" si="23"/>
        <v>4120701</v>
      </c>
      <c r="B1506" s="188" t="s">
        <v>1907</v>
      </c>
      <c r="C1506" s="188" t="s">
        <v>1908</v>
      </c>
      <c r="D1506" t="s">
        <v>14925</v>
      </c>
    </row>
    <row r="1507" spans="1:4" x14ac:dyDescent="0.25">
      <c r="A1507" s="180">
        <f t="shared" si="23"/>
        <v>4120702</v>
      </c>
      <c r="B1507" s="188" t="s">
        <v>1909</v>
      </c>
      <c r="C1507" s="188" t="s">
        <v>1910</v>
      </c>
    </row>
    <row r="1508" spans="1:4" x14ac:dyDescent="0.25">
      <c r="A1508" s="180">
        <f t="shared" si="23"/>
        <v>4120750</v>
      </c>
      <c r="B1508" s="188" t="s">
        <v>1911</v>
      </c>
      <c r="C1508" s="188" t="s">
        <v>1912</v>
      </c>
      <c r="D1508" t="s">
        <v>14925</v>
      </c>
    </row>
    <row r="1509" spans="1:4" x14ac:dyDescent="0.25">
      <c r="A1509" s="180">
        <f t="shared" si="23"/>
        <v>4120751</v>
      </c>
      <c r="B1509" s="188" t="s">
        <v>1913</v>
      </c>
      <c r="C1509" s="188" t="s">
        <v>1914</v>
      </c>
      <c r="D1509" t="s">
        <v>14925</v>
      </c>
    </row>
    <row r="1510" spans="1:4" x14ac:dyDescent="0.25">
      <c r="A1510" s="180">
        <f t="shared" si="23"/>
        <v>4120752</v>
      </c>
      <c r="B1510" s="188" t="s">
        <v>1915</v>
      </c>
      <c r="C1510" s="188" t="s">
        <v>1916</v>
      </c>
    </row>
    <row r="1511" spans="1:4" x14ac:dyDescent="0.25">
      <c r="A1511" s="180">
        <f t="shared" si="23"/>
        <v>4120753</v>
      </c>
      <c r="B1511" s="188" t="s">
        <v>1917</v>
      </c>
      <c r="C1511" s="188" t="s">
        <v>1918</v>
      </c>
      <c r="D1511" t="s">
        <v>14925</v>
      </c>
    </row>
    <row r="1512" spans="1:4" x14ac:dyDescent="0.25">
      <c r="A1512" s="180">
        <f t="shared" si="23"/>
        <v>4120754</v>
      </c>
      <c r="B1512" s="188" t="s">
        <v>1919</v>
      </c>
      <c r="C1512" s="188" t="s">
        <v>1920</v>
      </c>
      <c r="D1512" t="s">
        <v>14925</v>
      </c>
    </row>
    <row r="1513" spans="1:4" x14ac:dyDescent="0.25">
      <c r="A1513" s="180">
        <f t="shared" si="23"/>
        <v>4120755</v>
      </c>
      <c r="B1513" s="188" t="s">
        <v>1921</v>
      </c>
      <c r="C1513" s="188" t="s">
        <v>1922</v>
      </c>
      <c r="D1513" t="s">
        <v>14925</v>
      </c>
    </row>
    <row r="1514" spans="1:4" x14ac:dyDescent="0.25">
      <c r="A1514" s="180">
        <f t="shared" si="23"/>
        <v>4120756</v>
      </c>
      <c r="B1514" s="188" t="s">
        <v>14413</v>
      </c>
      <c r="C1514" s="188" t="s">
        <v>14414</v>
      </c>
    </row>
    <row r="1515" spans="1:4" x14ac:dyDescent="0.25">
      <c r="A1515" s="180">
        <f t="shared" si="23"/>
        <v>4120757</v>
      </c>
      <c r="B1515" s="188" t="s">
        <v>14415</v>
      </c>
      <c r="C1515" s="188" t="s">
        <v>14416</v>
      </c>
    </row>
    <row r="1516" spans="1:4" x14ac:dyDescent="0.25">
      <c r="A1516" s="180">
        <f t="shared" si="23"/>
        <v>4120758</v>
      </c>
      <c r="B1516" s="188" t="s">
        <v>14417</v>
      </c>
      <c r="C1516" s="188" t="s">
        <v>14418</v>
      </c>
    </row>
    <row r="1517" spans="1:4" x14ac:dyDescent="0.25">
      <c r="A1517" s="180">
        <f t="shared" si="23"/>
        <v>4120770</v>
      </c>
      <c r="B1517" s="188" t="s">
        <v>1923</v>
      </c>
      <c r="C1517" s="188" t="s">
        <v>1924</v>
      </c>
      <c r="D1517" t="s">
        <v>14925</v>
      </c>
    </row>
    <row r="1518" spans="1:4" x14ac:dyDescent="0.25">
      <c r="A1518" s="180">
        <f t="shared" si="23"/>
        <v>4120771</v>
      </c>
      <c r="B1518" s="188" t="s">
        <v>1925</v>
      </c>
      <c r="C1518" s="188" t="s">
        <v>1926</v>
      </c>
      <c r="D1518" t="s">
        <v>14925</v>
      </c>
    </row>
    <row r="1519" spans="1:4" x14ac:dyDescent="0.25">
      <c r="A1519" s="180">
        <f t="shared" si="23"/>
        <v>4120772</v>
      </c>
      <c r="B1519" s="188" t="s">
        <v>1927</v>
      </c>
      <c r="C1519" s="188" t="s">
        <v>1928</v>
      </c>
      <c r="D1519" t="s">
        <v>14925</v>
      </c>
    </row>
    <row r="1520" spans="1:4" x14ac:dyDescent="0.25">
      <c r="A1520" s="180">
        <f t="shared" si="23"/>
        <v>4120773</v>
      </c>
      <c r="B1520" s="188" t="s">
        <v>1929</v>
      </c>
      <c r="C1520" s="188" t="s">
        <v>1930</v>
      </c>
    </row>
    <row r="1521" spans="1:4" x14ac:dyDescent="0.25">
      <c r="A1521" s="180">
        <f t="shared" si="23"/>
        <v>4120778</v>
      </c>
      <c r="B1521" s="188" t="s">
        <v>1931</v>
      </c>
      <c r="C1521" s="188" t="s">
        <v>1932</v>
      </c>
      <c r="D1521" t="s">
        <v>14925</v>
      </c>
    </row>
    <row r="1522" spans="1:4" x14ac:dyDescent="0.25">
      <c r="A1522" s="180">
        <f t="shared" si="23"/>
        <v>4120780</v>
      </c>
      <c r="B1522" s="188" t="s">
        <v>14419</v>
      </c>
      <c r="C1522" s="188" t="s">
        <v>14420</v>
      </c>
    </row>
    <row r="1523" spans="1:4" x14ac:dyDescent="0.25">
      <c r="A1523" s="180">
        <f t="shared" si="23"/>
        <v>4120781</v>
      </c>
      <c r="B1523" s="188" t="s">
        <v>14421</v>
      </c>
      <c r="C1523" s="188" t="s">
        <v>14422</v>
      </c>
    </row>
    <row r="1524" spans="1:4" x14ac:dyDescent="0.25">
      <c r="A1524" s="180">
        <f t="shared" si="23"/>
        <v>4120782</v>
      </c>
      <c r="B1524" s="188" t="s">
        <v>14423</v>
      </c>
      <c r="C1524" s="188" t="s">
        <v>14424</v>
      </c>
    </row>
    <row r="1525" spans="1:4" x14ac:dyDescent="0.25">
      <c r="A1525" s="180">
        <f t="shared" si="23"/>
        <v>4120790</v>
      </c>
      <c r="B1525" s="188" t="s">
        <v>6873</v>
      </c>
      <c r="C1525" s="188" t="s">
        <v>6874</v>
      </c>
      <c r="D1525" t="s">
        <v>14925</v>
      </c>
    </row>
    <row r="1526" spans="1:4" x14ac:dyDescent="0.25">
      <c r="A1526" s="180">
        <f t="shared" si="23"/>
        <v>4120791</v>
      </c>
      <c r="B1526" s="188" t="s">
        <v>6875</v>
      </c>
      <c r="C1526" s="188" t="s">
        <v>6876</v>
      </c>
      <c r="D1526" t="s">
        <v>14925</v>
      </c>
    </row>
    <row r="1527" spans="1:4" x14ac:dyDescent="0.25">
      <c r="A1527" s="180">
        <f t="shared" si="23"/>
        <v>4120792</v>
      </c>
      <c r="B1527" s="188" t="s">
        <v>6877</v>
      </c>
      <c r="C1527" s="188" t="s">
        <v>6878</v>
      </c>
    </row>
    <row r="1528" spans="1:4" x14ac:dyDescent="0.25">
      <c r="A1528" s="180">
        <f t="shared" si="23"/>
        <v>4120800</v>
      </c>
      <c r="B1528" s="188" t="s">
        <v>1933</v>
      </c>
      <c r="C1528" s="188" t="s">
        <v>1934</v>
      </c>
      <c r="D1528" t="s">
        <v>14925</v>
      </c>
    </row>
    <row r="1529" spans="1:4" x14ac:dyDescent="0.25">
      <c r="A1529" s="180">
        <f t="shared" si="23"/>
        <v>4120813</v>
      </c>
      <c r="B1529" s="188" t="s">
        <v>1935</v>
      </c>
      <c r="C1529" s="188" t="s">
        <v>1519</v>
      </c>
    </row>
    <row r="1530" spans="1:4" x14ac:dyDescent="0.25">
      <c r="A1530" s="180">
        <f t="shared" si="23"/>
        <v>4120846</v>
      </c>
      <c r="B1530" s="188" t="s">
        <v>1936</v>
      </c>
      <c r="C1530" s="188" t="s">
        <v>1937</v>
      </c>
    </row>
    <row r="1531" spans="1:4" x14ac:dyDescent="0.25">
      <c r="A1531" s="180">
        <f t="shared" si="23"/>
        <v>4120850</v>
      </c>
      <c r="B1531" s="188" t="s">
        <v>1938</v>
      </c>
      <c r="C1531" s="188" t="s">
        <v>1939</v>
      </c>
      <c r="D1531" t="s">
        <v>14925</v>
      </c>
    </row>
    <row r="1532" spans="1:4" x14ac:dyDescent="0.25">
      <c r="A1532" s="180">
        <f t="shared" si="23"/>
        <v>4120852</v>
      </c>
      <c r="B1532" s="188" t="s">
        <v>1940</v>
      </c>
      <c r="C1532" s="188" t="s">
        <v>1941</v>
      </c>
      <c r="D1532" t="s">
        <v>14925</v>
      </c>
    </row>
    <row r="1533" spans="1:4" x14ac:dyDescent="0.25">
      <c r="A1533" s="180">
        <f t="shared" si="23"/>
        <v>4120853</v>
      </c>
      <c r="B1533" s="188" t="s">
        <v>1942</v>
      </c>
      <c r="C1533" s="188" t="s">
        <v>1943</v>
      </c>
      <c r="D1533" t="s">
        <v>14925</v>
      </c>
    </row>
    <row r="1534" spans="1:4" x14ac:dyDescent="0.25">
      <c r="A1534" s="180">
        <f t="shared" si="23"/>
        <v>4120854</v>
      </c>
      <c r="B1534" s="188" t="s">
        <v>1944</v>
      </c>
      <c r="C1534" s="188" t="s">
        <v>1945</v>
      </c>
      <c r="D1534" t="s">
        <v>14925</v>
      </c>
    </row>
    <row r="1535" spans="1:4" x14ac:dyDescent="0.25">
      <c r="A1535" s="180">
        <f t="shared" ref="A1535:A1598" si="24">IFERROR(B1535*1,"")</f>
        <v>4120855</v>
      </c>
      <c r="B1535" s="188" t="s">
        <v>1946</v>
      </c>
      <c r="C1535" s="188" t="s">
        <v>1947</v>
      </c>
      <c r="D1535" t="s">
        <v>14925</v>
      </c>
    </row>
    <row r="1536" spans="1:4" x14ac:dyDescent="0.25">
      <c r="A1536" s="180">
        <f t="shared" si="24"/>
        <v>4120857</v>
      </c>
      <c r="B1536" s="188" t="s">
        <v>1948</v>
      </c>
      <c r="C1536" s="188" t="s">
        <v>1949</v>
      </c>
      <c r="D1536" t="s">
        <v>14925</v>
      </c>
    </row>
    <row r="1537" spans="1:4" x14ac:dyDescent="0.25">
      <c r="A1537" s="180">
        <f t="shared" si="24"/>
        <v>4120860</v>
      </c>
      <c r="B1537" s="188" t="s">
        <v>1950</v>
      </c>
      <c r="C1537" s="188" t="s">
        <v>1951</v>
      </c>
      <c r="D1537" t="s">
        <v>14925</v>
      </c>
    </row>
    <row r="1538" spans="1:4" x14ac:dyDescent="0.25">
      <c r="A1538" s="180">
        <f t="shared" si="24"/>
        <v>4120870</v>
      </c>
      <c r="B1538" s="188" t="s">
        <v>1952</v>
      </c>
      <c r="C1538" s="188" t="s">
        <v>1953</v>
      </c>
      <c r="D1538" t="s">
        <v>14925</v>
      </c>
    </row>
    <row r="1539" spans="1:4" x14ac:dyDescent="0.25">
      <c r="A1539" s="180">
        <f t="shared" si="24"/>
        <v>4120880</v>
      </c>
      <c r="B1539" s="188" t="s">
        <v>1954</v>
      </c>
      <c r="C1539" s="188" t="s">
        <v>1955</v>
      </c>
      <c r="D1539" t="s">
        <v>14925</v>
      </c>
    </row>
    <row r="1540" spans="1:4" x14ac:dyDescent="0.25">
      <c r="A1540" s="180">
        <f t="shared" si="24"/>
        <v>4120881</v>
      </c>
      <c r="B1540" s="188" t="s">
        <v>1956</v>
      </c>
      <c r="C1540" s="188" t="s">
        <v>1957</v>
      </c>
    </row>
    <row r="1541" spans="1:4" x14ac:dyDescent="0.25">
      <c r="A1541" s="180">
        <f t="shared" si="24"/>
        <v>4120890</v>
      </c>
      <c r="B1541" s="188" t="s">
        <v>1958</v>
      </c>
      <c r="C1541" s="188" t="s">
        <v>1959</v>
      </c>
    </row>
    <row r="1542" spans="1:4" x14ac:dyDescent="0.25">
      <c r="A1542" s="180">
        <f t="shared" si="24"/>
        <v>4120900</v>
      </c>
      <c r="B1542" s="188" t="s">
        <v>1960</v>
      </c>
      <c r="C1542" s="188" t="s">
        <v>1961</v>
      </c>
      <c r="D1542" t="s">
        <v>14925</v>
      </c>
    </row>
    <row r="1543" spans="1:4" x14ac:dyDescent="0.25">
      <c r="A1543" s="180">
        <f t="shared" si="24"/>
        <v>4120901</v>
      </c>
      <c r="B1543" s="188" t="s">
        <v>1962</v>
      </c>
      <c r="C1543" s="188" t="s">
        <v>1963</v>
      </c>
      <c r="D1543" t="s">
        <v>14925</v>
      </c>
    </row>
    <row r="1544" spans="1:4" x14ac:dyDescent="0.25">
      <c r="A1544" s="180">
        <f t="shared" si="24"/>
        <v>4120902</v>
      </c>
      <c r="B1544" s="188" t="s">
        <v>1964</v>
      </c>
      <c r="C1544" s="188" t="s">
        <v>1965</v>
      </c>
      <c r="D1544" t="s">
        <v>14925</v>
      </c>
    </row>
    <row r="1545" spans="1:4" x14ac:dyDescent="0.25">
      <c r="A1545" s="180">
        <f t="shared" si="24"/>
        <v>4120903</v>
      </c>
      <c r="B1545" s="188" t="s">
        <v>1966</v>
      </c>
      <c r="C1545" s="188" t="s">
        <v>1967</v>
      </c>
      <c r="D1545" t="s">
        <v>14925</v>
      </c>
    </row>
    <row r="1546" spans="1:4" x14ac:dyDescent="0.25">
      <c r="A1546" s="180">
        <f t="shared" si="24"/>
        <v>4120905</v>
      </c>
      <c r="B1546" s="188" t="s">
        <v>1968</v>
      </c>
      <c r="C1546" s="188" t="s">
        <v>1969</v>
      </c>
      <c r="D1546" t="s">
        <v>14925</v>
      </c>
    </row>
    <row r="1547" spans="1:4" x14ac:dyDescent="0.25">
      <c r="A1547" s="180">
        <f t="shared" si="24"/>
        <v>4120906</v>
      </c>
      <c r="B1547" s="188" t="s">
        <v>1970</v>
      </c>
      <c r="C1547" s="188" t="s">
        <v>1971</v>
      </c>
      <c r="D1547" t="s">
        <v>14925</v>
      </c>
    </row>
    <row r="1548" spans="1:4" x14ac:dyDescent="0.25">
      <c r="A1548" s="180">
        <f t="shared" si="24"/>
        <v>4120910</v>
      </c>
      <c r="B1548" s="188" t="s">
        <v>1972</v>
      </c>
      <c r="C1548" s="188" t="s">
        <v>1973</v>
      </c>
    </row>
    <row r="1549" spans="1:4" x14ac:dyDescent="0.25">
      <c r="A1549" s="180">
        <f t="shared" si="24"/>
        <v>4120911</v>
      </c>
      <c r="B1549" s="188" t="s">
        <v>1974</v>
      </c>
      <c r="C1549" s="188" t="s">
        <v>1975</v>
      </c>
    </row>
    <row r="1550" spans="1:4" x14ac:dyDescent="0.25">
      <c r="A1550" s="180">
        <f t="shared" si="24"/>
        <v>4120912</v>
      </c>
      <c r="B1550" s="188" t="s">
        <v>1976</v>
      </c>
      <c r="C1550" s="188" t="s">
        <v>1977</v>
      </c>
    </row>
    <row r="1551" spans="1:4" x14ac:dyDescent="0.25">
      <c r="A1551" s="180">
        <f t="shared" si="24"/>
        <v>4120913</v>
      </c>
      <c r="B1551" s="188" t="s">
        <v>1978</v>
      </c>
      <c r="C1551" s="188" t="s">
        <v>1979</v>
      </c>
      <c r="D1551" t="s">
        <v>14925</v>
      </c>
    </row>
    <row r="1552" spans="1:4" x14ac:dyDescent="0.25">
      <c r="A1552" s="180">
        <f t="shared" si="24"/>
        <v>4120914</v>
      </c>
      <c r="B1552" s="188" t="s">
        <v>1980</v>
      </c>
      <c r="C1552" s="188" t="s">
        <v>1981</v>
      </c>
      <c r="D1552" t="s">
        <v>14925</v>
      </c>
    </row>
    <row r="1553" spans="1:4" x14ac:dyDescent="0.25">
      <c r="A1553" s="180">
        <f t="shared" si="24"/>
        <v>4120915</v>
      </c>
      <c r="B1553" s="188" t="s">
        <v>1982</v>
      </c>
      <c r="C1553" s="188" t="s">
        <v>1983</v>
      </c>
      <c r="D1553" t="s">
        <v>14925</v>
      </c>
    </row>
    <row r="1554" spans="1:4" x14ac:dyDescent="0.25">
      <c r="A1554" s="180">
        <f t="shared" si="24"/>
        <v>4120916</v>
      </c>
      <c r="B1554" s="188" t="s">
        <v>1984</v>
      </c>
      <c r="C1554" s="188" t="s">
        <v>1985</v>
      </c>
      <c r="D1554" t="s">
        <v>14925</v>
      </c>
    </row>
    <row r="1555" spans="1:4" x14ac:dyDescent="0.25">
      <c r="A1555" s="180">
        <f t="shared" si="24"/>
        <v>4120917</v>
      </c>
      <c r="B1555" s="188" t="s">
        <v>1986</v>
      </c>
      <c r="C1555" s="188" t="s">
        <v>1987</v>
      </c>
    </row>
    <row r="1556" spans="1:4" x14ac:dyDescent="0.25">
      <c r="A1556" s="180">
        <f t="shared" si="24"/>
        <v>4120920</v>
      </c>
      <c r="B1556" s="188" t="s">
        <v>14425</v>
      </c>
      <c r="C1556" s="188" t="s">
        <v>14426</v>
      </c>
      <c r="D1556" t="s">
        <v>14925</v>
      </c>
    </row>
    <row r="1557" spans="1:4" x14ac:dyDescent="0.25">
      <c r="A1557" s="180">
        <f t="shared" si="24"/>
        <v>4120921</v>
      </c>
      <c r="B1557" s="188" t="s">
        <v>14427</v>
      </c>
      <c r="C1557" s="188" t="s">
        <v>14428</v>
      </c>
      <c r="D1557" t="s">
        <v>14925</v>
      </c>
    </row>
    <row r="1558" spans="1:4" x14ac:dyDescent="0.25">
      <c r="A1558" s="180">
        <f t="shared" si="24"/>
        <v>4120922</v>
      </c>
      <c r="B1558" s="188" t="s">
        <v>14429</v>
      </c>
      <c r="C1558" s="188" t="s">
        <v>14430</v>
      </c>
      <c r="D1558" t="s">
        <v>14925</v>
      </c>
    </row>
    <row r="1559" spans="1:4" x14ac:dyDescent="0.25">
      <c r="A1559" s="180">
        <f t="shared" si="24"/>
        <v>4120924</v>
      </c>
      <c r="B1559" s="188" t="s">
        <v>14431</v>
      </c>
      <c r="C1559" s="188" t="s">
        <v>14432</v>
      </c>
      <c r="D1559" t="s">
        <v>14925</v>
      </c>
    </row>
    <row r="1560" spans="1:4" x14ac:dyDescent="0.25">
      <c r="A1560" s="180">
        <f t="shared" si="24"/>
        <v>4120925</v>
      </c>
      <c r="B1560" s="188" t="s">
        <v>14433</v>
      </c>
      <c r="C1560" s="188" t="s">
        <v>14434</v>
      </c>
      <c r="D1560" t="s">
        <v>14925</v>
      </c>
    </row>
    <row r="1561" spans="1:4" x14ac:dyDescent="0.25">
      <c r="A1561" s="180">
        <f t="shared" si="24"/>
        <v>4120926</v>
      </c>
      <c r="B1561" s="188" t="s">
        <v>14435</v>
      </c>
      <c r="C1561" s="188" t="s">
        <v>14436</v>
      </c>
      <c r="D1561" t="s">
        <v>14925</v>
      </c>
    </row>
    <row r="1562" spans="1:4" x14ac:dyDescent="0.25">
      <c r="A1562" s="180">
        <f t="shared" si="24"/>
        <v>4120928</v>
      </c>
      <c r="B1562" s="188" t="s">
        <v>14437</v>
      </c>
      <c r="C1562" s="188" t="s">
        <v>14438</v>
      </c>
      <c r="D1562" t="s">
        <v>14925</v>
      </c>
    </row>
    <row r="1563" spans="1:4" x14ac:dyDescent="0.25">
      <c r="A1563" s="180">
        <f t="shared" si="24"/>
        <v>4120929</v>
      </c>
      <c r="B1563" s="188" t="s">
        <v>14439</v>
      </c>
      <c r="C1563" s="188" t="s">
        <v>14440</v>
      </c>
      <c r="D1563" t="s">
        <v>14925</v>
      </c>
    </row>
    <row r="1564" spans="1:4" x14ac:dyDescent="0.25">
      <c r="A1564" s="180">
        <f t="shared" si="24"/>
        <v>4120930</v>
      </c>
      <c r="B1564" s="188" t="s">
        <v>14441</v>
      </c>
      <c r="C1564" s="188" t="s">
        <v>14442</v>
      </c>
      <c r="D1564" t="s">
        <v>14925</v>
      </c>
    </row>
    <row r="1565" spans="1:4" x14ac:dyDescent="0.25">
      <c r="A1565" s="180">
        <f t="shared" si="24"/>
        <v>4120932</v>
      </c>
      <c r="B1565" s="188" t="s">
        <v>14443</v>
      </c>
      <c r="C1565" s="188" t="s">
        <v>14444</v>
      </c>
      <c r="D1565" t="s">
        <v>14925</v>
      </c>
    </row>
    <row r="1566" spans="1:4" x14ac:dyDescent="0.25">
      <c r="A1566" s="180">
        <f t="shared" si="24"/>
        <v>4120933</v>
      </c>
      <c r="B1566" s="188" t="s">
        <v>14445</v>
      </c>
      <c r="C1566" s="188" t="s">
        <v>14446</v>
      </c>
      <c r="D1566" t="s">
        <v>14925</v>
      </c>
    </row>
    <row r="1567" spans="1:4" x14ac:dyDescent="0.25">
      <c r="A1567" s="180">
        <f t="shared" si="24"/>
        <v>4120934</v>
      </c>
      <c r="B1567" s="188" t="s">
        <v>14447</v>
      </c>
      <c r="C1567" s="188" t="s">
        <v>14448</v>
      </c>
      <c r="D1567" t="s">
        <v>14925</v>
      </c>
    </row>
    <row r="1568" spans="1:4" x14ac:dyDescent="0.25">
      <c r="A1568" s="180">
        <f t="shared" si="24"/>
        <v>4120936</v>
      </c>
      <c r="B1568" s="188" t="s">
        <v>14449</v>
      </c>
      <c r="C1568" s="188" t="s">
        <v>14450</v>
      </c>
      <c r="D1568" t="s">
        <v>14925</v>
      </c>
    </row>
    <row r="1569" spans="1:4" x14ac:dyDescent="0.25">
      <c r="A1569" s="180">
        <f t="shared" si="24"/>
        <v>4120937</v>
      </c>
      <c r="B1569" s="188" t="s">
        <v>14451</v>
      </c>
      <c r="C1569" s="188" t="s">
        <v>14452</v>
      </c>
      <c r="D1569" t="s">
        <v>14925</v>
      </c>
    </row>
    <row r="1570" spans="1:4" x14ac:dyDescent="0.25">
      <c r="A1570" s="180">
        <f t="shared" si="24"/>
        <v>4120938</v>
      </c>
      <c r="B1570" s="188" t="s">
        <v>14453</v>
      </c>
      <c r="C1570" s="188" t="s">
        <v>14454</v>
      </c>
      <c r="D1570" t="s">
        <v>14925</v>
      </c>
    </row>
    <row r="1571" spans="1:4" x14ac:dyDescent="0.25">
      <c r="A1571" s="180">
        <f t="shared" si="24"/>
        <v>4120940</v>
      </c>
      <c r="B1571" s="188" t="s">
        <v>14455</v>
      </c>
      <c r="C1571" s="188" t="s">
        <v>14456</v>
      </c>
      <c r="D1571" t="s">
        <v>14925</v>
      </c>
    </row>
    <row r="1572" spans="1:4" x14ac:dyDescent="0.25">
      <c r="A1572" s="180">
        <f t="shared" si="24"/>
        <v>4120941</v>
      </c>
      <c r="B1572" s="188" t="s">
        <v>14457</v>
      </c>
      <c r="C1572" s="188" t="s">
        <v>14458</v>
      </c>
      <c r="D1572" t="s">
        <v>14925</v>
      </c>
    </row>
    <row r="1573" spans="1:4" x14ac:dyDescent="0.25">
      <c r="A1573" s="180">
        <f t="shared" si="24"/>
        <v>4120942</v>
      </c>
      <c r="B1573" s="188" t="s">
        <v>14459</v>
      </c>
      <c r="C1573" s="188" t="s">
        <v>14460</v>
      </c>
      <c r="D1573" t="s">
        <v>14925</v>
      </c>
    </row>
    <row r="1574" spans="1:4" x14ac:dyDescent="0.25">
      <c r="A1574" s="180">
        <f t="shared" si="24"/>
        <v>4120944</v>
      </c>
      <c r="B1574" s="188" t="s">
        <v>14461</v>
      </c>
      <c r="C1574" s="188" t="s">
        <v>14462</v>
      </c>
      <c r="D1574" t="s">
        <v>14925</v>
      </c>
    </row>
    <row r="1575" spans="1:4" x14ac:dyDescent="0.25">
      <c r="A1575" s="180">
        <f t="shared" si="24"/>
        <v>4120945</v>
      </c>
      <c r="B1575" s="188" t="s">
        <v>14463</v>
      </c>
      <c r="C1575" s="188" t="s">
        <v>14464</v>
      </c>
      <c r="D1575" t="s">
        <v>14925</v>
      </c>
    </row>
    <row r="1576" spans="1:4" x14ac:dyDescent="0.25">
      <c r="A1576" s="180">
        <f t="shared" si="24"/>
        <v>4120946</v>
      </c>
      <c r="B1576" s="188" t="s">
        <v>14465</v>
      </c>
      <c r="C1576" s="188" t="s">
        <v>14466</v>
      </c>
      <c r="D1576" t="s">
        <v>14925</v>
      </c>
    </row>
    <row r="1577" spans="1:4" x14ac:dyDescent="0.25">
      <c r="A1577" s="180">
        <f t="shared" si="24"/>
        <v>4120948</v>
      </c>
      <c r="B1577" s="188" t="s">
        <v>14467</v>
      </c>
      <c r="C1577" s="188" t="s">
        <v>14468</v>
      </c>
      <c r="D1577" t="s">
        <v>14925</v>
      </c>
    </row>
    <row r="1578" spans="1:4" x14ac:dyDescent="0.25">
      <c r="A1578" s="180">
        <f t="shared" si="24"/>
        <v>4120949</v>
      </c>
      <c r="B1578" s="188" t="s">
        <v>14469</v>
      </c>
      <c r="C1578" s="188" t="s">
        <v>14470</v>
      </c>
      <c r="D1578" t="s">
        <v>14925</v>
      </c>
    </row>
    <row r="1579" spans="1:4" x14ac:dyDescent="0.25">
      <c r="A1579" s="180">
        <f t="shared" si="24"/>
        <v>4120950</v>
      </c>
      <c r="B1579" s="188" t="s">
        <v>1988</v>
      </c>
      <c r="C1579" s="188" t="s">
        <v>1989</v>
      </c>
    </row>
    <row r="1580" spans="1:4" x14ac:dyDescent="0.25">
      <c r="A1580" s="180">
        <f t="shared" si="24"/>
        <v>4120951</v>
      </c>
      <c r="B1580" s="188" t="s">
        <v>1990</v>
      </c>
      <c r="C1580" s="188" t="s">
        <v>1991</v>
      </c>
      <c r="D1580" t="s">
        <v>14925</v>
      </c>
    </row>
    <row r="1581" spans="1:4" x14ac:dyDescent="0.25">
      <c r="A1581" s="180">
        <f t="shared" si="24"/>
        <v>4120952</v>
      </c>
      <c r="B1581" s="188" t="s">
        <v>1992</v>
      </c>
      <c r="C1581" s="188" t="s">
        <v>1993</v>
      </c>
      <c r="D1581" t="s">
        <v>14925</v>
      </c>
    </row>
    <row r="1582" spans="1:4" x14ac:dyDescent="0.25">
      <c r="A1582" s="180">
        <f t="shared" si="24"/>
        <v>4120953</v>
      </c>
      <c r="B1582" s="188" t="s">
        <v>1994</v>
      </c>
      <c r="C1582" s="188" t="s">
        <v>1995</v>
      </c>
    </row>
    <row r="1583" spans="1:4" x14ac:dyDescent="0.25">
      <c r="A1583" s="180">
        <f t="shared" si="24"/>
        <v>4120954</v>
      </c>
      <c r="B1583" s="188" t="s">
        <v>1996</v>
      </c>
      <c r="C1583" s="188" t="s">
        <v>1997</v>
      </c>
    </row>
    <row r="1584" spans="1:4" x14ac:dyDescent="0.25">
      <c r="A1584" s="180">
        <f t="shared" si="24"/>
        <v>4120963</v>
      </c>
      <c r="B1584" s="188" t="s">
        <v>1998</v>
      </c>
      <c r="C1584" s="188" t="s">
        <v>1999</v>
      </c>
      <c r="D1584" t="s">
        <v>14925</v>
      </c>
    </row>
    <row r="1585" spans="1:4" x14ac:dyDescent="0.25">
      <c r="A1585" s="180">
        <f t="shared" si="24"/>
        <v>4120964</v>
      </c>
      <c r="B1585" s="188" t="s">
        <v>14471</v>
      </c>
      <c r="C1585" s="188" t="s">
        <v>14472</v>
      </c>
      <c r="D1585" t="s">
        <v>14925</v>
      </c>
    </row>
    <row r="1586" spans="1:4" x14ac:dyDescent="0.25">
      <c r="A1586" s="180">
        <f t="shared" si="24"/>
        <v>4120965</v>
      </c>
      <c r="B1586" s="188" t="s">
        <v>14473</v>
      </c>
      <c r="C1586" s="188" t="s">
        <v>14474</v>
      </c>
      <c r="D1586" t="s">
        <v>14925</v>
      </c>
    </row>
    <row r="1587" spans="1:4" x14ac:dyDescent="0.25">
      <c r="A1587" s="180">
        <f t="shared" si="24"/>
        <v>4120967</v>
      </c>
      <c r="B1587" s="188" t="s">
        <v>14475</v>
      </c>
      <c r="C1587" s="188" t="s">
        <v>14476</v>
      </c>
      <c r="D1587" t="s">
        <v>14925</v>
      </c>
    </row>
    <row r="1588" spans="1:4" x14ac:dyDescent="0.25">
      <c r="A1588" s="180">
        <f t="shared" si="24"/>
        <v>4120968</v>
      </c>
      <c r="B1588" s="188" t="s">
        <v>14477</v>
      </c>
      <c r="C1588" s="188" t="s">
        <v>14478</v>
      </c>
      <c r="D1588" t="s">
        <v>14925</v>
      </c>
    </row>
    <row r="1589" spans="1:4" x14ac:dyDescent="0.25">
      <c r="A1589" s="180">
        <f t="shared" si="24"/>
        <v>4120978</v>
      </c>
      <c r="B1589" s="188" t="s">
        <v>14479</v>
      </c>
      <c r="C1589" s="188" t="s">
        <v>1654</v>
      </c>
    </row>
    <row r="1590" spans="1:4" x14ac:dyDescent="0.25">
      <c r="A1590" s="180">
        <f t="shared" si="24"/>
        <v>4120982</v>
      </c>
      <c r="B1590" s="188" t="s">
        <v>2000</v>
      </c>
      <c r="C1590" s="188" t="s">
        <v>2001</v>
      </c>
      <c r="D1590" t="s">
        <v>14925</v>
      </c>
    </row>
    <row r="1591" spans="1:4" x14ac:dyDescent="0.25">
      <c r="A1591" s="180">
        <f t="shared" si="24"/>
        <v>4120987</v>
      </c>
      <c r="B1591" s="188" t="s">
        <v>2002</v>
      </c>
      <c r="C1591" s="188" t="s">
        <v>2003</v>
      </c>
    </row>
    <row r="1592" spans="1:4" x14ac:dyDescent="0.25">
      <c r="A1592" s="180">
        <f t="shared" si="24"/>
        <v>4120988</v>
      </c>
      <c r="B1592" s="188" t="s">
        <v>2004</v>
      </c>
      <c r="C1592" s="188" t="s">
        <v>2005</v>
      </c>
      <c r="D1592" t="s">
        <v>14925</v>
      </c>
    </row>
    <row r="1593" spans="1:4" x14ac:dyDescent="0.25">
      <c r="A1593" s="180">
        <f t="shared" si="24"/>
        <v>4120989</v>
      </c>
      <c r="B1593" s="188" t="s">
        <v>2006</v>
      </c>
      <c r="C1593" s="188" t="s">
        <v>2007</v>
      </c>
    </row>
    <row r="1594" spans="1:4" x14ac:dyDescent="0.25">
      <c r="A1594" s="180">
        <f t="shared" si="24"/>
        <v>4120999</v>
      </c>
      <c r="B1594" s="188" t="s">
        <v>13283</v>
      </c>
      <c r="C1594" s="188" t="s">
        <v>13284</v>
      </c>
      <c r="D1594" t="s">
        <v>14925</v>
      </c>
    </row>
    <row r="1595" spans="1:4" x14ac:dyDescent="0.25">
      <c r="A1595" s="180">
        <f t="shared" si="24"/>
        <v>4129001</v>
      </c>
      <c r="B1595" s="188" t="s">
        <v>2008</v>
      </c>
      <c r="C1595" s="188" t="s">
        <v>2009</v>
      </c>
      <c r="D1595" t="s">
        <v>14925</v>
      </c>
    </row>
    <row r="1596" spans="1:4" x14ac:dyDescent="0.25">
      <c r="A1596" s="180">
        <f t="shared" si="24"/>
        <v>4130124</v>
      </c>
      <c r="B1596" s="188" t="s">
        <v>2010</v>
      </c>
      <c r="C1596" s="188" t="s">
        <v>2011</v>
      </c>
    </row>
    <row r="1597" spans="1:4" x14ac:dyDescent="0.25">
      <c r="A1597" s="180">
        <f t="shared" si="24"/>
        <v>4130125</v>
      </c>
      <c r="B1597" s="188" t="s">
        <v>2012</v>
      </c>
      <c r="C1597" s="188" t="s">
        <v>2013</v>
      </c>
    </row>
    <row r="1598" spans="1:4" x14ac:dyDescent="0.25">
      <c r="A1598" s="180">
        <f t="shared" si="24"/>
        <v>4130126</v>
      </c>
      <c r="B1598" s="188" t="s">
        <v>2014</v>
      </c>
      <c r="C1598" s="188" t="s">
        <v>2015</v>
      </c>
    </row>
    <row r="1599" spans="1:4" x14ac:dyDescent="0.25">
      <c r="A1599" s="180">
        <f t="shared" ref="A1599:A1662" si="25">IFERROR(B1599*1,"")</f>
        <v>4130127</v>
      </c>
      <c r="B1599" s="188" t="s">
        <v>2016</v>
      </c>
      <c r="C1599" s="188" t="s">
        <v>2017</v>
      </c>
    </row>
    <row r="1600" spans="1:4" x14ac:dyDescent="0.25">
      <c r="A1600" s="180">
        <f t="shared" si="25"/>
        <v>4130128</v>
      </c>
      <c r="B1600" s="188" t="s">
        <v>2018</v>
      </c>
      <c r="C1600" s="188" t="s">
        <v>2019</v>
      </c>
    </row>
    <row r="1601" spans="1:4" x14ac:dyDescent="0.25">
      <c r="A1601" s="180">
        <f t="shared" si="25"/>
        <v>4130150</v>
      </c>
      <c r="B1601" s="188" t="s">
        <v>2020</v>
      </c>
      <c r="C1601" s="188" t="s">
        <v>2021</v>
      </c>
      <c r="D1601" t="s">
        <v>14925</v>
      </c>
    </row>
    <row r="1602" spans="1:4" x14ac:dyDescent="0.25">
      <c r="A1602" s="180">
        <f t="shared" si="25"/>
        <v>4130151</v>
      </c>
      <c r="B1602" s="188" t="s">
        <v>2022</v>
      </c>
      <c r="C1602" s="188" t="s">
        <v>2023</v>
      </c>
      <c r="D1602" t="s">
        <v>14925</v>
      </c>
    </row>
    <row r="1603" spans="1:4" x14ac:dyDescent="0.25">
      <c r="A1603" s="180">
        <f t="shared" si="25"/>
        <v>4130152</v>
      </c>
      <c r="B1603" s="188" t="s">
        <v>2024</v>
      </c>
      <c r="C1603" s="188" t="s">
        <v>2025</v>
      </c>
      <c r="D1603" t="s">
        <v>14925</v>
      </c>
    </row>
    <row r="1604" spans="1:4" x14ac:dyDescent="0.25">
      <c r="A1604" s="180">
        <f t="shared" si="25"/>
        <v>4130234</v>
      </c>
      <c r="B1604" s="188" t="s">
        <v>2026</v>
      </c>
      <c r="C1604" s="188" t="s">
        <v>2027</v>
      </c>
    </row>
    <row r="1605" spans="1:4" x14ac:dyDescent="0.25">
      <c r="A1605" s="180">
        <f t="shared" si="25"/>
        <v>4130771</v>
      </c>
      <c r="B1605" s="188" t="s">
        <v>2028</v>
      </c>
      <c r="C1605" s="188" t="s">
        <v>2029</v>
      </c>
      <c r="D1605" t="s">
        <v>14925</v>
      </c>
    </row>
    <row r="1606" spans="1:4" x14ac:dyDescent="0.25">
      <c r="A1606" s="180">
        <f t="shared" si="25"/>
        <v>4130776</v>
      </c>
      <c r="B1606" s="188" t="s">
        <v>2030</v>
      </c>
      <c r="C1606" s="188" t="s">
        <v>2031</v>
      </c>
    </row>
    <row r="1607" spans="1:4" x14ac:dyDescent="0.25">
      <c r="A1607" s="180">
        <f t="shared" si="25"/>
        <v>4130777</v>
      </c>
      <c r="B1607" s="188" t="s">
        <v>2032</v>
      </c>
      <c r="C1607" s="188" t="s">
        <v>2033</v>
      </c>
      <c r="D1607" t="s">
        <v>14925</v>
      </c>
    </row>
    <row r="1608" spans="1:4" x14ac:dyDescent="0.25">
      <c r="A1608" s="180">
        <f t="shared" si="25"/>
        <v>4130950</v>
      </c>
      <c r="B1608" s="188" t="s">
        <v>2034</v>
      </c>
      <c r="C1608" s="188" t="s">
        <v>2035</v>
      </c>
      <c r="D1608" t="s">
        <v>14925</v>
      </c>
    </row>
    <row r="1609" spans="1:4" x14ac:dyDescent="0.25">
      <c r="A1609" s="180">
        <f t="shared" si="25"/>
        <v>4130951</v>
      </c>
      <c r="B1609" s="188" t="s">
        <v>14251</v>
      </c>
      <c r="C1609" s="188" t="s">
        <v>14252</v>
      </c>
      <c r="D1609" t="s">
        <v>14925</v>
      </c>
    </row>
    <row r="1610" spans="1:4" x14ac:dyDescent="0.25">
      <c r="A1610" s="180">
        <f t="shared" si="25"/>
        <v>4130952</v>
      </c>
      <c r="B1610" s="188" t="s">
        <v>14480</v>
      </c>
      <c r="C1610" s="188" t="s">
        <v>14481</v>
      </c>
      <c r="D1610" t="s">
        <v>14925</v>
      </c>
    </row>
    <row r="1611" spans="1:4" x14ac:dyDescent="0.25">
      <c r="A1611" s="180">
        <f t="shared" si="25"/>
        <v>4307349</v>
      </c>
      <c r="B1611" s="188" t="s">
        <v>2036</v>
      </c>
      <c r="C1611" s="188" t="s">
        <v>2037</v>
      </c>
    </row>
    <row r="1612" spans="1:4" x14ac:dyDescent="0.25">
      <c r="A1612" s="180">
        <f t="shared" si="25"/>
        <v>4829230</v>
      </c>
      <c r="B1612" s="188" t="s">
        <v>2038</v>
      </c>
      <c r="C1612" s="188" t="s">
        <v>1421</v>
      </c>
    </row>
    <row r="1613" spans="1:4" x14ac:dyDescent="0.25">
      <c r="A1613" s="180" t="str">
        <f t="shared" si="25"/>
        <v/>
      </c>
      <c r="B1613" s="188" t="s">
        <v>13059</v>
      </c>
      <c r="C1613" s="188"/>
    </row>
    <row r="1614" spans="1:4" x14ac:dyDescent="0.25">
      <c r="A1614" s="180">
        <f t="shared" si="25"/>
        <v>5</v>
      </c>
      <c r="B1614" s="188" t="s">
        <v>2039</v>
      </c>
      <c r="C1614" s="188" t="s">
        <v>2040</v>
      </c>
    </row>
    <row r="1615" spans="1:4" x14ac:dyDescent="0.25">
      <c r="A1615" s="180">
        <f t="shared" si="25"/>
        <v>5101001</v>
      </c>
      <c r="B1615" s="188" t="s">
        <v>2041</v>
      </c>
      <c r="C1615" s="188" t="s">
        <v>2042</v>
      </c>
      <c r="D1615" t="s">
        <v>14952</v>
      </c>
    </row>
    <row r="1616" spans="1:4" x14ac:dyDescent="0.25">
      <c r="A1616" s="180">
        <f t="shared" si="25"/>
        <v>5101002</v>
      </c>
      <c r="B1616" s="188" t="s">
        <v>2043</v>
      </c>
      <c r="C1616" s="188" t="s">
        <v>2044</v>
      </c>
      <c r="D1616" t="s">
        <v>13411</v>
      </c>
    </row>
    <row r="1617" spans="1:4" x14ac:dyDescent="0.25">
      <c r="A1617" s="180">
        <f t="shared" si="25"/>
        <v>5101003</v>
      </c>
      <c r="B1617" s="188" t="s">
        <v>2045</v>
      </c>
      <c r="C1617" s="188" t="s">
        <v>2046</v>
      </c>
      <c r="D1617" t="s">
        <v>14952</v>
      </c>
    </row>
    <row r="1618" spans="1:4" x14ac:dyDescent="0.25">
      <c r="A1618" s="180">
        <f t="shared" si="25"/>
        <v>5101005</v>
      </c>
      <c r="B1618" s="188" t="s">
        <v>2047</v>
      </c>
      <c r="C1618" s="188" t="s">
        <v>2048</v>
      </c>
      <c r="D1618" t="s">
        <v>13412</v>
      </c>
    </row>
    <row r="1619" spans="1:4" x14ac:dyDescent="0.25">
      <c r="A1619" s="180">
        <f t="shared" si="25"/>
        <v>5101006</v>
      </c>
      <c r="B1619" s="188" t="s">
        <v>2049</v>
      </c>
      <c r="C1619" s="188" t="s">
        <v>2050</v>
      </c>
      <c r="D1619" t="s">
        <v>13411</v>
      </c>
    </row>
    <row r="1620" spans="1:4" x14ac:dyDescent="0.25">
      <c r="A1620" s="180">
        <f t="shared" si="25"/>
        <v>5101007</v>
      </c>
      <c r="B1620" s="188" t="s">
        <v>2051</v>
      </c>
      <c r="C1620" s="188" t="s">
        <v>2052</v>
      </c>
    </row>
    <row r="1621" spans="1:4" x14ac:dyDescent="0.25">
      <c r="A1621" s="180">
        <f t="shared" si="25"/>
        <v>5101008</v>
      </c>
      <c r="B1621" s="188" t="s">
        <v>6879</v>
      </c>
      <c r="C1621" s="188" t="s">
        <v>12656</v>
      </c>
      <c r="D1621" t="s">
        <v>13411</v>
      </c>
    </row>
    <row r="1622" spans="1:4" x14ac:dyDescent="0.25">
      <c r="A1622" s="180">
        <f t="shared" si="25"/>
        <v>5101009</v>
      </c>
      <c r="B1622" s="188" t="s">
        <v>2053</v>
      </c>
      <c r="C1622" s="188" t="s">
        <v>14253</v>
      </c>
      <c r="D1622" t="s">
        <v>14952</v>
      </c>
    </row>
    <row r="1623" spans="1:4" x14ac:dyDescent="0.25">
      <c r="A1623" s="180">
        <f t="shared" si="25"/>
        <v>5101010</v>
      </c>
      <c r="B1623" s="188" t="s">
        <v>2054</v>
      </c>
      <c r="C1623" s="188" t="s">
        <v>2055</v>
      </c>
      <c r="D1623" t="s">
        <v>13412</v>
      </c>
    </row>
    <row r="1624" spans="1:4" x14ac:dyDescent="0.25">
      <c r="A1624" s="180">
        <f t="shared" si="25"/>
        <v>5101011</v>
      </c>
      <c r="B1624" s="188" t="s">
        <v>2056</v>
      </c>
      <c r="C1624" s="188" t="s">
        <v>14254</v>
      </c>
      <c r="D1624" t="s">
        <v>14952</v>
      </c>
    </row>
    <row r="1625" spans="1:4" x14ac:dyDescent="0.25">
      <c r="A1625" s="180">
        <f t="shared" si="25"/>
        <v>5101012</v>
      </c>
      <c r="B1625" s="188" t="s">
        <v>12657</v>
      </c>
      <c r="C1625" s="188" t="s">
        <v>12658</v>
      </c>
      <c r="D1625" t="s">
        <v>13411</v>
      </c>
    </row>
    <row r="1626" spans="1:4" x14ac:dyDescent="0.25">
      <c r="A1626" s="180">
        <f t="shared" si="25"/>
        <v>5101013</v>
      </c>
      <c r="B1626" s="188" t="s">
        <v>2057</v>
      </c>
      <c r="C1626" s="188" t="s">
        <v>2058</v>
      </c>
      <c r="D1626" t="s">
        <v>13412</v>
      </c>
    </row>
    <row r="1627" spans="1:4" x14ac:dyDescent="0.25">
      <c r="A1627" s="180">
        <f t="shared" si="25"/>
        <v>5101014</v>
      </c>
      <c r="B1627" s="188" t="s">
        <v>2059</v>
      </c>
      <c r="C1627" s="188" t="s">
        <v>2060</v>
      </c>
      <c r="D1627" t="s">
        <v>14909</v>
      </c>
    </row>
    <row r="1628" spans="1:4" x14ac:dyDescent="0.25">
      <c r="A1628" s="180">
        <f t="shared" si="25"/>
        <v>5101015</v>
      </c>
      <c r="B1628" s="188" t="s">
        <v>2061</v>
      </c>
      <c r="C1628" s="188" t="s">
        <v>2062</v>
      </c>
    </row>
    <row r="1629" spans="1:4" x14ac:dyDescent="0.25">
      <c r="A1629" s="180">
        <f t="shared" si="25"/>
        <v>5101016</v>
      </c>
      <c r="B1629" s="188" t="s">
        <v>2063</v>
      </c>
      <c r="C1629" s="188" t="s">
        <v>2064</v>
      </c>
    </row>
    <row r="1630" spans="1:4" x14ac:dyDescent="0.25">
      <c r="A1630" s="180">
        <f t="shared" si="25"/>
        <v>5101017</v>
      </c>
      <c r="B1630" s="188" t="s">
        <v>2065</v>
      </c>
      <c r="C1630" s="188" t="s">
        <v>2066</v>
      </c>
    </row>
    <row r="1631" spans="1:4" x14ac:dyDescent="0.25">
      <c r="A1631" s="180" t="str">
        <f t="shared" si="25"/>
        <v/>
      </c>
      <c r="B1631" s="188" t="s">
        <v>13060</v>
      </c>
      <c r="C1631" s="188"/>
    </row>
    <row r="1632" spans="1:4" x14ac:dyDescent="0.25">
      <c r="A1632" s="180">
        <f t="shared" si="25"/>
        <v>5101018</v>
      </c>
      <c r="B1632" s="188" t="s">
        <v>2067</v>
      </c>
      <c r="C1632" s="188" t="s">
        <v>2068</v>
      </c>
    </row>
    <row r="1633" spans="1:4" x14ac:dyDescent="0.25">
      <c r="A1633" s="180">
        <f t="shared" si="25"/>
        <v>5101019</v>
      </c>
      <c r="B1633" s="188" t="s">
        <v>14255</v>
      </c>
      <c r="C1633" s="188" t="s">
        <v>14256</v>
      </c>
      <c r="D1633" t="s">
        <v>14909</v>
      </c>
    </row>
    <row r="1634" spans="1:4" x14ac:dyDescent="0.25">
      <c r="A1634" s="180">
        <f t="shared" si="25"/>
        <v>5101020</v>
      </c>
      <c r="B1634" s="188" t="s">
        <v>14011</v>
      </c>
      <c r="C1634" s="188" t="s">
        <v>14902</v>
      </c>
      <c r="D1634" t="s">
        <v>14909</v>
      </c>
    </row>
    <row r="1635" spans="1:4" x14ac:dyDescent="0.25">
      <c r="A1635" s="180">
        <f t="shared" si="25"/>
        <v>5101021</v>
      </c>
      <c r="B1635" s="188" t="s">
        <v>12785</v>
      </c>
      <c r="C1635" s="188" t="s">
        <v>12786</v>
      </c>
      <c r="D1635" t="s">
        <v>13411</v>
      </c>
    </row>
    <row r="1636" spans="1:4" x14ac:dyDescent="0.25">
      <c r="A1636" s="180">
        <f t="shared" si="25"/>
        <v>5101022</v>
      </c>
      <c r="B1636" s="188" t="s">
        <v>2069</v>
      </c>
      <c r="C1636" s="188" t="s">
        <v>2070</v>
      </c>
      <c r="D1636" t="s">
        <v>13412</v>
      </c>
    </row>
    <row r="1637" spans="1:4" x14ac:dyDescent="0.25">
      <c r="A1637" s="180">
        <f t="shared" si="25"/>
        <v>5101026</v>
      </c>
      <c r="B1637" s="188" t="s">
        <v>2071</v>
      </c>
      <c r="C1637" s="188" t="s">
        <v>2072</v>
      </c>
      <c r="D1637" t="s">
        <v>13411</v>
      </c>
    </row>
    <row r="1638" spans="1:4" x14ac:dyDescent="0.25">
      <c r="A1638" s="180">
        <f t="shared" si="25"/>
        <v>5101027</v>
      </c>
      <c r="B1638" s="188" t="s">
        <v>2073</v>
      </c>
      <c r="C1638" s="188" t="s">
        <v>2074</v>
      </c>
      <c r="D1638" t="s">
        <v>13411</v>
      </c>
    </row>
    <row r="1639" spans="1:4" x14ac:dyDescent="0.25">
      <c r="A1639" s="180">
        <f t="shared" si="25"/>
        <v>5101028</v>
      </c>
      <c r="B1639" s="188" t="s">
        <v>2075</v>
      </c>
      <c r="C1639" s="188" t="s">
        <v>2076</v>
      </c>
      <c r="D1639" t="s">
        <v>13411</v>
      </c>
    </row>
    <row r="1640" spans="1:4" x14ac:dyDescent="0.25">
      <c r="A1640" s="180">
        <f t="shared" si="25"/>
        <v>5101029</v>
      </c>
      <c r="B1640" s="188" t="s">
        <v>2077</v>
      </c>
      <c r="C1640" s="188" t="s">
        <v>2078</v>
      </c>
      <c r="D1640" t="s">
        <v>13411</v>
      </c>
    </row>
    <row r="1641" spans="1:4" x14ac:dyDescent="0.25">
      <c r="A1641" s="180">
        <f t="shared" si="25"/>
        <v>5101030</v>
      </c>
      <c r="B1641" s="188" t="s">
        <v>2079</v>
      </c>
      <c r="C1641" s="188" t="s">
        <v>2080</v>
      </c>
      <c r="D1641" t="s">
        <v>13411</v>
      </c>
    </row>
    <row r="1642" spans="1:4" x14ac:dyDescent="0.25">
      <c r="A1642" s="180">
        <f t="shared" si="25"/>
        <v>5101031</v>
      </c>
      <c r="B1642" s="188" t="s">
        <v>2081</v>
      </c>
      <c r="C1642" s="188" t="s">
        <v>2082</v>
      </c>
      <c r="D1642" t="s">
        <v>13411</v>
      </c>
    </row>
    <row r="1643" spans="1:4" x14ac:dyDescent="0.25">
      <c r="A1643" s="180">
        <f t="shared" si="25"/>
        <v>5101032</v>
      </c>
      <c r="B1643" s="188" t="s">
        <v>2083</v>
      </c>
      <c r="C1643" s="188" t="s">
        <v>2084</v>
      </c>
      <c r="D1643" t="s">
        <v>13411</v>
      </c>
    </row>
    <row r="1644" spans="1:4" x14ac:dyDescent="0.25">
      <c r="A1644" s="180">
        <f t="shared" si="25"/>
        <v>5101033</v>
      </c>
      <c r="B1644" s="188" t="s">
        <v>2085</v>
      </c>
      <c r="C1644" s="188" t="s">
        <v>2086</v>
      </c>
      <c r="D1644" t="s">
        <v>13411</v>
      </c>
    </row>
    <row r="1645" spans="1:4" x14ac:dyDescent="0.25">
      <c r="A1645" s="180">
        <f t="shared" si="25"/>
        <v>5101034</v>
      </c>
      <c r="B1645" s="188" t="s">
        <v>2087</v>
      </c>
      <c r="C1645" s="188" t="s">
        <v>2088</v>
      </c>
      <c r="D1645" t="s">
        <v>13411</v>
      </c>
    </row>
    <row r="1646" spans="1:4" x14ac:dyDescent="0.25">
      <c r="A1646" s="180">
        <f t="shared" si="25"/>
        <v>5101035</v>
      </c>
      <c r="B1646" s="188" t="s">
        <v>2089</v>
      </c>
      <c r="C1646" s="188" t="s">
        <v>2090</v>
      </c>
    </row>
    <row r="1647" spans="1:4" x14ac:dyDescent="0.25">
      <c r="A1647" s="180">
        <f t="shared" si="25"/>
        <v>5101036</v>
      </c>
      <c r="B1647" s="188" t="s">
        <v>2091</v>
      </c>
      <c r="C1647" s="188" t="s">
        <v>2092</v>
      </c>
    </row>
    <row r="1648" spans="1:4" x14ac:dyDescent="0.25">
      <c r="A1648" s="180">
        <f t="shared" si="25"/>
        <v>5101037</v>
      </c>
      <c r="B1648" s="188" t="s">
        <v>2093</v>
      </c>
      <c r="C1648" s="188" t="s">
        <v>2094</v>
      </c>
    </row>
    <row r="1649" spans="1:4" x14ac:dyDescent="0.25">
      <c r="A1649" s="180">
        <f t="shared" si="25"/>
        <v>5101038</v>
      </c>
      <c r="B1649" s="188" t="s">
        <v>2095</v>
      </c>
      <c r="C1649" s="188" t="s">
        <v>2096</v>
      </c>
      <c r="D1649" t="s">
        <v>13411</v>
      </c>
    </row>
    <row r="1650" spans="1:4" x14ac:dyDescent="0.25">
      <c r="A1650" s="180">
        <f t="shared" si="25"/>
        <v>5101040</v>
      </c>
      <c r="B1650" s="188" t="s">
        <v>2097</v>
      </c>
      <c r="C1650" s="188" t="s">
        <v>2098</v>
      </c>
    </row>
    <row r="1651" spans="1:4" x14ac:dyDescent="0.25">
      <c r="A1651" s="180">
        <f t="shared" si="25"/>
        <v>5101041</v>
      </c>
      <c r="B1651" s="188" t="s">
        <v>2099</v>
      </c>
      <c r="C1651" s="188" t="s">
        <v>2100</v>
      </c>
    </row>
    <row r="1652" spans="1:4" x14ac:dyDescent="0.25">
      <c r="A1652" s="180">
        <f t="shared" si="25"/>
        <v>5101042</v>
      </c>
      <c r="B1652" s="188" t="s">
        <v>2101</v>
      </c>
      <c r="C1652" s="188" t="s">
        <v>2102</v>
      </c>
    </row>
    <row r="1653" spans="1:4" x14ac:dyDescent="0.25">
      <c r="A1653" s="180">
        <f t="shared" si="25"/>
        <v>5101044</v>
      </c>
      <c r="B1653" s="188" t="s">
        <v>2103</v>
      </c>
      <c r="C1653" s="188" t="s">
        <v>2104</v>
      </c>
    </row>
    <row r="1654" spans="1:4" x14ac:dyDescent="0.25">
      <c r="A1654" s="180">
        <f t="shared" si="25"/>
        <v>5101046</v>
      </c>
      <c r="B1654" s="188" t="s">
        <v>2105</v>
      </c>
      <c r="C1654" s="188" t="s">
        <v>2106</v>
      </c>
      <c r="D1654" t="s">
        <v>13411</v>
      </c>
    </row>
    <row r="1655" spans="1:4" x14ac:dyDescent="0.25">
      <c r="A1655" s="180">
        <f t="shared" si="25"/>
        <v>5101047</v>
      </c>
      <c r="B1655" s="188" t="s">
        <v>2107</v>
      </c>
      <c r="C1655" s="188" t="s">
        <v>2108</v>
      </c>
      <c r="D1655" t="s">
        <v>13411</v>
      </c>
    </row>
    <row r="1656" spans="1:4" x14ac:dyDescent="0.25">
      <c r="A1656" s="180">
        <f t="shared" si="25"/>
        <v>5101048</v>
      </c>
      <c r="B1656" s="188" t="s">
        <v>2109</v>
      </c>
      <c r="C1656" s="188" t="s">
        <v>2110</v>
      </c>
      <c r="D1656" t="s">
        <v>13411</v>
      </c>
    </row>
    <row r="1657" spans="1:4" x14ac:dyDescent="0.25">
      <c r="A1657" s="180">
        <f t="shared" si="25"/>
        <v>5101049</v>
      </c>
      <c r="B1657" s="188" t="s">
        <v>2111</v>
      </c>
      <c r="C1657" s="188" t="s">
        <v>2112</v>
      </c>
      <c r="D1657" t="s">
        <v>13411</v>
      </c>
    </row>
    <row r="1658" spans="1:4" x14ac:dyDescent="0.25">
      <c r="A1658" s="180">
        <f t="shared" si="25"/>
        <v>5101050</v>
      </c>
      <c r="B1658" s="188" t="s">
        <v>2113</v>
      </c>
      <c r="C1658" s="188" t="s">
        <v>2114</v>
      </c>
      <c r="D1658" t="s">
        <v>13411</v>
      </c>
    </row>
    <row r="1659" spans="1:4" x14ac:dyDescent="0.25">
      <c r="A1659" s="180">
        <f t="shared" si="25"/>
        <v>5101051</v>
      </c>
      <c r="B1659" s="188" t="s">
        <v>2115</v>
      </c>
      <c r="C1659" s="188" t="s">
        <v>2116</v>
      </c>
    </row>
    <row r="1660" spans="1:4" x14ac:dyDescent="0.25">
      <c r="A1660" s="180">
        <f t="shared" si="25"/>
        <v>5101052</v>
      </c>
      <c r="B1660" s="188" t="s">
        <v>2117</v>
      </c>
      <c r="C1660" s="188" t="s">
        <v>2118</v>
      </c>
      <c r="D1660" t="s">
        <v>13411</v>
      </c>
    </row>
    <row r="1661" spans="1:4" x14ac:dyDescent="0.25">
      <c r="A1661" s="180">
        <f t="shared" si="25"/>
        <v>5101053</v>
      </c>
      <c r="B1661" s="188" t="s">
        <v>2119</v>
      </c>
      <c r="C1661" s="188" t="s">
        <v>6880</v>
      </c>
      <c r="D1661" t="s">
        <v>13411</v>
      </c>
    </row>
    <row r="1662" spans="1:4" x14ac:dyDescent="0.25">
      <c r="A1662" s="180">
        <f t="shared" si="25"/>
        <v>5101055</v>
      </c>
      <c r="B1662" s="188" t="s">
        <v>14012</v>
      </c>
      <c r="C1662" s="188" t="s">
        <v>14257</v>
      </c>
      <c r="D1662" t="s">
        <v>14909</v>
      </c>
    </row>
    <row r="1663" spans="1:4" x14ac:dyDescent="0.25">
      <c r="A1663" s="180">
        <f t="shared" ref="A1663:A1726" si="26">IFERROR(B1663*1,"")</f>
        <v>5101057</v>
      </c>
      <c r="B1663" s="188" t="s">
        <v>14482</v>
      </c>
      <c r="C1663" s="188" t="s">
        <v>14483</v>
      </c>
      <c r="D1663" t="s">
        <v>13412</v>
      </c>
    </row>
    <row r="1664" spans="1:4" x14ac:dyDescent="0.25">
      <c r="A1664" s="180">
        <f t="shared" si="26"/>
        <v>5101058</v>
      </c>
      <c r="B1664" s="188" t="s">
        <v>14013</v>
      </c>
      <c r="C1664" s="188" t="s">
        <v>14014</v>
      </c>
      <c r="D1664" t="s">
        <v>14909</v>
      </c>
    </row>
    <row r="1665" spans="1:4" x14ac:dyDescent="0.25">
      <c r="A1665" s="180">
        <f t="shared" si="26"/>
        <v>5101060</v>
      </c>
      <c r="B1665" s="188" t="s">
        <v>14258</v>
      </c>
      <c r="C1665" s="188" t="s">
        <v>14259</v>
      </c>
    </row>
    <row r="1666" spans="1:4" x14ac:dyDescent="0.25">
      <c r="A1666" s="180">
        <f t="shared" si="26"/>
        <v>5101083</v>
      </c>
      <c r="B1666" s="188" t="s">
        <v>2120</v>
      </c>
      <c r="C1666" s="188" t="s">
        <v>2121</v>
      </c>
      <c r="D1666" t="s">
        <v>13412</v>
      </c>
    </row>
    <row r="1667" spans="1:4" x14ac:dyDescent="0.25">
      <c r="A1667" s="180">
        <f t="shared" si="26"/>
        <v>5101088</v>
      </c>
      <c r="B1667" s="188" t="s">
        <v>2122</v>
      </c>
      <c r="C1667" s="188" t="s">
        <v>2123</v>
      </c>
      <c r="D1667" t="s">
        <v>13412</v>
      </c>
    </row>
    <row r="1668" spans="1:4" x14ac:dyDescent="0.25">
      <c r="A1668" s="180">
        <f t="shared" si="26"/>
        <v>5101090</v>
      </c>
      <c r="B1668" s="188" t="s">
        <v>2124</v>
      </c>
      <c r="C1668" s="188" t="s">
        <v>2125</v>
      </c>
      <c r="D1668" t="s">
        <v>13412</v>
      </c>
    </row>
    <row r="1669" spans="1:4" x14ac:dyDescent="0.25">
      <c r="A1669" s="180">
        <f t="shared" si="26"/>
        <v>5101091</v>
      </c>
      <c r="B1669" s="188" t="s">
        <v>2126</v>
      </c>
      <c r="C1669" s="188" t="s">
        <v>2127</v>
      </c>
      <c r="D1669" t="s">
        <v>13412</v>
      </c>
    </row>
    <row r="1670" spans="1:4" x14ac:dyDescent="0.25">
      <c r="A1670" s="180">
        <f t="shared" si="26"/>
        <v>5101092</v>
      </c>
      <c r="B1670" s="188" t="s">
        <v>13061</v>
      </c>
      <c r="C1670" s="188" t="s">
        <v>13062</v>
      </c>
      <c r="D1670" t="s">
        <v>14909</v>
      </c>
    </row>
    <row r="1671" spans="1:4" x14ac:dyDescent="0.25">
      <c r="A1671" s="180">
        <f t="shared" si="26"/>
        <v>5101093</v>
      </c>
      <c r="B1671" s="188" t="s">
        <v>2128</v>
      </c>
      <c r="C1671" s="188" t="s">
        <v>2129</v>
      </c>
      <c r="D1671" t="s">
        <v>13412</v>
      </c>
    </row>
    <row r="1672" spans="1:4" x14ac:dyDescent="0.25">
      <c r="A1672" s="180">
        <f t="shared" si="26"/>
        <v>5101094</v>
      </c>
      <c r="B1672" s="188" t="s">
        <v>2130</v>
      </c>
      <c r="C1672" s="188" t="s">
        <v>2131</v>
      </c>
      <c r="D1672" t="s">
        <v>13412</v>
      </c>
    </row>
    <row r="1673" spans="1:4" x14ac:dyDescent="0.25">
      <c r="A1673" s="180">
        <f t="shared" si="26"/>
        <v>5101098</v>
      </c>
      <c r="B1673" s="188" t="s">
        <v>14015</v>
      </c>
      <c r="C1673" s="188" t="s">
        <v>14016</v>
      </c>
    </row>
    <row r="1674" spans="1:4" x14ac:dyDescent="0.25">
      <c r="A1674" s="180">
        <f t="shared" si="26"/>
        <v>5101099</v>
      </c>
      <c r="B1674" s="188" t="s">
        <v>14017</v>
      </c>
      <c r="C1674" s="188" t="s">
        <v>14018</v>
      </c>
    </row>
    <row r="1675" spans="1:4" x14ac:dyDescent="0.25">
      <c r="A1675" s="180">
        <f t="shared" si="26"/>
        <v>5101100</v>
      </c>
      <c r="B1675" s="188" t="s">
        <v>2132</v>
      </c>
      <c r="C1675" s="188" t="s">
        <v>2133</v>
      </c>
    </row>
    <row r="1676" spans="1:4" x14ac:dyDescent="0.25">
      <c r="A1676" s="180">
        <f t="shared" si="26"/>
        <v>5101101</v>
      </c>
      <c r="B1676" s="188" t="s">
        <v>2134</v>
      </c>
      <c r="C1676" s="188" t="s">
        <v>2135</v>
      </c>
      <c r="D1676" t="s">
        <v>13412</v>
      </c>
    </row>
    <row r="1677" spans="1:4" x14ac:dyDescent="0.25">
      <c r="A1677" s="180">
        <f t="shared" si="26"/>
        <v>5101102</v>
      </c>
      <c r="B1677" s="188" t="s">
        <v>2136</v>
      </c>
      <c r="C1677" s="188" t="s">
        <v>2137</v>
      </c>
      <c r="D1677" t="s">
        <v>13412</v>
      </c>
    </row>
    <row r="1678" spans="1:4" x14ac:dyDescent="0.25">
      <c r="A1678" s="180">
        <f t="shared" si="26"/>
        <v>5101103</v>
      </c>
      <c r="B1678" s="188" t="s">
        <v>14019</v>
      </c>
      <c r="C1678" s="188" t="s">
        <v>14020</v>
      </c>
      <c r="D1678" t="s">
        <v>14909</v>
      </c>
    </row>
    <row r="1679" spans="1:4" x14ac:dyDescent="0.25">
      <c r="A1679" s="180">
        <f t="shared" si="26"/>
        <v>5101104</v>
      </c>
      <c r="B1679" s="188" t="s">
        <v>2138</v>
      </c>
      <c r="C1679" s="188" t="s">
        <v>2139</v>
      </c>
      <c r="D1679" t="s">
        <v>13412</v>
      </c>
    </row>
    <row r="1680" spans="1:4" x14ac:dyDescent="0.25">
      <c r="A1680" s="180">
        <f t="shared" si="26"/>
        <v>5101105</v>
      </c>
      <c r="B1680" s="188" t="s">
        <v>14953</v>
      </c>
      <c r="C1680" s="188"/>
    </row>
    <row r="1681" spans="1:4" x14ac:dyDescent="0.25">
      <c r="A1681" s="180">
        <f t="shared" si="26"/>
        <v>5101106</v>
      </c>
      <c r="B1681" s="188" t="s">
        <v>2140</v>
      </c>
      <c r="C1681" s="188" t="s">
        <v>2141</v>
      </c>
      <c r="D1681" t="s">
        <v>13412</v>
      </c>
    </row>
    <row r="1682" spans="1:4" x14ac:dyDescent="0.25">
      <c r="A1682" s="180">
        <f t="shared" si="26"/>
        <v>5101108</v>
      </c>
      <c r="B1682" s="188" t="s">
        <v>14954</v>
      </c>
      <c r="C1682" s="188"/>
    </row>
    <row r="1683" spans="1:4" x14ac:dyDescent="0.25">
      <c r="A1683" s="180">
        <f t="shared" si="26"/>
        <v>5101109</v>
      </c>
      <c r="B1683" s="188" t="s">
        <v>14955</v>
      </c>
      <c r="C1683" s="188"/>
    </row>
    <row r="1684" spans="1:4" x14ac:dyDescent="0.25">
      <c r="A1684" s="180">
        <f t="shared" si="26"/>
        <v>5101110</v>
      </c>
      <c r="B1684" s="188" t="s">
        <v>14021</v>
      </c>
      <c r="C1684" s="188" t="s">
        <v>14022</v>
      </c>
      <c r="D1684" t="s">
        <v>14909</v>
      </c>
    </row>
    <row r="1685" spans="1:4" x14ac:dyDescent="0.25">
      <c r="A1685" s="180">
        <f t="shared" si="26"/>
        <v>5101112</v>
      </c>
      <c r="B1685" s="188" t="s">
        <v>2142</v>
      </c>
      <c r="C1685" s="188" t="s">
        <v>2143</v>
      </c>
      <c r="D1685" t="s">
        <v>13411</v>
      </c>
    </row>
    <row r="1686" spans="1:4" x14ac:dyDescent="0.25">
      <c r="A1686" s="180">
        <f t="shared" si="26"/>
        <v>5101114</v>
      </c>
      <c r="B1686" s="188" t="s">
        <v>2144</v>
      </c>
      <c r="C1686" s="188" t="s">
        <v>2145</v>
      </c>
      <c r="D1686" t="s">
        <v>13412</v>
      </c>
    </row>
    <row r="1687" spans="1:4" x14ac:dyDescent="0.25">
      <c r="A1687" s="180">
        <f t="shared" si="26"/>
        <v>5101115</v>
      </c>
      <c r="B1687" s="188" t="s">
        <v>2146</v>
      </c>
      <c r="C1687" s="188" t="s">
        <v>2147</v>
      </c>
      <c r="D1687" t="s">
        <v>13412</v>
      </c>
    </row>
    <row r="1688" spans="1:4" x14ac:dyDescent="0.25">
      <c r="A1688" s="180">
        <f t="shared" si="26"/>
        <v>5101116</v>
      </c>
      <c r="B1688" s="188" t="s">
        <v>2148</v>
      </c>
      <c r="C1688" s="188" t="s">
        <v>2149</v>
      </c>
    </row>
    <row r="1689" spans="1:4" x14ac:dyDescent="0.25">
      <c r="A1689" s="180">
        <f t="shared" si="26"/>
        <v>5101118</v>
      </c>
      <c r="B1689" s="188" t="s">
        <v>2150</v>
      </c>
      <c r="C1689" s="188" t="s">
        <v>2151</v>
      </c>
    </row>
    <row r="1690" spans="1:4" x14ac:dyDescent="0.25">
      <c r="A1690" s="180">
        <f t="shared" si="26"/>
        <v>5101119</v>
      </c>
      <c r="B1690" s="188" t="s">
        <v>2152</v>
      </c>
      <c r="C1690" s="188" t="s">
        <v>2153</v>
      </c>
      <c r="D1690" t="s">
        <v>14909</v>
      </c>
    </row>
    <row r="1691" spans="1:4" x14ac:dyDescent="0.25">
      <c r="A1691" s="180">
        <f t="shared" si="26"/>
        <v>5101125</v>
      </c>
      <c r="B1691" s="188" t="s">
        <v>14956</v>
      </c>
      <c r="C1691" s="188"/>
    </row>
    <row r="1692" spans="1:4" x14ac:dyDescent="0.25">
      <c r="A1692" s="180">
        <f t="shared" si="26"/>
        <v>5101132</v>
      </c>
      <c r="B1692" s="188" t="s">
        <v>2154</v>
      </c>
      <c r="C1692" s="188" t="s">
        <v>2155</v>
      </c>
    </row>
    <row r="1693" spans="1:4" x14ac:dyDescent="0.25">
      <c r="A1693" s="180">
        <f t="shared" si="26"/>
        <v>5101133</v>
      </c>
      <c r="B1693" s="188" t="s">
        <v>2156</v>
      </c>
      <c r="C1693" s="188" t="s">
        <v>13959</v>
      </c>
      <c r="D1693" t="s">
        <v>14909</v>
      </c>
    </row>
    <row r="1694" spans="1:4" x14ac:dyDescent="0.25">
      <c r="A1694" s="180">
        <f t="shared" si="26"/>
        <v>5101135</v>
      </c>
      <c r="B1694" s="188" t="s">
        <v>2157</v>
      </c>
      <c r="C1694" s="188" t="s">
        <v>2158</v>
      </c>
      <c r="D1694" t="s">
        <v>13412</v>
      </c>
    </row>
    <row r="1695" spans="1:4" x14ac:dyDescent="0.25">
      <c r="A1695" s="180">
        <f t="shared" si="26"/>
        <v>5101136</v>
      </c>
      <c r="B1695" s="188" t="s">
        <v>2159</v>
      </c>
      <c r="C1695" s="188" t="s">
        <v>2160</v>
      </c>
      <c r="D1695" t="s">
        <v>13412</v>
      </c>
    </row>
    <row r="1696" spans="1:4" x14ac:dyDescent="0.25">
      <c r="A1696" s="180">
        <f t="shared" si="26"/>
        <v>5101138</v>
      </c>
      <c r="B1696" s="188" t="s">
        <v>2161</v>
      </c>
      <c r="C1696" s="188" t="s">
        <v>2162</v>
      </c>
      <c r="D1696" t="s">
        <v>13412</v>
      </c>
    </row>
    <row r="1697" spans="1:4" x14ac:dyDescent="0.25">
      <c r="A1697" s="180">
        <f t="shared" si="26"/>
        <v>5101140</v>
      </c>
      <c r="B1697" s="188" t="s">
        <v>2163</v>
      </c>
      <c r="C1697" s="188" t="s">
        <v>2164</v>
      </c>
      <c r="D1697" t="s">
        <v>13411</v>
      </c>
    </row>
    <row r="1698" spans="1:4" x14ac:dyDescent="0.25">
      <c r="A1698" s="180">
        <f t="shared" si="26"/>
        <v>5101141</v>
      </c>
      <c r="B1698" s="188" t="s">
        <v>2165</v>
      </c>
      <c r="C1698" s="188" t="s">
        <v>2166</v>
      </c>
      <c r="D1698" t="s">
        <v>13411</v>
      </c>
    </row>
    <row r="1699" spans="1:4" x14ac:dyDescent="0.25">
      <c r="A1699" s="180">
        <f t="shared" si="26"/>
        <v>5101142</v>
      </c>
      <c r="B1699" s="188" t="s">
        <v>2167</v>
      </c>
      <c r="C1699" s="188" t="s">
        <v>2168</v>
      </c>
    </row>
    <row r="1700" spans="1:4" x14ac:dyDescent="0.25">
      <c r="A1700" s="180">
        <f t="shared" si="26"/>
        <v>5101145</v>
      </c>
      <c r="B1700" s="188" t="s">
        <v>2169</v>
      </c>
      <c r="C1700" s="188" t="s">
        <v>14484</v>
      </c>
      <c r="D1700" t="s">
        <v>14909</v>
      </c>
    </row>
    <row r="1701" spans="1:4" x14ac:dyDescent="0.25">
      <c r="A1701" s="180">
        <f t="shared" si="26"/>
        <v>5101146</v>
      </c>
      <c r="B1701" s="188" t="s">
        <v>2170</v>
      </c>
      <c r="C1701" s="188" t="s">
        <v>14485</v>
      </c>
    </row>
    <row r="1702" spans="1:4" x14ac:dyDescent="0.25">
      <c r="A1702" s="180">
        <f t="shared" si="26"/>
        <v>5101147</v>
      </c>
      <c r="B1702" s="188" t="s">
        <v>2171</v>
      </c>
      <c r="C1702" s="188" t="s">
        <v>2172</v>
      </c>
      <c r="D1702" t="s">
        <v>13412</v>
      </c>
    </row>
    <row r="1703" spans="1:4" x14ac:dyDescent="0.25">
      <c r="A1703" s="180">
        <f t="shared" si="26"/>
        <v>5101148</v>
      </c>
      <c r="B1703" s="188" t="s">
        <v>2173</v>
      </c>
      <c r="C1703" s="188" t="s">
        <v>2174</v>
      </c>
      <c r="D1703" t="s">
        <v>14909</v>
      </c>
    </row>
    <row r="1704" spans="1:4" x14ac:dyDescent="0.25">
      <c r="A1704" s="180">
        <f t="shared" si="26"/>
        <v>5101149</v>
      </c>
      <c r="B1704" s="188" t="s">
        <v>2175</v>
      </c>
      <c r="C1704" s="188" t="s">
        <v>12659</v>
      </c>
      <c r="D1704" t="s">
        <v>14909</v>
      </c>
    </row>
    <row r="1705" spans="1:4" x14ac:dyDescent="0.25">
      <c r="A1705" s="180">
        <f t="shared" si="26"/>
        <v>5101150</v>
      </c>
      <c r="B1705" s="188" t="s">
        <v>2176</v>
      </c>
      <c r="C1705" s="188" t="s">
        <v>12787</v>
      </c>
      <c r="D1705" t="s">
        <v>14957</v>
      </c>
    </row>
    <row r="1706" spans="1:4" x14ac:dyDescent="0.25">
      <c r="A1706" s="180">
        <f t="shared" si="26"/>
        <v>5101151</v>
      </c>
      <c r="B1706" s="188" t="s">
        <v>13285</v>
      </c>
      <c r="C1706" s="188" t="s">
        <v>13286</v>
      </c>
      <c r="D1706" t="s">
        <v>13412</v>
      </c>
    </row>
    <row r="1707" spans="1:4" x14ac:dyDescent="0.25">
      <c r="A1707" s="180">
        <f t="shared" si="26"/>
        <v>5101158</v>
      </c>
      <c r="B1707" s="188" t="s">
        <v>2177</v>
      </c>
      <c r="C1707" s="188" t="s">
        <v>2178</v>
      </c>
    </row>
    <row r="1708" spans="1:4" x14ac:dyDescent="0.25">
      <c r="A1708" s="180">
        <f t="shared" si="26"/>
        <v>5101159</v>
      </c>
      <c r="B1708" s="188" t="s">
        <v>2179</v>
      </c>
      <c r="C1708" s="188" t="s">
        <v>2180</v>
      </c>
    </row>
    <row r="1709" spans="1:4" x14ac:dyDescent="0.25">
      <c r="A1709" s="180">
        <f t="shared" si="26"/>
        <v>5101165</v>
      </c>
      <c r="B1709" s="188" t="s">
        <v>2181</v>
      </c>
      <c r="C1709" s="188" t="s">
        <v>2182</v>
      </c>
      <c r="D1709" t="s">
        <v>13411</v>
      </c>
    </row>
    <row r="1710" spans="1:4" x14ac:dyDescent="0.25">
      <c r="A1710" s="180">
        <f t="shared" si="26"/>
        <v>5101166</v>
      </c>
      <c r="B1710" s="188" t="s">
        <v>2183</v>
      </c>
      <c r="C1710" s="188" t="s">
        <v>2184</v>
      </c>
    </row>
    <row r="1711" spans="1:4" x14ac:dyDescent="0.25">
      <c r="A1711" s="180">
        <f t="shared" si="26"/>
        <v>5101170</v>
      </c>
      <c r="B1711" s="188" t="s">
        <v>2185</v>
      </c>
      <c r="C1711" s="188" t="s">
        <v>2186</v>
      </c>
      <c r="D1711" t="s">
        <v>13412</v>
      </c>
    </row>
    <row r="1712" spans="1:4" x14ac:dyDescent="0.25">
      <c r="A1712" s="180">
        <f t="shared" si="26"/>
        <v>5101171</v>
      </c>
      <c r="B1712" s="188" t="s">
        <v>2187</v>
      </c>
      <c r="C1712" s="188" t="s">
        <v>2188</v>
      </c>
      <c r="D1712" t="s">
        <v>13412</v>
      </c>
    </row>
    <row r="1713" spans="1:4" x14ac:dyDescent="0.25">
      <c r="A1713" s="180">
        <f t="shared" si="26"/>
        <v>510117100</v>
      </c>
      <c r="B1713" s="188" t="s">
        <v>2189</v>
      </c>
      <c r="C1713" s="188" t="s">
        <v>2190</v>
      </c>
    </row>
    <row r="1714" spans="1:4" x14ac:dyDescent="0.25">
      <c r="A1714" s="180">
        <f t="shared" si="26"/>
        <v>5101172</v>
      </c>
      <c r="B1714" s="188" t="s">
        <v>2191</v>
      </c>
      <c r="C1714" s="188" t="s">
        <v>2192</v>
      </c>
      <c r="D1714" t="s">
        <v>14909</v>
      </c>
    </row>
    <row r="1715" spans="1:4" x14ac:dyDescent="0.25">
      <c r="A1715" s="180">
        <f t="shared" si="26"/>
        <v>5101185</v>
      </c>
      <c r="B1715" s="188" t="s">
        <v>2193</v>
      </c>
      <c r="C1715" s="188" t="s">
        <v>2194</v>
      </c>
      <c r="D1715" t="s">
        <v>13412</v>
      </c>
    </row>
    <row r="1716" spans="1:4" x14ac:dyDescent="0.25">
      <c r="A1716" s="180">
        <f t="shared" si="26"/>
        <v>5101186</v>
      </c>
      <c r="B1716" s="188" t="s">
        <v>2195</v>
      </c>
      <c r="C1716" s="188" t="s">
        <v>2196</v>
      </c>
      <c r="D1716" t="s">
        <v>13412</v>
      </c>
    </row>
    <row r="1717" spans="1:4" x14ac:dyDescent="0.25">
      <c r="A1717" s="180">
        <f t="shared" si="26"/>
        <v>5101187</v>
      </c>
      <c r="B1717" s="188" t="s">
        <v>2197</v>
      </c>
      <c r="C1717" s="188" t="s">
        <v>14023</v>
      </c>
      <c r="D1717" t="s">
        <v>14909</v>
      </c>
    </row>
    <row r="1718" spans="1:4" x14ac:dyDescent="0.25">
      <c r="A1718" s="180">
        <f t="shared" si="26"/>
        <v>5101188</v>
      </c>
      <c r="B1718" s="188" t="s">
        <v>2198</v>
      </c>
      <c r="C1718" s="188" t="s">
        <v>14024</v>
      </c>
      <c r="D1718" t="s">
        <v>13412</v>
      </c>
    </row>
    <row r="1719" spans="1:4" x14ac:dyDescent="0.25">
      <c r="A1719" s="180">
        <f t="shared" si="26"/>
        <v>5101189</v>
      </c>
      <c r="B1719" s="188" t="s">
        <v>12788</v>
      </c>
      <c r="C1719" s="188" t="s">
        <v>12789</v>
      </c>
      <c r="D1719" t="s">
        <v>14952</v>
      </c>
    </row>
    <row r="1720" spans="1:4" x14ac:dyDescent="0.25">
      <c r="A1720" s="180">
        <f t="shared" si="26"/>
        <v>5101190</v>
      </c>
      <c r="B1720" s="188" t="s">
        <v>2199</v>
      </c>
      <c r="C1720" s="188" t="s">
        <v>2200</v>
      </c>
      <c r="D1720" t="s">
        <v>13412</v>
      </c>
    </row>
    <row r="1721" spans="1:4" x14ac:dyDescent="0.25">
      <c r="A1721" s="180">
        <f t="shared" si="26"/>
        <v>5101191</v>
      </c>
      <c r="B1721" s="188" t="s">
        <v>2201</v>
      </c>
      <c r="C1721" s="188" t="s">
        <v>2202</v>
      </c>
      <c r="D1721" t="s">
        <v>13412</v>
      </c>
    </row>
    <row r="1722" spans="1:4" x14ac:dyDescent="0.25">
      <c r="A1722" s="180">
        <f t="shared" si="26"/>
        <v>5101192</v>
      </c>
      <c r="B1722" s="188" t="s">
        <v>2203</v>
      </c>
      <c r="C1722" s="188" t="s">
        <v>14025</v>
      </c>
      <c r="D1722" t="s">
        <v>14909</v>
      </c>
    </row>
    <row r="1723" spans="1:4" x14ac:dyDescent="0.25">
      <c r="A1723" s="180">
        <f t="shared" si="26"/>
        <v>5101193</v>
      </c>
      <c r="B1723" s="188" t="s">
        <v>2204</v>
      </c>
      <c r="C1723" s="188" t="s">
        <v>14026</v>
      </c>
      <c r="D1723" t="s">
        <v>13412</v>
      </c>
    </row>
    <row r="1724" spans="1:4" x14ac:dyDescent="0.25">
      <c r="A1724" s="180">
        <f t="shared" si="26"/>
        <v>5101195</v>
      </c>
      <c r="B1724" s="188" t="s">
        <v>2205</v>
      </c>
      <c r="C1724" s="188" t="s">
        <v>2206</v>
      </c>
      <c r="D1724" t="s">
        <v>13412</v>
      </c>
    </row>
    <row r="1725" spans="1:4" x14ac:dyDescent="0.25">
      <c r="A1725" s="180">
        <f t="shared" si="26"/>
        <v>5101196</v>
      </c>
      <c r="B1725" s="188" t="s">
        <v>2207</v>
      </c>
      <c r="C1725" s="188" t="s">
        <v>2208</v>
      </c>
      <c r="D1725" t="s">
        <v>13412</v>
      </c>
    </row>
    <row r="1726" spans="1:4" x14ac:dyDescent="0.25">
      <c r="A1726" s="180">
        <f t="shared" si="26"/>
        <v>5101200</v>
      </c>
      <c r="B1726" s="188" t="s">
        <v>2209</v>
      </c>
      <c r="C1726" s="188" t="s">
        <v>2210</v>
      </c>
      <c r="D1726" t="s">
        <v>13411</v>
      </c>
    </row>
    <row r="1727" spans="1:4" x14ac:dyDescent="0.25">
      <c r="A1727" s="180">
        <f t="shared" ref="A1727:A1790" si="27">IFERROR(B1727*1,"")</f>
        <v>5101202</v>
      </c>
      <c r="B1727" s="188" t="s">
        <v>2211</v>
      </c>
      <c r="C1727" s="188" t="s">
        <v>2212</v>
      </c>
    </row>
    <row r="1728" spans="1:4" x14ac:dyDescent="0.25">
      <c r="A1728" s="180">
        <f t="shared" si="27"/>
        <v>5101203</v>
      </c>
      <c r="B1728" s="188" t="s">
        <v>2213</v>
      </c>
      <c r="C1728" s="188" t="s">
        <v>2214</v>
      </c>
    </row>
    <row r="1729" spans="1:4" x14ac:dyDescent="0.25">
      <c r="A1729" s="180">
        <f t="shared" si="27"/>
        <v>5101204</v>
      </c>
      <c r="B1729" s="188" t="s">
        <v>2215</v>
      </c>
      <c r="C1729" s="188" t="s">
        <v>2216</v>
      </c>
      <c r="D1729" t="s">
        <v>13411</v>
      </c>
    </row>
    <row r="1730" spans="1:4" x14ac:dyDescent="0.25">
      <c r="A1730" s="180">
        <f t="shared" si="27"/>
        <v>5101205</v>
      </c>
      <c r="B1730" s="188" t="s">
        <v>2217</v>
      </c>
      <c r="C1730" s="188" t="s">
        <v>2218</v>
      </c>
      <c r="D1730" t="s">
        <v>13411</v>
      </c>
    </row>
    <row r="1731" spans="1:4" x14ac:dyDescent="0.25">
      <c r="A1731" s="180">
        <f t="shared" si="27"/>
        <v>5101206</v>
      </c>
      <c r="B1731" s="188" t="s">
        <v>2219</v>
      </c>
      <c r="C1731" s="188" t="s">
        <v>2220</v>
      </c>
    </row>
    <row r="1732" spans="1:4" x14ac:dyDescent="0.25">
      <c r="A1732" s="180">
        <f t="shared" si="27"/>
        <v>5101210</v>
      </c>
      <c r="B1732" s="188" t="s">
        <v>2221</v>
      </c>
      <c r="C1732" s="188" t="s">
        <v>12790</v>
      </c>
      <c r="D1732" t="s">
        <v>13412</v>
      </c>
    </row>
    <row r="1733" spans="1:4" x14ac:dyDescent="0.25">
      <c r="A1733" s="180">
        <f t="shared" si="27"/>
        <v>5101220</v>
      </c>
      <c r="B1733" s="188" t="s">
        <v>2222</v>
      </c>
      <c r="C1733" s="188" t="s">
        <v>12791</v>
      </c>
      <c r="D1733" t="s">
        <v>14909</v>
      </c>
    </row>
    <row r="1734" spans="1:4" x14ac:dyDescent="0.25">
      <c r="A1734" s="180">
        <f t="shared" si="27"/>
        <v>5101221</v>
      </c>
      <c r="B1734" s="188" t="s">
        <v>2223</v>
      </c>
      <c r="C1734" s="188" t="s">
        <v>2224</v>
      </c>
      <c r="D1734" t="s">
        <v>13412</v>
      </c>
    </row>
    <row r="1735" spans="1:4" x14ac:dyDescent="0.25">
      <c r="A1735" s="180">
        <f t="shared" si="27"/>
        <v>5101223</v>
      </c>
      <c r="B1735" s="188" t="s">
        <v>2225</v>
      </c>
      <c r="C1735" s="188" t="s">
        <v>2226</v>
      </c>
      <c r="D1735" t="s">
        <v>13412</v>
      </c>
    </row>
    <row r="1736" spans="1:4" x14ac:dyDescent="0.25">
      <c r="A1736" s="180">
        <f t="shared" si="27"/>
        <v>5101230</v>
      </c>
      <c r="B1736" s="188" t="s">
        <v>2227</v>
      </c>
      <c r="C1736" s="188" t="s">
        <v>2228</v>
      </c>
      <c r="D1736" t="s">
        <v>13411</v>
      </c>
    </row>
    <row r="1737" spans="1:4" x14ac:dyDescent="0.25">
      <c r="A1737" s="180">
        <f t="shared" si="27"/>
        <v>5101231</v>
      </c>
      <c r="B1737" s="188" t="s">
        <v>2229</v>
      </c>
      <c r="C1737" s="188" t="s">
        <v>2230</v>
      </c>
    </row>
    <row r="1738" spans="1:4" x14ac:dyDescent="0.25">
      <c r="A1738" s="180">
        <f t="shared" si="27"/>
        <v>5101234</v>
      </c>
      <c r="B1738" s="188" t="s">
        <v>2231</v>
      </c>
      <c r="C1738" s="188" t="s">
        <v>2232</v>
      </c>
      <c r="D1738" t="s">
        <v>13411</v>
      </c>
    </row>
    <row r="1739" spans="1:4" x14ac:dyDescent="0.25">
      <c r="A1739" s="180">
        <f t="shared" si="27"/>
        <v>5101235</v>
      </c>
      <c r="B1739" s="188" t="s">
        <v>2233</v>
      </c>
      <c r="C1739" s="188" t="s">
        <v>14260</v>
      </c>
      <c r="D1739" t="s">
        <v>13411</v>
      </c>
    </row>
    <row r="1740" spans="1:4" x14ac:dyDescent="0.25">
      <c r="A1740" s="180">
        <f t="shared" si="27"/>
        <v>5101236</v>
      </c>
      <c r="B1740" s="188" t="s">
        <v>14486</v>
      </c>
      <c r="C1740" s="188" t="s">
        <v>14487</v>
      </c>
    </row>
    <row r="1741" spans="1:4" x14ac:dyDescent="0.25">
      <c r="A1741" s="180">
        <f t="shared" si="27"/>
        <v>5101237</v>
      </c>
      <c r="B1741" s="188" t="s">
        <v>14488</v>
      </c>
      <c r="C1741" s="188" t="s">
        <v>14489</v>
      </c>
    </row>
    <row r="1742" spans="1:4" x14ac:dyDescent="0.25">
      <c r="A1742" s="180">
        <f t="shared" si="27"/>
        <v>5101238</v>
      </c>
      <c r="B1742" s="188" t="s">
        <v>14490</v>
      </c>
      <c r="C1742" s="188" t="s">
        <v>14491</v>
      </c>
    </row>
    <row r="1743" spans="1:4" x14ac:dyDescent="0.25">
      <c r="A1743" s="180">
        <f t="shared" si="27"/>
        <v>5101239</v>
      </c>
      <c r="B1743" s="188" t="s">
        <v>2234</v>
      </c>
      <c r="C1743" s="188" t="s">
        <v>2235</v>
      </c>
    </row>
    <row r="1744" spans="1:4" x14ac:dyDescent="0.25">
      <c r="A1744" s="180">
        <f t="shared" si="27"/>
        <v>5101240</v>
      </c>
      <c r="B1744" s="188" t="s">
        <v>2236</v>
      </c>
      <c r="C1744" s="188" t="s">
        <v>2237</v>
      </c>
    </row>
    <row r="1745" spans="1:4" x14ac:dyDescent="0.25">
      <c r="A1745" s="180">
        <f t="shared" si="27"/>
        <v>5101241</v>
      </c>
      <c r="B1745" s="188" t="s">
        <v>2238</v>
      </c>
      <c r="C1745" s="188" t="s">
        <v>2239</v>
      </c>
    </row>
    <row r="1746" spans="1:4" x14ac:dyDescent="0.25">
      <c r="A1746" s="180">
        <f t="shared" si="27"/>
        <v>5101252</v>
      </c>
      <c r="B1746" s="188" t="s">
        <v>2240</v>
      </c>
      <c r="C1746" s="188" t="s">
        <v>2241</v>
      </c>
    </row>
    <row r="1747" spans="1:4" x14ac:dyDescent="0.25">
      <c r="A1747" s="180">
        <f t="shared" si="27"/>
        <v>5101301</v>
      </c>
      <c r="B1747" s="188" t="s">
        <v>2242</v>
      </c>
      <c r="C1747" s="188" t="s">
        <v>2243</v>
      </c>
      <c r="D1747" t="s">
        <v>13412</v>
      </c>
    </row>
    <row r="1748" spans="1:4" x14ac:dyDescent="0.25">
      <c r="A1748" s="180">
        <f t="shared" si="27"/>
        <v>5101310</v>
      </c>
      <c r="B1748" s="188" t="s">
        <v>2244</v>
      </c>
      <c r="C1748" s="188" t="s">
        <v>12792</v>
      </c>
      <c r="D1748" t="s">
        <v>13412</v>
      </c>
    </row>
    <row r="1749" spans="1:4" x14ac:dyDescent="0.25">
      <c r="A1749" s="180">
        <f t="shared" si="27"/>
        <v>5101320</v>
      </c>
      <c r="B1749" s="188" t="s">
        <v>2245</v>
      </c>
      <c r="C1749" s="188" t="s">
        <v>2246</v>
      </c>
    </row>
    <row r="1750" spans="1:4" x14ac:dyDescent="0.25">
      <c r="A1750" s="180">
        <f t="shared" si="27"/>
        <v>5101325</v>
      </c>
      <c r="B1750" s="188" t="s">
        <v>2247</v>
      </c>
      <c r="C1750" s="188" t="s">
        <v>14958</v>
      </c>
      <c r="D1750" t="s">
        <v>13412</v>
      </c>
    </row>
    <row r="1751" spans="1:4" x14ac:dyDescent="0.25">
      <c r="A1751" s="180">
        <f t="shared" si="27"/>
        <v>5101326</v>
      </c>
      <c r="B1751" s="188" t="s">
        <v>14027</v>
      </c>
      <c r="C1751" s="188" t="s">
        <v>14028</v>
      </c>
    </row>
    <row r="1752" spans="1:4" x14ac:dyDescent="0.25">
      <c r="A1752" s="180">
        <f t="shared" si="27"/>
        <v>5101327</v>
      </c>
      <c r="B1752" s="188" t="s">
        <v>14029</v>
      </c>
      <c r="C1752" s="188" t="s">
        <v>14030</v>
      </c>
      <c r="D1752" t="s">
        <v>13412</v>
      </c>
    </row>
    <row r="1753" spans="1:4" x14ac:dyDescent="0.25">
      <c r="A1753" s="180">
        <f t="shared" si="27"/>
        <v>5101329</v>
      </c>
      <c r="B1753" s="188" t="s">
        <v>2248</v>
      </c>
      <c r="C1753" s="188" t="s">
        <v>2249</v>
      </c>
    </row>
    <row r="1754" spans="1:4" x14ac:dyDescent="0.25">
      <c r="A1754" s="180">
        <f t="shared" si="27"/>
        <v>5101330</v>
      </c>
      <c r="B1754" s="188" t="s">
        <v>2250</v>
      </c>
      <c r="C1754" s="188" t="s">
        <v>2251</v>
      </c>
    </row>
    <row r="1755" spans="1:4" x14ac:dyDescent="0.25">
      <c r="A1755" s="180">
        <f t="shared" si="27"/>
        <v>5101340</v>
      </c>
      <c r="B1755" s="188" t="s">
        <v>2252</v>
      </c>
      <c r="C1755" s="188" t="s">
        <v>12793</v>
      </c>
      <c r="D1755" t="s">
        <v>13412</v>
      </c>
    </row>
    <row r="1756" spans="1:4" x14ac:dyDescent="0.25">
      <c r="A1756" s="180">
        <f t="shared" si="27"/>
        <v>5101341</v>
      </c>
      <c r="B1756" s="188" t="s">
        <v>2253</v>
      </c>
      <c r="C1756" s="188" t="s">
        <v>2254</v>
      </c>
    </row>
    <row r="1757" spans="1:4" x14ac:dyDescent="0.25">
      <c r="A1757" s="180">
        <f t="shared" si="27"/>
        <v>5101342</v>
      </c>
      <c r="B1757" s="188" t="s">
        <v>2255</v>
      </c>
      <c r="C1757" s="188" t="s">
        <v>2256</v>
      </c>
      <c r="D1757" t="s">
        <v>13412</v>
      </c>
    </row>
    <row r="1758" spans="1:4" x14ac:dyDescent="0.25">
      <c r="A1758" s="180">
        <f t="shared" si="27"/>
        <v>5101350</v>
      </c>
      <c r="B1758" s="188" t="s">
        <v>2257</v>
      </c>
      <c r="C1758" s="188" t="s">
        <v>2258</v>
      </c>
    </row>
    <row r="1759" spans="1:4" x14ac:dyDescent="0.25">
      <c r="A1759" s="180">
        <f t="shared" si="27"/>
        <v>5101370</v>
      </c>
      <c r="B1759" s="188" t="s">
        <v>2259</v>
      </c>
      <c r="C1759" s="188" t="s">
        <v>2260</v>
      </c>
    </row>
    <row r="1760" spans="1:4" x14ac:dyDescent="0.25">
      <c r="A1760" s="180">
        <f t="shared" si="27"/>
        <v>5101381</v>
      </c>
      <c r="B1760" s="188" t="s">
        <v>2261</v>
      </c>
      <c r="C1760" s="188" t="s">
        <v>2262</v>
      </c>
    </row>
    <row r="1761" spans="1:4" x14ac:dyDescent="0.25">
      <c r="A1761" s="180">
        <f t="shared" si="27"/>
        <v>5101382</v>
      </c>
      <c r="B1761" s="188" t="s">
        <v>2263</v>
      </c>
      <c r="C1761" s="188" t="s">
        <v>2264</v>
      </c>
    </row>
    <row r="1762" spans="1:4" x14ac:dyDescent="0.25">
      <c r="A1762" s="180">
        <f t="shared" si="27"/>
        <v>5101390</v>
      </c>
      <c r="B1762" s="188" t="s">
        <v>2265</v>
      </c>
      <c r="C1762" s="188" t="s">
        <v>12794</v>
      </c>
      <c r="D1762" t="s">
        <v>13412</v>
      </c>
    </row>
    <row r="1763" spans="1:4" x14ac:dyDescent="0.25">
      <c r="A1763" s="180">
        <f t="shared" si="27"/>
        <v>5101391</v>
      </c>
      <c r="B1763" s="188" t="s">
        <v>2266</v>
      </c>
      <c r="C1763" s="188" t="s">
        <v>12795</v>
      </c>
      <c r="D1763" t="s">
        <v>13412</v>
      </c>
    </row>
    <row r="1764" spans="1:4" x14ac:dyDescent="0.25">
      <c r="A1764" s="180">
        <f t="shared" si="27"/>
        <v>5101392</v>
      </c>
      <c r="B1764" s="188" t="s">
        <v>2267</v>
      </c>
      <c r="C1764" s="188" t="s">
        <v>2268</v>
      </c>
    </row>
    <row r="1765" spans="1:4" x14ac:dyDescent="0.25">
      <c r="A1765" s="180">
        <f t="shared" si="27"/>
        <v>5101400</v>
      </c>
      <c r="B1765" s="188" t="s">
        <v>13287</v>
      </c>
      <c r="C1765" s="188" t="s">
        <v>13288</v>
      </c>
      <c r="D1765" t="s">
        <v>14909</v>
      </c>
    </row>
    <row r="1766" spans="1:4" x14ac:dyDescent="0.25">
      <c r="A1766" s="180">
        <f t="shared" si="27"/>
        <v>5101410</v>
      </c>
      <c r="B1766" s="188" t="s">
        <v>2269</v>
      </c>
      <c r="C1766" s="188" t="s">
        <v>2270</v>
      </c>
      <c r="D1766" t="s">
        <v>14909</v>
      </c>
    </row>
    <row r="1767" spans="1:4" x14ac:dyDescent="0.25">
      <c r="A1767" s="180">
        <f t="shared" si="27"/>
        <v>5101411</v>
      </c>
      <c r="B1767" s="188" t="s">
        <v>2271</v>
      </c>
      <c r="C1767" s="188" t="s">
        <v>2272</v>
      </c>
      <c r="D1767" t="s">
        <v>14909</v>
      </c>
    </row>
    <row r="1768" spans="1:4" x14ac:dyDescent="0.25">
      <c r="A1768" s="180">
        <f t="shared" si="27"/>
        <v>5101439</v>
      </c>
      <c r="B1768" s="188" t="s">
        <v>2273</v>
      </c>
      <c r="C1768" s="189" t="s">
        <v>2274</v>
      </c>
      <c r="D1768" t="s">
        <v>13412</v>
      </c>
    </row>
    <row r="1769" spans="1:4" x14ac:dyDescent="0.25">
      <c r="A1769" s="180">
        <f t="shared" si="27"/>
        <v>5101445</v>
      </c>
      <c r="B1769" s="188" t="s">
        <v>2275</v>
      </c>
      <c r="C1769" s="188" t="s">
        <v>12796</v>
      </c>
      <c r="D1769" t="s">
        <v>13412</v>
      </c>
    </row>
    <row r="1770" spans="1:4" x14ac:dyDescent="0.25">
      <c r="A1770" s="180">
        <f t="shared" si="27"/>
        <v>5101456</v>
      </c>
      <c r="B1770" s="188" t="s">
        <v>2276</v>
      </c>
      <c r="C1770" s="188" t="s">
        <v>2277</v>
      </c>
    </row>
    <row r="1771" spans="1:4" x14ac:dyDescent="0.25">
      <c r="A1771" s="180">
        <f t="shared" si="27"/>
        <v>5101457</v>
      </c>
      <c r="B1771" s="188" t="s">
        <v>2278</v>
      </c>
      <c r="C1771" s="188" t="s">
        <v>2279</v>
      </c>
    </row>
    <row r="1772" spans="1:4" x14ac:dyDescent="0.25">
      <c r="A1772" s="180">
        <f t="shared" si="27"/>
        <v>5101458</v>
      </c>
      <c r="B1772" s="188" t="s">
        <v>2280</v>
      </c>
      <c r="C1772" s="188" t="s">
        <v>2281</v>
      </c>
    </row>
    <row r="1773" spans="1:4" x14ac:dyDescent="0.25">
      <c r="A1773" s="180">
        <f t="shared" si="27"/>
        <v>5101460</v>
      </c>
      <c r="B1773" s="188" t="s">
        <v>14261</v>
      </c>
      <c r="C1773" s="188" t="s">
        <v>14262</v>
      </c>
    </row>
    <row r="1774" spans="1:4" x14ac:dyDescent="0.25">
      <c r="A1774" s="180">
        <f t="shared" si="27"/>
        <v>5101461</v>
      </c>
      <c r="B1774" s="188" t="s">
        <v>14263</v>
      </c>
      <c r="C1774" s="188" t="s">
        <v>14264</v>
      </c>
    </row>
    <row r="1775" spans="1:4" x14ac:dyDescent="0.25">
      <c r="A1775" s="180">
        <f t="shared" si="27"/>
        <v>5101462</v>
      </c>
      <c r="B1775" s="188" t="s">
        <v>14265</v>
      </c>
      <c r="C1775" s="188" t="s">
        <v>14266</v>
      </c>
    </row>
    <row r="1776" spans="1:4" x14ac:dyDescent="0.25">
      <c r="A1776" s="180">
        <f t="shared" si="27"/>
        <v>5101495</v>
      </c>
      <c r="B1776" s="188" t="s">
        <v>2282</v>
      </c>
      <c r="C1776" s="188" t="s">
        <v>2283</v>
      </c>
      <c r="D1776" t="s">
        <v>13411</v>
      </c>
    </row>
    <row r="1777" spans="1:4" x14ac:dyDescent="0.25">
      <c r="A1777" s="180">
        <f t="shared" si="27"/>
        <v>5101496</v>
      </c>
      <c r="B1777" s="188" t="s">
        <v>2284</v>
      </c>
      <c r="C1777" s="188" t="s">
        <v>2285</v>
      </c>
    </row>
    <row r="1778" spans="1:4" x14ac:dyDescent="0.25">
      <c r="A1778" s="180">
        <f t="shared" si="27"/>
        <v>5101500</v>
      </c>
      <c r="B1778" s="188" t="s">
        <v>2286</v>
      </c>
      <c r="C1778" s="188" t="s">
        <v>2287</v>
      </c>
      <c r="D1778" t="s">
        <v>13411</v>
      </c>
    </row>
    <row r="1779" spans="1:4" x14ac:dyDescent="0.25">
      <c r="A1779" s="180">
        <f t="shared" si="27"/>
        <v>5101501</v>
      </c>
      <c r="B1779" s="188" t="s">
        <v>2288</v>
      </c>
      <c r="C1779" s="188" t="s">
        <v>2289</v>
      </c>
    </row>
    <row r="1780" spans="1:4" x14ac:dyDescent="0.25">
      <c r="A1780" s="180">
        <f t="shared" si="27"/>
        <v>5101502</v>
      </c>
      <c r="B1780" s="188" t="s">
        <v>2290</v>
      </c>
      <c r="C1780" s="188" t="s">
        <v>2291</v>
      </c>
    </row>
    <row r="1781" spans="1:4" x14ac:dyDescent="0.25">
      <c r="A1781" s="180">
        <f t="shared" si="27"/>
        <v>5101503</v>
      </c>
      <c r="B1781" s="188" t="s">
        <v>2292</v>
      </c>
      <c r="C1781" s="188" t="s">
        <v>2293</v>
      </c>
    </row>
    <row r="1782" spans="1:4" x14ac:dyDescent="0.25">
      <c r="A1782" s="180">
        <f t="shared" si="27"/>
        <v>5101504</v>
      </c>
      <c r="B1782" s="188" t="s">
        <v>2294</v>
      </c>
      <c r="C1782" s="188" t="s">
        <v>2295</v>
      </c>
    </row>
    <row r="1783" spans="1:4" x14ac:dyDescent="0.25">
      <c r="A1783" s="180">
        <f t="shared" si="27"/>
        <v>5101505</v>
      </c>
      <c r="B1783" s="188" t="s">
        <v>2296</v>
      </c>
      <c r="C1783" s="188" t="s">
        <v>2297</v>
      </c>
    </row>
    <row r="1784" spans="1:4" x14ac:dyDescent="0.25">
      <c r="A1784" s="180">
        <f t="shared" si="27"/>
        <v>5101506</v>
      </c>
      <c r="B1784" s="188" t="s">
        <v>2298</v>
      </c>
      <c r="C1784" s="188" t="s">
        <v>2299</v>
      </c>
    </row>
    <row r="1785" spans="1:4" x14ac:dyDescent="0.25">
      <c r="A1785" s="180">
        <f t="shared" si="27"/>
        <v>5101507</v>
      </c>
      <c r="B1785" s="188" t="s">
        <v>2300</v>
      </c>
      <c r="C1785" s="188" t="s">
        <v>2301</v>
      </c>
    </row>
    <row r="1786" spans="1:4" x14ac:dyDescent="0.25">
      <c r="A1786" s="180">
        <f t="shared" si="27"/>
        <v>5101508</v>
      </c>
      <c r="B1786" s="188" t="s">
        <v>2302</v>
      </c>
      <c r="C1786" s="188" t="s">
        <v>2303</v>
      </c>
    </row>
    <row r="1787" spans="1:4" x14ac:dyDescent="0.25">
      <c r="A1787" s="180">
        <f t="shared" si="27"/>
        <v>5101509</v>
      </c>
      <c r="B1787" s="188" t="s">
        <v>2304</v>
      </c>
      <c r="C1787" s="188" t="s">
        <v>2305</v>
      </c>
    </row>
    <row r="1788" spans="1:4" x14ac:dyDescent="0.25">
      <c r="A1788" s="180">
        <f t="shared" si="27"/>
        <v>5101510</v>
      </c>
      <c r="B1788" s="188" t="s">
        <v>2306</v>
      </c>
      <c r="C1788" s="188" t="s">
        <v>2307</v>
      </c>
    </row>
    <row r="1789" spans="1:4" x14ac:dyDescent="0.25">
      <c r="A1789" s="180">
        <f t="shared" si="27"/>
        <v>5101511</v>
      </c>
      <c r="B1789" s="188" t="s">
        <v>2308</v>
      </c>
      <c r="C1789" s="188" t="s">
        <v>2309</v>
      </c>
    </row>
    <row r="1790" spans="1:4" x14ac:dyDescent="0.25">
      <c r="A1790" s="180">
        <f t="shared" si="27"/>
        <v>5101536</v>
      </c>
      <c r="B1790" s="188" t="s">
        <v>14959</v>
      </c>
      <c r="C1790" s="188" t="s">
        <v>14960</v>
      </c>
      <c r="D1790" t="s">
        <v>13411</v>
      </c>
    </row>
    <row r="1791" spans="1:4" x14ac:dyDescent="0.25">
      <c r="A1791" s="180">
        <f t="shared" ref="A1791:A1854" si="28">IFERROR(B1791*1,"")</f>
        <v>5101537</v>
      </c>
      <c r="B1791" s="188" t="s">
        <v>14961</v>
      </c>
      <c r="C1791" s="188" t="s">
        <v>14962</v>
      </c>
      <c r="D1791" t="s">
        <v>13411</v>
      </c>
    </row>
    <row r="1792" spans="1:4" x14ac:dyDescent="0.25">
      <c r="A1792" s="180">
        <f t="shared" si="28"/>
        <v>5101538</v>
      </c>
      <c r="B1792" s="188" t="s">
        <v>14963</v>
      </c>
      <c r="C1792" s="188" t="s">
        <v>14964</v>
      </c>
      <c r="D1792" t="s">
        <v>13411</v>
      </c>
    </row>
    <row r="1793" spans="1:4" x14ac:dyDescent="0.25">
      <c r="A1793" s="180">
        <f t="shared" si="28"/>
        <v>5101539</v>
      </c>
      <c r="B1793" s="188" t="s">
        <v>14965</v>
      </c>
      <c r="C1793" s="188" t="s">
        <v>14966</v>
      </c>
      <c r="D1793" t="s">
        <v>13411</v>
      </c>
    </row>
    <row r="1794" spans="1:4" x14ac:dyDescent="0.25">
      <c r="A1794" s="180">
        <f t="shared" si="28"/>
        <v>5101555</v>
      </c>
      <c r="B1794" s="188" t="s">
        <v>2310</v>
      </c>
      <c r="C1794" s="188" t="s">
        <v>6881</v>
      </c>
      <c r="D1794" t="s">
        <v>14909</v>
      </c>
    </row>
    <row r="1795" spans="1:4" x14ac:dyDescent="0.25">
      <c r="A1795" s="180">
        <f t="shared" si="28"/>
        <v>5101556</v>
      </c>
      <c r="B1795" s="188" t="s">
        <v>2311</v>
      </c>
      <c r="C1795" s="188" t="s">
        <v>6882</v>
      </c>
      <c r="D1795" t="s">
        <v>14909</v>
      </c>
    </row>
    <row r="1796" spans="1:4" x14ac:dyDescent="0.25">
      <c r="A1796" s="180">
        <f t="shared" si="28"/>
        <v>5101557</v>
      </c>
      <c r="B1796" s="188" t="s">
        <v>2312</v>
      </c>
      <c r="C1796" s="188" t="s">
        <v>2313</v>
      </c>
      <c r="D1796" t="s">
        <v>14909</v>
      </c>
    </row>
    <row r="1797" spans="1:4" x14ac:dyDescent="0.25">
      <c r="A1797" s="180">
        <f t="shared" si="28"/>
        <v>5101558</v>
      </c>
      <c r="B1797" s="188" t="s">
        <v>2314</v>
      </c>
      <c r="C1797" s="188" t="s">
        <v>2315</v>
      </c>
    </row>
    <row r="1798" spans="1:4" x14ac:dyDescent="0.25">
      <c r="A1798" s="180">
        <f t="shared" si="28"/>
        <v>5101559</v>
      </c>
      <c r="B1798" s="188" t="s">
        <v>2316</v>
      </c>
      <c r="C1798" s="188" t="s">
        <v>6883</v>
      </c>
      <c r="D1798" t="s">
        <v>14909</v>
      </c>
    </row>
    <row r="1799" spans="1:4" x14ac:dyDescent="0.25">
      <c r="A1799" s="180">
        <f t="shared" si="28"/>
        <v>5101560</v>
      </c>
      <c r="B1799" s="188" t="s">
        <v>2317</v>
      </c>
      <c r="C1799" s="188" t="s">
        <v>6884</v>
      </c>
    </row>
    <row r="1800" spans="1:4" x14ac:dyDescent="0.25">
      <c r="A1800" s="180">
        <f t="shared" si="28"/>
        <v>5101561</v>
      </c>
      <c r="B1800" s="188" t="s">
        <v>2318</v>
      </c>
      <c r="C1800" s="188" t="s">
        <v>6885</v>
      </c>
      <c r="D1800" t="s">
        <v>14909</v>
      </c>
    </row>
    <row r="1801" spans="1:4" x14ac:dyDescent="0.25">
      <c r="A1801" s="180">
        <f t="shared" si="28"/>
        <v>5101562</v>
      </c>
      <c r="B1801" s="188" t="s">
        <v>2319</v>
      </c>
      <c r="C1801" s="188" t="s">
        <v>2320</v>
      </c>
    </row>
    <row r="1802" spans="1:4" x14ac:dyDescent="0.25">
      <c r="A1802" s="180">
        <f t="shared" si="28"/>
        <v>5101563</v>
      </c>
      <c r="B1802" s="188" t="s">
        <v>2321</v>
      </c>
      <c r="C1802" s="188" t="s">
        <v>2322</v>
      </c>
      <c r="D1802" t="s">
        <v>14909</v>
      </c>
    </row>
    <row r="1803" spans="1:4" x14ac:dyDescent="0.25">
      <c r="A1803" s="180">
        <f t="shared" si="28"/>
        <v>5101564</v>
      </c>
      <c r="B1803" s="188" t="s">
        <v>2323</v>
      </c>
      <c r="C1803" s="188" t="s">
        <v>2324</v>
      </c>
      <c r="D1803" t="s">
        <v>14909</v>
      </c>
    </row>
    <row r="1804" spans="1:4" x14ac:dyDescent="0.25">
      <c r="A1804" s="180">
        <f t="shared" si="28"/>
        <v>5101565</v>
      </c>
      <c r="B1804" s="188" t="s">
        <v>2325</v>
      </c>
      <c r="C1804" s="188" t="s">
        <v>2326</v>
      </c>
      <c r="D1804" t="s">
        <v>14909</v>
      </c>
    </row>
    <row r="1805" spans="1:4" x14ac:dyDescent="0.25">
      <c r="A1805" s="180">
        <f t="shared" si="28"/>
        <v>5101566</v>
      </c>
      <c r="B1805" s="188" t="s">
        <v>2327</v>
      </c>
      <c r="C1805" s="188" t="s">
        <v>2328</v>
      </c>
    </row>
    <row r="1806" spans="1:4" x14ac:dyDescent="0.25">
      <c r="A1806" s="180">
        <f t="shared" si="28"/>
        <v>5101567</v>
      </c>
      <c r="B1806" s="188" t="s">
        <v>2329</v>
      </c>
      <c r="C1806" s="188" t="s">
        <v>2330</v>
      </c>
      <c r="D1806" t="s">
        <v>13412</v>
      </c>
    </row>
    <row r="1807" spans="1:4" x14ac:dyDescent="0.25">
      <c r="A1807" s="180">
        <f t="shared" si="28"/>
        <v>5101568</v>
      </c>
      <c r="B1807" s="188" t="s">
        <v>2331</v>
      </c>
      <c r="C1807" s="188" t="s">
        <v>2332</v>
      </c>
    </row>
    <row r="1808" spans="1:4" x14ac:dyDescent="0.25">
      <c r="A1808" s="180">
        <f t="shared" si="28"/>
        <v>5101569</v>
      </c>
      <c r="B1808" s="188" t="s">
        <v>2333</v>
      </c>
      <c r="C1808" s="188" t="s">
        <v>2334</v>
      </c>
      <c r="D1808" t="s">
        <v>14909</v>
      </c>
    </row>
    <row r="1809" spans="1:4" x14ac:dyDescent="0.25">
      <c r="A1809" s="180">
        <f t="shared" si="28"/>
        <v>5101570</v>
      </c>
      <c r="B1809" s="188" t="s">
        <v>2335</v>
      </c>
      <c r="C1809" s="188" t="s">
        <v>2336</v>
      </c>
      <c r="D1809" t="s">
        <v>14909</v>
      </c>
    </row>
    <row r="1810" spans="1:4" x14ac:dyDescent="0.25">
      <c r="A1810" s="180">
        <f t="shared" si="28"/>
        <v>5101571</v>
      </c>
      <c r="B1810" s="188" t="s">
        <v>12660</v>
      </c>
      <c r="C1810" s="188" t="s">
        <v>12661</v>
      </c>
      <c r="D1810" t="s">
        <v>14909</v>
      </c>
    </row>
    <row r="1811" spans="1:4" x14ac:dyDescent="0.25">
      <c r="A1811" s="180">
        <f t="shared" si="28"/>
        <v>5101580</v>
      </c>
      <c r="B1811" s="188" t="s">
        <v>14492</v>
      </c>
      <c r="C1811" s="188" t="s">
        <v>14493</v>
      </c>
      <c r="D1811" t="s">
        <v>14909</v>
      </c>
    </row>
    <row r="1812" spans="1:4" x14ac:dyDescent="0.25">
      <c r="A1812" s="180">
        <f t="shared" si="28"/>
        <v>5101581</v>
      </c>
      <c r="B1812" s="188" t="s">
        <v>14494</v>
      </c>
      <c r="C1812" s="188" t="s">
        <v>14495</v>
      </c>
      <c r="D1812" t="s">
        <v>14909</v>
      </c>
    </row>
    <row r="1813" spans="1:4" x14ac:dyDescent="0.25">
      <c r="A1813" s="180">
        <f t="shared" si="28"/>
        <v>5101590</v>
      </c>
      <c r="B1813" s="188" t="s">
        <v>15011</v>
      </c>
      <c r="C1813" s="188" t="s">
        <v>15012</v>
      </c>
      <c r="D1813" t="s">
        <v>14909</v>
      </c>
    </row>
    <row r="1814" spans="1:4" x14ac:dyDescent="0.25">
      <c r="A1814" s="180">
        <f t="shared" si="28"/>
        <v>5101591</v>
      </c>
      <c r="B1814" s="188" t="s">
        <v>15013</v>
      </c>
      <c r="C1814" s="188" t="s">
        <v>15014</v>
      </c>
      <c r="D1814" t="s">
        <v>14909</v>
      </c>
    </row>
    <row r="1815" spans="1:4" x14ac:dyDescent="0.25">
      <c r="A1815" s="180">
        <f t="shared" si="28"/>
        <v>5101600</v>
      </c>
      <c r="B1815" s="188" t="s">
        <v>2337</v>
      </c>
      <c r="C1815" s="188" t="s">
        <v>2338</v>
      </c>
      <c r="D1815" t="s">
        <v>14957</v>
      </c>
    </row>
    <row r="1816" spans="1:4" x14ac:dyDescent="0.25">
      <c r="A1816" s="180">
        <f t="shared" si="28"/>
        <v>5101601</v>
      </c>
      <c r="B1816" s="188" t="s">
        <v>2339</v>
      </c>
      <c r="C1816" s="188" t="s">
        <v>13289</v>
      </c>
      <c r="D1816" t="s">
        <v>14909</v>
      </c>
    </row>
    <row r="1817" spans="1:4" x14ac:dyDescent="0.25">
      <c r="A1817" s="180">
        <f t="shared" si="28"/>
        <v>5101602</v>
      </c>
      <c r="B1817" s="188" t="s">
        <v>13449</v>
      </c>
      <c r="C1817" s="188" t="s">
        <v>13450</v>
      </c>
      <c r="D1817" t="s">
        <v>14909</v>
      </c>
    </row>
    <row r="1818" spans="1:4" x14ac:dyDescent="0.25">
      <c r="A1818" s="180">
        <f t="shared" si="28"/>
        <v>5101603</v>
      </c>
      <c r="B1818" s="188" t="s">
        <v>13451</v>
      </c>
      <c r="C1818" s="188" t="s">
        <v>13452</v>
      </c>
      <c r="D1818" t="s">
        <v>14909</v>
      </c>
    </row>
    <row r="1819" spans="1:4" x14ac:dyDescent="0.25">
      <c r="A1819" s="180">
        <f t="shared" si="28"/>
        <v>5101604</v>
      </c>
      <c r="B1819" s="188" t="s">
        <v>13453</v>
      </c>
      <c r="C1819" s="188" t="s">
        <v>13454</v>
      </c>
      <c r="D1819" t="s">
        <v>14909</v>
      </c>
    </row>
    <row r="1820" spans="1:4" x14ac:dyDescent="0.25">
      <c r="A1820" s="180">
        <f t="shared" si="28"/>
        <v>5101605</v>
      </c>
      <c r="B1820" s="188" t="s">
        <v>13455</v>
      </c>
      <c r="C1820" s="188" t="s">
        <v>13456</v>
      </c>
      <c r="D1820" t="s">
        <v>14909</v>
      </c>
    </row>
    <row r="1821" spans="1:4" x14ac:dyDescent="0.25">
      <c r="A1821" s="180">
        <f t="shared" si="28"/>
        <v>5101606</v>
      </c>
      <c r="B1821" s="188" t="s">
        <v>13457</v>
      </c>
      <c r="C1821" s="188" t="s">
        <v>13458</v>
      </c>
      <c r="D1821" t="s">
        <v>14909</v>
      </c>
    </row>
    <row r="1822" spans="1:4" x14ac:dyDescent="0.25">
      <c r="A1822" s="180">
        <f t="shared" si="28"/>
        <v>5101607</v>
      </c>
      <c r="B1822" s="188" t="s">
        <v>13459</v>
      </c>
      <c r="C1822" s="188" t="s">
        <v>13460</v>
      </c>
      <c r="D1822" t="s">
        <v>14909</v>
      </c>
    </row>
    <row r="1823" spans="1:4" x14ac:dyDescent="0.25">
      <c r="A1823" s="180">
        <f t="shared" si="28"/>
        <v>5101610</v>
      </c>
      <c r="B1823" s="188" t="s">
        <v>14967</v>
      </c>
      <c r="C1823" s="188" t="s">
        <v>14968</v>
      </c>
      <c r="D1823" t="s">
        <v>14909</v>
      </c>
    </row>
    <row r="1824" spans="1:4" x14ac:dyDescent="0.25">
      <c r="A1824" s="180">
        <f t="shared" si="28"/>
        <v>5101611</v>
      </c>
      <c r="B1824" s="188" t="s">
        <v>14969</v>
      </c>
      <c r="C1824" s="188" t="s">
        <v>14970</v>
      </c>
      <c r="D1824" t="s">
        <v>14909</v>
      </c>
    </row>
    <row r="1825" spans="1:4" x14ac:dyDescent="0.25">
      <c r="A1825" s="180">
        <f t="shared" si="28"/>
        <v>5101612</v>
      </c>
      <c r="B1825" s="188" t="s">
        <v>15060</v>
      </c>
      <c r="C1825" s="188" t="s">
        <v>15061</v>
      </c>
      <c r="D1825" t="s">
        <v>14909</v>
      </c>
    </row>
    <row r="1826" spans="1:4" x14ac:dyDescent="0.25">
      <c r="A1826" s="180">
        <f t="shared" si="28"/>
        <v>5101613</v>
      </c>
      <c r="B1826" s="188" t="s">
        <v>15062</v>
      </c>
      <c r="C1826" s="188" t="s">
        <v>15063</v>
      </c>
      <c r="D1826" t="s">
        <v>14909</v>
      </c>
    </row>
    <row r="1827" spans="1:4" x14ac:dyDescent="0.25">
      <c r="A1827" s="180">
        <f t="shared" si="28"/>
        <v>5101625</v>
      </c>
      <c r="B1827" s="188" t="s">
        <v>2340</v>
      </c>
      <c r="C1827" s="188" t="s">
        <v>2341</v>
      </c>
      <c r="D1827" t="s">
        <v>13412</v>
      </c>
    </row>
    <row r="1828" spans="1:4" x14ac:dyDescent="0.25">
      <c r="A1828" s="180">
        <f t="shared" si="28"/>
        <v>5101626</v>
      </c>
      <c r="B1828" s="188" t="s">
        <v>2342</v>
      </c>
      <c r="C1828" s="188" t="s">
        <v>2343</v>
      </c>
    </row>
    <row r="1829" spans="1:4" x14ac:dyDescent="0.25">
      <c r="A1829" s="180">
        <f t="shared" si="28"/>
        <v>5101650</v>
      </c>
      <c r="B1829" s="188" t="s">
        <v>12797</v>
      </c>
      <c r="C1829" s="188" t="s">
        <v>12798</v>
      </c>
    </row>
    <row r="1830" spans="1:4" x14ac:dyDescent="0.25">
      <c r="A1830" s="180">
        <f t="shared" si="28"/>
        <v>5101654</v>
      </c>
      <c r="B1830" s="188" t="s">
        <v>2344</v>
      </c>
      <c r="C1830" s="188" t="s">
        <v>2345</v>
      </c>
      <c r="D1830" t="s">
        <v>13411</v>
      </c>
    </row>
    <row r="1831" spans="1:4" x14ac:dyDescent="0.25">
      <c r="A1831" s="180">
        <f t="shared" si="28"/>
        <v>5101655</v>
      </c>
      <c r="B1831" s="188" t="s">
        <v>2346</v>
      </c>
      <c r="C1831" s="188" t="s">
        <v>2347</v>
      </c>
      <c r="D1831" t="s">
        <v>13411</v>
      </c>
    </row>
    <row r="1832" spans="1:4" x14ac:dyDescent="0.25">
      <c r="A1832" s="180">
        <f t="shared" si="28"/>
        <v>5101666</v>
      </c>
      <c r="B1832" s="188" t="s">
        <v>2348</v>
      </c>
      <c r="C1832" s="188" t="s">
        <v>2349</v>
      </c>
      <c r="D1832" t="s">
        <v>14909</v>
      </c>
    </row>
    <row r="1833" spans="1:4" x14ac:dyDescent="0.25">
      <c r="A1833" s="180">
        <f t="shared" si="28"/>
        <v>5101680</v>
      </c>
      <c r="B1833" s="188" t="s">
        <v>2350</v>
      </c>
      <c r="C1833" s="188" t="s">
        <v>2351</v>
      </c>
    </row>
    <row r="1834" spans="1:4" x14ac:dyDescent="0.25">
      <c r="A1834" s="180">
        <f t="shared" si="28"/>
        <v>5101681</v>
      </c>
      <c r="B1834" s="188" t="s">
        <v>2352</v>
      </c>
      <c r="C1834" s="189" t="s">
        <v>2353</v>
      </c>
    </row>
    <row r="1835" spans="1:4" x14ac:dyDescent="0.25">
      <c r="A1835" s="180">
        <f t="shared" si="28"/>
        <v>5101698</v>
      </c>
      <c r="B1835" s="188" t="s">
        <v>14971</v>
      </c>
      <c r="C1835" s="188" t="s">
        <v>14972</v>
      </c>
      <c r="D1835" t="s">
        <v>14952</v>
      </c>
    </row>
    <row r="1836" spans="1:4" x14ac:dyDescent="0.25">
      <c r="A1836" s="180">
        <f t="shared" si="28"/>
        <v>5101699</v>
      </c>
      <c r="B1836" s="188" t="s">
        <v>14973</v>
      </c>
      <c r="C1836" s="188" t="s">
        <v>14974</v>
      </c>
      <c r="D1836" t="s">
        <v>14952</v>
      </c>
    </row>
    <row r="1837" spans="1:4" x14ac:dyDescent="0.25">
      <c r="A1837" s="180">
        <f t="shared" si="28"/>
        <v>5101710</v>
      </c>
      <c r="B1837" s="188" t="s">
        <v>13960</v>
      </c>
      <c r="C1837" s="188" t="s">
        <v>13961</v>
      </c>
      <c r="D1837" t="s">
        <v>14909</v>
      </c>
    </row>
    <row r="1838" spans="1:4" x14ac:dyDescent="0.25">
      <c r="A1838" s="180">
        <f t="shared" si="28"/>
        <v>5101750</v>
      </c>
      <c r="B1838" s="188" t="s">
        <v>2354</v>
      </c>
      <c r="C1838" s="188" t="s">
        <v>14267</v>
      </c>
      <c r="D1838" t="s">
        <v>14909</v>
      </c>
    </row>
    <row r="1839" spans="1:4" x14ac:dyDescent="0.25">
      <c r="A1839" s="180">
        <f t="shared" si="28"/>
        <v>5101751</v>
      </c>
      <c r="B1839" s="188" t="s">
        <v>6886</v>
      </c>
      <c r="C1839" s="188" t="s">
        <v>6887</v>
      </c>
    </row>
    <row r="1840" spans="1:4" x14ac:dyDescent="0.25">
      <c r="A1840" s="180">
        <f t="shared" si="28"/>
        <v>5101752</v>
      </c>
      <c r="B1840" s="188" t="s">
        <v>6888</v>
      </c>
      <c r="C1840" s="188" t="s">
        <v>6889</v>
      </c>
    </row>
    <row r="1841" spans="1:4" x14ac:dyDescent="0.25">
      <c r="A1841" s="180">
        <f t="shared" si="28"/>
        <v>5101753</v>
      </c>
      <c r="B1841" s="188" t="s">
        <v>2355</v>
      </c>
      <c r="C1841" s="188" t="s">
        <v>2356</v>
      </c>
    </row>
    <row r="1842" spans="1:4" x14ac:dyDescent="0.25">
      <c r="A1842" s="180">
        <f t="shared" si="28"/>
        <v>5101754</v>
      </c>
      <c r="B1842" s="188" t="s">
        <v>2357</v>
      </c>
      <c r="C1842" s="188" t="s">
        <v>2358</v>
      </c>
    </row>
    <row r="1843" spans="1:4" x14ac:dyDescent="0.25">
      <c r="A1843" s="180">
        <f t="shared" si="28"/>
        <v>5101775</v>
      </c>
      <c r="B1843" s="188" t="s">
        <v>12799</v>
      </c>
      <c r="C1843" s="188" t="s">
        <v>12800</v>
      </c>
      <c r="D1843" t="s">
        <v>14909</v>
      </c>
    </row>
    <row r="1844" spans="1:4" x14ac:dyDescent="0.25">
      <c r="A1844" s="180">
        <f t="shared" si="28"/>
        <v>5101776</v>
      </c>
      <c r="B1844" s="188" t="s">
        <v>12801</v>
      </c>
      <c r="C1844" s="188" t="s">
        <v>12802</v>
      </c>
      <c r="D1844" t="s">
        <v>14909</v>
      </c>
    </row>
    <row r="1845" spans="1:4" x14ac:dyDescent="0.25">
      <c r="A1845" s="180">
        <f t="shared" si="28"/>
        <v>5101777</v>
      </c>
      <c r="B1845" s="188" t="s">
        <v>2359</v>
      </c>
      <c r="C1845" s="188" t="s">
        <v>2360</v>
      </c>
      <c r="D1845" t="s">
        <v>14909</v>
      </c>
    </row>
    <row r="1846" spans="1:4" x14ac:dyDescent="0.25">
      <c r="A1846" s="180">
        <f t="shared" si="28"/>
        <v>510177707</v>
      </c>
      <c r="B1846" s="188" t="s">
        <v>2361</v>
      </c>
      <c r="C1846" s="188" t="s">
        <v>2362</v>
      </c>
    </row>
    <row r="1847" spans="1:4" x14ac:dyDescent="0.25">
      <c r="A1847" s="180">
        <f t="shared" si="28"/>
        <v>5101778</v>
      </c>
      <c r="B1847" s="188" t="s">
        <v>2363</v>
      </c>
      <c r="C1847" s="188" t="s">
        <v>2364</v>
      </c>
      <c r="D1847" t="s">
        <v>14909</v>
      </c>
    </row>
    <row r="1848" spans="1:4" x14ac:dyDescent="0.25">
      <c r="A1848" s="180">
        <f t="shared" si="28"/>
        <v>5101799</v>
      </c>
      <c r="B1848" s="188" t="s">
        <v>2365</v>
      </c>
      <c r="C1848" s="188" t="s">
        <v>2366</v>
      </c>
    </row>
    <row r="1849" spans="1:4" x14ac:dyDescent="0.25">
      <c r="A1849" s="180">
        <f t="shared" si="28"/>
        <v>5101845</v>
      </c>
      <c r="B1849" s="188" t="s">
        <v>2367</v>
      </c>
      <c r="C1849" s="188" t="s">
        <v>2368</v>
      </c>
      <c r="D1849" t="s">
        <v>13411</v>
      </c>
    </row>
    <row r="1850" spans="1:4" x14ac:dyDescent="0.25">
      <c r="A1850" s="180">
        <f t="shared" si="28"/>
        <v>5101846</v>
      </c>
      <c r="B1850" s="188" t="s">
        <v>2369</v>
      </c>
      <c r="C1850" s="188" t="s">
        <v>2370</v>
      </c>
      <c r="D1850" t="s">
        <v>13411</v>
      </c>
    </row>
    <row r="1851" spans="1:4" x14ac:dyDescent="0.25">
      <c r="A1851" s="180">
        <f t="shared" si="28"/>
        <v>5101850</v>
      </c>
      <c r="B1851" s="188" t="s">
        <v>2371</v>
      </c>
      <c r="C1851" s="188" t="s">
        <v>2372</v>
      </c>
      <c r="D1851" t="s">
        <v>13412</v>
      </c>
    </row>
    <row r="1852" spans="1:4" x14ac:dyDescent="0.25">
      <c r="A1852" s="180">
        <f t="shared" si="28"/>
        <v>5101852</v>
      </c>
      <c r="B1852" s="188" t="s">
        <v>2373</v>
      </c>
      <c r="C1852" s="188" t="s">
        <v>2374</v>
      </c>
      <c r="D1852" t="s">
        <v>13411</v>
      </c>
    </row>
    <row r="1853" spans="1:4" x14ac:dyDescent="0.25">
      <c r="A1853" s="180">
        <f t="shared" si="28"/>
        <v>5101853</v>
      </c>
      <c r="B1853" s="188" t="s">
        <v>2375</v>
      </c>
      <c r="C1853" s="188" t="s">
        <v>2376</v>
      </c>
      <c r="D1853" t="s">
        <v>13411</v>
      </c>
    </row>
    <row r="1854" spans="1:4" x14ac:dyDescent="0.25">
      <c r="A1854" s="180">
        <f t="shared" si="28"/>
        <v>5101854</v>
      </c>
      <c r="B1854" s="188" t="s">
        <v>12803</v>
      </c>
      <c r="C1854" s="188" t="s">
        <v>12804</v>
      </c>
    </row>
    <row r="1855" spans="1:4" x14ac:dyDescent="0.25">
      <c r="A1855" s="180">
        <f t="shared" ref="A1855:A1918" si="29">IFERROR(B1855*1,"")</f>
        <v>5101855</v>
      </c>
      <c r="B1855" s="188" t="s">
        <v>2377</v>
      </c>
      <c r="C1855" s="188" t="s">
        <v>2378</v>
      </c>
      <c r="D1855" t="s">
        <v>13411</v>
      </c>
    </row>
    <row r="1856" spans="1:4" x14ac:dyDescent="0.25">
      <c r="A1856" s="180">
        <f t="shared" si="29"/>
        <v>5101856</v>
      </c>
      <c r="B1856" s="188" t="s">
        <v>2379</v>
      </c>
      <c r="C1856" s="188" t="s">
        <v>2380</v>
      </c>
      <c r="D1856" t="s">
        <v>13411</v>
      </c>
    </row>
    <row r="1857" spans="1:4" x14ac:dyDescent="0.25">
      <c r="A1857" s="180">
        <f t="shared" si="29"/>
        <v>5101857</v>
      </c>
      <c r="B1857" s="188" t="s">
        <v>13461</v>
      </c>
      <c r="C1857" s="188" t="s">
        <v>13462</v>
      </c>
      <c r="D1857" t="s">
        <v>13411</v>
      </c>
    </row>
    <row r="1858" spans="1:4" x14ac:dyDescent="0.25">
      <c r="A1858" s="180">
        <f t="shared" si="29"/>
        <v>5101858</v>
      </c>
      <c r="B1858" s="188" t="s">
        <v>13463</v>
      </c>
      <c r="C1858" s="188" t="s">
        <v>13464</v>
      </c>
      <c r="D1858" t="s">
        <v>13411</v>
      </c>
    </row>
    <row r="1859" spans="1:4" x14ac:dyDescent="0.25">
      <c r="A1859" s="180">
        <f t="shared" si="29"/>
        <v>5101863</v>
      </c>
      <c r="B1859" s="188" t="s">
        <v>2381</v>
      </c>
      <c r="C1859" s="188" t="s">
        <v>2382</v>
      </c>
      <c r="D1859" t="s">
        <v>13411</v>
      </c>
    </row>
    <row r="1860" spans="1:4" x14ac:dyDescent="0.25">
      <c r="A1860" s="180">
        <f t="shared" si="29"/>
        <v>5101864</v>
      </c>
      <c r="B1860" s="188" t="s">
        <v>2383</v>
      </c>
      <c r="C1860" s="188" t="s">
        <v>2384</v>
      </c>
      <c r="D1860" t="s">
        <v>13411</v>
      </c>
    </row>
    <row r="1861" spans="1:4" x14ac:dyDescent="0.25">
      <c r="A1861" s="180">
        <f t="shared" si="29"/>
        <v>5101870</v>
      </c>
      <c r="B1861" s="188" t="s">
        <v>2385</v>
      </c>
      <c r="C1861" s="189" t="s">
        <v>2386</v>
      </c>
      <c r="D1861" t="s">
        <v>13411</v>
      </c>
    </row>
    <row r="1862" spans="1:4" x14ac:dyDescent="0.25">
      <c r="A1862" s="180">
        <f t="shared" si="29"/>
        <v>5101871</v>
      </c>
      <c r="B1862" s="188" t="s">
        <v>2387</v>
      </c>
      <c r="C1862" s="188" t="s">
        <v>2388</v>
      </c>
      <c r="D1862" t="s">
        <v>13411</v>
      </c>
    </row>
    <row r="1863" spans="1:4" x14ac:dyDescent="0.25">
      <c r="A1863" s="180">
        <f t="shared" si="29"/>
        <v>5101873</v>
      </c>
      <c r="B1863" s="188" t="s">
        <v>2389</v>
      </c>
      <c r="C1863" s="188" t="s">
        <v>2390</v>
      </c>
      <c r="D1863" t="s">
        <v>13411</v>
      </c>
    </row>
    <row r="1864" spans="1:4" x14ac:dyDescent="0.25">
      <c r="A1864" s="180">
        <f t="shared" si="29"/>
        <v>5101874</v>
      </c>
      <c r="B1864" s="188" t="s">
        <v>2391</v>
      </c>
      <c r="C1864" s="188" t="s">
        <v>2392</v>
      </c>
      <c r="D1864" t="s">
        <v>13411</v>
      </c>
    </row>
    <row r="1865" spans="1:4" x14ac:dyDescent="0.25">
      <c r="A1865" s="180">
        <f t="shared" si="29"/>
        <v>5101875</v>
      </c>
      <c r="B1865" s="188" t="s">
        <v>2393</v>
      </c>
      <c r="C1865" s="188" t="s">
        <v>2394</v>
      </c>
      <c r="D1865" t="s">
        <v>13411</v>
      </c>
    </row>
    <row r="1866" spans="1:4" x14ac:dyDescent="0.25">
      <c r="A1866" s="180">
        <f t="shared" si="29"/>
        <v>5101876</v>
      </c>
      <c r="B1866" s="188" t="s">
        <v>2395</v>
      </c>
      <c r="C1866" s="188" t="s">
        <v>2396</v>
      </c>
      <c r="D1866" t="s">
        <v>13411</v>
      </c>
    </row>
    <row r="1867" spans="1:4" x14ac:dyDescent="0.25">
      <c r="A1867" s="180">
        <f t="shared" si="29"/>
        <v>5101877</v>
      </c>
      <c r="B1867" s="188" t="s">
        <v>2397</v>
      </c>
      <c r="C1867" s="188" t="s">
        <v>2398</v>
      </c>
      <c r="D1867" t="s">
        <v>13411</v>
      </c>
    </row>
    <row r="1868" spans="1:4" x14ac:dyDescent="0.25">
      <c r="A1868" s="180">
        <f t="shared" si="29"/>
        <v>5101878</v>
      </c>
      <c r="B1868" s="188" t="s">
        <v>2399</v>
      </c>
      <c r="C1868" s="188" t="s">
        <v>2400</v>
      </c>
      <c r="D1868" t="s">
        <v>13411</v>
      </c>
    </row>
    <row r="1869" spans="1:4" x14ac:dyDescent="0.25">
      <c r="A1869" s="180">
        <f t="shared" si="29"/>
        <v>5101879</v>
      </c>
      <c r="B1869" s="188" t="s">
        <v>2401</v>
      </c>
      <c r="C1869" s="188" t="s">
        <v>2402</v>
      </c>
    </row>
    <row r="1870" spans="1:4" x14ac:dyDescent="0.25">
      <c r="A1870" s="180">
        <f t="shared" si="29"/>
        <v>5101880</v>
      </c>
      <c r="B1870" s="188" t="s">
        <v>2403</v>
      </c>
      <c r="C1870" s="188" t="s">
        <v>2404</v>
      </c>
      <c r="D1870" t="s">
        <v>13411</v>
      </c>
    </row>
    <row r="1871" spans="1:4" x14ac:dyDescent="0.25">
      <c r="A1871" s="180">
        <f t="shared" si="29"/>
        <v>5101881</v>
      </c>
      <c r="B1871" s="188" t="s">
        <v>2405</v>
      </c>
      <c r="C1871" s="188" t="s">
        <v>2406</v>
      </c>
      <c r="D1871" t="s">
        <v>13411</v>
      </c>
    </row>
    <row r="1872" spans="1:4" x14ac:dyDescent="0.25">
      <c r="A1872" s="180">
        <f t="shared" si="29"/>
        <v>5101882</v>
      </c>
      <c r="B1872" s="188" t="s">
        <v>2407</v>
      </c>
      <c r="C1872" s="188" t="s">
        <v>2408</v>
      </c>
    </row>
    <row r="1873" spans="1:4" x14ac:dyDescent="0.25">
      <c r="A1873" s="180">
        <f t="shared" si="29"/>
        <v>5101883</v>
      </c>
      <c r="B1873" s="188" t="s">
        <v>2409</v>
      </c>
      <c r="C1873" s="188" t="s">
        <v>2410</v>
      </c>
      <c r="D1873" t="s">
        <v>13411</v>
      </c>
    </row>
    <row r="1874" spans="1:4" x14ac:dyDescent="0.25">
      <c r="A1874" s="180">
        <f t="shared" si="29"/>
        <v>5101884</v>
      </c>
      <c r="B1874" s="188" t="s">
        <v>2411</v>
      </c>
      <c r="C1874" s="188" t="s">
        <v>2412</v>
      </c>
    </row>
    <row r="1875" spans="1:4" x14ac:dyDescent="0.25">
      <c r="A1875" s="180">
        <f t="shared" si="29"/>
        <v>5101885</v>
      </c>
      <c r="B1875" s="188" t="s">
        <v>2413</v>
      </c>
      <c r="C1875" s="188" t="s">
        <v>2414</v>
      </c>
      <c r="D1875" t="s">
        <v>13411</v>
      </c>
    </row>
    <row r="1876" spans="1:4" x14ac:dyDescent="0.25">
      <c r="A1876" s="180">
        <f t="shared" si="29"/>
        <v>5101886</v>
      </c>
      <c r="B1876" s="188" t="s">
        <v>2415</v>
      </c>
      <c r="C1876" s="188" t="s">
        <v>2416</v>
      </c>
      <c r="D1876" t="s">
        <v>13411</v>
      </c>
    </row>
    <row r="1877" spans="1:4" x14ac:dyDescent="0.25">
      <c r="A1877" s="180">
        <f t="shared" si="29"/>
        <v>5101887</v>
      </c>
      <c r="B1877" s="188" t="s">
        <v>2417</v>
      </c>
      <c r="C1877" s="188" t="s">
        <v>2418</v>
      </c>
    </row>
    <row r="1878" spans="1:4" x14ac:dyDescent="0.25">
      <c r="A1878" s="180">
        <f t="shared" si="29"/>
        <v>5101888</v>
      </c>
      <c r="B1878" s="188" t="s">
        <v>2419</v>
      </c>
      <c r="C1878" s="188" t="s">
        <v>2420</v>
      </c>
      <c r="D1878" t="s">
        <v>14952</v>
      </c>
    </row>
    <row r="1879" spans="1:4" x14ac:dyDescent="0.25">
      <c r="A1879" s="180">
        <f t="shared" si="29"/>
        <v>5101889</v>
      </c>
      <c r="B1879" s="188" t="s">
        <v>2421</v>
      </c>
      <c r="C1879" s="188" t="s">
        <v>2422</v>
      </c>
      <c r="D1879" t="s">
        <v>14952</v>
      </c>
    </row>
    <row r="1880" spans="1:4" x14ac:dyDescent="0.25">
      <c r="A1880" s="180">
        <f t="shared" si="29"/>
        <v>5101900</v>
      </c>
      <c r="B1880" s="188" t="s">
        <v>2423</v>
      </c>
      <c r="C1880" s="188" t="s">
        <v>2424</v>
      </c>
      <c r="D1880" t="s">
        <v>13412</v>
      </c>
    </row>
    <row r="1881" spans="1:4" x14ac:dyDescent="0.25">
      <c r="A1881" s="180">
        <f t="shared" si="29"/>
        <v>5101901</v>
      </c>
      <c r="B1881" s="188" t="s">
        <v>2425</v>
      </c>
      <c r="C1881" s="188" t="s">
        <v>2426</v>
      </c>
      <c r="D1881" t="s">
        <v>13412</v>
      </c>
    </row>
    <row r="1882" spans="1:4" x14ac:dyDescent="0.25">
      <c r="A1882" s="180">
        <f t="shared" si="29"/>
        <v>5101902</v>
      </c>
      <c r="B1882" s="188" t="s">
        <v>2427</v>
      </c>
      <c r="C1882" s="188" t="s">
        <v>2428</v>
      </c>
      <c r="D1882" t="s">
        <v>14909</v>
      </c>
    </row>
    <row r="1883" spans="1:4" x14ac:dyDescent="0.25">
      <c r="A1883" s="180">
        <f t="shared" si="29"/>
        <v>5101903</v>
      </c>
      <c r="B1883" s="188" t="s">
        <v>13290</v>
      </c>
      <c r="C1883" s="188" t="s">
        <v>13291</v>
      </c>
      <c r="D1883" t="s">
        <v>13412</v>
      </c>
    </row>
    <row r="1884" spans="1:4" x14ac:dyDescent="0.25">
      <c r="A1884" s="180">
        <f t="shared" si="29"/>
        <v>5101906</v>
      </c>
      <c r="B1884" s="188" t="s">
        <v>2429</v>
      </c>
      <c r="C1884" s="188" t="s">
        <v>2430</v>
      </c>
      <c r="D1884" t="s">
        <v>14909</v>
      </c>
    </row>
    <row r="1885" spans="1:4" x14ac:dyDescent="0.25">
      <c r="A1885" s="180">
        <f t="shared" si="29"/>
        <v>5101907</v>
      </c>
      <c r="B1885" s="188" t="s">
        <v>2431</v>
      </c>
      <c r="C1885" s="188" t="s">
        <v>2432</v>
      </c>
      <c r="D1885" t="s">
        <v>14909</v>
      </c>
    </row>
    <row r="1886" spans="1:4" x14ac:dyDescent="0.25">
      <c r="A1886" s="180">
        <f t="shared" si="29"/>
        <v>5101911</v>
      </c>
      <c r="B1886" s="188" t="s">
        <v>2433</v>
      </c>
      <c r="C1886" s="188" t="s">
        <v>2434</v>
      </c>
      <c r="D1886" t="s">
        <v>14909</v>
      </c>
    </row>
    <row r="1887" spans="1:4" x14ac:dyDescent="0.25">
      <c r="A1887" s="180">
        <f t="shared" si="29"/>
        <v>5101912</v>
      </c>
      <c r="B1887" s="188" t="s">
        <v>2435</v>
      </c>
      <c r="C1887" s="188" t="s">
        <v>2436</v>
      </c>
      <c r="D1887" t="s">
        <v>14909</v>
      </c>
    </row>
    <row r="1888" spans="1:4" x14ac:dyDescent="0.25">
      <c r="A1888" s="180">
        <f t="shared" si="29"/>
        <v>5101915</v>
      </c>
      <c r="B1888" s="188" t="s">
        <v>2437</v>
      </c>
      <c r="C1888" s="188" t="s">
        <v>2438</v>
      </c>
      <c r="D1888" t="s">
        <v>14909</v>
      </c>
    </row>
    <row r="1889" spans="1:4" x14ac:dyDescent="0.25">
      <c r="A1889" s="180">
        <f t="shared" si="29"/>
        <v>5101917</v>
      </c>
      <c r="B1889" s="188" t="s">
        <v>2439</v>
      </c>
      <c r="C1889" s="188" t="s">
        <v>2440</v>
      </c>
      <c r="D1889" t="s">
        <v>14909</v>
      </c>
    </row>
    <row r="1890" spans="1:4" x14ac:dyDescent="0.25">
      <c r="A1890" s="180">
        <f t="shared" si="29"/>
        <v>5101919</v>
      </c>
      <c r="B1890" s="188" t="s">
        <v>2441</v>
      </c>
      <c r="C1890" s="188" t="s">
        <v>2442</v>
      </c>
      <c r="D1890" t="s">
        <v>14909</v>
      </c>
    </row>
    <row r="1891" spans="1:4" x14ac:dyDescent="0.25">
      <c r="A1891" s="180">
        <f t="shared" si="29"/>
        <v>5101925</v>
      </c>
      <c r="B1891" s="188" t="s">
        <v>2443</v>
      </c>
      <c r="C1891" s="188" t="s">
        <v>2444</v>
      </c>
      <c r="D1891" t="s">
        <v>14909</v>
      </c>
    </row>
    <row r="1892" spans="1:4" x14ac:dyDescent="0.25">
      <c r="A1892" s="180">
        <f t="shared" si="29"/>
        <v>5101929</v>
      </c>
      <c r="B1892" s="188" t="s">
        <v>2445</v>
      </c>
      <c r="C1892" s="188" t="s">
        <v>2446</v>
      </c>
    </row>
    <row r="1893" spans="1:4" x14ac:dyDescent="0.25">
      <c r="A1893" s="180">
        <f t="shared" si="29"/>
        <v>5101951</v>
      </c>
      <c r="B1893" s="188" t="s">
        <v>2447</v>
      </c>
      <c r="C1893" s="188" t="s">
        <v>2448</v>
      </c>
      <c r="D1893" t="s">
        <v>13411</v>
      </c>
    </row>
    <row r="1894" spans="1:4" x14ac:dyDescent="0.25">
      <c r="A1894" s="180">
        <f t="shared" si="29"/>
        <v>5101952</v>
      </c>
      <c r="B1894" s="188" t="s">
        <v>2449</v>
      </c>
      <c r="C1894" s="188" t="s">
        <v>2450</v>
      </c>
    </row>
    <row r="1895" spans="1:4" x14ac:dyDescent="0.25">
      <c r="A1895" s="180">
        <f t="shared" si="29"/>
        <v>5101954</v>
      </c>
      <c r="B1895" s="188" t="s">
        <v>2451</v>
      </c>
      <c r="C1895" s="188" t="s">
        <v>2452</v>
      </c>
    </row>
    <row r="1896" spans="1:4" x14ac:dyDescent="0.25">
      <c r="A1896" s="180">
        <f t="shared" si="29"/>
        <v>5101955</v>
      </c>
      <c r="B1896" s="188" t="s">
        <v>2453</v>
      </c>
      <c r="C1896" s="188" t="s">
        <v>2454</v>
      </c>
      <c r="D1896" t="s">
        <v>13411</v>
      </c>
    </row>
    <row r="1897" spans="1:4" x14ac:dyDescent="0.25">
      <c r="A1897" s="180">
        <f t="shared" si="29"/>
        <v>5101980</v>
      </c>
      <c r="B1897" s="188" t="s">
        <v>6890</v>
      </c>
      <c r="C1897" s="188" t="s">
        <v>6891</v>
      </c>
      <c r="D1897" t="s">
        <v>14909</v>
      </c>
    </row>
    <row r="1898" spans="1:4" x14ac:dyDescent="0.25">
      <c r="A1898" s="180">
        <f t="shared" si="29"/>
        <v>5101983</v>
      </c>
      <c r="B1898" s="188" t="s">
        <v>14496</v>
      </c>
      <c r="C1898" s="188" t="s">
        <v>14497</v>
      </c>
      <c r="D1898" t="s">
        <v>14909</v>
      </c>
    </row>
    <row r="1899" spans="1:4" x14ac:dyDescent="0.25">
      <c r="A1899" s="180">
        <f t="shared" si="29"/>
        <v>5101985</v>
      </c>
      <c r="B1899" s="188" t="s">
        <v>2455</v>
      </c>
      <c r="C1899" s="188" t="s">
        <v>2456</v>
      </c>
      <c r="D1899" t="s">
        <v>13412</v>
      </c>
    </row>
    <row r="1900" spans="1:4" x14ac:dyDescent="0.25">
      <c r="A1900" s="180">
        <f t="shared" si="29"/>
        <v>5101986</v>
      </c>
      <c r="B1900" s="188" t="s">
        <v>2457</v>
      </c>
      <c r="C1900" s="188" t="s">
        <v>2458</v>
      </c>
      <c r="D1900" t="s">
        <v>13412</v>
      </c>
    </row>
    <row r="1901" spans="1:4" x14ac:dyDescent="0.25">
      <c r="A1901" s="180">
        <f t="shared" si="29"/>
        <v>5101987</v>
      </c>
      <c r="B1901" s="188" t="s">
        <v>6892</v>
      </c>
      <c r="C1901" s="188" t="s">
        <v>6893</v>
      </c>
      <c r="D1901" t="s">
        <v>14909</v>
      </c>
    </row>
    <row r="1902" spans="1:4" x14ac:dyDescent="0.25">
      <c r="A1902" s="180">
        <f t="shared" si="29"/>
        <v>5101990</v>
      </c>
      <c r="B1902" s="188" t="s">
        <v>14096</v>
      </c>
      <c r="C1902" s="188" t="s">
        <v>14097</v>
      </c>
      <c r="D1902" t="s">
        <v>14909</v>
      </c>
    </row>
    <row r="1903" spans="1:4" x14ac:dyDescent="0.25">
      <c r="A1903" s="180">
        <f t="shared" si="29"/>
        <v>5101991</v>
      </c>
      <c r="B1903" s="188" t="s">
        <v>14098</v>
      </c>
      <c r="C1903" s="188" t="s">
        <v>14099</v>
      </c>
      <c r="D1903" t="s">
        <v>14909</v>
      </c>
    </row>
    <row r="1904" spans="1:4" x14ac:dyDescent="0.25">
      <c r="A1904" s="180">
        <f t="shared" si="29"/>
        <v>5101998</v>
      </c>
      <c r="B1904" s="188" t="s">
        <v>2459</v>
      </c>
      <c r="C1904" s="188" t="s">
        <v>2460</v>
      </c>
      <c r="D1904" t="s">
        <v>14952</v>
      </c>
    </row>
    <row r="1905" spans="1:4" x14ac:dyDescent="0.25">
      <c r="A1905" s="180">
        <f t="shared" si="29"/>
        <v>5101999</v>
      </c>
      <c r="B1905" s="188" t="s">
        <v>2461</v>
      </c>
      <c r="C1905" s="188" t="s">
        <v>2462</v>
      </c>
      <c r="D1905" t="s">
        <v>14952</v>
      </c>
    </row>
    <row r="1906" spans="1:4" x14ac:dyDescent="0.25">
      <c r="A1906" s="180">
        <f t="shared" si="29"/>
        <v>5102000</v>
      </c>
      <c r="B1906" s="188" t="s">
        <v>6894</v>
      </c>
      <c r="C1906" s="188" t="s">
        <v>6895</v>
      </c>
    </row>
    <row r="1907" spans="1:4" x14ac:dyDescent="0.25">
      <c r="A1907" s="180">
        <f t="shared" si="29"/>
        <v>5102001</v>
      </c>
      <c r="B1907" s="188" t="s">
        <v>2463</v>
      </c>
      <c r="C1907" s="188" t="s">
        <v>2464</v>
      </c>
      <c r="D1907" t="s">
        <v>13412</v>
      </c>
    </row>
    <row r="1908" spans="1:4" x14ac:dyDescent="0.25">
      <c r="A1908" s="180">
        <f t="shared" si="29"/>
        <v>5102247</v>
      </c>
      <c r="B1908" s="188" t="s">
        <v>2465</v>
      </c>
      <c r="C1908" s="188" t="s">
        <v>2466</v>
      </c>
      <c r="D1908" t="s">
        <v>13412</v>
      </c>
    </row>
    <row r="1909" spans="1:4" x14ac:dyDescent="0.25">
      <c r="A1909" s="180">
        <f t="shared" si="29"/>
        <v>5102248</v>
      </c>
      <c r="B1909" s="188" t="s">
        <v>2467</v>
      </c>
      <c r="C1909" s="188" t="s">
        <v>2468</v>
      </c>
      <c r="D1909" t="s">
        <v>13412</v>
      </c>
    </row>
    <row r="1910" spans="1:4" x14ac:dyDescent="0.25">
      <c r="A1910" s="180">
        <f t="shared" si="29"/>
        <v>5102249</v>
      </c>
      <c r="B1910" s="188" t="s">
        <v>2469</v>
      </c>
      <c r="C1910" s="188" t="s">
        <v>2470</v>
      </c>
    </row>
    <row r="1911" spans="1:4" x14ac:dyDescent="0.25">
      <c r="A1911" s="180">
        <f t="shared" si="29"/>
        <v>5103444</v>
      </c>
      <c r="B1911" s="188" t="s">
        <v>2471</v>
      </c>
      <c r="C1911" s="188" t="s">
        <v>2472</v>
      </c>
    </row>
    <row r="1912" spans="1:4" x14ac:dyDescent="0.25">
      <c r="A1912" s="180">
        <f t="shared" si="29"/>
        <v>5103555</v>
      </c>
      <c r="B1912" s="188" t="s">
        <v>2473</v>
      </c>
      <c r="C1912" s="188" t="s">
        <v>2474</v>
      </c>
    </row>
    <row r="1913" spans="1:4" x14ac:dyDescent="0.25">
      <c r="A1913" s="180">
        <f t="shared" si="29"/>
        <v>5103777</v>
      </c>
      <c r="B1913" s="188" t="s">
        <v>13292</v>
      </c>
      <c r="C1913" s="188" t="s">
        <v>13293</v>
      </c>
    </row>
    <row r="1914" spans="1:4" x14ac:dyDescent="0.25">
      <c r="A1914" s="180">
        <f t="shared" si="29"/>
        <v>5320027</v>
      </c>
      <c r="B1914" s="188" t="s">
        <v>2475</v>
      </c>
      <c r="C1914" s="188" t="s">
        <v>2476</v>
      </c>
      <c r="D1914" t="s">
        <v>14909</v>
      </c>
    </row>
    <row r="1915" spans="1:4" x14ac:dyDescent="0.25">
      <c r="A1915" s="180">
        <f t="shared" si="29"/>
        <v>5320151</v>
      </c>
      <c r="B1915" s="188" t="s">
        <v>2477</v>
      </c>
      <c r="C1915" s="188" t="s">
        <v>2478</v>
      </c>
      <c r="D1915" t="s">
        <v>14909</v>
      </c>
    </row>
    <row r="1916" spans="1:4" x14ac:dyDescent="0.25">
      <c r="A1916" s="180">
        <f t="shared" si="29"/>
        <v>5320152</v>
      </c>
      <c r="B1916" s="188" t="s">
        <v>13294</v>
      </c>
      <c r="C1916" s="188" t="s">
        <v>13295</v>
      </c>
      <c r="D1916" t="s">
        <v>14909</v>
      </c>
    </row>
    <row r="1917" spans="1:4" x14ac:dyDescent="0.25">
      <c r="A1917" s="180">
        <f t="shared" si="29"/>
        <v>5320787</v>
      </c>
      <c r="B1917" s="188" t="s">
        <v>2479</v>
      </c>
      <c r="C1917" s="188" t="s">
        <v>2480</v>
      </c>
      <c r="D1917" t="s">
        <v>14909</v>
      </c>
    </row>
    <row r="1918" spans="1:4" x14ac:dyDescent="0.25">
      <c r="A1918" s="180">
        <f t="shared" si="29"/>
        <v>5320788</v>
      </c>
      <c r="B1918" s="188" t="s">
        <v>13296</v>
      </c>
      <c r="C1918" s="188" t="s">
        <v>13297</v>
      </c>
      <c r="D1918" t="s">
        <v>14909</v>
      </c>
    </row>
    <row r="1919" spans="1:4" x14ac:dyDescent="0.25">
      <c r="A1919" s="180">
        <f t="shared" ref="A1919:A1982" si="30">IFERROR(B1919*1,"")</f>
        <v>5330000</v>
      </c>
      <c r="B1919" s="188" t="s">
        <v>2481</v>
      </c>
      <c r="C1919" s="188" t="s">
        <v>2482</v>
      </c>
      <c r="D1919" t="s">
        <v>13411</v>
      </c>
    </row>
    <row r="1920" spans="1:4" x14ac:dyDescent="0.25">
      <c r="A1920" s="180">
        <f t="shared" si="30"/>
        <v>5919025</v>
      </c>
      <c r="B1920" s="188" t="s">
        <v>2483</v>
      </c>
      <c r="C1920" s="188" t="s">
        <v>2484</v>
      </c>
      <c r="D1920" t="s">
        <v>13412</v>
      </c>
    </row>
    <row r="1921" spans="1:4" x14ac:dyDescent="0.25">
      <c r="A1921" s="180">
        <f t="shared" si="30"/>
        <v>5919026</v>
      </c>
      <c r="B1921" s="188" t="s">
        <v>2485</v>
      </c>
      <c r="C1921" s="188" t="s">
        <v>2486</v>
      </c>
    </row>
    <row r="1922" spans="1:4" x14ac:dyDescent="0.25">
      <c r="A1922" s="180" t="str">
        <f t="shared" si="30"/>
        <v/>
      </c>
      <c r="B1922" s="188" t="s">
        <v>13063</v>
      </c>
      <c r="C1922" s="188"/>
    </row>
    <row r="1923" spans="1:4" x14ac:dyDescent="0.25">
      <c r="A1923" s="180">
        <f t="shared" si="30"/>
        <v>5919165</v>
      </c>
      <c r="B1923" s="188" t="s">
        <v>2487</v>
      </c>
      <c r="C1923" s="188" t="s">
        <v>2488</v>
      </c>
      <c r="D1923" t="s">
        <v>13412</v>
      </c>
    </row>
    <row r="1924" spans="1:4" x14ac:dyDescent="0.25">
      <c r="A1924" s="180">
        <f t="shared" si="30"/>
        <v>5919222</v>
      </c>
      <c r="B1924" s="188" t="s">
        <v>2489</v>
      </c>
      <c r="C1924" s="188" t="s">
        <v>2490</v>
      </c>
    </row>
    <row r="1925" spans="1:4" x14ac:dyDescent="0.25">
      <c r="A1925" s="180">
        <f t="shared" si="30"/>
        <v>5919223</v>
      </c>
      <c r="B1925" s="188" t="s">
        <v>2491</v>
      </c>
      <c r="C1925" s="188" t="s">
        <v>2492</v>
      </c>
    </row>
    <row r="1926" spans="1:4" x14ac:dyDescent="0.25">
      <c r="A1926" s="180">
        <f t="shared" si="30"/>
        <v>5919321</v>
      </c>
      <c r="B1926" s="188" t="s">
        <v>2493</v>
      </c>
      <c r="C1926" s="188" t="s">
        <v>2494</v>
      </c>
    </row>
    <row r="1927" spans="1:4" x14ac:dyDescent="0.25">
      <c r="A1927" s="180">
        <f t="shared" si="30"/>
        <v>5919325</v>
      </c>
      <c r="B1927" s="188" t="s">
        <v>2495</v>
      </c>
      <c r="C1927" s="188" t="s">
        <v>2496</v>
      </c>
    </row>
    <row r="1928" spans="1:4" x14ac:dyDescent="0.25">
      <c r="A1928" s="180">
        <f t="shared" si="30"/>
        <v>6000003</v>
      </c>
      <c r="B1928" s="188" t="s">
        <v>2497</v>
      </c>
      <c r="C1928" s="188" t="s">
        <v>2498</v>
      </c>
    </row>
    <row r="1929" spans="1:4" x14ac:dyDescent="0.25">
      <c r="A1929" s="180">
        <f t="shared" si="30"/>
        <v>6000004</v>
      </c>
      <c r="B1929" s="188" t="s">
        <v>2499</v>
      </c>
      <c r="C1929" s="188" t="s">
        <v>2500</v>
      </c>
    </row>
    <row r="1930" spans="1:4" x14ac:dyDescent="0.25">
      <c r="A1930" s="180">
        <f t="shared" si="30"/>
        <v>6000005</v>
      </c>
      <c r="B1930" s="188" t="s">
        <v>2501</v>
      </c>
      <c r="C1930" s="188" t="s">
        <v>2502</v>
      </c>
    </row>
    <row r="1931" spans="1:4" x14ac:dyDescent="0.25">
      <c r="A1931" s="180">
        <f t="shared" si="30"/>
        <v>6000006</v>
      </c>
      <c r="B1931" s="188" t="s">
        <v>2503</v>
      </c>
      <c r="C1931" s="188" t="s">
        <v>6896</v>
      </c>
    </row>
    <row r="1932" spans="1:4" x14ac:dyDescent="0.25">
      <c r="A1932" s="180">
        <f t="shared" si="30"/>
        <v>6000007</v>
      </c>
      <c r="B1932" s="188" t="s">
        <v>2504</v>
      </c>
      <c r="C1932" s="188" t="s">
        <v>6897</v>
      </c>
    </row>
    <row r="1933" spans="1:4" x14ac:dyDescent="0.25">
      <c r="A1933" s="180">
        <f t="shared" si="30"/>
        <v>6000008</v>
      </c>
      <c r="B1933" s="188" t="s">
        <v>2505</v>
      </c>
      <c r="C1933" s="188" t="s">
        <v>6898</v>
      </c>
    </row>
    <row r="1934" spans="1:4" x14ac:dyDescent="0.25">
      <c r="A1934" s="180">
        <f t="shared" si="30"/>
        <v>6000009</v>
      </c>
      <c r="B1934" s="188" t="s">
        <v>2506</v>
      </c>
      <c r="C1934" s="188" t="s">
        <v>6899</v>
      </c>
    </row>
    <row r="1935" spans="1:4" x14ac:dyDescent="0.25">
      <c r="A1935" s="180">
        <f t="shared" si="30"/>
        <v>6000010</v>
      </c>
      <c r="B1935" s="188" t="s">
        <v>2507</v>
      </c>
      <c r="C1935" s="188" t="s">
        <v>6900</v>
      </c>
    </row>
    <row r="1936" spans="1:4" x14ac:dyDescent="0.25">
      <c r="A1936" s="180">
        <f t="shared" si="30"/>
        <v>6000011</v>
      </c>
      <c r="B1936" s="188" t="s">
        <v>2508</v>
      </c>
      <c r="C1936" s="188" t="s">
        <v>6901</v>
      </c>
    </row>
    <row r="1937" spans="1:3" x14ac:dyDescent="0.25">
      <c r="A1937" s="180">
        <f t="shared" si="30"/>
        <v>6000013</v>
      </c>
      <c r="B1937" s="188" t="s">
        <v>2509</v>
      </c>
      <c r="C1937" s="188" t="s">
        <v>6902</v>
      </c>
    </row>
    <row r="1938" spans="1:3" x14ac:dyDescent="0.25">
      <c r="A1938" s="180">
        <f t="shared" si="30"/>
        <v>6000014</v>
      </c>
      <c r="B1938" s="188" t="s">
        <v>2510</v>
      </c>
      <c r="C1938" s="188" t="s">
        <v>6903</v>
      </c>
    </row>
    <row r="1939" spans="1:3" x14ac:dyDescent="0.25">
      <c r="A1939" s="180">
        <f t="shared" si="30"/>
        <v>6000015</v>
      </c>
      <c r="B1939" s="188" t="s">
        <v>2511</v>
      </c>
      <c r="C1939" s="188" t="s">
        <v>6904</v>
      </c>
    </row>
    <row r="1940" spans="1:3" x14ac:dyDescent="0.25">
      <c r="A1940" s="180">
        <f t="shared" si="30"/>
        <v>6000016</v>
      </c>
      <c r="B1940" s="188" t="s">
        <v>2512</v>
      </c>
      <c r="C1940" s="188" t="s">
        <v>6905</v>
      </c>
    </row>
    <row r="1941" spans="1:3" x14ac:dyDescent="0.25">
      <c r="A1941" s="180">
        <f t="shared" si="30"/>
        <v>6000017</v>
      </c>
      <c r="B1941" s="188" t="s">
        <v>2513</v>
      </c>
      <c r="C1941" s="188" t="s">
        <v>2514</v>
      </c>
    </row>
    <row r="1942" spans="1:3" x14ac:dyDescent="0.25">
      <c r="A1942" s="180">
        <f t="shared" si="30"/>
        <v>6000019</v>
      </c>
      <c r="B1942" s="188" t="s">
        <v>6906</v>
      </c>
      <c r="C1942" s="188" t="s">
        <v>6907</v>
      </c>
    </row>
    <row r="1943" spans="1:3" x14ac:dyDescent="0.25">
      <c r="A1943" s="180">
        <f t="shared" si="30"/>
        <v>6000020</v>
      </c>
      <c r="B1943" s="188" t="s">
        <v>6908</v>
      </c>
      <c r="C1943" s="188" t="s">
        <v>6909</v>
      </c>
    </row>
    <row r="1944" spans="1:3" x14ac:dyDescent="0.25">
      <c r="A1944" s="180">
        <f t="shared" si="30"/>
        <v>6000021</v>
      </c>
      <c r="B1944" s="188" t="s">
        <v>6910</v>
      </c>
      <c r="C1944" s="188" t="s">
        <v>6909</v>
      </c>
    </row>
    <row r="1945" spans="1:3" x14ac:dyDescent="0.25">
      <c r="A1945" s="180">
        <f t="shared" si="30"/>
        <v>6000022</v>
      </c>
      <c r="B1945" s="188" t="s">
        <v>6911</v>
      </c>
      <c r="C1945" s="188" t="s">
        <v>6912</v>
      </c>
    </row>
    <row r="1946" spans="1:3" x14ac:dyDescent="0.25">
      <c r="A1946" s="180">
        <f t="shared" si="30"/>
        <v>6000023</v>
      </c>
      <c r="B1946" s="188" t="s">
        <v>6913</v>
      </c>
      <c r="C1946" s="188" t="s">
        <v>6914</v>
      </c>
    </row>
    <row r="1947" spans="1:3" x14ac:dyDescent="0.25">
      <c r="A1947" s="180">
        <f t="shared" si="30"/>
        <v>6000024</v>
      </c>
      <c r="B1947" s="188" t="s">
        <v>6915</v>
      </c>
      <c r="C1947" s="188" t="s">
        <v>6916</v>
      </c>
    </row>
    <row r="1948" spans="1:3" x14ac:dyDescent="0.25">
      <c r="A1948" s="180">
        <f t="shared" si="30"/>
        <v>6000025</v>
      </c>
      <c r="B1948" s="188" t="s">
        <v>6917</v>
      </c>
      <c r="C1948" s="188" t="s">
        <v>6918</v>
      </c>
    </row>
    <row r="1949" spans="1:3" x14ac:dyDescent="0.25">
      <c r="A1949" s="180">
        <f t="shared" si="30"/>
        <v>6000026</v>
      </c>
      <c r="B1949" s="188" t="s">
        <v>6919</v>
      </c>
      <c r="C1949" s="188" t="s">
        <v>6920</v>
      </c>
    </row>
    <row r="1950" spans="1:3" x14ac:dyDescent="0.25">
      <c r="A1950" s="180">
        <f t="shared" si="30"/>
        <v>6000027</v>
      </c>
      <c r="B1950" s="188" t="s">
        <v>6921</v>
      </c>
      <c r="C1950" s="188" t="s">
        <v>6922</v>
      </c>
    </row>
    <row r="1951" spans="1:3" x14ac:dyDescent="0.25">
      <c r="A1951" s="180">
        <f t="shared" si="30"/>
        <v>6000028</v>
      </c>
      <c r="B1951" s="188" t="s">
        <v>6923</v>
      </c>
      <c r="C1951" s="188" t="s">
        <v>6920</v>
      </c>
    </row>
    <row r="1952" spans="1:3" x14ac:dyDescent="0.25">
      <c r="A1952" s="180">
        <f t="shared" si="30"/>
        <v>6000029</v>
      </c>
      <c r="B1952" s="188" t="s">
        <v>6924</v>
      </c>
      <c r="C1952" s="188" t="s">
        <v>6925</v>
      </c>
    </row>
    <row r="1953" spans="1:4" x14ac:dyDescent="0.25">
      <c r="A1953" s="180">
        <f t="shared" si="30"/>
        <v>6000067</v>
      </c>
      <c r="B1953" s="188" t="s">
        <v>2515</v>
      </c>
      <c r="C1953" s="188" t="s">
        <v>2516</v>
      </c>
    </row>
    <row r="1954" spans="1:4" x14ac:dyDescent="0.25">
      <c r="A1954" s="180">
        <f t="shared" si="30"/>
        <v>6000100</v>
      </c>
      <c r="B1954" s="188" t="s">
        <v>2517</v>
      </c>
      <c r="C1954" s="188" t="s">
        <v>2518</v>
      </c>
    </row>
    <row r="1955" spans="1:4" x14ac:dyDescent="0.25">
      <c r="A1955" s="180">
        <f t="shared" si="30"/>
        <v>6000129</v>
      </c>
      <c r="B1955" s="188" t="s">
        <v>2519</v>
      </c>
      <c r="C1955" s="188" t="s">
        <v>2520</v>
      </c>
    </row>
    <row r="1956" spans="1:4" x14ac:dyDescent="0.25">
      <c r="A1956" s="180">
        <f t="shared" si="30"/>
        <v>6000130</v>
      </c>
      <c r="B1956" s="188" t="s">
        <v>2521</v>
      </c>
      <c r="C1956" s="188" t="s">
        <v>2522</v>
      </c>
    </row>
    <row r="1957" spans="1:4" x14ac:dyDescent="0.25">
      <c r="A1957" s="180">
        <f t="shared" si="30"/>
        <v>6000301</v>
      </c>
      <c r="B1957" s="188" t="s">
        <v>2523</v>
      </c>
      <c r="C1957" s="188" t="s">
        <v>2524</v>
      </c>
    </row>
    <row r="1958" spans="1:4" x14ac:dyDescent="0.25">
      <c r="A1958" s="180">
        <f t="shared" si="30"/>
        <v>6000551</v>
      </c>
      <c r="B1958" s="188" t="s">
        <v>2525</v>
      </c>
      <c r="C1958" s="188" t="s">
        <v>2526</v>
      </c>
    </row>
    <row r="1959" spans="1:4" x14ac:dyDescent="0.25">
      <c r="A1959" s="180">
        <f t="shared" si="30"/>
        <v>6000552</v>
      </c>
      <c r="B1959" s="188" t="s">
        <v>2527</v>
      </c>
      <c r="C1959" s="188" t="s">
        <v>2528</v>
      </c>
    </row>
    <row r="1960" spans="1:4" x14ac:dyDescent="0.25">
      <c r="A1960" s="180">
        <f t="shared" si="30"/>
        <v>6000852</v>
      </c>
      <c r="B1960" s="188" t="s">
        <v>2529</v>
      </c>
      <c r="C1960" s="188" t="s">
        <v>2530</v>
      </c>
    </row>
    <row r="1961" spans="1:4" x14ac:dyDescent="0.25">
      <c r="A1961" s="180">
        <f t="shared" si="30"/>
        <v>6000853</v>
      </c>
      <c r="B1961" s="188" t="s">
        <v>2531</v>
      </c>
      <c r="C1961" s="188" t="s">
        <v>2532</v>
      </c>
    </row>
    <row r="1962" spans="1:4" x14ac:dyDescent="0.25">
      <c r="A1962" s="180">
        <f t="shared" si="30"/>
        <v>6000855</v>
      </c>
      <c r="B1962" s="188" t="s">
        <v>2533</v>
      </c>
      <c r="C1962" s="188" t="s">
        <v>6926</v>
      </c>
    </row>
    <row r="1963" spans="1:4" x14ac:dyDescent="0.25">
      <c r="A1963" s="180">
        <f t="shared" si="30"/>
        <v>6000856</v>
      </c>
      <c r="B1963" s="188" t="s">
        <v>2534</v>
      </c>
      <c r="C1963" s="188" t="s">
        <v>2535</v>
      </c>
    </row>
    <row r="1964" spans="1:4" x14ac:dyDescent="0.25">
      <c r="A1964" s="180">
        <f t="shared" si="30"/>
        <v>6000863</v>
      </c>
      <c r="B1964" s="188" t="s">
        <v>2536</v>
      </c>
      <c r="C1964" s="188" t="s">
        <v>2537</v>
      </c>
    </row>
    <row r="1965" spans="1:4" x14ac:dyDescent="0.25">
      <c r="A1965" s="180">
        <f t="shared" si="30"/>
        <v>6000864</v>
      </c>
      <c r="B1965" s="188" t="s">
        <v>2538</v>
      </c>
      <c r="C1965" s="188" t="s">
        <v>2539</v>
      </c>
    </row>
    <row r="1966" spans="1:4" x14ac:dyDescent="0.25">
      <c r="A1966" s="180">
        <f t="shared" si="30"/>
        <v>6000999</v>
      </c>
      <c r="B1966" s="188" t="s">
        <v>2540</v>
      </c>
      <c r="C1966" s="188" t="s">
        <v>2541</v>
      </c>
    </row>
    <row r="1967" spans="1:4" x14ac:dyDescent="0.25">
      <c r="A1967" s="180">
        <f t="shared" si="30"/>
        <v>6001001</v>
      </c>
      <c r="B1967" s="188" t="s">
        <v>2542</v>
      </c>
      <c r="C1967" s="188" t="s">
        <v>2543</v>
      </c>
    </row>
    <row r="1968" spans="1:4" x14ac:dyDescent="0.25">
      <c r="A1968" s="180">
        <f t="shared" si="30"/>
        <v>6001004</v>
      </c>
      <c r="B1968" s="188" t="s">
        <v>2544</v>
      </c>
      <c r="C1968" s="188" t="s">
        <v>2545</v>
      </c>
      <c r="D1968" t="s">
        <v>13412</v>
      </c>
    </row>
    <row r="1969" spans="1:4" x14ac:dyDescent="0.25">
      <c r="A1969" s="180">
        <f t="shared" si="30"/>
        <v>6001005</v>
      </c>
      <c r="B1969" s="188" t="s">
        <v>2546</v>
      </c>
      <c r="C1969" s="188" t="s">
        <v>2547</v>
      </c>
      <c r="D1969" t="s">
        <v>13412</v>
      </c>
    </row>
    <row r="1970" spans="1:4" x14ac:dyDescent="0.25">
      <c r="A1970" s="180">
        <f t="shared" si="30"/>
        <v>6001006</v>
      </c>
      <c r="B1970" s="188" t="s">
        <v>2548</v>
      </c>
      <c r="C1970" s="188" t="s">
        <v>6927</v>
      </c>
    </row>
    <row r="1971" spans="1:4" x14ac:dyDescent="0.25">
      <c r="A1971" s="180">
        <f t="shared" si="30"/>
        <v>6001007</v>
      </c>
      <c r="B1971" s="188" t="s">
        <v>2549</v>
      </c>
      <c r="C1971" s="188" t="s">
        <v>6928</v>
      </c>
    </row>
    <row r="1972" spans="1:4" x14ac:dyDescent="0.25">
      <c r="A1972" s="180">
        <f t="shared" si="30"/>
        <v>6001008</v>
      </c>
      <c r="B1972" s="188" t="s">
        <v>6929</v>
      </c>
      <c r="C1972" s="188" t="s">
        <v>6930</v>
      </c>
    </row>
    <row r="1973" spans="1:4" x14ac:dyDescent="0.25">
      <c r="A1973" s="180">
        <f t="shared" si="30"/>
        <v>6001265</v>
      </c>
      <c r="B1973" s="188" t="s">
        <v>2550</v>
      </c>
      <c r="C1973" s="188" t="s">
        <v>2551</v>
      </c>
    </row>
    <row r="1974" spans="1:4" x14ac:dyDescent="0.25">
      <c r="A1974" s="180">
        <f t="shared" si="30"/>
        <v>6001266</v>
      </c>
      <c r="B1974" s="188" t="s">
        <v>2552</v>
      </c>
      <c r="C1974" s="188" t="s">
        <v>2553</v>
      </c>
    </row>
    <row r="1975" spans="1:4" x14ac:dyDescent="0.25">
      <c r="A1975" s="180">
        <f t="shared" si="30"/>
        <v>6001941</v>
      </c>
      <c r="B1975" s="188" t="s">
        <v>2554</v>
      </c>
      <c r="C1975" s="188" t="s">
        <v>2555</v>
      </c>
    </row>
    <row r="1976" spans="1:4" x14ac:dyDescent="0.25">
      <c r="A1976" s="180">
        <f t="shared" si="30"/>
        <v>6001942</v>
      </c>
      <c r="B1976" s="188" t="s">
        <v>2556</v>
      </c>
      <c r="C1976" s="188" t="s">
        <v>2557</v>
      </c>
    </row>
    <row r="1977" spans="1:4" x14ac:dyDescent="0.25">
      <c r="A1977" s="180">
        <f t="shared" si="30"/>
        <v>6001946</v>
      </c>
      <c r="B1977" s="188" t="s">
        <v>2558</v>
      </c>
      <c r="C1977" s="188" t="s">
        <v>2559</v>
      </c>
    </row>
    <row r="1978" spans="1:4" x14ac:dyDescent="0.25">
      <c r="A1978" s="180">
        <f t="shared" si="30"/>
        <v>6001947</v>
      </c>
      <c r="B1978" s="188" t="s">
        <v>2560</v>
      </c>
      <c r="C1978" s="188" t="s">
        <v>2561</v>
      </c>
    </row>
    <row r="1979" spans="1:4" x14ac:dyDescent="0.25">
      <c r="A1979" s="180">
        <f t="shared" si="30"/>
        <v>6001948</v>
      </c>
      <c r="B1979" s="188" t="s">
        <v>12805</v>
      </c>
      <c r="C1979" s="188" t="s">
        <v>12806</v>
      </c>
    </row>
    <row r="1980" spans="1:4" x14ac:dyDescent="0.25">
      <c r="A1980" s="180">
        <f t="shared" si="30"/>
        <v>6401001</v>
      </c>
      <c r="B1980" s="188" t="s">
        <v>2562</v>
      </c>
      <c r="C1980" s="188" t="s">
        <v>2563</v>
      </c>
      <c r="D1980" t="s">
        <v>13411</v>
      </c>
    </row>
    <row r="1981" spans="1:4" x14ac:dyDescent="0.25">
      <c r="A1981" s="180">
        <f t="shared" si="30"/>
        <v>6401002</v>
      </c>
      <c r="B1981" s="188" t="s">
        <v>2564</v>
      </c>
      <c r="C1981" s="188" t="s">
        <v>2565</v>
      </c>
      <c r="D1981" t="s">
        <v>13411</v>
      </c>
    </row>
    <row r="1982" spans="1:4" x14ac:dyDescent="0.25">
      <c r="A1982" s="180">
        <f t="shared" si="30"/>
        <v>6401003</v>
      </c>
      <c r="B1982" s="188" t="s">
        <v>2566</v>
      </c>
      <c r="C1982" s="188" t="s">
        <v>2567</v>
      </c>
      <c r="D1982" t="s">
        <v>13411</v>
      </c>
    </row>
    <row r="1983" spans="1:4" x14ac:dyDescent="0.25">
      <c r="A1983" s="180">
        <f t="shared" ref="A1983:A2046" si="31">IFERROR(B1983*1,"")</f>
        <v>6401247</v>
      </c>
      <c r="B1983" s="188" t="s">
        <v>2568</v>
      </c>
      <c r="C1983" s="188" t="s">
        <v>2569</v>
      </c>
      <c r="D1983" t="s">
        <v>13411</v>
      </c>
    </row>
    <row r="1984" spans="1:4" x14ac:dyDescent="0.25">
      <c r="A1984" s="180">
        <f t="shared" si="31"/>
        <v>6401800</v>
      </c>
      <c r="B1984" s="188" t="s">
        <v>14100</v>
      </c>
      <c r="C1984" s="188" t="s">
        <v>14101</v>
      </c>
      <c r="D1984" t="s">
        <v>13411</v>
      </c>
    </row>
    <row r="1985" spans="1:4" x14ac:dyDescent="0.25">
      <c r="A1985" s="180">
        <f t="shared" si="31"/>
        <v>6401801</v>
      </c>
      <c r="B1985" s="188" t="s">
        <v>14102</v>
      </c>
      <c r="C1985" s="188" t="s">
        <v>14103</v>
      </c>
      <c r="D1985" t="s">
        <v>13411</v>
      </c>
    </row>
    <row r="1986" spans="1:4" x14ac:dyDescent="0.25">
      <c r="A1986" s="180">
        <f t="shared" si="31"/>
        <v>6401802</v>
      </c>
      <c r="B1986" s="188" t="s">
        <v>14104</v>
      </c>
      <c r="C1986" s="188" t="s">
        <v>14105</v>
      </c>
      <c r="D1986" t="s">
        <v>13411</v>
      </c>
    </row>
    <row r="1987" spans="1:4" x14ac:dyDescent="0.25">
      <c r="A1987" s="180">
        <f t="shared" si="31"/>
        <v>6401900</v>
      </c>
      <c r="B1987" s="188" t="s">
        <v>2570</v>
      </c>
      <c r="C1987" s="188" t="s">
        <v>2571</v>
      </c>
    </row>
    <row r="1988" spans="1:4" x14ac:dyDescent="0.25">
      <c r="A1988" s="180">
        <f t="shared" si="31"/>
        <v>6401901</v>
      </c>
      <c r="B1988" s="188" t="s">
        <v>2572</v>
      </c>
      <c r="C1988" s="188" t="s">
        <v>2573</v>
      </c>
    </row>
    <row r="1989" spans="1:4" x14ac:dyDescent="0.25">
      <c r="A1989" s="180">
        <f t="shared" si="31"/>
        <v>6401902</v>
      </c>
      <c r="B1989" s="188" t="s">
        <v>2574</v>
      </c>
      <c r="C1989" s="188" t="s">
        <v>2575</v>
      </c>
    </row>
    <row r="1990" spans="1:4" x14ac:dyDescent="0.25">
      <c r="A1990" s="180">
        <f t="shared" si="31"/>
        <v>6402000</v>
      </c>
      <c r="B1990" s="188" t="s">
        <v>2576</v>
      </c>
      <c r="C1990" s="188" t="s">
        <v>2577</v>
      </c>
    </row>
    <row r="1991" spans="1:4" x14ac:dyDescent="0.25">
      <c r="A1991" s="180" t="str">
        <f t="shared" si="31"/>
        <v/>
      </c>
      <c r="B1991" s="188" t="s">
        <v>13064</v>
      </c>
      <c r="C1991" s="188"/>
    </row>
    <row r="1992" spans="1:4" x14ac:dyDescent="0.25">
      <c r="A1992" s="180">
        <f t="shared" si="31"/>
        <v>7203001</v>
      </c>
      <c r="B1992" s="188" t="s">
        <v>2578</v>
      </c>
      <c r="C1992" s="188" t="s">
        <v>2579</v>
      </c>
    </row>
    <row r="1993" spans="1:4" x14ac:dyDescent="0.25">
      <c r="A1993" s="180">
        <f t="shared" si="31"/>
        <v>7203002</v>
      </c>
      <c r="B1993" s="188" t="s">
        <v>2580</v>
      </c>
      <c r="C1993" s="188" t="s">
        <v>2581</v>
      </c>
      <c r="D1993" t="s">
        <v>14909</v>
      </c>
    </row>
    <row r="1994" spans="1:4" x14ac:dyDescent="0.25">
      <c r="A1994" s="180">
        <f t="shared" si="31"/>
        <v>7700022</v>
      </c>
      <c r="B1994" s="188" t="s">
        <v>2582</v>
      </c>
      <c r="C1994" s="188" t="s">
        <v>2583</v>
      </c>
    </row>
    <row r="1995" spans="1:4" x14ac:dyDescent="0.25">
      <c r="A1995" s="180">
        <f t="shared" si="31"/>
        <v>7700090</v>
      </c>
      <c r="B1995" s="188" t="s">
        <v>2584</v>
      </c>
      <c r="C1995" s="188" t="s">
        <v>2585</v>
      </c>
    </row>
    <row r="1996" spans="1:4" x14ac:dyDescent="0.25">
      <c r="A1996" s="180">
        <f t="shared" si="31"/>
        <v>7700091</v>
      </c>
      <c r="B1996" s="188" t="s">
        <v>2586</v>
      </c>
      <c r="C1996" s="188" t="s">
        <v>2587</v>
      </c>
    </row>
    <row r="1997" spans="1:4" x14ac:dyDescent="0.25">
      <c r="A1997" s="180">
        <f t="shared" si="31"/>
        <v>7700092</v>
      </c>
      <c r="B1997" s="188" t="s">
        <v>2588</v>
      </c>
      <c r="C1997" s="188" t="s">
        <v>2589</v>
      </c>
    </row>
    <row r="1998" spans="1:4" x14ac:dyDescent="0.25">
      <c r="A1998" s="180">
        <f t="shared" si="31"/>
        <v>7700093</v>
      </c>
      <c r="B1998" s="188" t="s">
        <v>2590</v>
      </c>
      <c r="C1998" s="188" t="s">
        <v>2591</v>
      </c>
    </row>
    <row r="1999" spans="1:4" x14ac:dyDescent="0.25">
      <c r="A1999" s="180">
        <f t="shared" si="31"/>
        <v>7700094</v>
      </c>
      <c r="B1999" s="188" t="s">
        <v>2592</v>
      </c>
      <c r="C1999" s="188" t="s">
        <v>2593</v>
      </c>
      <c r="D1999" t="s">
        <v>13411</v>
      </c>
    </row>
    <row r="2000" spans="1:4" x14ac:dyDescent="0.25">
      <c r="A2000" s="180">
        <f t="shared" si="31"/>
        <v>7700095</v>
      </c>
      <c r="B2000" s="188" t="s">
        <v>2594</v>
      </c>
      <c r="C2000" s="188" t="s">
        <v>2595</v>
      </c>
    </row>
    <row r="2001" spans="1:4" x14ac:dyDescent="0.25">
      <c r="A2001" s="180">
        <f t="shared" si="31"/>
        <v>7700096</v>
      </c>
      <c r="B2001" s="188" t="s">
        <v>2596</v>
      </c>
      <c r="C2001" s="188" t="s">
        <v>2597</v>
      </c>
      <c r="D2001" t="s">
        <v>13411</v>
      </c>
    </row>
    <row r="2002" spans="1:4" x14ac:dyDescent="0.25">
      <c r="A2002" s="180">
        <f t="shared" si="31"/>
        <v>7700100</v>
      </c>
      <c r="B2002" s="188" t="s">
        <v>2598</v>
      </c>
      <c r="C2002" s="188" t="s">
        <v>2599</v>
      </c>
      <c r="D2002" t="s">
        <v>13411</v>
      </c>
    </row>
    <row r="2003" spans="1:4" x14ac:dyDescent="0.25">
      <c r="A2003" s="180">
        <f t="shared" si="31"/>
        <v>7700101</v>
      </c>
      <c r="B2003" s="188" t="s">
        <v>2600</v>
      </c>
      <c r="C2003" s="188" t="s">
        <v>2601</v>
      </c>
      <c r="D2003" t="s">
        <v>13411</v>
      </c>
    </row>
    <row r="2004" spans="1:4" x14ac:dyDescent="0.25">
      <c r="A2004" s="180">
        <f t="shared" si="31"/>
        <v>7700103</v>
      </c>
      <c r="B2004" s="188" t="s">
        <v>2602</v>
      </c>
      <c r="C2004" s="188" t="s">
        <v>2603</v>
      </c>
      <c r="D2004" t="s">
        <v>13411</v>
      </c>
    </row>
    <row r="2005" spans="1:4" x14ac:dyDescent="0.25">
      <c r="A2005" s="180">
        <f t="shared" si="31"/>
        <v>7700104</v>
      </c>
      <c r="B2005" s="188" t="s">
        <v>2604</v>
      </c>
      <c r="C2005" s="188" t="s">
        <v>2605</v>
      </c>
      <c r="D2005" t="s">
        <v>13411</v>
      </c>
    </row>
    <row r="2006" spans="1:4" x14ac:dyDescent="0.25">
      <c r="A2006" s="180">
        <f t="shared" si="31"/>
        <v>7700105</v>
      </c>
      <c r="B2006" s="188" t="s">
        <v>2606</v>
      </c>
      <c r="C2006" s="188" t="s">
        <v>2607</v>
      </c>
      <c r="D2006" t="s">
        <v>13411</v>
      </c>
    </row>
    <row r="2007" spans="1:4" x14ac:dyDescent="0.25">
      <c r="A2007" s="180">
        <f t="shared" si="31"/>
        <v>7700106</v>
      </c>
      <c r="B2007" s="188" t="s">
        <v>2608</v>
      </c>
      <c r="C2007" s="188" t="s">
        <v>2609</v>
      </c>
      <c r="D2007" t="s">
        <v>13411</v>
      </c>
    </row>
    <row r="2008" spans="1:4" x14ac:dyDescent="0.25">
      <c r="A2008" s="180">
        <f t="shared" si="31"/>
        <v>7700107</v>
      </c>
      <c r="B2008" s="188" t="s">
        <v>2610</v>
      </c>
      <c r="C2008" s="188" t="s">
        <v>2611</v>
      </c>
      <c r="D2008" t="s">
        <v>13411</v>
      </c>
    </row>
    <row r="2009" spans="1:4" x14ac:dyDescent="0.25">
      <c r="A2009" s="180">
        <f t="shared" si="31"/>
        <v>7700200</v>
      </c>
      <c r="B2009" s="188" t="s">
        <v>2612</v>
      </c>
      <c r="C2009" s="188" t="s">
        <v>2613</v>
      </c>
      <c r="D2009" t="s">
        <v>13411</v>
      </c>
    </row>
    <row r="2010" spans="1:4" x14ac:dyDescent="0.25">
      <c r="A2010" s="180">
        <f t="shared" si="31"/>
        <v>7700202</v>
      </c>
      <c r="B2010" s="188" t="s">
        <v>2614</v>
      </c>
      <c r="C2010" s="188" t="s">
        <v>2615</v>
      </c>
      <c r="D2010" t="s">
        <v>13411</v>
      </c>
    </row>
    <row r="2011" spans="1:4" x14ac:dyDescent="0.25">
      <c r="A2011" s="180">
        <f t="shared" si="31"/>
        <v>7700203</v>
      </c>
      <c r="B2011" s="188" t="s">
        <v>2616</v>
      </c>
      <c r="C2011" s="188" t="s">
        <v>2617</v>
      </c>
      <c r="D2011" t="s">
        <v>13411</v>
      </c>
    </row>
    <row r="2012" spans="1:4" x14ac:dyDescent="0.25">
      <c r="A2012" s="180">
        <f t="shared" si="31"/>
        <v>7700204</v>
      </c>
      <c r="B2012" s="188" t="s">
        <v>2618</v>
      </c>
      <c r="C2012" s="188" t="s">
        <v>2619</v>
      </c>
      <c r="D2012" t="s">
        <v>13411</v>
      </c>
    </row>
    <row r="2013" spans="1:4" x14ac:dyDescent="0.25">
      <c r="A2013" s="180">
        <f t="shared" si="31"/>
        <v>7700205</v>
      </c>
      <c r="B2013" s="188" t="s">
        <v>2620</v>
      </c>
      <c r="C2013" s="188" t="s">
        <v>2621</v>
      </c>
      <c r="D2013" t="s">
        <v>13411</v>
      </c>
    </row>
    <row r="2014" spans="1:4" x14ac:dyDescent="0.25">
      <c r="A2014" s="180">
        <f t="shared" si="31"/>
        <v>7700206</v>
      </c>
      <c r="B2014" s="188" t="s">
        <v>2622</v>
      </c>
      <c r="C2014" s="188" t="s">
        <v>2623</v>
      </c>
      <c r="D2014" t="s">
        <v>13411</v>
      </c>
    </row>
    <row r="2015" spans="1:4" x14ac:dyDescent="0.25">
      <c r="A2015" s="180">
        <f t="shared" si="31"/>
        <v>7700207</v>
      </c>
      <c r="B2015" s="188" t="s">
        <v>2624</v>
      </c>
      <c r="C2015" s="188" t="s">
        <v>2625</v>
      </c>
      <c r="D2015" t="s">
        <v>13411</v>
      </c>
    </row>
    <row r="2016" spans="1:4" x14ac:dyDescent="0.25">
      <c r="A2016" s="180">
        <f t="shared" si="31"/>
        <v>7700220</v>
      </c>
      <c r="B2016" s="188" t="s">
        <v>2626</v>
      </c>
      <c r="C2016" s="188" t="s">
        <v>2627</v>
      </c>
    </row>
    <row r="2017" spans="1:4" x14ac:dyDescent="0.25">
      <c r="A2017" s="180">
        <f t="shared" si="31"/>
        <v>7700302</v>
      </c>
      <c r="B2017" s="188" t="s">
        <v>2628</v>
      </c>
      <c r="C2017" s="188" t="s">
        <v>2629</v>
      </c>
    </row>
    <row r="2018" spans="1:4" x14ac:dyDescent="0.25">
      <c r="A2018" s="180" t="str">
        <f t="shared" si="31"/>
        <v/>
      </c>
      <c r="B2018" s="188" t="s">
        <v>13065</v>
      </c>
      <c r="C2018" s="188"/>
    </row>
    <row r="2019" spans="1:4" x14ac:dyDescent="0.25">
      <c r="A2019" s="180">
        <f t="shared" si="31"/>
        <v>7700303</v>
      </c>
      <c r="B2019" s="188" t="s">
        <v>2630</v>
      </c>
      <c r="C2019" s="188" t="s">
        <v>2631</v>
      </c>
    </row>
    <row r="2020" spans="1:4" x14ac:dyDescent="0.25">
      <c r="A2020" s="180">
        <f t="shared" si="31"/>
        <v>7700450</v>
      </c>
      <c r="B2020" s="188" t="s">
        <v>2632</v>
      </c>
      <c r="C2020" s="188" t="s">
        <v>2633</v>
      </c>
      <c r="D2020" t="s">
        <v>13411</v>
      </c>
    </row>
    <row r="2021" spans="1:4" x14ac:dyDescent="0.25">
      <c r="A2021" s="180">
        <f t="shared" si="31"/>
        <v>7700451</v>
      </c>
      <c r="B2021" s="188" t="s">
        <v>2634</v>
      </c>
      <c r="C2021" s="188" t="s">
        <v>2635</v>
      </c>
      <c r="D2021" t="s">
        <v>13411</v>
      </c>
    </row>
    <row r="2022" spans="1:4" x14ac:dyDescent="0.25">
      <c r="A2022" s="180">
        <f t="shared" si="31"/>
        <v>7700452</v>
      </c>
      <c r="B2022" s="188" t="s">
        <v>2636</v>
      </c>
      <c r="C2022" s="188" t="s">
        <v>2637</v>
      </c>
      <c r="D2022" t="s">
        <v>13411</v>
      </c>
    </row>
    <row r="2023" spans="1:4" x14ac:dyDescent="0.25">
      <c r="A2023" s="180">
        <f t="shared" si="31"/>
        <v>7700453</v>
      </c>
      <c r="B2023" s="188" t="s">
        <v>2638</v>
      </c>
      <c r="C2023" s="188" t="s">
        <v>2639</v>
      </c>
      <c r="D2023" t="s">
        <v>13411</v>
      </c>
    </row>
    <row r="2024" spans="1:4" x14ac:dyDescent="0.25">
      <c r="A2024" s="180">
        <f t="shared" si="31"/>
        <v>7700454</v>
      </c>
      <c r="B2024" s="188" t="s">
        <v>2640</v>
      </c>
      <c r="C2024" s="188" t="s">
        <v>2641</v>
      </c>
      <c r="D2024" t="s">
        <v>13411</v>
      </c>
    </row>
    <row r="2025" spans="1:4" x14ac:dyDescent="0.25">
      <c r="A2025" s="180">
        <f t="shared" si="31"/>
        <v>7700455</v>
      </c>
      <c r="B2025" s="188" t="s">
        <v>2642</v>
      </c>
      <c r="C2025" s="188" t="s">
        <v>2643</v>
      </c>
      <c r="D2025" t="s">
        <v>13411</v>
      </c>
    </row>
    <row r="2026" spans="1:4" x14ac:dyDescent="0.25">
      <c r="A2026" s="180">
        <f t="shared" si="31"/>
        <v>7700456</v>
      </c>
      <c r="B2026" s="188" t="s">
        <v>2644</v>
      </c>
      <c r="C2026" s="188" t="s">
        <v>2645</v>
      </c>
      <c r="D2026" t="s">
        <v>13411</v>
      </c>
    </row>
    <row r="2027" spans="1:4" x14ac:dyDescent="0.25">
      <c r="A2027" s="180">
        <f t="shared" si="31"/>
        <v>7700459</v>
      </c>
      <c r="B2027" s="188" t="s">
        <v>2646</v>
      </c>
      <c r="C2027" s="188" t="s">
        <v>6931</v>
      </c>
      <c r="D2027" t="s">
        <v>13411</v>
      </c>
    </row>
    <row r="2028" spans="1:4" x14ac:dyDescent="0.25">
      <c r="A2028" s="180">
        <f t="shared" si="31"/>
        <v>7700460</v>
      </c>
      <c r="B2028" s="188" t="s">
        <v>2647</v>
      </c>
      <c r="C2028" s="188" t="s">
        <v>6932</v>
      </c>
      <c r="D2028" t="s">
        <v>13411</v>
      </c>
    </row>
    <row r="2029" spans="1:4" x14ac:dyDescent="0.25">
      <c r="A2029" s="180">
        <f t="shared" si="31"/>
        <v>7700461</v>
      </c>
      <c r="B2029" s="188" t="s">
        <v>2648</v>
      </c>
      <c r="C2029" s="188" t="s">
        <v>2649</v>
      </c>
      <c r="D2029" t="s">
        <v>13411</v>
      </c>
    </row>
    <row r="2030" spans="1:4" x14ac:dyDescent="0.25">
      <c r="A2030" s="180">
        <f t="shared" si="31"/>
        <v>7700462</v>
      </c>
      <c r="B2030" s="188" t="s">
        <v>2650</v>
      </c>
      <c r="C2030" s="188" t="s">
        <v>2651</v>
      </c>
      <c r="D2030" t="s">
        <v>13411</v>
      </c>
    </row>
    <row r="2031" spans="1:4" x14ac:dyDescent="0.25">
      <c r="A2031" s="180">
        <f t="shared" si="31"/>
        <v>7700463</v>
      </c>
      <c r="B2031" s="188" t="s">
        <v>2652</v>
      </c>
      <c r="C2031" s="188" t="s">
        <v>2653</v>
      </c>
      <c r="D2031" t="s">
        <v>13411</v>
      </c>
    </row>
    <row r="2032" spans="1:4" x14ac:dyDescent="0.25">
      <c r="A2032" s="180">
        <f t="shared" si="31"/>
        <v>7700464</v>
      </c>
      <c r="B2032" s="188" t="s">
        <v>2654</v>
      </c>
      <c r="C2032" s="188" t="s">
        <v>2655</v>
      </c>
      <c r="D2032" t="s">
        <v>13411</v>
      </c>
    </row>
    <row r="2033" spans="1:4" x14ac:dyDescent="0.25">
      <c r="A2033" s="180">
        <f t="shared" si="31"/>
        <v>7700465</v>
      </c>
      <c r="B2033" s="188" t="s">
        <v>2656</v>
      </c>
      <c r="C2033" s="188" t="s">
        <v>2657</v>
      </c>
      <c r="D2033" t="s">
        <v>13411</v>
      </c>
    </row>
    <row r="2034" spans="1:4" x14ac:dyDescent="0.25">
      <c r="A2034" s="180">
        <f t="shared" si="31"/>
        <v>7700500</v>
      </c>
      <c r="B2034" s="188" t="s">
        <v>2658</v>
      </c>
      <c r="C2034" s="188" t="s">
        <v>2659</v>
      </c>
    </row>
    <row r="2035" spans="1:4" x14ac:dyDescent="0.25">
      <c r="A2035" s="180">
        <f t="shared" si="31"/>
        <v>7700501</v>
      </c>
      <c r="B2035" s="188" t="s">
        <v>2660</v>
      </c>
      <c r="C2035" s="188" t="s">
        <v>2661</v>
      </c>
      <c r="D2035" t="s">
        <v>13411</v>
      </c>
    </row>
    <row r="2036" spans="1:4" x14ac:dyDescent="0.25">
      <c r="A2036" s="180">
        <f t="shared" si="31"/>
        <v>7700502</v>
      </c>
      <c r="B2036" s="188" t="s">
        <v>2662</v>
      </c>
      <c r="C2036" s="188" t="s">
        <v>2663</v>
      </c>
      <c r="D2036" t="s">
        <v>13411</v>
      </c>
    </row>
    <row r="2037" spans="1:4" x14ac:dyDescent="0.25">
      <c r="A2037" s="180">
        <f t="shared" si="31"/>
        <v>7700503</v>
      </c>
      <c r="B2037" s="188" t="s">
        <v>2664</v>
      </c>
      <c r="C2037" s="188" t="s">
        <v>2665</v>
      </c>
      <c r="D2037" t="s">
        <v>13411</v>
      </c>
    </row>
    <row r="2038" spans="1:4" x14ac:dyDescent="0.25">
      <c r="A2038" s="180">
        <f t="shared" si="31"/>
        <v>7700504</v>
      </c>
      <c r="B2038" s="188" t="s">
        <v>2666</v>
      </c>
      <c r="C2038" s="188" t="s">
        <v>2667</v>
      </c>
      <c r="D2038" t="s">
        <v>13411</v>
      </c>
    </row>
    <row r="2039" spans="1:4" x14ac:dyDescent="0.25">
      <c r="A2039" s="180">
        <f t="shared" si="31"/>
        <v>7700505</v>
      </c>
      <c r="B2039" s="188" t="s">
        <v>2668</v>
      </c>
      <c r="C2039" s="188" t="s">
        <v>2669</v>
      </c>
      <c r="D2039" t="s">
        <v>13411</v>
      </c>
    </row>
    <row r="2040" spans="1:4" x14ac:dyDescent="0.25">
      <c r="A2040" s="180">
        <f t="shared" si="31"/>
        <v>7700506</v>
      </c>
      <c r="B2040" s="188" t="s">
        <v>2670</v>
      </c>
      <c r="C2040" s="188" t="s">
        <v>2671</v>
      </c>
      <c r="D2040" t="s">
        <v>13411</v>
      </c>
    </row>
    <row r="2041" spans="1:4" x14ac:dyDescent="0.25">
      <c r="A2041" s="180">
        <f t="shared" si="31"/>
        <v>7700507</v>
      </c>
      <c r="B2041" s="188" t="s">
        <v>2672</v>
      </c>
      <c r="C2041" s="188" t="s">
        <v>2673</v>
      </c>
      <c r="D2041" t="s">
        <v>13411</v>
      </c>
    </row>
    <row r="2042" spans="1:4" x14ac:dyDescent="0.25">
      <c r="A2042" s="180">
        <f t="shared" si="31"/>
        <v>7700508</v>
      </c>
      <c r="B2042" s="188" t="s">
        <v>2674</v>
      </c>
      <c r="C2042" s="188" t="s">
        <v>2675</v>
      </c>
      <c r="D2042" t="s">
        <v>13411</v>
      </c>
    </row>
    <row r="2043" spans="1:4" x14ac:dyDescent="0.25">
      <c r="A2043" s="180">
        <f t="shared" si="31"/>
        <v>7700509</v>
      </c>
      <c r="B2043" s="188" t="s">
        <v>2676</v>
      </c>
      <c r="C2043" s="188" t="s">
        <v>2677</v>
      </c>
    </row>
    <row r="2044" spans="1:4" x14ac:dyDescent="0.25">
      <c r="A2044" s="180">
        <f t="shared" si="31"/>
        <v>7700510</v>
      </c>
      <c r="B2044" s="188" t="s">
        <v>6933</v>
      </c>
      <c r="C2044" s="188" t="s">
        <v>6934</v>
      </c>
    </row>
    <row r="2045" spans="1:4" x14ac:dyDescent="0.25">
      <c r="A2045" s="180">
        <f t="shared" si="31"/>
        <v>7700511</v>
      </c>
      <c r="B2045" s="188" t="s">
        <v>6935</v>
      </c>
      <c r="C2045" s="188" t="s">
        <v>6936</v>
      </c>
    </row>
    <row r="2046" spans="1:4" x14ac:dyDescent="0.25">
      <c r="A2046" s="180">
        <f t="shared" si="31"/>
        <v>7700512</v>
      </c>
      <c r="B2046" s="188" t="s">
        <v>6937</v>
      </c>
      <c r="C2046" s="188" t="s">
        <v>6938</v>
      </c>
    </row>
    <row r="2047" spans="1:4" x14ac:dyDescent="0.25">
      <c r="A2047" s="180">
        <f t="shared" ref="A2047:A2110" si="32">IFERROR(B2047*1,"")</f>
        <v>7700515</v>
      </c>
      <c r="B2047" s="188" t="s">
        <v>6939</v>
      </c>
      <c r="C2047" s="188" t="s">
        <v>6940</v>
      </c>
    </row>
    <row r="2048" spans="1:4" x14ac:dyDescent="0.25">
      <c r="A2048" s="180">
        <f t="shared" si="32"/>
        <v>7700601</v>
      </c>
      <c r="B2048" s="188" t="s">
        <v>2678</v>
      </c>
      <c r="C2048" s="188" t="s">
        <v>2679</v>
      </c>
    </row>
    <row r="2049" spans="1:4" x14ac:dyDescent="0.25">
      <c r="A2049" s="180">
        <f t="shared" si="32"/>
        <v>7700602</v>
      </c>
      <c r="B2049" s="188" t="s">
        <v>2680</v>
      </c>
      <c r="C2049" s="188" t="s">
        <v>2681</v>
      </c>
    </row>
    <row r="2050" spans="1:4" x14ac:dyDescent="0.25">
      <c r="A2050" s="180">
        <f t="shared" si="32"/>
        <v>7700603</v>
      </c>
      <c r="B2050" s="188" t="s">
        <v>2682</v>
      </c>
      <c r="C2050" s="188" t="s">
        <v>2683</v>
      </c>
    </row>
    <row r="2051" spans="1:4" x14ac:dyDescent="0.25">
      <c r="A2051" s="180">
        <f t="shared" si="32"/>
        <v>7700604</v>
      </c>
      <c r="B2051" s="188" t="s">
        <v>2684</v>
      </c>
      <c r="C2051" s="188" t="s">
        <v>2685</v>
      </c>
    </row>
    <row r="2052" spans="1:4" x14ac:dyDescent="0.25">
      <c r="A2052" s="180">
        <f t="shared" si="32"/>
        <v>7700605</v>
      </c>
      <c r="B2052" s="188" t="s">
        <v>2686</v>
      </c>
      <c r="C2052" s="188" t="s">
        <v>2687</v>
      </c>
    </row>
    <row r="2053" spans="1:4" x14ac:dyDescent="0.25">
      <c r="A2053" s="180">
        <f t="shared" si="32"/>
        <v>7700606</v>
      </c>
      <c r="B2053" s="188" t="s">
        <v>2688</v>
      </c>
      <c r="C2053" s="188" t="s">
        <v>2689</v>
      </c>
    </row>
    <row r="2054" spans="1:4" x14ac:dyDescent="0.25">
      <c r="A2054" s="180">
        <f t="shared" si="32"/>
        <v>7700607</v>
      </c>
      <c r="B2054" s="188" t="s">
        <v>2690</v>
      </c>
      <c r="C2054" s="188" t="s">
        <v>2691</v>
      </c>
      <c r="D2054" t="s">
        <v>13411</v>
      </c>
    </row>
    <row r="2055" spans="1:4" x14ac:dyDescent="0.25">
      <c r="A2055" s="180">
        <f t="shared" si="32"/>
        <v>7700650</v>
      </c>
      <c r="B2055" s="188" t="s">
        <v>2692</v>
      </c>
      <c r="C2055" s="188" t="s">
        <v>2693</v>
      </c>
    </row>
    <row r="2056" spans="1:4" x14ac:dyDescent="0.25">
      <c r="A2056" s="180">
        <f t="shared" si="32"/>
        <v>7700651</v>
      </c>
      <c r="B2056" s="188" t="s">
        <v>2694</v>
      </c>
      <c r="C2056" s="188" t="s">
        <v>2695</v>
      </c>
    </row>
    <row r="2057" spans="1:4" x14ac:dyDescent="0.25">
      <c r="A2057" s="180">
        <f t="shared" si="32"/>
        <v>7700652</v>
      </c>
      <c r="B2057" s="188" t="s">
        <v>2696</v>
      </c>
      <c r="C2057" s="188" t="s">
        <v>2697</v>
      </c>
    </row>
    <row r="2058" spans="1:4" x14ac:dyDescent="0.25">
      <c r="A2058" s="180">
        <f t="shared" si="32"/>
        <v>7700653</v>
      </c>
      <c r="B2058" s="188" t="s">
        <v>2698</v>
      </c>
      <c r="C2058" s="188" t="s">
        <v>2699</v>
      </c>
      <c r="D2058" t="s">
        <v>13411</v>
      </c>
    </row>
    <row r="2059" spans="1:4" x14ac:dyDescent="0.25">
      <c r="A2059" s="180">
        <f t="shared" si="32"/>
        <v>7700654</v>
      </c>
      <c r="B2059" s="188" t="s">
        <v>2700</v>
      </c>
      <c r="C2059" s="188" t="s">
        <v>2701</v>
      </c>
    </row>
    <row r="2060" spans="1:4" x14ac:dyDescent="0.25">
      <c r="A2060" s="180">
        <f t="shared" si="32"/>
        <v>7700655</v>
      </c>
      <c r="B2060" s="188" t="s">
        <v>2702</v>
      </c>
      <c r="C2060" s="188" t="s">
        <v>2703</v>
      </c>
      <c r="D2060" t="s">
        <v>13411</v>
      </c>
    </row>
    <row r="2061" spans="1:4" x14ac:dyDescent="0.25">
      <c r="A2061" s="180">
        <f t="shared" si="32"/>
        <v>7700656</v>
      </c>
      <c r="B2061" s="188" t="s">
        <v>2704</v>
      </c>
      <c r="C2061" s="188" t="s">
        <v>2705</v>
      </c>
      <c r="D2061" t="s">
        <v>13411</v>
      </c>
    </row>
    <row r="2062" spans="1:4" x14ac:dyDescent="0.25">
      <c r="A2062" s="180">
        <f t="shared" si="32"/>
        <v>7700657</v>
      </c>
      <c r="B2062" s="188" t="s">
        <v>2706</v>
      </c>
      <c r="C2062" s="188" t="s">
        <v>2707</v>
      </c>
      <c r="D2062" t="s">
        <v>13411</v>
      </c>
    </row>
    <row r="2063" spans="1:4" x14ac:dyDescent="0.25">
      <c r="A2063" s="180">
        <f t="shared" si="32"/>
        <v>7700658</v>
      </c>
      <c r="B2063" s="188" t="s">
        <v>2708</v>
      </c>
      <c r="C2063" s="188" t="s">
        <v>2709</v>
      </c>
      <c r="D2063" t="s">
        <v>13411</v>
      </c>
    </row>
    <row r="2064" spans="1:4" x14ac:dyDescent="0.25">
      <c r="A2064" s="180">
        <f t="shared" si="32"/>
        <v>7700700</v>
      </c>
      <c r="B2064" s="188" t="s">
        <v>2710</v>
      </c>
      <c r="C2064" s="188" t="s">
        <v>2711</v>
      </c>
      <c r="D2064" t="s">
        <v>13411</v>
      </c>
    </row>
    <row r="2065" spans="1:4" x14ac:dyDescent="0.25">
      <c r="A2065" s="180">
        <f t="shared" si="32"/>
        <v>7700701</v>
      </c>
      <c r="B2065" s="188" t="s">
        <v>2712</v>
      </c>
      <c r="C2065" s="188" t="s">
        <v>2713</v>
      </c>
    </row>
    <row r="2066" spans="1:4" x14ac:dyDescent="0.25">
      <c r="A2066" s="180">
        <f t="shared" si="32"/>
        <v>77007014</v>
      </c>
      <c r="B2066" s="188" t="s">
        <v>2714</v>
      </c>
      <c r="C2066" s="188" t="s">
        <v>2715</v>
      </c>
    </row>
    <row r="2067" spans="1:4" x14ac:dyDescent="0.25">
      <c r="A2067" s="180">
        <f t="shared" si="32"/>
        <v>7700702</v>
      </c>
      <c r="B2067" s="188" t="s">
        <v>12662</v>
      </c>
      <c r="C2067" s="188" t="s">
        <v>12663</v>
      </c>
      <c r="D2067" t="s">
        <v>13411</v>
      </c>
    </row>
    <row r="2068" spans="1:4" x14ac:dyDescent="0.25">
      <c r="A2068" s="180">
        <f t="shared" si="32"/>
        <v>7700703</v>
      </c>
      <c r="B2068" s="188" t="s">
        <v>12664</v>
      </c>
      <c r="C2068" s="188" t="s">
        <v>12665</v>
      </c>
      <c r="D2068" t="s">
        <v>13411</v>
      </c>
    </row>
    <row r="2069" spans="1:4" x14ac:dyDescent="0.25">
      <c r="A2069" s="180">
        <f t="shared" si="32"/>
        <v>7700704</v>
      </c>
      <c r="B2069" s="188" t="s">
        <v>12666</v>
      </c>
      <c r="C2069" s="188" t="s">
        <v>12667</v>
      </c>
    </row>
    <row r="2070" spans="1:4" x14ac:dyDescent="0.25">
      <c r="A2070" s="180">
        <f t="shared" si="32"/>
        <v>7700705</v>
      </c>
      <c r="B2070" s="188" t="s">
        <v>12668</v>
      </c>
      <c r="C2070" s="188" t="s">
        <v>12669</v>
      </c>
    </row>
    <row r="2071" spans="1:4" x14ac:dyDescent="0.25">
      <c r="A2071" s="180">
        <f t="shared" si="32"/>
        <v>7700900</v>
      </c>
      <c r="B2071" s="188" t="s">
        <v>2716</v>
      </c>
      <c r="C2071" s="188" t="s">
        <v>2717</v>
      </c>
      <c r="D2071" t="s">
        <v>13411</v>
      </c>
    </row>
    <row r="2072" spans="1:4" x14ac:dyDescent="0.25">
      <c r="A2072" s="180">
        <f t="shared" si="32"/>
        <v>7700901</v>
      </c>
      <c r="B2072" s="188" t="s">
        <v>2718</v>
      </c>
      <c r="C2072" s="188" t="s">
        <v>2719</v>
      </c>
    </row>
    <row r="2073" spans="1:4" x14ac:dyDescent="0.25">
      <c r="A2073" s="180">
        <f t="shared" si="32"/>
        <v>7700902</v>
      </c>
      <c r="B2073" s="188" t="s">
        <v>2720</v>
      </c>
      <c r="C2073" s="188" t="s">
        <v>2721</v>
      </c>
    </row>
    <row r="2074" spans="1:4" x14ac:dyDescent="0.25">
      <c r="A2074" s="180">
        <f t="shared" si="32"/>
        <v>7700903</v>
      </c>
      <c r="B2074" s="188" t="s">
        <v>2722</v>
      </c>
      <c r="C2074" s="188" t="s">
        <v>2723</v>
      </c>
    </row>
    <row r="2075" spans="1:4" x14ac:dyDescent="0.25">
      <c r="A2075" s="180">
        <f t="shared" si="32"/>
        <v>7700904</v>
      </c>
      <c r="B2075" s="188" t="s">
        <v>2724</v>
      </c>
      <c r="C2075" s="188" t="s">
        <v>2725</v>
      </c>
    </row>
    <row r="2076" spans="1:4" x14ac:dyDescent="0.25">
      <c r="A2076" s="180">
        <f t="shared" si="32"/>
        <v>7700905</v>
      </c>
      <c r="B2076" s="188" t="s">
        <v>2726</v>
      </c>
      <c r="C2076" s="188" t="s">
        <v>2727</v>
      </c>
    </row>
    <row r="2077" spans="1:4" x14ac:dyDescent="0.25">
      <c r="A2077" s="180">
        <f t="shared" si="32"/>
        <v>7700906</v>
      </c>
      <c r="B2077" s="188" t="s">
        <v>2728</v>
      </c>
      <c r="C2077" s="188" t="s">
        <v>2729</v>
      </c>
    </row>
    <row r="2078" spans="1:4" x14ac:dyDescent="0.25">
      <c r="A2078" s="180">
        <f t="shared" si="32"/>
        <v>7701004</v>
      </c>
      <c r="B2078" s="188" t="s">
        <v>2730</v>
      </c>
      <c r="C2078" s="188" t="s">
        <v>2731</v>
      </c>
      <c r="D2078" t="s">
        <v>13411</v>
      </c>
    </row>
    <row r="2079" spans="1:4" x14ac:dyDescent="0.25">
      <c r="A2079" s="180">
        <f t="shared" si="32"/>
        <v>7701005</v>
      </c>
      <c r="B2079" s="188" t="s">
        <v>2732</v>
      </c>
      <c r="C2079" s="188" t="s">
        <v>2733</v>
      </c>
      <c r="D2079" t="s">
        <v>13411</v>
      </c>
    </row>
    <row r="2080" spans="1:4" x14ac:dyDescent="0.25">
      <c r="A2080" s="180">
        <f t="shared" si="32"/>
        <v>7701006</v>
      </c>
      <c r="B2080" s="188" t="s">
        <v>2734</v>
      </c>
      <c r="C2080" s="188" t="s">
        <v>2735</v>
      </c>
    </row>
    <row r="2081" spans="1:4" x14ac:dyDescent="0.25">
      <c r="A2081" s="180">
        <f t="shared" si="32"/>
        <v>7701093</v>
      </c>
      <c r="B2081" s="188" t="s">
        <v>2736</v>
      </c>
      <c r="C2081" s="188" t="s">
        <v>13066</v>
      </c>
      <c r="D2081" t="s">
        <v>13411</v>
      </c>
    </row>
    <row r="2082" spans="1:4" x14ac:dyDescent="0.25">
      <c r="A2082" s="180">
        <f t="shared" si="32"/>
        <v>7701094</v>
      </c>
      <c r="B2082" s="188" t="s">
        <v>2737</v>
      </c>
      <c r="C2082" s="188" t="s">
        <v>13067</v>
      </c>
      <c r="D2082" t="s">
        <v>13411</v>
      </c>
    </row>
    <row r="2083" spans="1:4" x14ac:dyDescent="0.25">
      <c r="A2083" s="180">
        <f t="shared" si="32"/>
        <v>7701095</v>
      </c>
      <c r="B2083" s="188" t="s">
        <v>13068</v>
      </c>
      <c r="C2083" s="188" t="s">
        <v>13069</v>
      </c>
      <c r="D2083" t="s">
        <v>13411</v>
      </c>
    </row>
    <row r="2084" spans="1:4" x14ac:dyDescent="0.25">
      <c r="A2084" s="180">
        <f t="shared" si="32"/>
        <v>7701096</v>
      </c>
      <c r="B2084" s="188" t="s">
        <v>13070</v>
      </c>
      <c r="C2084" s="188" t="s">
        <v>13071</v>
      </c>
      <c r="D2084" t="s">
        <v>13411</v>
      </c>
    </row>
    <row r="2085" spans="1:4" x14ac:dyDescent="0.25">
      <c r="A2085" s="180">
        <f t="shared" si="32"/>
        <v>7701097</v>
      </c>
      <c r="B2085" s="188" t="s">
        <v>13072</v>
      </c>
      <c r="C2085" s="188" t="s">
        <v>13073</v>
      </c>
      <c r="D2085" t="s">
        <v>13411</v>
      </c>
    </row>
    <row r="2086" spans="1:4" x14ac:dyDescent="0.25">
      <c r="A2086" s="180">
        <f t="shared" si="32"/>
        <v>7701098</v>
      </c>
      <c r="B2086" s="188" t="s">
        <v>13074</v>
      </c>
      <c r="C2086" s="188" t="s">
        <v>13075</v>
      </c>
      <c r="D2086" t="s">
        <v>13411</v>
      </c>
    </row>
    <row r="2087" spans="1:4" x14ac:dyDescent="0.25">
      <c r="A2087" s="180">
        <f t="shared" si="32"/>
        <v>7701099</v>
      </c>
      <c r="B2087" s="188" t="s">
        <v>13076</v>
      </c>
      <c r="C2087" s="189" t="s">
        <v>13077</v>
      </c>
      <c r="D2087" t="s">
        <v>13411</v>
      </c>
    </row>
    <row r="2088" spans="1:4" x14ac:dyDescent="0.25">
      <c r="A2088" s="180">
        <f t="shared" si="32"/>
        <v>7701100</v>
      </c>
      <c r="B2088" s="188" t="s">
        <v>2738</v>
      </c>
      <c r="C2088" s="188" t="s">
        <v>13078</v>
      </c>
      <c r="D2088" t="s">
        <v>13411</v>
      </c>
    </row>
    <row r="2089" spans="1:4" x14ac:dyDescent="0.25">
      <c r="A2089" s="180">
        <f t="shared" si="32"/>
        <v>7701101</v>
      </c>
      <c r="B2089" s="188" t="s">
        <v>2739</v>
      </c>
      <c r="C2089" s="188" t="s">
        <v>2740</v>
      </c>
    </row>
    <row r="2090" spans="1:4" x14ac:dyDescent="0.25">
      <c r="A2090" s="180">
        <f t="shared" si="32"/>
        <v>7701102</v>
      </c>
      <c r="B2090" s="188" t="s">
        <v>2741</v>
      </c>
      <c r="C2090" s="188" t="s">
        <v>13079</v>
      </c>
      <c r="D2090" t="s">
        <v>13411</v>
      </c>
    </row>
    <row r="2091" spans="1:4" x14ac:dyDescent="0.25">
      <c r="A2091" s="180">
        <f t="shared" si="32"/>
        <v>7701103</v>
      </c>
      <c r="B2091" s="188" t="s">
        <v>2742</v>
      </c>
      <c r="C2091" s="188" t="s">
        <v>13080</v>
      </c>
      <c r="D2091" t="s">
        <v>13411</v>
      </c>
    </row>
    <row r="2092" spans="1:4" x14ac:dyDescent="0.25">
      <c r="A2092" s="180">
        <f t="shared" si="32"/>
        <v>7701104</v>
      </c>
      <c r="B2092" s="188" t="s">
        <v>2743</v>
      </c>
      <c r="C2092" s="188" t="s">
        <v>13081</v>
      </c>
      <c r="D2092" t="s">
        <v>13411</v>
      </c>
    </row>
    <row r="2093" spans="1:4" x14ac:dyDescent="0.25">
      <c r="A2093" s="180">
        <f t="shared" si="32"/>
        <v>7701105</v>
      </c>
      <c r="B2093" s="188" t="s">
        <v>2744</v>
      </c>
      <c r="C2093" s="188" t="s">
        <v>13082</v>
      </c>
      <c r="D2093" t="s">
        <v>13411</v>
      </c>
    </row>
    <row r="2094" spans="1:4" x14ac:dyDescent="0.25">
      <c r="A2094" s="180">
        <f t="shared" si="32"/>
        <v>7701106</v>
      </c>
      <c r="B2094" s="188" t="s">
        <v>13083</v>
      </c>
      <c r="C2094" s="188" t="s">
        <v>13084</v>
      </c>
      <c r="D2094" t="s">
        <v>13411</v>
      </c>
    </row>
    <row r="2095" spans="1:4" x14ac:dyDescent="0.25">
      <c r="A2095" s="180">
        <f t="shared" si="32"/>
        <v>7701107</v>
      </c>
      <c r="B2095" s="188" t="s">
        <v>13962</v>
      </c>
      <c r="C2095" s="188" t="s">
        <v>13963</v>
      </c>
      <c r="D2095" t="s">
        <v>13411</v>
      </c>
    </row>
    <row r="2096" spans="1:4" x14ac:dyDescent="0.25">
      <c r="A2096" s="180">
        <f t="shared" si="32"/>
        <v>7701136</v>
      </c>
      <c r="B2096" s="188" t="s">
        <v>2745</v>
      </c>
      <c r="C2096" s="188" t="s">
        <v>2746</v>
      </c>
      <c r="D2096" t="s">
        <v>13411</v>
      </c>
    </row>
    <row r="2097" spans="1:4" x14ac:dyDescent="0.25">
      <c r="A2097" s="180">
        <f t="shared" si="32"/>
        <v>7701137</v>
      </c>
      <c r="B2097" s="188" t="s">
        <v>2747</v>
      </c>
      <c r="C2097" s="188" t="s">
        <v>2748</v>
      </c>
      <c r="D2097" t="s">
        <v>13411</v>
      </c>
    </row>
    <row r="2098" spans="1:4" x14ac:dyDescent="0.25">
      <c r="A2098" s="180">
        <f t="shared" si="32"/>
        <v>7701200</v>
      </c>
      <c r="B2098" s="188" t="s">
        <v>2749</v>
      </c>
      <c r="C2098" s="188" t="s">
        <v>2750</v>
      </c>
    </row>
    <row r="2099" spans="1:4" x14ac:dyDescent="0.25">
      <c r="A2099" s="180">
        <f t="shared" si="32"/>
        <v>7701201</v>
      </c>
      <c r="B2099" s="188" t="s">
        <v>2751</v>
      </c>
      <c r="C2099" s="188" t="s">
        <v>2752</v>
      </c>
    </row>
    <row r="2100" spans="1:4" x14ac:dyDescent="0.25">
      <c r="A2100" s="180">
        <f t="shared" si="32"/>
        <v>7701202</v>
      </c>
      <c r="B2100" s="188" t="s">
        <v>2753</v>
      </c>
      <c r="C2100" s="188" t="s">
        <v>2754</v>
      </c>
    </row>
    <row r="2101" spans="1:4" x14ac:dyDescent="0.25">
      <c r="A2101" s="180">
        <f t="shared" si="32"/>
        <v>7701203</v>
      </c>
      <c r="B2101" s="188" t="s">
        <v>2755</v>
      </c>
      <c r="C2101" s="188" t="s">
        <v>2756</v>
      </c>
    </row>
    <row r="2102" spans="1:4" x14ac:dyDescent="0.25">
      <c r="A2102" s="180">
        <f t="shared" si="32"/>
        <v>7701394</v>
      </c>
      <c r="B2102" s="188" t="s">
        <v>2757</v>
      </c>
      <c r="C2102" s="188" t="s">
        <v>2758</v>
      </c>
    </row>
    <row r="2103" spans="1:4" x14ac:dyDescent="0.25">
      <c r="A2103" s="180">
        <f t="shared" si="32"/>
        <v>7701397</v>
      </c>
      <c r="B2103" s="188" t="s">
        <v>2759</v>
      </c>
      <c r="C2103" s="188" t="s">
        <v>2760</v>
      </c>
    </row>
    <row r="2104" spans="1:4" x14ac:dyDescent="0.25">
      <c r="A2104" s="180">
        <f t="shared" si="32"/>
        <v>7701655</v>
      </c>
      <c r="B2104" s="188" t="s">
        <v>2761</v>
      </c>
      <c r="C2104" s="188" t="s">
        <v>2762</v>
      </c>
    </row>
    <row r="2105" spans="1:4" x14ac:dyDescent="0.25">
      <c r="A2105" s="180">
        <f t="shared" si="32"/>
        <v>7703000</v>
      </c>
      <c r="B2105" s="188" t="s">
        <v>12807</v>
      </c>
      <c r="C2105" s="188" t="s">
        <v>12808</v>
      </c>
      <c r="D2105" t="s">
        <v>13411</v>
      </c>
    </row>
    <row r="2106" spans="1:4" x14ac:dyDescent="0.25">
      <c r="A2106" s="180">
        <f t="shared" si="32"/>
        <v>7703001</v>
      </c>
      <c r="B2106" s="188" t="s">
        <v>2763</v>
      </c>
      <c r="C2106" s="188" t="s">
        <v>2764</v>
      </c>
      <c r="D2106" t="s">
        <v>13411</v>
      </c>
    </row>
    <row r="2107" spans="1:4" x14ac:dyDescent="0.25">
      <c r="A2107" s="180">
        <f t="shared" si="32"/>
        <v>7703002</v>
      </c>
      <c r="B2107" s="188" t="s">
        <v>2765</v>
      </c>
      <c r="C2107" s="188" t="s">
        <v>2766</v>
      </c>
      <c r="D2107" t="s">
        <v>13411</v>
      </c>
    </row>
    <row r="2108" spans="1:4" x14ac:dyDescent="0.25">
      <c r="A2108" s="180">
        <f t="shared" si="32"/>
        <v>7703003</v>
      </c>
      <c r="B2108" s="188" t="s">
        <v>2767</v>
      </c>
      <c r="C2108" s="188" t="s">
        <v>2768</v>
      </c>
    </row>
    <row r="2109" spans="1:4" x14ac:dyDescent="0.25">
      <c r="A2109" s="180">
        <f t="shared" si="32"/>
        <v>7703004</v>
      </c>
      <c r="B2109" s="188" t="s">
        <v>2769</v>
      </c>
      <c r="C2109" s="188" t="s">
        <v>2770</v>
      </c>
    </row>
    <row r="2110" spans="1:4" x14ac:dyDescent="0.25">
      <c r="A2110" s="180">
        <f t="shared" si="32"/>
        <v>7703005</v>
      </c>
      <c r="B2110" s="188" t="s">
        <v>2771</v>
      </c>
      <c r="C2110" s="188" t="s">
        <v>2772</v>
      </c>
      <c r="D2110" t="s">
        <v>13411</v>
      </c>
    </row>
    <row r="2111" spans="1:4" x14ac:dyDescent="0.25">
      <c r="A2111" s="180">
        <f t="shared" ref="A2111:A2174" si="33">IFERROR(B2111*1,"")</f>
        <v>7703006</v>
      </c>
      <c r="B2111" s="188" t="s">
        <v>13465</v>
      </c>
      <c r="C2111" s="188" t="s">
        <v>13466</v>
      </c>
    </row>
    <row r="2112" spans="1:4" x14ac:dyDescent="0.25">
      <c r="A2112" s="180">
        <f t="shared" si="33"/>
        <v>7703010</v>
      </c>
      <c r="B2112" s="188" t="s">
        <v>13298</v>
      </c>
      <c r="C2112" s="188" t="s">
        <v>13299</v>
      </c>
      <c r="D2112" t="s">
        <v>13411</v>
      </c>
    </row>
    <row r="2113" spans="1:4" x14ac:dyDescent="0.25">
      <c r="A2113" s="180">
        <f t="shared" si="33"/>
        <v>7703019</v>
      </c>
      <c r="B2113" s="188" t="s">
        <v>2773</v>
      </c>
      <c r="C2113" s="188" t="s">
        <v>2774</v>
      </c>
      <c r="D2113" t="s">
        <v>13411</v>
      </c>
    </row>
    <row r="2114" spans="1:4" x14ac:dyDescent="0.25">
      <c r="A2114" s="180">
        <f t="shared" si="33"/>
        <v>7703020</v>
      </c>
      <c r="B2114" s="188" t="s">
        <v>2775</v>
      </c>
      <c r="C2114" s="188" t="s">
        <v>2776</v>
      </c>
      <c r="D2114" t="s">
        <v>13411</v>
      </c>
    </row>
    <row r="2115" spans="1:4" x14ac:dyDescent="0.25">
      <c r="A2115" s="180">
        <f t="shared" si="33"/>
        <v>7703021</v>
      </c>
      <c r="B2115" s="188" t="s">
        <v>2777</v>
      </c>
      <c r="C2115" s="188" t="s">
        <v>2778</v>
      </c>
      <c r="D2115" t="s">
        <v>13411</v>
      </c>
    </row>
    <row r="2116" spans="1:4" x14ac:dyDescent="0.25">
      <c r="A2116" s="180">
        <f t="shared" si="33"/>
        <v>7703022</v>
      </c>
      <c r="B2116" s="188" t="s">
        <v>2779</v>
      </c>
      <c r="C2116" s="188" t="s">
        <v>2780</v>
      </c>
      <c r="D2116" t="s">
        <v>13411</v>
      </c>
    </row>
    <row r="2117" spans="1:4" x14ac:dyDescent="0.25">
      <c r="A2117" s="180">
        <f t="shared" si="33"/>
        <v>7703023</v>
      </c>
      <c r="B2117" s="188" t="s">
        <v>2781</v>
      </c>
      <c r="C2117" s="188" t="s">
        <v>2782</v>
      </c>
      <c r="D2117" t="s">
        <v>13411</v>
      </c>
    </row>
    <row r="2118" spans="1:4" x14ac:dyDescent="0.25">
      <c r="A2118" s="180">
        <f t="shared" si="33"/>
        <v>7703024</v>
      </c>
      <c r="B2118" s="188" t="s">
        <v>2783</v>
      </c>
      <c r="C2118" s="188" t="s">
        <v>2784</v>
      </c>
      <c r="D2118" t="s">
        <v>13411</v>
      </c>
    </row>
    <row r="2119" spans="1:4" x14ac:dyDescent="0.25">
      <c r="A2119" s="180">
        <f t="shared" si="33"/>
        <v>7703025</v>
      </c>
      <c r="B2119" s="188" t="s">
        <v>2785</v>
      </c>
      <c r="C2119" s="188" t="s">
        <v>2786</v>
      </c>
    </row>
    <row r="2120" spans="1:4" x14ac:dyDescent="0.25">
      <c r="A2120" s="180">
        <f t="shared" si="33"/>
        <v>7703026</v>
      </c>
      <c r="B2120" s="188" t="s">
        <v>2787</v>
      </c>
      <c r="C2120" s="188" t="s">
        <v>2788</v>
      </c>
    </row>
    <row r="2121" spans="1:4" x14ac:dyDescent="0.25">
      <c r="A2121" s="180">
        <f t="shared" si="33"/>
        <v>7703029</v>
      </c>
      <c r="B2121" s="188" t="s">
        <v>2789</v>
      </c>
      <c r="C2121" s="188" t="s">
        <v>2790</v>
      </c>
    </row>
    <row r="2122" spans="1:4" x14ac:dyDescent="0.25">
      <c r="A2122" s="180">
        <f t="shared" si="33"/>
        <v>7703030</v>
      </c>
      <c r="B2122" s="188" t="s">
        <v>2791</v>
      </c>
      <c r="C2122" s="188" t="s">
        <v>2792</v>
      </c>
      <c r="D2122" t="s">
        <v>13411</v>
      </c>
    </row>
    <row r="2123" spans="1:4" x14ac:dyDescent="0.25">
      <c r="A2123" s="180">
        <f t="shared" si="33"/>
        <v>7703031</v>
      </c>
      <c r="B2123" s="188" t="s">
        <v>2793</v>
      </c>
      <c r="C2123" s="188" t="s">
        <v>2794</v>
      </c>
      <c r="D2123" t="s">
        <v>13411</v>
      </c>
    </row>
    <row r="2124" spans="1:4" x14ac:dyDescent="0.25">
      <c r="A2124" s="180">
        <f t="shared" si="33"/>
        <v>7703033</v>
      </c>
      <c r="B2124" s="188" t="s">
        <v>2795</v>
      </c>
      <c r="C2124" s="188" t="s">
        <v>2796</v>
      </c>
    </row>
    <row r="2125" spans="1:4" x14ac:dyDescent="0.25">
      <c r="A2125" s="180">
        <f t="shared" si="33"/>
        <v>7703035</v>
      </c>
      <c r="B2125" s="188" t="s">
        <v>2797</v>
      </c>
      <c r="C2125" s="188" t="s">
        <v>2798</v>
      </c>
    </row>
    <row r="2126" spans="1:4" x14ac:dyDescent="0.25">
      <c r="A2126" s="180">
        <f t="shared" si="33"/>
        <v>7703036</v>
      </c>
      <c r="B2126" s="188" t="s">
        <v>2799</v>
      </c>
      <c r="C2126" s="188" t="s">
        <v>2800</v>
      </c>
      <c r="D2126" t="s">
        <v>13411</v>
      </c>
    </row>
    <row r="2127" spans="1:4" x14ac:dyDescent="0.25">
      <c r="A2127" s="180">
        <f t="shared" si="33"/>
        <v>7703037</v>
      </c>
      <c r="B2127" s="188" t="s">
        <v>2801</v>
      </c>
      <c r="C2127" s="188" t="s">
        <v>2802</v>
      </c>
      <c r="D2127" t="s">
        <v>13411</v>
      </c>
    </row>
    <row r="2128" spans="1:4" x14ac:dyDescent="0.25">
      <c r="A2128" s="180">
        <f t="shared" si="33"/>
        <v>7703038</v>
      </c>
      <c r="B2128" s="188" t="s">
        <v>2803</v>
      </c>
      <c r="C2128" s="188" t="s">
        <v>2804</v>
      </c>
      <c r="D2128" t="s">
        <v>13411</v>
      </c>
    </row>
    <row r="2129" spans="1:4" x14ac:dyDescent="0.25">
      <c r="A2129" s="180">
        <f t="shared" si="33"/>
        <v>7703039</v>
      </c>
      <c r="B2129" s="188" t="s">
        <v>2805</v>
      </c>
      <c r="C2129" s="188" t="s">
        <v>2806</v>
      </c>
      <c r="D2129" t="s">
        <v>13411</v>
      </c>
    </row>
    <row r="2130" spans="1:4" x14ac:dyDescent="0.25">
      <c r="A2130" s="180">
        <f t="shared" si="33"/>
        <v>7703047</v>
      </c>
      <c r="B2130" s="188" t="s">
        <v>2807</v>
      </c>
      <c r="C2130" s="188" t="s">
        <v>2808</v>
      </c>
      <c r="D2130" t="s">
        <v>13411</v>
      </c>
    </row>
    <row r="2131" spans="1:4" x14ac:dyDescent="0.25">
      <c r="A2131" s="180">
        <f t="shared" si="33"/>
        <v>7703050</v>
      </c>
      <c r="B2131" s="188" t="s">
        <v>2809</v>
      </c>
      <c r="C2131" s="188" t="s">
        <v>13889</v>
      </c>
      <c r="D2131" t="s">
        <v>13411</v>
      </c>
    </row>
    <row r="2132" spans="1:4" x14ac:dyDescent="0.25">
      <c r="A2132" s="180">
        <f t="shared" si="33"/>
        <v>7703051</v>
      </c>
      <c r="B2132" s="188" t="s">
        <v>2810</v>
      </c>
      <c r="C2132" s="188" t="s">
        <v>13890</v>
      </c>
      <c r="D2132" t="s">
        <v>13411</v>
      </c>
    </row>
    <row r="2133" spans="1:4" x14ac:dyDescent="0.25">
      <c r="A2133" s="180">
        <f t="shared" si="33"/>
        <v>7703052</v>
      </c>
      <c r="B2133" s="188" t="s">
        <v>2811</v>
      </c>
      <c r="C2133" s="188" t="s">
        <v>13891</v>
      </c>
      <c r="D2133" t="s">
        <v>13411</v>
      </c>
    </row>
    <row r="2134" spans="1:4" x14ac:dyDescent="0.25">
      <c r="A2134" s="180">
        <f t="shared" si="33"/>
        <v>7703053</v>
      </c>
      <c r="B2134" s="188" t="s">
        <v>2812</v>
      </c>
      <c r="C2134" s="188" t="s">
        <v>13892</v>
      </c>
      <c r="D2134" t="s">
        <v>13411</v>
      </c>
    </row>
    <row r="2135" spans="1:4" x14ac:dyDescent="0.25">
      <c r="A2135" s="180">
        <f t="shared" si="33"/>
        <v>7703054</v>
      </c>
      <c r="B2135" s="188" t="s">
        <v>2813</v>
      </c>
      <c r="C2135" s="188" t="s">
        <v>14498</v>
      </c>
      <c r="D2135" t="s">
        <v>13411</v>
      </c>
    </row>
    <row r="2136" spans="1:4" x14ac:dyDescent="0.25">
      <c r="A2136" s="180">
        <f t="shared" si="33"/>
        <v>7703056</v>
      </c>
      <c r="B2136" s="188" t="s">
        <v>2814</v>
      </c>
      <c r="C2136" s="188" t="s">
        <v>13893</v>
      </c>
      <c r="D2136" t="s">
        <v>13411</v>
      </c>
    </row>
    <row r="2137" spans="1:4" x14ac:dyDescent="0.25">
      <c r="A2137" s="180">
        <f t="shared" si="33"/>
        <v>7703057</v>
      </c>
      <c r="B2137" s="188" t="s">
        <v>2815</v>
      </c>
      <c r="C2137" s="188" t="s">
        <v>13894</v>
      </c>
      <c r="D2137" t="s">
        <v>13411</v>
      </c>
    </row>
    <row r="2138" spans="1:4" x14ac:dyDescent="0.25">
      <c r="A2138" s="180">
        <f t="shared" si="33"/>
        <v>7703060</v>
      </c>
      <c r="B2138" s="188" t="s">
        <v>2816</v>
      </c>
      <c r="C2138" s="188" t="s">
        <v>2817</v>
      </c>
      <c r="D2138" t="s">
        <v>13411</v>
      </c>
    </row>
    <row r="2139" spans="1:4" x14ac:dyDescent="0.25">
      <c r="A2139" s="180">
        <f t="shared" si="33"/>
        <v>7703061</v>
      </c>
      <c r="B2139" s="188" t="s">
        <v>2818</v>
      </c>
      <c r="C2139" s="188" t="s">
        <v>2819</v>
      </c>
      <c r="D2139" t="s">
        <v>13411</v>
      </c>
    </row>
    <row r="2140" spans="1:4" x14ac:dyDescent="0.25">
      <c r="A2140" s="180">
        <f t="shared" si="33"/>
        <v>7703062</v>
      </c>
      <c r="B2140" s="188" t="s">
        <v>2820</v>
      </c>
      <c r="C2140" s="188" t="s">
        <v>6941</v>
      </c>
      <c r="D2140" t="s">
        <v>13411</v>
      </c>
    </row>
    <row r="2141" spans="1:4" x14ac:dyDescent="0.25">
      <c r="A2141" s="180">
        <f t="shared" si="33"/>
        <v>7703065</v>
      </c>
      <c r="B2141" s="188" t="s">
        <v>2821</v>
      </c>
      <c r="C2141" s="188" t="s">
        <v>2822</v>
      </c>
      <c r="D2141" t="s">
        <v>13411</v>
      </c>
    </row>
    <row r="2142" spans="1:4" x14ac:dyDescent="0.25">
      <c r="A2142" s="180">
        <f t="shared" si="33"/>
        <v>7703066</v>
      </c>
      <c r="B2142" s="188" t="s">
        <v>2823</v>
      </c>
      <c r="C2142" s="188" t="s">
        <v>2824</v>
      </c>
      <c r="D2142" t="s">
        <v>13411</v>
      </c>
    </row>
    <row r="2143" spans="1:4" x14ac:dyDescent="0.25">
      <c r="A2143" s="180">
        <f t="shared" si="33"/>
        <v>7703067</v>
      </c>
      <c r="B2143" s="188" t="s">
        <v>2825</v>
      </c>
      <c r="C2143" s="188" t="s">
        <v>2826</v>
      </c>
      <c r="D2143" t="s">
        <v>13411</v>
      </c>
    </row>
    <row r="2144" spans="1:4" x14ac:dyDescent="0.25">
      <c r="A2144" s="180">
        <f t="shared" si="33"/>
        <v>7703070</v>
      </c>
      <c r="B2144" s="188" t="s">
        <v>2827</v>
      </c>
      <c r="C2144" s="188" t="s">
        <v>2828</v>
      </c>
      <c r="D2144" t="s">
        <v>13411</v>
      </c>
    </row>
    <row r="2145" spans="1:4" x14ac:dyDescent="0.25">
      <c r="A2145" s="180">
        <f t="shared" si="33"/>
        <v>7703071</v>
      </c>
      <c r="B2145" s="188" t="s">
        <v>2829</v>
      </c>
      <c r="C2145" s="188" t="s">
        <v>2830</v>
      </c>
      <c r="D2145" t="s">
        <v>13411</v>
      </c>
    </row>
    <row r="2146" spans="1:4" x14ac:dyDescent="0.25">
      <c r="A2146" s="180">
        <f t="shared" si="33"/>
        <v>7703072</v>
      </c>
      <c r="B2146" s="188" t="s">
        <v>2831</v>
      </c>
      <c r="C2146" s="188" t="s">
        <v>2832</v>
      </c>
    </row>
    <row r="2147" spans="1:4" x14ac:dyDescent="0.25">
      <c r="A2147" s="180">
        <f t="shared" si="33"/>
        <v>7703073</v>
      </c>
      <c r="B2147" s="188" t="s">
        <v>12809</v>
      </c>
      <c r="C2147" s="188" t="s">
        <v>12810</v>
      </c>
      <c r="D2147" t="s">
        <v>13411</v>
      </c>
    </row>
    <row r="2148" spans="1:4" x14ac:dyDescent="0.25">
      <c r="A2148" s="180">
        <f t="shared" si="33"/>
        <v>7703074</v>
      </c>
      <c r="B2148" s="188" t="s">
        <v>13085</v>
      </c>
      <c r="C2148" s="188" t="s">
        <v>13086</v>
      </c>
      <c r="D2148" t="s">
        <v>13411</v>
      </c>
    </row>
    <row r="2149" spans="1:4" x14ac:dyDescent="0.25">
      <c r="A2149" s="180">
        <f t="shared" si="33"/>
        <v>7703105</v>
      </c>
      <c r="B2149" s="188" t="s">
        <v>2833</v>
      </c>
      <c r="C2149" s="188" t="s">
        <v>2834</v>
      </c>
      <c r="D2149" t="s">
        <v>13411</v>
      </c>
    </row>
    <row r="2150" spans="1:4" x14ac:dyDescent="0.25">
      <c r="A2150" s="180">
        <f t="shared" si="33"/>
        <v>7703106</v>
      </c>
      <c r="B2150" s="188" t="s">
        <v>2835</v>
      </c>
      <c r="C2150" s="188" t="s">
        <v>2836</v>
      </c>
      <c r="D2150" t="s">
        <v>13411</v>
      </c>
    </row>
    <row r="2151" spans="1:4" x14ac:dyDescent="0.25">
      <c r="A2151" s="180">
        <f t="shared" si="33"/>
        <v>7703107</v>
      </c>
      <c r="B2151" s="188" t="s">
        <v>2837</v>
      </c>
      <c r="C2151" s="188" t="s">
        <v>2838</v>
      </c>
      <c r="D2151" t="s">
        <v>13411</v>
      </c>
    </row>
    <row r="2152" spans="1:4" x14ac:dyDescent="0.25">
      <c r="A2152" s="180">
        <f t="shared" si="33"/>
        <v>7703108</v>
      </c>
      <c r="B2152" s="188" t="s">
        <v>2839</v>
      </c>
      <c r="C2152" s="188" t="s">
        <v>2840</v>
      </c>
    </row>
    <row r="2153" spans="1:4" x14ac:dyDescent="0.25">
      <c r="A2153" s="180">
        <f t="shared" si="33"/>
        <v>7703109</v>
      </c>
      <c r="B2153" s="188" t="s">
        <v>2841</v>
      </c>
      <c r="C2153" s="188" t="s">
        <v>2842</v>
      </c>
      <c r="D2153" t="s">
        <v>13411</v>
      </c>
    </row>
    <row r="2154" spans="1:4" x14ac:dyDescent="0.25">
      <c r="A2154" s="180">
        <f t="shared" si="33"/>
        <v>7703110</v>
      </c>
      <c r="B2154" s="188" t="s">
        <v>2843</v>
      </c>
      <c r="C2154" s="188" t="s">
        <v>2844</v>
      </c>
      <c r="D2154" t="s">
        <v>13411</v>
      </c>
    </row>
    <row r="2155" spans="1:4" x14ac:dyDescent="0.25">
      <c r="A2155" s="180">
        <f t="shared" si="33"/>
        <v>7703111</v>
      </c>
      <c r="B2155" s="188" t="s">
        <v>2845</v>
      </c>
      <c r="C2155" s="188" t="s">
        <v>2846</v>
      </c>
      <c r="D2155" t="s">
        <v>13411</v>
      </c>
    </row>
    <row r="2156" spans="1:4" x14ac:dyDescent="0.25">
      <c r="A2156" s="180">
        <f t="shared" si="33"/>
        <v>7703112</v>
      </c>
      <c r="B2156" s="188" t="s">
        <v>2847</v>
      </c>
      <c r="C2156" s="188" t="s">
        <v>2848</v>
      </c>
      <c r="D2156" t="s">
        <v>13411</v>
      </c>
    </row>
    <row r="2157" spans="1:4" x14ac:dyDescent="0.25">
      <c r="A2157" s="180">
        <f t="shared" si="33"/>
        <v>7703113</v>
      </c>
      <c r="B2157" s="188" t="s">
        <v>2849</v>
      </c>
      <c r="C2157" s="188" t="s">
        <v>2850</v>
      </c>
      <c r="D2157" t="s">
        <v>13411</v>
      </c>
    </row>
    <row r="2158" spans="1:4" x14ac:dyDescent="0.25">
      <c r="A2158" s="180">
        <f t="shared" si="33"/>
        <v>7703114</v>
      </c>
      <c r="B2158" s="188" t="s">
        <v>2851</v>
      </c>
      <c r="C2158" s="188" t="s">
        <v>14499</v>
      </c>
      <c r="D2158" t="s">
        <v>13411</v>
      </c>
    </row>
    <row r="2159" spans="1:4" x14ac:dyDescent="0.25">
      <c r="A2159" s="180">
        <f t="shared" si="33"/>
        <v>7703115</v>
      </c>
      <c r="B2159" s="188" t="s">
        <v>2852</v>
      </c>
      <c r="C2159" s="188" t="s">
        <v>2853</v>
      </c>
      <c r="D2159" t="s">
        <v>13411</v>
      </c>
    </row>
    <row r="2160" spans="1:4" x14ac:dyDescent="0.25">
      <c r="A2160" s="180">
        <f t="shared" si="33"/>
        <v>7703116</v>
      </c>
      <c r="B2160" s="188" t="s">
        <v>2854</v>
      </c>
      <c r="C2160" s="188" t="s">
        <v>2855</v>
      </c>
      <c r="D2160" t="s">
        <v>13411</v>
      </c>
    </row>
    <row r="2161" spans="1:4" x14ac:dyDescent="0.25">
      <c r="A2161" s="180">
        <f t="shared" si="33"/>
        <v>7703117</v>
      </c>
      <c r="B2161" s="188" t="s">
        <v>2856</v>
      </c>
      <c r="C2161" s="188" t="s">
        <v>14500</v>
      </c>
      <c r="D2161" t="s">
        <v>13411</v>
      </c>
    </row>
    <row r="2162" spans="1:4" x14ac:dyDescent="0.25">
      <c r="A2162" s="180">
        <f t="shared" si="33"/>
        <v>7703118</v>
      </c>
      <c r="B2162" s="188" t="s">
        <v>2857</v>
      </c>
      <c r="C2162" s="188" t="s">
        <v>14501</v>
      </c>
      <c r="D2162" t="s">
        <v>13411</v>
      </c>
    </row>
    <row r="2163" spans="1:4" x14ac:dyDescent="0.25">
      <c r="A2163" s="180">
        <f t="shared" si="33"/>
        <v>7703119</v>
      </c>
      <c r="B2163" s="188" t="s">
        <v>2858</v>
      </c>
      <c r="C2163" s="188" t="s">
        <v>14502</v>
      </c>
      <c r="D2163" t="s">
        <v>13411</v>
      </c>
    </row>
    <row r="2164" spans="1:4" x14ac:dyDescent="0.25">
      <c r="A2164" s="180">
        <f t="shared" si="33"/>
        <v>7703120</v>
      </c>
      <c r="B2164" s="188" t="s">
        <v>2859</v>
      </c>
      <c r="C2164" s="188" t="s">
        <v>2860</v>
      </c>
      <c r="D2164" t="s">
        <v>13411</v>
      </c>
    </row>
    <row r="2165" spans="1:4" x14ac:dyDescent="0.25">
      <c r="A2165" s="180">
        <f t="shared" si="33"/>
        <v>7703121</v>
      </c>
      <c r="B2165" s="188" t="s">
        <v>2861</v>
      </c>
      <c r="C2165" s="188" t="s">
        <v>2862</v>
      </c>
      <c r="D2165" t="s">
        <v>13411</v>
      </c>
    </row>
    <row r="2166" spans="1:4" x14ac:dyDescent="0.25">
      <c r="A2166" s="180">
        <f t="shared" si="33"/>
        <v>7703125</v>
      </c>
      <c r="B2166" s="188" t="s">
        <v>2863</v>
      </c>
      <c r="C2166" s="188" t="s">
        <v>2864</v>
      </c>
      <c r="D2166" t="s">
        <v>13411</v>
      </c>
    </row>
    <row r="2167" spans="1:4" x14ac:dyDescent="0.25">
      <c r="A2167" s="180">
        <f t="shared" si="33"/>
        <v>7703126</v>
      </c>
      <c r="B2167" s="188" t="s">
        <v>13895</v>
      </c>
      <c r="C2167" s="188" t="s">
        <v>13896</v>
      </c>
      <c r="D2167" t="s">
        <v>13411</v>
      </c>
    </row>
    <row r="2168" spans="1:4" x14ac:dyDescent="0.25">
      <c r="A2168" s="180">
        <f t="shared" si="33"/>
        <v>7703129</v>
      </c>
      <c r="B2168" s="188" t="s">
        <v>2865</v>
      </c>
      <c r="C2168" s="188" t="s">
        <v>2866</v>
      </c>
      <c r="D2168" t="s">
        <v>13411</v>
      </c>
    </row>
    <row r="2169" spans="1:4" x14ac:dyDescent="0.25">
      <c r="A2169" s="180">
        <f t="shared" si="33"/>
        <v>7703130</v>
      </c>
      <c r="B2169" s="188" t="s">
        <v>2867</v>
      </c>
      <c r="C2169" s="188" t="s">
        <v>2868</v>
      </c>
      <c r="D2169" t="s">
        <v>13411</v>
      </c>
    </row>
    <row r="2170" spans="1:4" x14ac:dyDescent="0.25">
      <c r="A2170" s="180">
        <f t="shared" si="33"/>
        <v>7703143</v>
      </c>
      <c r="B2170" s="188" t="s">
        <v>2869</v>
      </c>
      <c r="C2170" s="188" t="s">
        <v>2870</v>
      </c>
      <c r="D2170" t="s">
        <v>13411</v>
      </c>
    </row>
    <row r="2171" spans="1:4" x14ac:dyDescent="0.25">
      <c r="A2171" s="180">
        <f t="shared" si="33"/>
        <v>7703144</v>
      </c>
      <c r="B2171" s="188" t="s">
        <v>13087</v>
      </c>
      <c r="C2171" s="188" t="s">
        <v>13088</v>
      </c>
      <c r="D2171" t="s">
        <v>13411</v>
      </c>
    </row>
    <row r="2172" spans="1:4" x14ac:dyDescent="0.25">
      <c r="A2172" s="180">
        <f t="shared" si="33"/>
        <v>7703157</v>
      </c>
      <c r="B2172" s="188" t="s">
        <v>2871</v>
      </c>
      <c r="C2172" s="188" t="s">
        <v>2872</v>
      </c>
      <c r="D2172" t="s">
        <v>13411</v>
      </c>
    </row>
    <row r="2173" spans="1:4" x14ac:dyDescent="0.25">
      <c r="A2173" s="180">
        <f t="shared" si="33"/>
        <v>7703158</v>
      </c>
      <c r="B2173" s="188" t="s">
        <v>2873</v>
      </c>
      <c r="C2173" s="188" t="s">
        <v>2874</v>
      </c>
      <c r="D2173" t="s">
        <v>13411</v>
      </c>
    </row>
    <row r="2174" spans="1:4" x14ac:dyDescent="0.25">
      <c r="A2174" s="180">
        <f t="shared" si="33"/>
        <v>7703159</v>
      </c>
      <c r="B2174" s="188" t="s">
        <v>2875</v>
      </c>
      <c r="C2174" s="188" t="s">
        <v>2876</v>
      </c>
      <c r="D2174" t="s">
        <v>13411</v>
      </c>
    </row>
    <row r="2175" spans="1:4" x14ac:dyDescent="0.25">
      <c r="A2175" s="180">
        <f t="shared" ref="A2175:A2238" si="34">IFERROR(B2175*1,"")</f>
        <v>7703164</v>
      </c>
      <c r="B2175" s="188" t="s">
        <v>2877</v>
      </c>
      <c r="C2175" s="188" t="s">
        <v>2878</v>
      </c>
      <c r="D2175" t="s">
        <v>13411</v>
      </c>
    </row>
    <row r="2176" spans="1:4" x14ac:dyDescent="0.25">
      <c r="A2176" s="180">
        <f t="shared" si="34"/>
        <v>7703185</v>
      </c>
      <c r="B2176" s="188" t="s">
        <v>2879</v>
      </c>
      <c r="C2176" s="188" t="s">
        <v>2880</v>
      </c>
      <c r="D2176" t="s">
        <v>13411</v>
      </c>
    </row>
    <row r="2177" spans="1:4" x14ac:dyDescent="0.25">
      <c r="A2177" s="180">
        <f t="shared" si="34"/>
        <v>7703200</v>
      </c>
      <c r="B2177" s="188" t="s">
        <v>2881</v>
      </c>
      <c r="C2177" s="188" t="s">
        <v>2882</v>
      </c>
    </row>
    <row r="2178" spans="1:4" x14ac:dyDescent="0.25">
      <c r="A2178" s="180">
        <f t="shared" si="34"/>
        <v>7703250</v>
      </c>
      <c r="B2178" s="188" t="s">
        <v>12670</v>
      </c>
      <c r="C2178" s="188" t="s">
        <v>12671</v>
      </c>
      <c r="D2178" t="s">
        <v>13411</v>
      </c>
    </row>
    <row r="2179" spans="1:4" x14ac:dyDescent="0.25">
      <c r="A2179" s="180">
        <f t="shared" si="34"/>
        <v>7703251</v>
      </c>
      <c r="B2179" s="188" t="s">
        <v>12672</v>
      </c>
      <c r="C2179" s="188" t="s">
        <v>12673</v>
      </c>
      <c r="D2179" t="s">
        <v>13411</v>
      </c>
    </row>
    <row r="2180" spans="1:4" x14ac:dyDescent="0.25">
      <c r="A2180" s="180">
        <f t="shared" si="34"/>
        <v>7703252</v>
      </c>
      <c r="B2180" s="188" t="s">
        <v>12674</v>
      </c>
      <c r="C2180" s="188" t="s">
        <v>12675</v>
      </c>
      <c r="D2180" t="s">
        <v>13411</v>
      </c>
    </row>
    <row r="2181" spans="1:4" x14ac:dyDescent="0.25">
      <c r="A2181" s="180">
        <f t="shared" si="34"/>
        <v>7703253</v>
      </c>
      <c r="B2181" s="188" t="s">
        <v>12676</v>
      </c>
      <c r="C2181" s="188" t="s">
        <v>12677</v>
      </c>
      <c r="D2181" t="s">
        <v>13411</v>
      </c>
    </row>
    <row r="2182" spans="1:4" x14ac:dyDescent="0.25">
      <c r="A2182" s="180">
        <f t="shared" si="34"/>
        <v>7703254</v>
      </c>
      <c r="B2182" s="188" t="s">
        <v>12678</v>
      </c>
      <c r="C2182" s="188" t="s">
        <v>12679</v>
      </c>
      <c r="D2182" t="s">
        <v>13411</v>
      </c>
    </row>
    <row r="2183" spans="1:4" x14ac:dyDescent="0.25">
      <c r="A2183" s="180">
        <f t="shared" si="34"/>
        <v>7703255</v>
      </c>
      <c r="B2183" s="188" t="s">
        <v>12680</v>
      </c>
      <c r="C2183" s="188" t="s">
        <v>12681</v>
      </c>
    </row>
    <row r="2184" spans="1:4" x14ac:dyDescent="0.25">
      <c r="A2184" s="180">
        <f t="shared" si="34"/>
        <v>7703256</v>
      </c>
      <c r="B2184" s="188" t="s">
        <v>12682</v>
      </c>
      <c r="C2184" s="188" t="s">
        <v>12683</v>
      </c>
    </row>
    <row r="2185" spans="1:4" x14ac:dyDescent="0.25">
      <c r="A2185" s="180">
        <f t="shared" si="34"/>
        <v>7703260</v>
      </c>
      <c r="B2185" s="188" t="s">
        <v>2883</v>
      </c>
      <c r="C2185" s="188" t="s">
        <v>2884</v>
      </c>
      <c r="D2185" t="s">
        <v>13411</v>
      </c>
    </row>
    <row r="2186" spans="1:4" x14ac:dyDescent="0.25">
      <c r="A2186" s="180">
        <f t="shared" si="34"/>
        <v>7703300</v>
      </c>
      <c r="B2186" s="188" t="s">
        <v>15064</v>
      </c>
      <c r="C2186" s="188" t="s">
        <v>15065</v>
      </c>
      <c r="D2186" t="s">
        <v>13411</v>
      </c>
    </row>
    <row r="2187" spans="1:4" x14ac:dyDescent="0.25">
      <c r="A2187" s="180">
        <f t="shared" si="34"/>
        <v>7703301</v>
      </c>
      <c r="B2187" s="188" t="s">
        <v>15066</v>
      </c>
      <c r="C2187" s="188" t="s">
        <v>15067</v>
      </c>
      <c r="D2187" t="s">
        <v>13411</v>
      </c>
    </row>
    <row r="2188" spans="1:4" x14ac:dyDescent="0.25">
      <c r="A2188" s="180">
        <f t="shared" si="34"/>
        <v>7703302</v>
      </c>
      <c r="B2188" s="188" t="s">
        <v>15068</v>
      </c>
      <c r="C2188" s="188" t="s">
        <v>15069</v>
      </c>
      <c r="D2188" t="s">
        <v>13411</v>
      </c>
    </row>
    <row r="2189" spans="1:4" x14ac:dyDescent="0.25">
      <c r="A2189" s="180">
        <f t="shared" si="34"/>
        <v>7703340</v>
      </c>
      <c r="B2189" s="188" t="s">
        <v>2885</v>
      </c>
      <c r="C2189" s="188" t="s">
        <v>2886</v>
      </c>
      <c r="D2189" t="s">
        <v>13411</v>
      </c>
    </row>
    <row r="2190" spans="1:4" x14ac:dyDescent="0.25">
      <c r="A2190" s="180">
        <f t="shared" si="34"/>
        <v>7703341</v>
      </c>
      <c r="B2190" s="188" t="s">
        <v>2887</v>
      </c>
      <c r="C2190" s="188" t="s">
        <v>2888</v>
      </c>
      <c r="D2190" t="s">
        <v>13411</v>
      </c>
    </row>
    <row r="2191" spans="1:4" x14ac:dyDescent="0.25">
      <c r="A2191" s="180">
        <f t="shared" si="34"/>
        <v>7703420</v>
      </c>
      <c r="B2191" s="188" t="s">
        <v>2889</v>
      </c>
      <c r="C2191" s="188" t="s">
        <v>2890</v>
      </c>
      <c r="D2191" t="s">
        <v>13411</v>
      </c>
    </row>
    <row r="2192" spans="1:4" x14ac:dyDescent="0.25">
      <c r="A2192" s="180">
        <f t="shared" si="34"/>
        <v>7703540</v>
      </c>
      <c r="B2192" s="188" t="s">
        <v>2891</v>
      </c>
      <c r="C2192" s="188" t="s">
        <v>2892</v>
      </c>
      <c r="D2192" t="s">
        <v>13411</v>
      </c>
    </row>
    <row r="2193" spans="1:4" x14ac:dyDescent="0.25">
      <c r="A2193" s="180">
        <f t="shared" si="34"/>
        <v>7703599</v>
      </c>
      <c r="B2193" s="188" t="s">
        <v>2893</v>
      </c>
      <c r="C2193" s="188" t="s">
        <v>2894</v>
      </c>
    </row>
    <row r="2194" spans="1:4" x14ac:dyDescent="0.25">
      <c r="A2194" s="180">
        <f t="shared" si="34"/>
        <v>7703600</v>
      </c>
      <c r="B2194" s="188" t="s">
        <v>2895</v>
      </c>
      <c r="C2194" s="188" t="s">
        <v>2896</v>
      </c>
    </row>
    <row r="2195" spans="1:4" x14ac:dyDescent="0.25">
      <c r="A2195" s="180">
        <f t="shared" si="34"/>
        <v>7703601</v>
      </c>
      <c r="B2195" s="188" t="s">
        <v>2897</v>
      </c>
      <c r="C2195" s="188" t="s">
        <v>2898</v>
      </c>
      <c r="D2195" t="s">
        <v>13411</v>
      </c>
    </row>
    <row r="2196" spans="1:4" x14ac:dyDescent="0.25">
      <c r="A2196" s="180">
        <f t="shared" si="34"/>
        <v>7703602</v>
      </c>
      <c r="B2196" s="188" t="s">
        <v>2899</v>
      </c>
      <c r="C2196" s="188" t="s">
        <v>2900</v>
      </c>
      <c r="D2196" t="s">
        <v>13411</v>
      </c>
    </row>
    <row r="2197" spans="1:4" x14ac:dyDescent="0.25">
      <c r="A2197" s="180">
        <f t="shared" si="34"/>
        <v>7703603</v>
      </c>
      <c r="B2197" s="188" t="s">
        <v>2901</v>
      </c>
      <c r="C2197" s="188" t="s">
        <v>2902</v>
      </c>
      <c r="D2197" t="s">
        <v>13411</v>
      </c>
    </row>
    <row r="2198" spans="1:4" x14ac:dyDescent="0.25">
      <c r="A2198" s="180">
        <f t="shared" si="34"/>
        <v>7703604</v>
      </c>
      <c r="B2198" s="188" t="s">
        <v>2903</v>
      </c>
      <c r="C2198" s="188" t="s">
        <v>2904</v>
      </c>
      <c r="D2198" t="s">
        <v>13411</v>
      </c>
    </row>
    <row r="2199" spans="1:4" x14ac:dyDescent="0.25">
      <c r="A2199" s="180">
        <f t="shared" si="34"/>
        <v>7703605</v>
      </c>
      <c r="B2199" s="188" t="s">
        <v>2905</v>
      </c>
      <c r="C2199" s="188" t="s">
        <v>2906</v>
      </c>
      <c r="D2199" t="s">
        <v>13411</v>
      </c>
    </row>
    <row r="2200" spans="1:4" x14ac:dyDescent="0.25">
      <c r="A2200" s="180">
        <f t="shared" si="34"/>
        <v>7703606</v>
      </c>
      <c r="B2200" s="188" t="s">
        <v>2907</v>
      </c>
      <c r="C2200" s="188" t="s">
        <v>2908</v>
      </c>
      <c r="D2200" t="s">
        <v>13411</v>
      </c>
    </row>
    <row r="2201" spans="1:4" x14ac:dyDescent="0.25">
      <c r="A2201" s="180">
        <f t="shared" si="34"/>
        <v>7703607</v>
      </c>
      <c r="B2201" s="188" t="s">
        <v>2909</v>
      </c>
      <c r="C2201" s="188" t="s">
        <v>2910</v>
      </c>
      <c r="D2201" t="s">
        <v>13411</v>
      </c>
    </row>
    <row r="2202" spans="1:4" x14ac:dyDescent="0.25">
      <c r="A2202" s="180">
        <f t="shared" si="34"/>
        <v>7703640</v>
      </c>
      <c r="B2202" s="188" t="s">
        <v>2911</v>
      </c>
      <c r="C2202" s="188" t="s">
        <v>2912</v>
      </c>
    </row>
    <row r="2203" spans="1:4" x14ac:dyDescent="0.25">
      <c r="A2203" s="180">
        <f t="shared" si="34"/>
        <v>7703651</v>
      </c>
      <c r="B2203" s="188" t="s">
        <v>2913</v>
      </c>
      <c r="C2203" s="188" t="s">
        <v>2914</v>
      </c>
    </row>
    <row r="2204" spans="1:4" x14ac:dyDescent="0.25">
      <c r="A2204" s="180">
        <f t="shared" si="34"/>
        <v>7703652</v>
      </c>
      <c r="B2204" s="188" t="s">
        <v>2915</v>
      </c>
      <c r="C2204" s="188" t="s">
        <v>2916</v>
      </c>
    </row>
    <row r="2205" spans="1:4" x14ac:dyDescent="0.25">
      <c r="A2205" s="180">
        <f t="shared" si="34"/>
        <v>7703653</v>
      </c>
      <c r="B2205" s="188" t="s">
        <v>2917</v>
      </c>
      <c r="C2205" s="188" t="s">
        <v>2918</v>
      </c>
    </row>
    <row r="2206" spans="1:4" x14ac:dyDescent="0.25">
      <c r="A2206" s="180">
        <f t="shared" si="34"/>
        <v>7703660</v>
      </c>
      <c r="B2206" s="188" t="s">
        <v>2919</v>
      </c>
      <c r="C2206" s="188" t="s">
        <v>2920</v>
      </c>
      <c r="D2206" t="s">
        <v>13411</v>
      </c>
    </row>
    <row r="2207" spans="1:4" x14ac:dyDescent="0.25">
      <c r="A2207" s="180">
        <f t="shared" si="34"/>
        <v>7703664</v>
      </c>
      <c r="B2207" s="188" t="s">
        <v>2921</v>
      </c>
      <c r="C2207" s="188" t="s">
        <v>2922</v>
      </c>
      <c r="D2207" t="s">
        <v>13411</v>
      </c>
    </row>
    <row r="2208" spans="1:4" x14ac:dyDescent="0.25">
      <c r="A2208" s="180">
        <f t="shared" si="34"/>
        <v>7703665</v>
      </c>
      <c r="B2208" s="188" t="s">
        <v>2923</v>
      </c>
      <c r="C2208" s="188" t="s">
        <v>2924</v>
      </c>
      <c r="D2208" t="s">
        <v>13411</v>
      </c>
    </row>
    <row r="2209" spans="1:4" x14ac:dyDescent="0.25">
      <c r="A2209" s="180">
        <f t="shared" si="34"/>
        <v>7703666</v>
      </c>
      <c r="B2209" s="188" t="s">
        <v>2925</v>
      </c>
      <c r="C2209" s="188" t="s">
        <v>2926</v>
      </c>
      <c r="D2209" t="s">
        <v>13411</v>
      </c>
    </row>
    <row r="2210" spans="1:4" x14ac:dyDescent="0.25">
      <c r="A2210" s="180">
        <f t="shared" si="34"/>
        <v>7703667</v>
      </c>
      <c r="B2210" s="188" t="s">
        <v>2927</v>
      </c>
      <c r="C2210" s="188" t="s">
        <v>2928</v>
      </c>
      <c r="D2210" t="s">
        <v>13411</v>
      </c>
    </row>
    <row r="2211" spans="1:4" x14ac:dyDescent="0.25">
      <c r="A2211" s="180">
        <f t="shared" si="34"/>
        <v>7703668</v>
      </c>
      <c r="B2211" s="188" t="s">
        <v>2929</v>
      </c>
      <c r="C2211" s="188" t="s">
        <v>2930</v>
      </c>
      <c r="D2211" t="s">
        <v>13411</v>
      </c>
    </row>
    <row r="2212" spans="1:4" x14ac:dyDescent="0.25">
      <c r="A2212" s="180">
        <f t="shared" si="34"/>
        <v>7703669</v>
      </c>
      <c r="B2212" s="188" t="s">
        <v>2931</v>
      </c>
      <c r="C2212" s="188" t="s">
        <v>2932</v>
      </c>
      <c r="D2212" t="s">
        <v>13411</v>
      </c>
    </row>
    <row r="2213" spans="1:4" x14ac:dyDescent="0.25">
      <c r="A2213" s="180">
        <f t="shared" si="34"/>
        <v>7703670</v>
      </c>
      <c r="B2213" s="188" t="s">
        <v>2933</v>
      </c>
      <c r="C2213" s="188" t="s">
        <v>2934</v>
      </c>
      <c r="D2213" t="s">
        <v>13411</v>
      </c>
    </row>
    <row r="2214" spans="1:4" x14ac:dyDescent="0.25">
      <c r="A2214" s="180">
        <f t="shared" si="34"/>
        <v>7703671</v>
      </c>
      <c r="B2214" s="188" t="s">
        <v>2935</v>
      </c>
      <c r="C2214" s="188" t="s">
        <v>2936</v>
      </c>
    </row>
    <row r="2215" spans="1:4" x14ac:dyDescent="0.25">
      <c r="A2215" s="180">
        <f t="shared" si="34"/>
        <v>7703672</v>
      </c>
      <c r="B2215" s="188" t="s">
        <v>2937</v>
      </c>
      <c r="C2215" s="188" t="s">
        <v>2938</v>
      </c>
    </row>
    <row r="2216" spans="1:4" x14ac:dyDescent="0.25">
      <c r="A2216" s="180">
        <f t="shared" si="34"/>
        <v>7703673</v>
      </c>
      <c r="B2216" s="188" t="s">
        <v>2939</v>
      </c>
      <c r="C2216" s="188" t="s">
        <v>2940</v>
      </c>
    </row>
    <row r="2217" spans="1:4" x14ac:dyDescent="0.25">
      <c r="A2217" s="180">
        <f t="shared" si="34"/>
        <v>7703674</v>
      </c>
      <c r="B2217" s="188" t="s">
        <v>2941</v>
      </c>
      <c r="C2217" s="188" t="s">
        <v>2942</v>
      </c>
    </row>
    <row r="2218" spans="1:4" x14ac:dyDescent="0.25">
      <c r="A2218" s="180">
        <f t="shared" si="34"/>
        <v>7703675</v>
      </c>
      <c r="B2218" s="188" t="s">
        <v>2943</v>
      </c>
      <c r="C2218" s="188" t="s">
        <v>2944</v>
      </c>
    </row>
    <row r="2219" spans="1:4" x14ac:dyDescent="0.25">
      <c r="A2219" s="180">
        <f t="shared" si="34"/>
        <v>7703676</v>
      </c>
      <c r="B2219" s="188" t="s">
        <v>2945</v>
      </c>
      <c r="C2219" s="188" t="s">
        <v>2946</v>
      </c>
    </row>
    <row r="2220" spans="1:4" x14ac:dyDescent="0.25">
      <c r="A2220" s="180">
        <f t="shared" si="34"/>
        <v>7703677</v>
      </c>
      <c r="B2220" s="188" t="s">
        <v>14268</v>
      </c>
      <c r="C2220" s="188" t="s">
        <v>14269</v>
      </c>
      <c r="D2220" t="s">
        <v>13411</v>
      </c>
    </row>
    <row r="2221" spans="1:4" x14ac:dyDescent="0.25">
      <c r="A2221" s="180">
        <f t="shared" si="34"/>
        <v>7703678</v>
      </c>
      <c r="B2221" s="188" t="s">
        <v>2947</v>
      </c>
      <c r="C2221" s="188" t="s">
        <v>2948</v>
      </c>
    </row>
    <row r="2222" spans="1:4" x14ac:dyDescent="0.25">
      <c r="A2222" s="180">
        <f t="shared" si="34"/>
        <v>7703701</v>
      </c>
      <c r="B2222" s="188" t="s">
        <v>2949</v>
      </c>
      <c r="C2222" s="188" t="s">
        <v>2950</v>
      </c>
      <c r="D2222" t="s">
        <v>13411</v>
      </c>
    </row>
    <row r="2223" spans="1:4" x14ac:dyDescent="0.25">
      <c r="A2223" s="180">
        <f t="shared" si="34"/>
        <v>7703702</v>
      </c>
      <c r="B2223" s="188" t="s">
        <v>2951</v>
      </c>
      <c r="C2223" s="188" t="s">
        <v>2952</v>
      </c>
      <c r="D2223" t="s">
        <v>13411</v>
      </c>
    </row>
    <row r="2224" spans="1:4" x14ac:dyDescent="0.25">
      <c r="A2224" s="180">
        <f t="shared" si="34"/>
        <v>7703703</v>
      </c>
      <c r="B2224" s="188" t="s">
        <v>2953</v>
      </c>
      <c r="C2224" s="188" t="s">
        <v>2954</v>
      </c>
      <c r="D2224" t="s">
        <v>13411</v>
      </c>
    </row>
    <row r="2225" spans="1:4" x14ac:dyDescent="0.25">
      <c r="A2225" s="180">
        <f t="shared" si="34"/>
        <v>7703704</v>
      </c>
      <c r="B2225" s="188" t="s">
        <v>2955</v>
      </c>
      <c r="C2225" s="188" t="s">
        <v>2956</v>
      </c>
      <c r="D2225" t="s">
        <v>13411</v>
      </c>
    </row>
    <row r="2226" spans="1:4" x14ac:dyDescent="0.25">
      <c r="A2226" s="180">
        <f t="shared" si="34"/>
        <v>7703705</v>
      </c>
      <c r="B2226" s="188" t="s">
        <v>2957</v>
      </c>
      <c r="C2226" s="188" t="s">
        <v>2958</v>
      </c>
      <c r="D2226" t="s">
        <v>13411</v>
      </c>
    </row>
    <row r="2227" spans="1:4" x14ac:dyDescent="0.25">
      <c r="A2227" s="180">
        <f t="shared" si="34"/>
        <v>7703706</v>
      </c>
      <c r="B2227" s="188" t="s">
        <v>2959</v>
      </c>
      <c r="C2227" s="188" t="s">
        <v>2960</v>
      </c>
      <c r="D2227" t="s">
        <v>13411</v>
      </c>
    </row>
    <row r="2228" spans="1:4" x14ac:dyDescent="0.25">
      <c r="A2228" s="180">
        <f t="shared" si="34"/>
        <v>7703707</v>
      </c>
      <c r="B2228" s="188" t="s">
        <v>2961</v>
      </c>
      <c r="C2228" s="188" t="s">
        <v>2962</v>
      </c>
      <c r="D2228" t="s">
        <v>13411</v>
      </c>
    </row>
    <row r="2229" spans="1:4" x14ac:dyDescent="0.25">
      <c r="A2229" s="180">
        <f t="shared" si="34"/>
        <v>7703713</v>
      </c>
      <c r="B2229" s="188" t="s">
        <v>2963</v>
      </c>
      <c r="C2229" s="188" t="s">
        <v>2964</v>
      </c>
    </row>
    <row r="2230" spans="1:4" x14ac:dyDescent="0.25">
      <c r="A2230" s="180">
        <f t="shared" si="34"/>
        <v>7703716</v>
      </c>
      <c r="B2230" s="188" t="s">
        <v>2965</v>
      </c>
      <c r="C2230" s="188" t="s">
        <v>2966</v>
      </c>
      <c r="D2230" t="s">
        <v>13411</v>
      </c>
    </row>
    <row r="2231" spans="1:4" x14ac:dyDescent="0.25">
      <c r="A2231" s="180">
        <f t="shared" si="34"/>
        <v>7703777</v>
      </c>
      <c r="B2231" s="188" t="s">
        <v>2967</v>
      </c>
      <c r="C2231" s="188" t="s">
        <v>2968</v>
      </c>
      <c r="D2231" t="s">
        <v>13411</v>
      </c>
    </row>
    <row r="2232" spans="1:4" x14ac:dyDescent="0.25">
      <c r="A2232" s="180">
        <f t="shared" si="34"/>
        <v>7703780</v>
      </c>
      <c r="B2232" s="188" t="s">
        <v>2969</v>
      </c>
      <c r="C2232" s="188" t="s">
        <v>2970</v>
      </c>
      <c r="D2232" t="s">
        <v>13411</v>
      </c>
    </row>
    <row r="2233" spans="1:4" x14ac:dyDescent="0.25">
      <c r="A2233" s="180">
        <f t="shared" si="34"/>
        <v>7703801</v>
      </c>
      <c r="B2233" s="188" t="s">
        <v>14106</v>
      </c>
      <c r="C2233" s="188" t="s">
        <v>14107</v>
      </c>
      <c r="D2233" t="s">
        <v>13411</v>
      </c>
    </row>
    <row r="2234" spans="1:4" x14ac:dyDescent="0.25">
      <c r="A2234" s="180">
        <f t="shared" si="34"/>
        <v>7703802</v>
      </c>
      <c r="B2234" s="188" t="s">
        <v>14108</v>
      </c>
      <c r="C2234" s="188" t="s">
        <v>14109</v>
      </c>
      <c r="D2234" t="s">
        <v>13411</v>
      </c>
    </row>
    <row r="2235" spans="1:4" x14ac:dyDescent="0.25">
      <c r="A2235" s="180">
        <f t="shared" si="34"/>
        <v>7703803</v>
      </c>
      <c r="B2235" s="188" t="s">
        <v>14110</v>
      </c>
      <c r="C2235" s="188" t="s">
        <v>14111</v>
      </c>
      <c r="D2235" t="s">
        <v>13411</v>
      </c>
    </row>
    <row r="2236" spans="1:4" x14ac:dyDescent="0.25">
      <c r="A2236" s="180">
        <f t="shared" si="34"/>
        <v>7703804</v>
      </c>
      <c r="B2236" s="188" t="s">
        <v>14112</v>
      </c>
      <c r="C2236" s="188" t="s">
        <v>14113</v>
      </c>
      <c r="D2236" t="s">
        <v>13411</v>
      </c>
    </row>
    <row r="2237" spans="1:4" x14ac:dyDescent="0.25">
      <c r="A2237" s="180">
        <f t="shared" si="34"/>
        <v>7703805</v>
      </c>
      <c r="B2237" s="188" t="s">
        <v>14114</v>
      </c>
      <c r="C2237" s="188" t="s">
        <v>14115</v>
      </c>
      <c r="D2237" t="s">
        <v>13411</v>
      </c>
    </row>
    <row r="2238" spans="1:4" x14ac:dyDescent="0.25">
      <c r="A2238" s="180">
        <f t="shared" si="34"/>
        <v>7703806</v>
      </c>
      <c r="B2238" s="188" t="s">
        <v>14116</v>
      </c>
      <c r="C2238" s="188" t="s">
        <v>14117</v>
      </c>
      <c r="D2238" t="s">
        <v>13411</v>
      </c>
    </row>
    <row r="2239" spans="1:4" x14ac:dyDescent="0.25">
      <c r="A2239" s="180">
        <f t="shared" ref="A2239:A2302" si="35">IFERROR(B2239*1,"")</f>
        <v>7703807</v>
      </c>
      <c r="B2239" s="188" t="s">
        <v>14118</v>
      </c>
      <c r="C2239" s="188" t="s">
        <v>14119</v>
      </c>
      <c r="D2239" t="s">
        <v>13411</v>
      </c>
    </row>
    <row r="2240" spans="1:4" x14ac:dyDescent="0.25">
      <c r="A2240" s="180">
        <f t="shared" si="35"/>
        <v>7703815</v>
      </c>
      <c r="B2240" s="188" t="s">
        <v>2971</v>
      </c>
      <c r="C2240" s="188" t="s">
        <v>2972</v>
      </c>
      <c r="D2240" t="s">
        <v>13411</v>
      </c>
    </row>
    <row r="2241" spans="1:4" x14ac:dyDescent="0.25">
      <c r="A2241" s="180">
        <f t="shared" si="35"/>
        <v>7703881</v>
      </c>
      <c r="B2241" s="188" t="s">
        <v>2973</v>
      </c>
      <c r="C2241" s="188" t="s">
        <v>2974</v>
      </c>
      <c r="D2241" t="s">
        <v>13411</v>
      </c>
    </row>
    <row r="2242" spans="1:4" x14ac:dyDescent="0.25">
      <c r="A2242" s="180">
        <f t="shared" si="35"/>
        <v>7703888</v>
      </c>
      <c r="B2242" s="188" t="s">
        <v>2975</v>
      </c>
      <c r="C2242" s="188" t="s">
        <v>6942</v>
      </c>
      <c r="D2242" t="s">
        <v>13411</v>
      </c>
    </row>
    <row r="2243" spans="1:4" x14ac:dyDescent="0.25">
      <c r="A2243" s="180">
        <f t="shared" si="35"/>
        <v>7703900</v>
      </c>
      <c r="B2243" s="188" t="s">
        <v>2976</v>
      </c>
      <c r="C2243" s="188" t="s">
        <v>2977</v>
      </c>
      <c r="D2243" t="s">
        <v>13411</v>
      </c>
    </row>
    <row r="2244" spans="1:4" x14ac:dyDescent="0.25">
      <c r="A2244" s="180">
        <f t="shared" si="35"/>
        <v>7703901</v>
      </c>
      <c r="B2244" s="188" t="s">
        <v>2978</v>
      </c>
      <c r="C2244" s="188" t="s">
        <v>2979</v>
      </c>
      <c r="D2244" t="s">
        <v>13411</v>
      </c>
    </row>
    <row r="2245" spans="1:4" x14ac:dyDescent="0.25">
      <c r="A2245" s="180">
        <f t="shared" si="35"/>
        <v>7703902</v>
      </c>
      <c r="B2245" s="188" t="s">
        <v>2980</v>
      </c>
      <c r="C2245" s="188" t="s">
        <v>2981</v>
      </c>
      <c r="D2245" t="s">
        <v>13411</v>
      </c>
    </row>
    <row r="2246" spans="1:4" x14ac:dyDescent="0.25">
      <c r="A2246" s="180">
        <f t="shared" si="35"/>
        <v>7703903</v>
      </c>
      <c r="B2246" s="188" t="s">
        <v>2982</v>
      </c>
      <c r="C2246" s="188" t="s">
        <v>2983</v>
      </c>
      <c r="D2246" t="s">
        <v>13411</v>
      </c>
    </row>
    <row r="2247" spans="1:4" x14ac:dyDescent="0.25">
      <c r="A2247" s="180">
        <f t="shared" si="35"/>
        <v>7703910</v>
      </c>
      <c r="B2247" s="188" t="s">
        <v>2984</v>
      </c>
      <c r="C2247" s="188" t="s">
        <v>2985</v>
      </c>
    </row>
    <row r="2248" spans="1:4" x14ac:dyDescent="0.25">
      <c r="A2248" s="180">
        <f t="shared" si="35"/>
        <v>7703915</v>
      </c>
      <c r="B2248" s="188" t="s">
        <v>2986</v>
      </c>
      <c r="C2248" s="188" t="s">
        <v>2987</v>
      </c>
      <c r="D2248" t="s">
        <v>13411</v>
      </c>
    </row>
    <row r="2249" spans="1:4" x14ac:dyDescent="0.25">
      <c r="A2249" s="180">
        <f t="shared" si="35"/>
        <v>7703916</v>
      </c>
      <c r="B2249" s="188" t="s">
        <v>13089</v>
      </c>
      <c r="C2249" s="189" t="s">
        <v>13090</v>
      </c>
    </row>
    <row r="2250" spans="1:4" x14ac:dyDescent="0.25">
      <c r="A2250" s="180">
        <f t="shared" si="35"/>
        <v>7703918</v>
      </c>
      <c r="B2250" s="188" t="s">
        <v>2988</v>
      </c>
      <c r="C2250" s="188" t="s">
        <v>2989</v>
      </c>
    </row>
    <row r="2251" spans="1:4" x14ac:dyDescent="0.25">
      <c r="A2251" s="180">
        <f t="shared" si="35"/>
        <v>7703920</v>
      </c>
      <c r="B2251" s="188" t="s">
        <v>2990</v>
      </c>
      <c r="C2251" s="188" t="s">
        <v>2991</v>
      </c>
      <c r="D2251" t="s">
        <v>13411</v>
      </c>
    </row>
    <row r="2252" spans="1:4" x14ac:dyDescent="0.25">
      <c r="A2252" s="180">
        <f t="shared" si="35"/>
        <v>7703951</v>
      </c>
      <c r="B2252" s="188" t="s">
        <v>2992</v>
      </c>
      <c r="C2252" s="188" t="s">
        <v>2993</v>
      </c>
      <c r="D2252" t="s">
        <v>13411</v>
      </c>
    </row>
    <row r="2253" spans="1:4" x14ac:dyDescent="0.25">
      <c r="A2253" s="180">
        <f t="shared" si="35"/>
        <v>7703987</v>
      </c>
      <c r="B2253" s="188" t="s">
        <v>2994</v>
      </c>
      <c r="C2253" s="188" t="s">
        <v>2995</v>
      </c>
    </row>
    <row r="2254" spans="1:4" x14ac:dyDescent="0.25">
      <c r="A2254" s="180">
        <f t="shared" si="35"/>
        <v>7703994</v>
      </c>
      <c r="B2254" s="188" t="s">
        <v>2996</v>
      </c>
      <c r="C2254" s="188" t="s">
        <v>2997</v>
      </c>
      <c r="D2254" t="s">
        <v>13411</v>
      </c>
    </row>
    <row r="2255" spans="1:4" x14ac:dyDescent="0.25">
      <c r="A2255" s="180">
        <f t="shared" si="35"/>
        <v>7703999</v>
      </c>
      <c r="B2255" s="188" t="s">
        <v>2998</v>
      </c>
      <c r="C2255" s="188" t="s">
        <v>2999</v>
      </c>
      <c r="D2255" t="s">
        <v>13411</v>
      </c>
    </row>
    <row r="2256" spans="1:4" x14ac:dyDescent="0.25">
      <c r="A2256" s="180" t="str">
        <f t="shared" si="35"/>
        <v/>
      </c>
      <c r="B2256" s="188" t="s">
        <v>3000</v>
      </c>
      <c r="C2256" s="188"/>
    </row>
    <row r="2257" spans="1:4" x14ac:dyDescent="0.25">
      <c r="A2257" s="180">
        <f t="shared" si="35"/>
        <v>7707000</v>
      </c>
      <c r="B2257" s="188" t="s">
        <v>3001</v>
      </c>
      <c r="C2257" s="188" t="s">
        <v>3002</v>
      </c>
    </row>
    <row r="2258" spans="1:4" x14ac:dyDescent="0.25">
      <c r="A2258" s="180">
        <f t="shared" si="35"/>
        <v>7707001</v>
      </c>
      <c r="B2258" s="188" t="s">
        <v>3003</v>
      </c>
      <c r="C2258" s="188" t="s">
        <v>3004</v>
      </c>
      <c r="D2258" t="s">
        <v>13411</v>
      </c>
    </row>
    <row r="2259" spans="1:4" x14ac:dyDescent="0.25">
      <c r="A2259" s="180">
        <f t="shared" si="35"/>
        <v>7707002</v>
      </c>
      <c r="B2259" s="188" t="s">
        <v>3005</v>
      </c>
      <c r="C2259" s="188" t="s">
        <v>3006</v>
      </c>
      <c r="D2259" t="s">
        <v>13411</v>
      </c>
    </row>
    <row r="2260" spans="1:4" x14ac:dyDescent="0.25">
      <c r="A2260" s="180">
        <f t="shared" si="35"/>
        <v>7707003</v>
      </c>
      <c r="B2260" s="188" t="s">
        <v>3007</v>
      </c>
      <c r="C2260" s="188" t="s">
        <v>3008</v>
      </c>
    </row>
    <row r="2261" spans="1:4" x14ac:dyDescent="0.25">
      <c r="A2261" s="180">
        <f t="shared" si="35"/>
        <v>7707004</v>
      </c>
      <c r="B2261" s="188" t="s">
        <v>3009</v>
      </c>
      <c r="C2261" s="188" t="s">
        <v>3010</v>
      </c>
    </row>
    <row r="2262" spans="1:4" x14ac:dyDescent="0.25">
      <c r="A2262" s="180">
        <f t="shared" si="35"/>
        <v>7707005</v>
      </c>
      <c r="B2262" s="188" t="s">
        <v>3011</v>
      </c>
      <c r="C2262" s="188" t="s">
        <v>3012</v>
      </c>
    </row>
    <row r="2263" spans="1:4" x14ac:dyDescent="0.25">
      <c r="A2263" s="180">
        <f t="shared" si="35"/>
        <v>7707006</v>
      </c>
      <c r="B2263" s="188" t="s">
        <v>3013</v>
      </c>
      <c r="C2263" s="188" t="s">
        <v>3014</v>
      </c>
    </row>
    <row r="2264" spans="1:4" x14ac:dyDescent="0.25">
      <c r="A2264" s="180">
        <f t="shared" si="35"/>
        <v>7707007</v>
      </c>
      <c r="B2264" s="188" t="s">
        <v>3015</v>
      </c>
      <c r="C2264" s="188" t="s">
        <v>14503</v>
      </c>
      <c r="D2264" t="s">
        <v>13411</v>
      </c>
    </row>
    <row r="2265" spans="1:4" x14ac:dyDescent="0.25">
      <c r="A2265" s="180">
        <f t="shared" si="35"/>
        <v>7707008</v>
      </c>
      <c r="B2265" s="188" t="s">
        <v>14031</v>
      </c>
      <c r="C2265" s="188" t="s">
        <v>14032</v>
      </c>
      <c r="D2265" t="s">
        <v>13411</v>
      </c>
    </row>
    <row r="2266" spans="1:4" x14ac:dyDescent="0.25">
      <c r="A2266" s="180">
        <f t="shared" si="35"/>
        <v>7707009</v>
      </c>
      <c r="B2266" s="188" t="s">
        <v>3016</v>
      </c>
      <c r="C2266" s="188" t="s">
        <v>3017</v>
      </c>
    </row>
    <row r="2267" spans="1:4" x14ac:dyDescent="0.25">
      <c r="A2267" s="180">
        <f t="shared" si="35"/>
        <v>7707010</v>
      </c>
      <c r="B2267" s="188" t="s">
        <v>3018</v>
      </c>
      <c r="C2267" s="188" t="s">
        <v>3019</v>
      </c>
    </row>
    <row r="2268" spans="1:4" x14ac:dyDescent="0.25">
      <c r="A2268" s="180">
        <f t="shared" si="35"/>
        <v>7707011</v>
      </c>
      <c r="B2268" s="188" t="s">
        <v>3020</v>
      </c>
      <c r="C2268" s="188" t="s">
        <v>3021</v>
      </c>
      <c r="D2268" t="s">
        <v>13411</v>
      </c>
    </row>
    <row r="2269" spans="1:4" x14ac:dyDescent="0.25">
      <c r="A2269" s="180">
        <f t="shared" si="35"/>
        <v>7707012</v>
      </c>
      <c r="B2269" s="188" t="s">
        <v>3022</v>
      </c>
      <c r="C2269" s="188" t="s">
        <v>3023</v>
      </c>
      <c r="D2269" t="s">
        <v>13411</v>
      </c>
    </row>
    <row r="2270" spans="1:4" x14ac:dyDescent="0.25">
      <c r="A2270" s="180">
        <f t="shared" si="35"/>
        <v>7707013</v>
      </c>
      <c r="B2270" s="188" t="s">
        <v>3024</v>
      </c>
      <c r="C2270" s="188" t="s">
        <v>3025</v>
      </c>
      <c r="D2270" t="s">
        <v>13411</v>
      </c>
    </row>
    <row r="2271" spans="1:4" x14ac:dyDescent="0.25">
      <c r="A2271" s="180">
        <f t="shared" si="35"/>
        <v>7707014</v>
      </c>
      <c r="B2271" s="188" t="s">
        <v>3026</v>
      </c>
      <c r="C2271" s="188" t="s">
        <v>3027</v>
      </c>
    </row>
    <row r="2272" spans="1:4" x14ac:dyDescent="0.25">
      <c r="A2272" s="180">
        <f t="shared" si="35"/>
        <v>7707015</v>
      </c>
      <c r="B2272" s="188" t="s">
        <v>3028</v>
      </c>
      <c r="C2272" s="188" t="s">
        <v>3029</v>
      </c>
    </row>
    <row r="2273" spans="1:4" x14ac:dyDescent="0.25">
      <c r="A2273" s="180">
        <f t="shared" si="35"/>
        <v>7707016</v>
      </c>
      <c r="B2273" s="188" t="s">
        <v>3030</v>
      </c>
      <c r="C2273" s="188" t="s">
        <v>3031</v>
      </c>
    </row>
    <row r="2274" spans="1:4" x14ac:dyDescent="0.25">
      <c r="A2274" s="180">
        <f t="shared" si="35"/>
        <v>7707017</v>
      </c>
      <c r="B2274" s="188" t="s">
        <v>3032</v>
      </c>
      <c r="C2274" s="188" t="s">
        <v>3033</v>
      </c>
      <c r="D2274" t="s">
        <v>13411</v>
      </c>
    </row>
    <row r="2275" spans="1:4" x14ac:dyDescent="0.25">
      <c r="A2275" s="180">
        <f t="shared" si="35"/>
        <v>7707018</v>
      </c>
      <c r="B2275" s="188" t="s">
        <v>3034</v>
      </c>
      <c r="C2275" s="188" t="s">
        <v>3035</v>
      </c>
    </row>
    <row r="2276" spans="1:4" x14ac:dyDescent="0.25">
      <c r="A2276" s="180">
        <f t="shared" si="35"/>
        <v>7707019</v>
      </c>
      <c r="B2276" s="188" t="s">
        <v>3036</v>
      </c>
      <c r="C2276" s="188" t="s">
        <v>3037</v>
      </c>
    </row>
    <row r="2277" spans="1:4" x14ac:dyDescent="0.25">
      <c r="A2277" s="180">
        <f t="shared" si="35"/>
        <v>7707020</v>
      </c>
      <c r="B2277" s="188" t="s">
        <v>3038</v>
      </c>
      <c r="C2277" s="188" t="s">
        <v>3039</v>
      </c>
    </row>
    <row r="2278" spans="1:4" x14ac:dyDescent="0.25">
      <c r="A2278" s="180">
        <f t="shared" si="35"/>
        <v>7707021</v>
      </c>
      <c r="B2278" s="188" t="s">
        <v>3040</v>
      </c>
      <c r="C2278" s="188" t="s">
        <v>3041</v>
      </c>
      <c r="D2278" t="s">
        <v>13411</v>
      </c>
    </row>
    <row r="2279" spans="1:4" x14ac:dyDescent="0.25">
      <c r="A2279" s="180">
        <f t="shared" si="35"/>
        <v>7707022</v>
      </c>
      <c r="B2279" s="188" t="s">
        <v>6943</v>
      </c>
      <c r="C2279" s="188" t="s">
        <v>6944</v>
      </c>
    </row>
    <row r="2280" spans="1:4" x14ac:dyDescent="0.25">
      <c r="A2280" s="180">
        <f t="shared" si="35"/>
        <v>7707023</v>
      </c>
      <c r="B2280" s="188" t="s">
        <v>12811</v>
      </c>
      <c r="C2280" s="188" t="s">
        <v>12812</v>
      </c>
      <c r="D2280" t="s">
        <v>13411</v>
      </c>
    </row>
    <row r="2281" spans="1:4" x14ac:dyDescent="0.25">
      <c r="A2281" s="180">
        <f t="shared" si="35"/>
        <v>7707024</v>
      </c>
      <c r="B2281" s="188" t="s">
        <v>13897</v>
      </c>
      <c r="C2281" s="188" t="s">
        <v>13898</v>
      </c>
      <c r="D2281" t="s">
        <v>13411</v>
      </c>
    </row>
    <row r="2282" spans="1:4" x14ac:dyDescent="0.25">
      <c r="A2282" s="180">
        <f t="shared" si="35"/>
        <v>7707025</v>
      </c>
      <c r="B2282" s="188" t="s">
        <v>3042</v>
      </c>
      <c r="C2282" s="188" t="s">
        <v>3043</v>
      </c>
      <c r="D2282" t="s">
        <v>13411</v>
      </c>
    </row>
    <row r="2283" spans="1:4" x14ac:dyDescent="0.25">
      <c r="A2283" s="180">
        <f t="shared" si="35"/>
        <v>7707026</v>
      </c>
      <c r="B2283" s="188" t="s">
        <v>12813</v>
      </c>
      <c r="C2283" s="188" t="s">
        <v>12814</v>
      </c>
      <c r="D2283" t="s">
        <v>13411</v>
      </c>
    </row>
    <row r="2284" spans="1:4" x14ac:dyDescent="0.25">
      <c r="A2284" s="180">
        <f t="shared" si="35"/>
        <v>7707027</v>
      </c>
      <c r="B2284" s="188" t="s">
        <v>12815</v>
      </c>
      <c r="C2284" s="188" t="s">
        <v>14120</v>
      </c>
      <c r="D2284" t="s">
        <v>13411</v>
      </c>
    </row>
    <row r="2285" spans="1:4" x14ac:dyDescent="0.25">
      <c r="A2285" s="180">
        <f t="shared" si="35"/>
        <v>7707028</v>
      </c>
      <c r="B2285" s="188" t="s">
        <v>13899</v>
      </c>
      <c r="C2285" s="188" t="s">
        <v>14121</v>
      </c>
      <c r="D2285" t="s">
        <v>13411</v>
      </c>
    </row>
    <row r="2286" spans="1:4" x14ac:dyDescent="0.25">
      <c r="A2286" s="180">
        <f t="shared" si="35"/>
        <v>7707051</v>
      </c>
      <c r="B2286" s="188" t="s">
        <v>3044</v>
      </c>
      <c r="C2286" s="188" t="s">
        <v>3045</v>
      </c>
    </row>
    <row r="2287" spans="1:4" x14ac:dyDescent="0.25">
      <c r="A2287" s="180">
        <f t="shared" si="35"/>
        <v>7707060</v>
      </c>
      <c r="B2287" s="188" t="s">
        <v>3046</v>
      </c>
      <c r="C2287" s="188" t="s">
        <v>3047</v>
      </c>
    </row>
    <row r="2288" spans="1:4" x14ac:dyDescent="0.25">
      <c r="A2288" s="180">
        <f t="shared" si="35"/>
        <v>7707061</v>
      </c>
      <c r="B2288" s="188" t="s">
        <v>3048</v>
      </c>
      <c r="C2288" s="189" t="s">
        <v>3049</v>
      </c>
      <c r="D2288" t="s">
        <v>13411</v>
      </c>
    </row>
    <row r="2289" spans="1:4" x14ac:dyDescent="0.25">
      <c r="A2289" s="180">
        <f t="shared" si="35"/>
        <v>7707070</v>
      </c>
      <c r="B2289" s="188" t="s">
        <v>3050</v>
      </c>
      <c r="C2289" s="188" t="s">
        <v>3051</v>
      </c>
      <c r="D2289" t="s">
        <v>13411</v>
      </c>
    </row>
    <row r="2290" spans="1:4" x14ac:dyDescent="0.25">
      <c r="A2290" s="180">
        <f t="shared" si="35"/>
        <v>7707071</v>
      </c>
      <c r="B2290" s="188" t="s">
        <v>3052</v>
      </c>
      <c r="C2290" s="189" t="s">
        <v>3053</v>
      </c>
    </row>
    <row r="2291" spans="1:4" x14ac:dyDescent="0.25">
      <c r="A2291" s="180">
        <f t="shared" si="35"/>
        <v>7707074</v>
      </c>
      <c r="B2291" s="188" t="s">
        <v>3054</v>
      </c>
      <c r="C2291" s="188" t="s">
        <v>3055</v>
      </c>
    </row>
    <row r="2292" spans="1:4" x14ac:dyDescent="0.25">
      <c r="A2292" s="180">
        <f t="shared" si="35"/>
        <v>7707077</v>
      </c>
      <c r="B2292" s="188" t="s">
        <v>15070</v>
      </c>
      <c r="C2292" s="188" t="s">
        <v>15071</v>
      </c>
      <c r="D2292" t="s">
        <v>13411</v>
      </c>
    </row>
    <row r="2293" spans="1:4" x14ac:dyDescent="0.25">
      <c r="A2293" s="180">
        <f t="shared" si="35"/>
        <v>7707079</v>
      </c>
      <c r="B2293" s="188" t="s">
        <v>3056</v>
      </c>
      <c r="C2293" s="188" t="s">
        <v>3057</v>
      </c>
    </row>
    <row r="2294" spans="1:4" x14ac:dyDescent="0.25">
      <c r="A2294" s="180">
        <f t="shared" si="35"/>
        <v>7707081</v>
      </c>
      <c r="B2294" s="188" t="s">
        <v>3058</v>
      </c>
      <c r="C2294" s="188" t="s">
        <v>3059</v>
      </c>
      <c r="D2294" t="s">
        <v>13411</v>
      </c>
    </row>
    <row r="2295" spans="1:4" x14ac:dyDescent="0.25">
      <c r="A2295" s="180">
        <f t="shared" si="35"/>
        <v>7707100</v>
      </c>
      <c r="B2295" s="188" t="s">
        <v>3060</v>
      </c>
      <c r="C2295" s="188" t="s">
        <v>3061</v>
      </c>
      <c r="D2295" t="s">
        <v>13411</v>
      </c>
    </row>
    <row r="2296" spans="1:4" x14ac:dyDescent="0.25">
      <c r="A2296" s="180">
        <f t="shared" si="35"/>
        <v>7707105</v>
      </c>
      <c r="B2296" s="188" t="s">
        <v>3062</v>
      </c>
      <c r="C2296" s="188" t="s">
        <v>3063</v>
      </c>
      <c r="D2296" t="s">
        <v>13411</v>
      </c>
    </row>
    <row r="2297" spans="1:4" x14ac:dyDescent="0.25">
      <c r="A2297" s="180">
        <f t="shared" si="35"/>
        <v>7707110</v>
      </c>
      <c r="B2297" s="188" t="s">
        <v>3064</v>
      </c>
      <c r="C2297" s="188" t="s">
        <v>3065</v>
      </c>
    </row>
    <row r="2298" spans="1:4" x14ac:dyDescent="0.25">
      <c r="A2298" s="180">
        <f t="shared" si="35"/>
        <v>7707113</v>
      </c>
      <c r="B2298" s="188" t="s">
        <v>3066</v>
      </c>
      <c r="C2298" s="188" t="s">
        <v>3067</v>
      </c>
      <c r="D2298" t="s">
        <v>13411</v>
      </c>
    </row>
    <row r="2299" spans="1:4" x14ac:dyDescent="0.25">
      <c r="A2299" s="180">
        <f t="shared" si="35"/>
        <v>7707115</v>
      </c>
      <c r="B2299" s="188" t="s">
        <v>3068</v>
      </c>
      <c r="C2299" s="188" t="s">
        <v>3069</v>
      </c>
      <c r="D2299" t="s">
        <v>13411</v>
      </c>
    </row>
    <row r="2300" spans="1:4" x14ac:dyDescent="0.25">
      <c r="A2300" s="180">
        <f t="shared" si="35"/>
        <v>7707116</v>
      </c>
      <c r="B2300" s="188" t="s">
        <v>3070</v>
      </c>
      <c r="C2300" s="188" t="s">
        <v>3071</v>
      </c>
    </row>
    <row r="2301" spans="1:4" x14ac:dyDescent="0.25">
      <c r="A2301" s="180">
        <f t="shared" si="35"/>
        <v>7707120</v>
      </c>
      <c r="B2301" s="188" t="s">
        <v>3072</v>
      </c>
      <c r="C2301" s="188" t="s">
        <v>3073</v>
      </c>
      <c r="D2301" t="s">
        <v>13411</v>
      </c>
    </row>
    <row r="2302" spans="1:4" x14ac:dyDescent="0.25">
      <c r="A2302" s="180">
        <f t="shared" si="35"/>
        <v>7707122</v>
      </c>
      <c r="B2302" s="188" t="s">
        <v>3074</v>
      </c>
      <c r="C2302" s="188" t="s">
        <v>3075</v>
      </c>
      <c r="D2302" t="s">
        <v>13411</v>
      </c>
    </row>
    <row r="2303" spans="1:4" x14ac:dyDescent="0.25">
      <c r="A2303" s="180">
        <f t="shared" ref="A2303:A2366" si="36">IFERROR(B2303*1,"")</f>
        <v>7707136</v>
      </c>
      <c r="B2303" s="188" t="s">
        <v>3076</v>
      </c>
      <c r="C2303" s="188" t="s">
        <v>3077</v>
      </c>
      <c r="D2303" t="s">
        <v>13411</v>
      </c>
    </row>
    <row r="2304" spans="1:4" x14ac:dyDescent="0.25">
      <c r="A2304" s="180">
        <f t="shared" si="36"/>
        <v>7707137</v>
      </c>
      <c r="B2304" s="188" t="s">
        <v>14122</v>
      </c>
      <c r="C2304" s="188" t="s">
        <v>14123</v>
      </c>
      <c r="D2304" t="s">
        <v>13411</v>
      </c>
    </row>
    <row r="2305" spans="1:4" x14ac:dyDescent="0.25">
      <c r="A2305" s="180">
        <f t="shared" si="36"/>
        <v>7707139</v>
      </c>
      <c r="B2305" s="188" t="s">
        <v>3078</v>
      </c>
      <c r="C2305" s="188" t="s">
        <v>3079</v>
      </c>
      <c r="D2305" t="s">
        <v>13411</v>
      </c>
    </row>
    <row r="2306" spans="1:4" x14ac:dyDescent="0.25">
      <c r="A2306" s="180">
        <f t="shared" si="36"/>
        <v>7707154</v>
      </c>
      <c r="B2306" s="188" t="s">
        <v>3080</v>
      </c>
      <c r="C2306" s="188" t="s">
        <v>3081</v>
      </c>
      <c r="D2306" t="s">
        <v>13411</v>
      </c>
    </row>
    <row r="2307" spans="1:4" x14ac:dyDescent="0.25">
      <c r="A2307" s="180">
        <f t="shared" si="36"/>
        <v>7707159</v>
      </c>
      <c r="B2307" s="188" t="s">
        <v>3082</v>
      </c>
      <c r="C2307" s="188" t="s">
        <v>3083</v>
      </c>
      <c r="D2307" t="s">
        <v>13411</v>
      </c>
    </row>
    <row r="2308" spans="1:4" x14ac:dyDescent="0.25">
      <c r="A2308" s="180">
        <f t="shared" si="36"/>
        <v>7707160</v>
      </c>
      <c r="B2308" s="188" t="s">
        <v>3084</v>
      </c>
      <c r="C2308" s="188" t="s">
        <v>3085</v>
      </c>
      <c r="D2308" t="s">
        <v>13411</v>
      </c>
    </row>
    <row r="2309" spans="1:4" x14ac:dyDescent="0.25">
      <c r="A2309" s="180">
        <f t="shared" si="36"/>
        <v>7707161</v>
      </c>
      <c r="B2309" s="188" t="s">
        <v>3086</v>
      </c>
      <c r="C2309" s="188" t="s">
        <v>3087</v>
      </c>
      <c r="D2309" t="s">
        <v>13411</v>
      </c>
    </row>
    <row r="2310" spans="1:4" x14ac:dyDescent="0.25">
      <c r="A2310" s="180">
        <f t="shared" si="36"/>
        <v>7707170</v>
      </c>
      <c r="B2310" s="188" t="s">
        <v>3088</v>
      </c>
      <c r="C2310" s="188" t="s">
        <v>3089</v>
      </c>
    </row>
    <row r="2311" spans="1:4" x14ac:dyDescent="0.25">
      <c r="A2311" s="180">
        <f t="shared" si="36"/>
        <v>7707200</v>
      </c>
      <c r="B2311" s="188" t="s">
        <v>3090</v>
      </c>
      <c r="C2311" s="188" t="s">
        <v>3091</v>
      </c>
    </row>
    <row r="2312" spans="1:4" x14ac:dyDescent="0.25">
      <c r="A2312" s="180">
        <f t="shared" si="36"/>
        <v>7707220</v>
      </c>
      <c r="B2312" s="188" t="s">
        <v>3092</v>
      </c>
      <c r="C2312" s="188" t="s">
        <v>3093</v>
      </c>
      <c r="D2312" t="s">
        <v>13411</v>
      </c>
    </row>
    <row r="2313" spans="1:4" x14ac:dyDescent="0.25">
      <c r="A2313" s="180">
        <f t="shared" si="36"/>
        <v>7707222</v>
      </c>
      <c r="B2313" s="188" t="s">
        <v>3094</v>
      </c>
      <c r="C2313" s="188" t="s">
        <v>3095</v>
      </c>
    </row>
    <row r="2314" spans="1:4" x14ac:dyDescent="0.25">
      <c r="A2314" s="180">
        <f t="shared" si="36"/>
        <v>7707223</v>
      </c>
      <c r="B2314" s="188" t="s">
        <v>3096</v>
      </c>
      <c r="C2314" s="188" t="s">
        <v>3097</v>
      </c>
      <c r="D2314" t="s">
        <v>13411</v>
      </c>
    </row>
    <row r="2315" spans="1:4" x14ac:dyDescent="0.25">
      <c r="A2315" s="180">
        <f t="shared" si="36"/>
        <v>7707224</v>
      </c>
      <c r="B2315" s="188" t="s">
        <v>15072</v>
      </c>
      <c r="C2315" s="188" t="s">
        <v>15073</v>
      </c>
      <c r="D2315" t="s">
        <v>13411</v>
      </c>
    </row>
    <row r="2316" spans="1:4" x14ac:dyDescent="0.25">
      <c r="A2316" s="180">
        <f t="shared" si="36"/>
        <v>7707226</v>
      </c>
      <c r="B2316" s="188" t="s">
        <v>3098</v>
      </c>
      <c r="C2316" s="188" t="s">
        <v>3099</v>
      </c>
    </row>
    <row r="2317" spans="1:4" x14ac:dyDescent="0.25">
      <c r="A2317" s="180">
        <f t="shared" si="36"/>
        <v>7707235</v>
      </c>
      <c r="B2317" s="188" t="s">
        <v>3100</v>
      </c>
      <c r="C2317" s="188" t="s">
        <v>3101</v>
      </c>
      <c r="D2317" t="s">
        <v>13411</v>
      </c>
    </row>
    <row r="2318" spans="1:4" x14ac:dyDescent="0.25">
      <c r="A2318" s="180">
        <f t="shared" si="36"/>
        <v>7707236</v>
      </c>
      <c r="B2318" s="188" t="s">
        <v>3102</v>
      </c>
      <c r="C2318" s="188" t="s">
        <v>3103</v>
      </c>
    </row>
    <row r="2319" spans="1:4" x14ac:dyDescent="0.25">
      <c r="A2319" s="180">
        <f t="shared" si="36"/>
        <v>7707237</v>
      </c>
      <c r="B2319" s="188" t="s">
        <v>3104</v>
      </c>
      <c r="C2319" s="188" t="s">
        <v>3105</v>
      </c>
      <c r="D2319" t="s">
        <v>13411</v>
      </c>
    </row>
    <row r="2320" spans="1:4" x14ac:dyDescent="0.25">
      <c r="A2320" s="180">
        <f t="shared" si="36"/>
        <v>7707246</v>
      </c>
      <c r="B2320" s="188" t="s">
        <v>3106</v>
      </c>
      <c r="C2320" s="188" t="s">
        <v>3107</v>
      </c>
      <c r="D2320" t="s">
        <v>13411</v>
      </c>
    </row>
    <row r="2321" spans="1:4" x14ac:dyDescent="0.25">
      <c r="A2321" s="180">
        <f t="shared" si="36"/>
        <v>7707260</v>
      </c>
      <c r="B2321" s="188" t="s">
        <v>3108</v>
      </c>
      <c r="C2321" s="188" t="s">
        <v>3109</v>
      </c>
      <c r="D2321" t="s">
        <v>13411</v>
      </c>
    </row>
    <row r="2322" spans="1:4" x14ac:dyDescent="0.25">
      <c r="A2322" s="180">
        <f t="shared" si="36"/>
        <v>7707266</v>
      </c>
      <c r="B2322" s="188" t="s">
        <v>3110</v>
      </c>
      <c r="C2322" s="189" t="s">
        <v>3111</v>
      </c>
      <c r="D2322" t="s">
        <v>13411</v>
      </c>
    </row>
    <row r="2323" spans="1:4" x14ac:dyDescent="0.25">
      <c r="A2323" s="180">
        <f t="shared" si="36"/>
        <v>7707267</v>
      </c>
      <c r="B2323" s="188" t="s">
        <v>3112</v>
      </c>
      <c r="C2323" s="188" t="s">
        <v>3113</v>
      </c>
    </row>
    <row r="2324" spans="1:4" x14ac:dyDescent="0.25">
      <c r="A2324" s="180">
        <f t="shared" si="36"/>
        <v>7707273</v>
      </c>
      <c r="B2324" s="188" t="s">
        <v>3114</v>
      </c>
      <c r="C2324" s="188" t="s">
        <v>3115</v>
      </c>
      <c r="D2324" t="s">
        <v>13411</v>
      </c>
    </row>
    <row r="2325" spans="1:4" x14ac:dyDescent="0.25">
      <c r="A2325" s="180">
        <f t="shared" si="36"/>
        <v>7707274</v>
      </c>
      <c r="B2325" s="188" t="s">
        <v>3116</v>
      </c>
      <c r="C2325" s="188" t="s">
        <v>3117</v>
      </c>
      <c r="D2325" t="s">
        <v>13411</v>
      </c>
    </row>
    <row r="2326" spans="1:4" x14ac:dyDescent="0.25">
      <c r="A2326" s="180">
        <f t="shared" si="36"/>
        <v>7707275</v>
      </c>
      <c r="B2326" s="188" t="s">
        <v>3118</v>
      </c>
      <c r="C2326" s="188" t="s">
        <v>3119</v>
      </c>
      <c r="D2326" t="s">
        <v>13411</v>
      </c>
    </row>
    <row r="2327" spans="1:4" x14ac:dyDescent="0.25">
      <c r="A2327" s="180">
        <f t="shared" si="36"/>
        <v>7707276</v>
      </c>
      <c r="B2327" s="188" t="s">
        <v>3120</v>
      </c>
      <c r="C2327" s="188" t="s">
        <v>3121</v>
      </c>
      <c r="D2327" t="s">
        <v>13411</v>
      </c>
    </row>
    <row r="2328" spans="1:4" x14ac:dyDescent="0.25">
      <c r="A2328" s="180">
        <f t="shared" si="36"/>
        <v>7707277</v>
      </c>
      <c r="B2328" s="188" t="s">
        <v>3122</v>
      </c>
      <c r="C2328" s="188" t="s">
        <v>3123</v>
      </c>
      <c r="D2328" t="s">
        <v>13411</v>
      </c>
    </row>
    <row r="2329" spans="1:4" x14ac:dyDescent="0.25">
      <c r="A2329" s="180">
        <f t="shared" si="36"/>
        <v>7707278</v>
      </c>
      <c r="B2329" s="188" t="s">
        <v>3124</v>
      </c>
      <c r="C2329" s="188" t="s">
        <v>3125</v>
      </c>
      <c r="D2329" t="s">
        <v>13411</v>
      </c>
    </row>
    <row r="2330" spans="1:4" x14ac:dyDescent="0.25">
      <c r="A2330" s="180">
        <f t="shared" si="36"/>
        <v>7707279</v>
      </c>
      <c r="B2330" s="188" t="s">
        <v>3126</v>
      </c>
      <c r="C2330" s="188" t="s">
        <v>3127</v>
      </c>
      <c r="D2330" t="s">
        <v>13411</v>
      </c>
    </row>
    <row r="2331" spans="1:4" x14ac:dyDescent="0.25">
      <c r="A2331" s="180">
        <f t="shared" si="36"/>
        <v>7707280</v>
      </c>
      <c r="B2331" s="188" t="s">
        <v>3128</v>
      </c>
      <c r="C2331" s="188" t="s">
        <v>3129</v>
      </c>
    </row>
    <row r="2332" spans="1:4" x14ac:dyDescent="0.25">
      <c r="A2332" s="180">
        <f t="shared" si="36"/>
        <v>7707281</v>
      </c>
      <c r="B2332" s="188" t="s">
        <v>3130</v>
      </c>
      <c r="C2332" s="188" t="s">
        <v>3131</v>
      </c>
      <c r="D2332" t="s">
        <v>13411</v>
      </c>
    </row>
    <row r="2333" spans="1:4" x14ac:dyDescent="0.25">
      <c r="A2333" s="180">
        <f t="shared" si="36"/>
        <v>7707282</v>
      </c>
      <c r="B2333" s="188" t="s">
        <v>6945</v>
      </c>
      <c r="C2333" s="188" t="s">
        <v>6946</v>
      </c>
      <c r="D2333" t="s">
        <v>13411</v>
      </c>
    </row>
    <row r="2334" spans="1:4" x14ac:dyDescent="0.25">
      <c r="A2334" s="180">
        <f t="shared" si="36"/>
        <v>7707283</v>
      </c>
      <c r="B2334" s="188" t="s">
        <v>3132</v>
      </c>
      <c r="C2334" s="188" t="s">
        <v>6947</v>
      </c>
      <c r="D2334" t="s">
        <v>13411</v>
      </c>
    </row>
    <row r="2335" spans="1:4" x14ac:dyDescent="0.25">
      <c r="A2335" s="180">
        <f t="shared" si="36"/>
        <v>7707284</v>
      </c>
      <c r="B2335" s="188" t="s">
        <v>3133</v>
      </c>
      <c r="C2335" s="188" t="s">
        <v>6948</v>
      </c>
      <c r="D2335" t="s">
        <v>13411</v>
      </c>
    </row>
    <row r="2336" spans="1:4" x14ac:dyDescent="0.25">
      <c r="A2336" s="180">
        <f t="shared" si="36"/>
        <v>7707285</v>
      </c>
      <c r="B2336" s="188" t="s">
        <v>3134</v>
      </c>
      <c r="C2336" s="188" t="s">
        <v>3135</v>
      </c>
    </row>
    <row r="2337" spans="1:4" x14ac:dyDescent="0.25">
      <c r="A2337" s="180">
        <f t="shared" si="36"/>
        <v>7707288</v>
      </c>
      <c r="B2337" s="188" t="s">
        <v>3136</v>
      </c>
      <c r="C2337" s="188" t="s">
        <v>3137</v>
      </c>
      <c r="D2337" t="s">
        <v>13411</v>
      </c>
    </row>
    <row r="2338" spans="1:4" x14ac:dyDescent="0.25">
      <c r="A2338" s="180">
        <f t="shared" si="36"/>
        <v>7707289</v>
      </c>
      <c r="B2338" s="188" t="s">
        <v>3138</v>
      </c>
      <c r="C2338" s="188" t="s">
        <v>3139</v>
      </c>
      <c r="D2338" t="s">
        <v>13411</v>
      </c>
    </row>
    <row r="2339" spans="1:4" x14ac:dyDescent="0.25">
      <c r="A2339" s="180">
        <f t="shared" si="36"/>
        <v>7707290</v>
      </c>
      <c r="B2339" s="188" t="s">
        <v>3140</v>
      </c>
      <c r="C2339" s="188" t="s">
        <v>3141</v>
      </c>
      <c r="D2339" t="s">
        <v>13411</v>
      </c>
    </row>
    <row r="2340" spans="1:4" x14ac:dyDescent="0.25">
      <c r="A2340" s="180">
        <f t="shared" si="36"/>
        <v>7707291</v>
      </c>
      <c r="B2340" s="188" t="s">
        <v>3142</v>
      </c>
      <c r="C2340" s="188" t="s">
        <v>3143</v>
      </c>
      <c r="D2340" t="s">
        <v>13411</v>
      </c>
    </row>
    <row r="2341" spans="1:4" x14ac:dyDescent="0.25">
      <c r="A2341" s="180">
        <f t="shared" si="36"/>
        <v>7707292</v>
      </c>
      <c r="B2341" s="188" t="s">
        <v>3144</v>
      </c>
      <c r="C2341" s="188" t="s">
        <v>3145</v>
      </c>
      <c r="D2341" t="s">
        <v>13411</v>
      </c>
    </row>
    <row r="2342" spans="1:4" x14ac:dyDescent="0.25">
      <c r="A2342" s="180">
        <f t="shared" si="36"/>
        <v>7707293</v>
      </c>
      <c r="B2342" s="188" t="s">
        <v>3146</v>
      </c>
      <c r="C2342" s="188" t="s">
        <v>3147</v>
      </c>
      <c r="D2342" t="s">
        <v>13411</v>
      </c>
    </row>
    <row r="2343" spans="1:4" x14ac:dyDescent="0.25">
      <c r="A2343" s="180">
        <f t="shared" si="36"/>
        <v>7707294</v>
      </c>
      <c r="B2343" s="188" t="s">
        <v>3148</v>
      </c>
      <c r="C2343" s="188" t="s">
        <v>3149</v>
      </c>
    </row>
    <row r="2344" spans="1:4" x14ac:dyDescent="0.25">
      <c r="A2344" s="180">
        <f t="shared" si="36"/>
        <v>7707298</v>
      </c>
      <c r="B2344" s="188" t="s">
        <v>3150</v>
      </c>
      <c r="C2344" s="188" t="s">
        <v>3151</v>
      </c>
      <c r="D2344" t="s">
        <v>13411</v>
      </c>
    </row>
    <row r="2345" spans="1:4" x14ac:dyDescent="0.25">
      <c r="A2345" s="180">
        <f t="shared" si="36"/>
        <v>7707299</v>
      </c>
      <c r="B2345" s="188" t="s">
        <v>3152</v>
      </c>
      <c r="C2345" s="188" t="s">
        <v>3153</v>
      </c>
      <c r="D2345" t="s">
        <v>13411</v>
      </c>
    </row>
    <row r="2346" spans="1:4" x14ac:dyDescent="0.25">
      <c r="A2346" s="180">
        <f t="shared" si="36"/>
        <v>7707301</v>
      </c>
      <c r="B2346" s="188" t="s">
        <v>14504</v>
      </c>
      <c r="C2346" s="188" t="s">
        <v>14505</v>
      </c>
      <c r="D2346" t="s">
        <v>13411</v>
      </c>
    </row>
    <row r="2347" spans="1:4" x14ac:dyDescent="0.25">
      <c r="A2347" s="180">
        <f t="shared" si="36"/>
        <v>7707318</v>
      </c>
      <c r="B2347" s="188" t="s">
        <v>3154</v>
      </c>
      <c r="C2347" s="188" t="s">
        <v>3155</v>
      </c>
      <c r="D2347" t="s">
        <v>13411</v>
      </c>
    </row>
    <row r="2348" spans="1:4" x14ac:dyDescent="0.25">
      <c r="A2348" s="180">
        <f t="shared" si="36"/>
        <v>7707319</v>
      </c>
      <c r="B2348" s="188" t="s">
        <v>3156</v>
      </c>
      <c r="C2348" s="188" t="s">
        <v>3155</v>
      </c>
    </row>
    <row r="2349" spans="1:4" x14ac:dyDescent="0.25">
      <c r="A2349" s="180">
        <f t="shared" si="36"/>
        <v>7707320</v>
      </c>
      <c r="B2349" s="188" t="s">
        <v>3157</v>
      </c>
      <c r="C2349" s="188" t="s">
        <v>3158</v>
      </c>
      <c r="D2349" t="s">
        <v>13411</v>
      </c>
    </row>
    <row r="2350" spans="1:4" x14ac:dyDescent="0.25">
      <c r="A2350" s="180">
        <f t="shared" si="36"/>
        <v>7707321</v>
      </c>
      <c r="B2350" s="188" t="s">
        <v>3159</v>
      </c>
      <c r="C2350" s="188" t="s">
        <v>3160</v>
      </c>
      <c r="D2350" t="s">
        <v>13411</v>
      </c>
    </row>
    <row r="2351" spans="1:4" x14ac:dyDescent="0.25">
      <c r="A2351" s="180">
        <f t="shared" si="36"/>
        <v>7707322</v>
      </c>
      <c r="B2351" s="188" t="s">
        <v>3161</v>
      </c>
      <c r="C2351" s="188" t="s">
        <v>3162</v>
      </c>
      <c r="D2351" t="s">
        <v>13411</v>
      </c>
    </row>
    <row r="2352" spans="1:4" x14ac:dyDescent="0.25">
      <c r="A2352" s="180">
        <f t="shared" si="36"/>
        <v>7707324</v>
      </c>
      <c r="B2352" s="188" t="s">
        <v>3163</v>
      </c>
      <c r="C2352" s="188" t="s">
        <v>3164</v>
      </c>
      <c r="D2352" t="s">
        <v>13411</v>
      </c>
    </row>
    <row r="2353" spans="1:4" x14ac:dyDescent="0.25">
      <c r="A2353" s="180">
        <f t="shared" si="36"/>
        <v>7707325</v>
      </c>
      <c r="B2353" s="188" t="s">
        <v>3165</v>
      </c>
      <c r="C2353" s="188" t="s">
        <v>3166</v>
      </c>
    </row>
    <row r="2354" spans="1:4" x14ac:dyDescent="0.25">
      <c r="A2354" s="180">
        <f t="shared" si="36"/>
        <v>7707333</v>
      </c>
      <c r="B2354" s="188" t="s">
        <v>3167</v>
      </c>
      <c r="C2354" s="188" t="s">
        <v>3168</v>
      </c>
      <c r="D2354" t="s">
        <v>13411</v>
      </c>
    </row>
    <row r="2355" spans="1:4" x14ac:dyDescent="0.25">
      <c r="A2355" s="180">
        <f t="shared" si="36"/>
        <v>7707342</v>
      </c>
      <c r="B2355" s="188" t="s">
        <v>14033</v>
      </c>
      <c r="C2355" s="188" t="s">
        <v>14034</v>
      </c>
      <c r="D2355" t="s">
        <v>13411</v>
      </c>
    </row>
    <row r="2356" spans="1:4" x14ac:dyDescent="0.25">
      <c r="A2356" s="180">
        <f t="shared" si="36"/>
        <v>7707349</v>
      </c>
      <c r="B2356" s="188" t="s">
        <v>3169</v>
      </c>
      <c r="C2356" s="189" t="s">
        <v>3170</v>
      </c>
    </row>
    <row r="2357" spans="1:4" x14ac:dyDescent="0.25">
      <c r="A2357" s="180">
        <f t="shared" si="36"/>
        <v>7707350</v>
      </c>
      <c r="B2357" s="188" t="s">
        <v>3171</v>
      </c>
      <c r="C2357" s="188" t="s">
        <v>3172</v>
      </c>
    </row>
    <row r="2358" spans="1:4" x14ac:dyDescent="0.25">
      <c r="A2358" s="180">
        <f t="shared" si="36"/>
        <v>7707357</v>
      </c>
      <c r="B2358" s="188" t="s">
        <v>3173</v>
      </c>
      <c r="C2358" s="188" t="s">
        <v>3174</v>
      </c>
      <c r="D2358" t="s">
        <v>13411</v>
      </c>
    </row>
    <row r="2359" spans="1:4" x14ac:dyDescent="0.25">
      <c r="A2359" s="180">
        <f t="shared" si="36"/>
        <v>7707360</v>
      </c>
      <c r="B2359" s="188" t="s">
        <v>14035</v>
      </c>
      <c r="C2359" s="189" t="s">
        <v>14036</v>
      </c>
    </row>
    <row r="2360" spans="1:4" x14ac:dyDescent="0.25">
      <c r="A2360" s="180">
        <f t="shared" si="36"/>
        <v>7707366</v>
      </c>
      <c r="B2360" s="188" t="s">
        <v>14124</v>
      </c>
      <c r="C2360" s="188" t="s">
        <v>14125</v>
      </c>
      <c r="D2360" t="s">
        <v>13411</v>
      </c>
    </row>
    <row r="2361" spans="1:4" x14ac:dyDescent="0.25">
      <c r="A2361" s="180">
        <f t="shared" si="36"/>
        <v>7707368</v>
      </c>
      <c r="B2361" s="188" t="s">
        <v>3175</v>
      </c>
      <c r="C2361" s="188" t="s">
        <v>3176</v>
      </c>
      <c r="D2361" t="s">
        <v>13411</v>
      </c>
    </row>
    <row r="2362" spans="1:4" x14ac:dyDescent="0.25">
      <c r="A2362" s="180">
        <f t="shared" si="36"/>
        <v>7707426</v>
      </c>
      <c r="B2362" s="188" t="s">
        <v>3177</v>
      </c>
      <c r="C2362" s="189" t="s">
        <v>3178</v>
      </c>
    </row>
    <row r="2363" spans="1:4" x14ac:dyDescent="0.25">
      <c r="A2363" s="180">
        <f t="shared" si="36"/>
        <v>7707444</v>
      </c>
      <c r="B2363" s="188" t="s">
        <v>3179</v>
      </c>
      <c r="C2363" s="188" t="s">
        <v>3180</v>
      </c>
    </row>
    <row r="2364" spans="1:4" x14ac:dyDescent="0.25">
      <c r="A2364" s="180">
        <f t="shared" si="36"/>
        <v>7707450</v>
      </c>
      <c r="B2364" s="188" t="s">
        <v>3181</v>
      </c>
      <c r="C2364" s="188" t="s">
        <v>3182</v>
      </c>
      <c r="D2364" t="s">
        <v>13411</v>
      </c>
    </row>
    <row r="2365" spans="1:4" x14ac:dyDescent="0.25">
      <c r="A2365" s="180">
        <f t="shared" si="36"/>
        <v>7707452</v>
      </c>
      <c r="B2365" s="188" t="s">
        <v>3183</v>
      </c>
      <c r="C2365" s="188" t="s">
        <v>3184</v>
      </c>
      <c r="D2365" t="s">
        <v>13411</v>
      </c>
    </row>
    <row r="2366" spans="1:4" x14ac:dyDescent="0.25">
      <c r="A2366" s="180">
        <f t="shared" si="36"/>
        <v>7707453</v>
      </c>
      <c r="B2366" s="188" t="s">
        <v>3185</v>
      </c>
      <c r="C2366" s="188" t="s">
        <v>3186</v>
      </c>
      <c r="D2366" t="s">
        <v>13411</v>
      </c>
    </row>
    <row r="2367" spans="1:4" x14ac:dyDescent="0.25">
      <c r="A2367" s="180">
        <f t="shared" ref="A2367:A2430" si="37">IFERROR(B2367*1,"")</f>
        <v>7707454</v>
      </c>
      <c r="B2367" s="188" t="s">
        <v>14126</v>
      </c>
      <c r="C2367" s="188" t="s">
        <v>14127</v>
      </c>
      <c r="D2367" t="s">
        <v>13411</v>
      </c>
    </row>
    <row r="2368" spans="1:4" x14ac:dyDescent="0.25">
      <c r="A2368" s="180">
        <f t="shared" si="37"/>
        <v>7707501</v>
      </c>
      <c r="B2368" s="188" t="s">
        <v>13300</v>
      </c>
      <c r="C2368" s="188" t="s">
        <v>13301</v>
      </c>
      <c r="D2368" t="s">
        <v>13411</v>
      </c>
    </row>
    <row r="2369" spans="1:4" x14ac:dyDescent="0.25">
      <c r="A2369" s="180">
        <f t="shared" si="37"/>
        <v>7707502</v>
      </c>
      <c r="B2369" s="188" t="s">
        <v>3187</v>
      </c>
      <c r="C2369" s="188" t="s">
        <v>3188</v>
      </c>
      <c r="D2369" t="s">
        <v>13411</v>
      </c>
    </row>
    <row r="2370" spans="1:4" x14ac:dyDescent="0.25">
      <c r="A2370" s="180">
        <f t="shared" si="37"/>
        <v>7707503</v>
      </c>
      <c r="B2370" s="188" t="s">
        <v>3189</v>
      </c>
      <c r="C2370" s="188" t="s">
        <v>3190</v>
      </c>
      <c r="D2370" t="s">
        <v>13411</v>
      </c>
    </row>
    <row r="2371" spans="1:4" x14ac:dyDescent="0.25">
      <c r="A2371" s="180">
        <f t="shared" si="37"/>
        <v>7707504</v>
      </c>
      <c r="B2371" s="188" t="s">
        <v>3191</v>
      </c>
      <c r="C2371" s="188" t="s">
        <v>3192</v>
      </c>
      <c r="D2371" t="s">
        <v>13411</v>
      </c>
    </row>
    <row r="2372" spans="1:4" x14ac:dyDescent="0.25">
      <c r="A2372" s="180">
        <f t="shared" si="37"/>
        <v>7707505</v>
      </c>
      <c r="B2372" s="188" t="s">
        <v>3193</v>
      </c>
      <c r="C2372" s="188" t="s">
        <v>3194</v>
      </c>
      <c r="D2372" t="s">
        <v>13411</v>
      </c>
    </row>
    <row r="2373" spans="1:4" x14ac:dyDescent="0.25">
      <c r="A2373" s="180">
        <f t="shared" si="37"/>
        <v>7707508</v>
      </c>
      <c r="B2373" s="188" t="s">
        <v>3195</v>
      </c>
      <c r="C2373" s="188" t="s">
        <v>6949</v>
      </c>
      <c r="D2373" t="s">
        <v>13411</v>
      </c>
    </row>
    <row r="2374" spans="1:4" x14ac:dyDescent="0.25">
      <c r="A2374" s="180">
        <f t="shared" si="37"/>
        <v>7707511</v>
      </c>
      <c r="B2374" s="188" t="s">
        <v>3196</v>
      </c>
      <c r="C2374" s="189" t="s">
        <v>3197</v>
      </c>
    </row>
    <row r="2375" spans="1:4" x14ac:dyDescent="0.25">
      <c r="A2375" s="180">
        <f t="shared" si="37"/>
        <v>7707518</v>
      </c>
      <c r="B2375" s="188" t="s">
        <v>3198</v>
      </c>
      <c r="C2375" s="188" t="s">
        <v>3199</v>
      </c>
      <c r="D2375" t="s">
        <v>13411</v>
      </c>
    </row>
    <row r="2376" spans="1:4" x14ac:dyDescent="0.25">
      <c r="A2376" s="180">
        <f t="shared" si="37"/>
        <v>7707519</v>
      </c>
      <c r="B2376" s="188" t="s">
        <v>3200</v>
      </c>
      <c r="C2376" s="188" t="s">
        <v>3201</v>
      </c>
      <c r="D2376" t="s">
        <v>13411</v>
      </c>
    </row>
    <row r="2377" spans="1:4" x14ac:dyDescent="0.25">
      <c r="A2377" s="180">
        <f t="shared" si="37"/>
        <v>7707521</v>
      </c>
      <c r="B2377" s="188" t="s">
        <v>3202</v>
      </c>
      <c r="C2377" s="188" t="s">
        <v>3203</v>
      </c>
      <c r="D2377" t="s">
        <v>13411</v>
      </c>
    </row>
    <row r="2378" spans="1:4" x14ac:dyDescent="0.25">
      <c r="A2378" s="180">
        <f t="shared" si="37"/>
        <v>7707522</v>
      </c>
      <c r="B2378" s="188" t="s">
        <v>3204</v>
      </c>
      <c r="C2378" s="188" t="s">
        <v>3205</v>
      </c>
      <c r="D2378" t="s">
        <v>13411</v>
      </c>
    </row>
    <row r="2379" spans="1:4" x14ac:dyDescent="0.25">
      <c r="A2379" s="180">
        <f t="shared" si="37"/>
        <v>7707523</v>
      </c>
      <c r="B2379" s="188" t="s">
        <v>3206</v>
      </c>
      <c r="C2379" s="189" t="s">
        <v>3207</v>
      </c>
    </row>
    <row r="2380" spans="1:4" x14ac:dyDescent="0.25">
      <c r="A2380" s="180">
        <f t="shared" si="37"/>
        <v>7707524</v>
      </c>
      <c r="B2380" s="188" t="s">
        <v>3208</v>
      </c>
      <c r="C2380" s="188" t="s">
        <v>3209</v>
      </c>
      <c r="D2380" t="s">
        <v>13411</v>
      </c>
    </row>
    <row r="2381" spans="1:4" x14ac:dyDescent="0.25">
      <c r="A2381" s="180">
        <f t="shared" si="37"/>
        <v>7707525</v>
      </c>
      <c r="B2381" s="188" t="s">
        <v>3210</v>
      </c>
      <c r="C2381" s="188" t="s">
        <v>3211</v>
      </c>
      <c r="D2381" t="s">
        <v>13411</v>
      </c>
    </row>
    <row r="2382" spans="1:4" x14ac:dyDescent="0.25">
      <c r="A2382" s="180">
        <f t="shared" si="37"/>
        <v>7707526</v>
      </c>
      <c r="B2382" s="188" t="s">
        <v>3212</v>
      </c>
      <c r="C2382" s="188" t="s">
        <v>3213</v>
      </c>
    </row>
    <row r="2383" spans="1:4" x14ac:dyDescent="0.25">
      <c r="A2383" s="180">
        <f t="shared" si="37"/>
        <v>7707528</v>
      </c>
      <c r="B2383" s="188" t="s">
        <v>3214</v>
      </c>
      <c r="C2383" s="188" t="s">
        <v>3215</v>
      </c>
      <c r="D2383" t="s">
        <v>13411</v>
      </c>
    </row>
    <row r="2384" spans="1:4" x14ac:dyDescent="0.25">
      <c r="A2384" s="180">
        <f t="shared" si="37"/>
        <v>7707529</v>
      </c>
      <c r="B2384" s="188" t="s">
        <v>3216</v>
      </c>
      <c r="C2384" s="188" t="s">
        <v>3217</v>
      </c>
      <c r="D2384" t="s">
        <v>13411</v>
      </c>
    </row>
    <row r="2385" spans="1:4" x14ac:dyDescent="0.25">
      <c r="A2385" s="180">
        <f t="shared" si="37"/>
        <v>7707532</v>
      </c>
      <c r="B2385" s="188" t="s">
        <v>3218</v>
      </c>
      <c r="C2385" s="188" t="s">
        <v>3219</v>
      </c>
      <c r="D2385" t="s">
        <v>13411</v>
      </c>
    </row>
    <row r="2386" spans="1:4" x14ac:dyDescent="0.25">
      <c r="A2386" s="180">
        <f t="shared" si="37"/>
        <v>7707533</v>
      </c>
      <c r="B2386" s="188" t="s">
        <v>3220</v>
      </c>
      <c r="C2386" s="188" t="s">
        <v>3221</v>
      </c>
      <c r="D2386" t="s">
        <v>13411</v>
      </c>
    </row>
    <row r="2387" spans="1:4" x14ac:dyDescent="0.25">
      <c r="A2387" s="180">
        <f t="shared" si="37"/>
        <v>7707536</v>
      </c>
      <c r="B2387" s="188" t="s">
        <v>3222</v>
      </c>
      <c r="C2387" s="188" t="s">
        <v>3223</v>
      </c>
    </row>
    <row r="2388" spans="1:4" x14ac:dyDescent="0.25">
      <c r="A2388" s="180">
        <f t="shared" si="37"/>
        <v>7707545</v>
      </c>
      <c r="B2388" s="188" t="s">
        <v>3224</v>
      </c>
      <c r="C2388" s="188" t="s">
        <v>3225</v>
      </c>
      <c r="D2388" t="s">
        <v>13411</v>
      </c>
    </row>
    <row r="2389" spans="1:4" x14ac:dyDescent="0.25">
      <c r="A2389" s="180">
        <f t="shared" si="37"/>
        <v>7707547</v>
      </c>
      <c r="B2389" s="188" t="s">
        <v>3226</v>
      </c>
      <c r="C2389" s="188" t="s">
        <v>3227</v>
      </c>
      <c r="D2389" t="s">
        <v>13411</v>
      </c>
    </row>
    <row r="2390" spans="1:4" x14ac:dyDescent="0.25">
      <c r="A2390" s="180">
        <f t="shared" si="37"/>
        <v>7707550</v>
      </c>
      <c r="B2390" s="188" t="s">
        <v>3228</v>
      </c>
      <c r="C2390" s="188" t="s">
        <v>3229</v>
      </c>
      <c r="D2390" t="s">
        <v>13411</v>
      </c>
    </row>
    <row r="2391" spans="1:4" x14ac:dyDescent="0.25">
      <c r="A2391" s="180">
        <f t="shared" si="37"/>
        <v>7707552</v>
      </c>
      <c r="B2391" s="188" t="s">
        <v>3230</v>
      </c>
      <c r="C2391" s="188" t="s">
        <v>3231</v>
      </c>
      <c r="D2391" t="s">
        <v>13411</v>
      </c>
    </row>
    <row r="2392" spans="1:4" x14ac:dyDescent="0.25">
      <c r="A2392" s="180">
        <f t="shared" si="37"/>
        <v>7707553</v>
      </c>
      <c r="B2392" s="188" t="s">
        <v>3232</v>
      </c>
      <c r="C2392" s="188" t="s">
        <v>3233</v>
      </c>
      <c r="D2392" t="s">
        <v>13411</v>
      </c>
    </row>
    <row r="2393" spans="1:4" x14ac:dyDescent="0.25">
      <c r="A2393" s="180">
        <f t="shared" si="37"/>
        <v>7707555</v>
      </c>
      <c r="B2393" s="188" t="s">
        <v>3234</v>
      </c>
      <c r="C2393" s="188" t="s">
        <v>3235</v>
      </c>
    </row>
    <row r="2394" spans="1:4" x14ac:dyDescent="0.25">
      <c r="A2394" s="180">
        <f t="shared" si="37"/>
        <v>7707556</v>
      </c>
      <c r="B2394" s="188" t="s">
        <v>3236</v>
      </c>
      <c r="C2394" s="188" t="s">
        <v>3237</v>
      </c>
      <c r="D2394" t="s">
        <v>13411</v>
      </c>
    </row>
    <row r="2395" spans="1:4" x14ac:dyDescent="0.25">
      <c r="A2395" s="180">
        <f t="shared" si="37"/>
        <v>7707557</v>
      </c>
      <c r="B2395" s="188" t="s">
        <v>3238</v>
      </c>
      <c r="C2395" s="188" t="s">
        <v>3239</v>
      </c>
      <c r="D2395" t="s">
        <v>13411</v>
      </c>
    </row>
    <row r="2396" spans="1:4" x14ac:dyDescent="0.25">
      <c r="A2396" s="180">
        <f t="shared" si="37"/>
        <v>7707558</v>
      </c>
      <c r="B2396" s="188" t="s">
        <v>14270</v>
      </c>
      <c r="C2396" s="188" t="s">
        <v>14271</v>
      </c>
      <c r="D2396" t="s">
        <v>13411</v>
      </c>
    </row>
    <row r="2397" spans="1:4" x14ac:dyDescent="0.25">
      <c r="A2397" s="180">
        <f t="shared" si="37"/>
        <v>7707559</v>
      </c>
      <c r="B2397" s="188" t="s">
        <v>14975</v>
      </c>
      <c r="C2397" s="188" t="s">
        <v>14976</v>
      </c>
      <c r="D2397" t="s">
        <v>13411</v>
      </c>
    </row>
    <row r="2398" spans="1:4" x14ac:dyDescent="0.25">
      <c r="A2398" s="180">
        <f t="shared" si="37"/>
        <v>7707560</v>
      </c>
      <c r="B2398" s="188" t="s">
        <v>14977</v>
      </c>
      <c r="C2398" s="188" t="s">
        <v>14978</v>
      </c>
      <c r="D2398" t="s">
        <v>13411</v>
      </c>
    </row>
    <row r="2399" spans="1:4" x14ac:dyDescent="0.25">
      <c r="A2399" s="180">
        <f t="shared" si="37"/>
        <v>7707561</v>
      </c>
      <c r="B2399" s="188" t="s">
        <v>14979</v>
      </c>
      <c r="C2399" s="189" t="s">
        <v>14980</v>
      </c>
      <c r="D2399" t="s">
        <v>13411</v>
      </c>
    </row>
    <row r="2400" spans="1:4" x14ac:dyDescent="0.25">
      <c r="A2400" s="180">
        <f t="shared" si="37"/>
        <v>7707562</v>
      </c>
      <c r="B2400" s="188" t="s">
        <v>3240</v>
      </c>
      <c r="C2400" s="188" t="s">
        <v>3241</v>
      </c>
      <c r="D2400" t="s">
        <v>13411</v>
      </c>
    </row>
    <row r="2401" spans="1:4" x14ac:dyDescent="0.25">
      <c r="A2401" s="180">
        <f t="shared" si="37"/>
        <v>7707563</v>
      </c>
      <c r="B2401" s="188" t="s">
        <v>3242</v>
      </c>
      <c r="C2401" s="188" t="s">
        <v>3243</v>
      </c>
      <c r="D2401" t="s">
        <v>13411</v>
      </c>
    </row>
    <row r="2402" spans="1:4" x14ac:dyDescent="0.25">
      <c r="A2402" s="180">
        <f t="shared" si="37"/>
        <v>7707565</v>
      </c>
      <c r="B2402" s="188" t="s">
        <v>3244</v>
      </c>
      <c r="C2402" s="188" t="s">
        <v>3245</v>
      </c>
    </row>
    <row r="2403" spans="1:4" x14ac:dyDescent="0.25">
      <c r="A2403" s="180">
        <f t="shared" si="37"/>
        <v>7707566</v>
      </c>
      <c r="B2403" s="188" t="s">
        <v>3246</v>
      </c>
      <c r="C2403" s="188" t="s">
        <v>3247</v>
      </c>
      <c r="D2403" t="s">
        <v>13411</v>
      </c>
    </row>
    <row r="2404" spans="1:4" x14ac:dyDescent="0.25">
      <c r="A2404" s="180">
        <f t="shared" si="37"/>
        <v>7707567</v>
      </c>
      <c r="B2404" s="188" t="s">
        <v>3248</v>
      </c>
      <c r="C2404" s="188" t="s">
        <v>3249</v>
      </c>
      <c r="D2404" t="s">
        <v>13411</v>
      </c>
    </row>
    <row r="2405" spans="1:4" x14ac:dyDescent="0.25">
      <c r="A2405" s="180">
        <f t="shared" si="37"/>
        <v>7707568</v>
      </c>
      <c r="B2405" s="188" t="s">
        <v>3250</v>
      </c>
      <c r="C2405" s="188" t="s">
        <v>3251</v>
      </c>
      <c r="D2405" t="s">
        <v>13411</v>
      </c>
    </row>
    <row r="2406" spans="1:4" x14ac:dyDescent="0.25">
      <c r="A2406" s="180">
        <f t="shared" si="37"/>
        <v>7707569</v>
      </c>
      <c r="B2406" s="188" t="s">
        <v>3252</v>
      </c>
      <c r="C2406" s="188" t="s">
        <v>13900</v>
      </c>
      <c r="D2406" t="s">
        <v>13411</v>
      </c>
    </row>
    <row r="2407" spans="1:4" x14ac:dyDescent="0.25">
      <c r="A2407" s="180">
        <f t="shared" si="37"/>
        <v>7707570</v>
      </c>
      <c r="B2407" s="188" t="s">
        <v>3253</v>
      </c>
      <c r="C2407" s="188" t="s">
        <v>3254</v>
      </c>
      <c r="D2407" t="s">
        <v>13411</v>
      </c>
    </row>
    <row r="2408" spans="1:4" x14ac:dyDescent="0.25">
      <c r="A2408" s="180">
        <f t="shared" si="37"/>
        <v>7707571</v>
      </c>
      <c r="B2408" s="188" t="s">
        <v>3255</v>
      </c>
      <c r="C2408" s="188" t="s">
        <v>3256</v>
      </c>
      <c r="D2408" t="s">
        <v>13411</v>
      </c>
    </row>
    <row r="2409" spans="1:4" x14ac:dyDescent="0.25">
      <c r="A2409" s="180">
        <f t="shared" si="37"/>
        <v>7707572</v>
      </c>
      <c r="B2409" s="188" t="s">
        <v>3257</v>
      </c>
      <c r="C2409" s="188" t="s">
        <v>3258</v>
      </c>
      <c r="D2409" t="s">
        <v>13411</v>
      </c>
    </row>
    <row r="2410" spans="1:4" x14ac:dyDescent="0.25">
      <c r="A2410" s="180">
        <f t="shared" si="37"/>
        <v>7707579</v>
      </c>
      <c r="B2410" s="188" t="s">
        <v>13302</v>
      </c>
      <c r="C2410" s="188" t="s">
        <v>13901</v>
      </c>
      <c r="D2410" t="s">
        <v>13411</v>
      </c>
    </row>
    <row r="2411" spans="1:4" x14ac:dyDescent="0.25">
      <c r="A2411" s="180">
        <f t="shared" si="37"/>
        <v>7707582</v>
      </c>
      <c r="B2411" s="188" t="s">
        <v>3259</v>
      </c>
      <c r="C2411" s="188" t="s">
        <v>3260</v>
      </c>
      <c r="D2411" t="s">
        <v>13411</v>
      </c>
    </row>
    <row r="2412" spans="1:4" x14ac:dyDescent="0.25">
      <c r="A2412" s="180">
        <f t="shared" si="37"/>
        <v>7707583</v>
      </c>
      <c r="B2412" s="188" t="s">
        <v>3261</v>
      </c>
      <c r="C2412" s="188" t="s">
        <v>3262</v>
      </c>
      <c r="D2412" t="s">
        <v>13411</v>
      </c>
    </row>
    <row r="2413" spans="1:4" x14ac:dyDescent="0.25">
      <c r="A2413" s="180">
        <f t="shared" si="37"/>
        <v>7707584</v>
      </c>
      <c r="B2413" s="188" t="s">
        <v>3263</v>
      </c>
      <c r="C2413" s="188" t="s">
        <v>3264</v>
      </c>
    </row>
    <row r="2414" spans="1:4" x14ac:dyDescent="0.25">
      <c r="A2414" s="180">
        <f t="shared" si="37"/>
        <v>7707585</v>
      </c>
      <c r="B2414" s="188" t="s">
        <v>13303</v>
      </c>
      <c r="C2414" s="188" t="s">
        <v>13304</v>
      </c>
      <c r="D2414" t="s">
        <v>13411</v>
      </c>
    </row>
    <row r="2415" spans="1:4" x14ac:dyDescent="0.25">
      <c r="A2415" s="180">
        <f t="shared" si="37"/>
        <v>7707586</v>
      </c>
      <c r="B2415" s="188" t="s">
        <v>3265</v>
      </c>
      <c r="C2415" s="188" t="s">
        <v>3266</v>
      </c>
      <c r="D2415" t="s">
        <v>13411</v>
      </c>
    </row>
    <row r="2416" spans="1:4" x14ac:dyDescent="0.25">
      <c r="A2416" s="180">
        <f t="shared" si="37"/>
        <v>7707589</v>
      </c>
      <c r="B2416" s="188" t="s">
        <v>13902</v>
      </c>
      <c r="C2416" s="188" t="s">
        <v>13903</v>
      </c>
      <c r="D2416" t="s">
        <v>13411</v>
      </c>
    </row>
    <row r="2417" spans="1:4" x14ac:dyDescent="0.25">
      <c r="A2417" s="180">
        <f t="shared" si="37"/>
        <v>7707599</v>
      </c>
      <c r="B2417" s="188" t="s">
        <v>13904</v>
      </c>
      <c r="C2417" s="188" t="s">
        <v>13905</v>
      </c>
      <c r="D2417" t="s">
        <v>13411</v>
      </c>
    </row>
    <row r="2418" spans="1:4" x14ac:dyDescent="0.25">
      <c r="A2418" s="180">
        <f t="shared" si="37"/>
        <v>7707650</v>
      </c>
      <c r="B2418" s="188" t="s">
        <v>3267</v>
      </c>
      <c r="C2418" s="189" t="s">
        <v>3268</v>
      </c>
    </row>
    <row r="2419" spans="1:4" x14ac:dyDescent="0.25">
      <c r="A2419" s="180">
        <f t="shared" si="37"/>
        <v>7707670</v>
      </c>
      <c r="B2419" s="188" t="s">
        <v>3269</v>
      </c>
      <c r="C2419" s="188" t="s">
        <v>3270</v>
      </c>
    </row>
    <row r="2420" spans="1:4" x14ac:dyDescent="0.25">
      <c r="A2420" s="180">
        <f t="shared" si="37"/>
        <v>7707671</v>
      </c>
      <c r="B2420" s="188" t="s">
        <v>3271</v>
      </c>
      <c r="C2420" s="188" t="s">
        <v>3272</v>
      </c>
    </row>
    <row r="2421" spans="1:4" x14ac:dyDescent="0.25">
      <c r="A2421" s="180">
        <f t="shared" si="37"/>
        <v>7707672</v>
      </c>
      <c r="B2421" s="188" t="s">
        <v>3273</v>
      </c>
      <c r="C2421" s="188" t="s">
        <v>3274</v>
      </c>
    </row>
    <row r="2422" spans="1:4" x14ac:dyDescent="0.25">
      <c r="A2422" s="180">
        <f t="shared" si="37"/>
        <v>7707701</v>
      </c>
      <c r="B2422" s="188" t="s">
        <v>3275</v>
      </c>
      <c r="C2422" s="189" t="s">
        <v>3276</v>
      </c>
    </row>
    <row r="2423" spans="1:4" x14ac:dyDescent="0.25">
      <c r="A2423" s="180">
        <f t="shared" si="37"/>
        <v>7707702</v>
      </c>
      <c r="B2423" s="188" t="s">
        <v>3277</v>
      </c>
      <c r="C2423" s="188" t="s">
        <v>3278</v>
      </c>
      <c r="D2423" t="s">
        <v>13411</v>
      </c>
    </row>
    <row r="2424" spans="1:4" x14ac:dyDescent="0.25">
      <c r="A2424" s="180">
        <f t="shared" si="37"/>
        <v>7707710</v>
      </c>
      <c r="B2424" s="188" t="s">
        <v>3279</v>
      </c>
      <c r="C2424" s="188" t="s">
        <v>3280</v>
      </c>
      <c r="D2424" t="s">
        <v>13411</v>
      </c>
    </row>
    <row r="2425" spans="1:4" x14ac:dyDescent="0.25">
      <c r="A2425" s="180">
        <f t="shared" si="37"/>
        <v>7707711</v>
      </c>
      <c r="B2425" s="188" t="s">
        <v>3281</v>
      </c>
      <c r="C2425" s="188" t="s">
        <v>3282</v>
      </c>
    </row>
    <row r="2426" spans="1:4" x14ac:dyDescent="0.25">
      <c r="A2426" s="180">
        <f t="shared" si="37"/>
        <v>7707712</v>
      </c>
      <c r="B2426" s="188" t="s">
        <v>3283</v>
      </c>
      <c r="C2426" s="188" t="s">
        <v>3284</v>
      </c>
      <c r="D2426" t="s">
        <v>13411</v>
      </c>
    </row>
    <row r="2427" spans="1:4" x14ac:dyDescent="0.25">
      <c r="A2427" s="180">
        <f t="shared" si="37"/>
        <v>7707713</v>
      </c>
      <c r="B2427" s="188" t="s">
        <v>3285</v>
      </c>
      <c r="C2427" s="188" t="s">
        <v>3286</v>
      </c>
    </row>
    <row r="2428" spans="1:4" x14ac:dyDescent="0.25">
      <c r="A2428" s="180">
        <f t="shared" si="37"/>
        <v>7707714</v>
      </c>
      <c r="B2428" s="188" t="s">
        <v>3287</v>
      </c>
      <c r="C2428" s="188" t="s">
        <v>3288</v>
      </c>
      <c r="D2428" t="s">
        <v>13411</v>
      </c>
    </row>
    <row r="2429" spans="1:4" x14ac:dyDescent="0.25">
      <c r="A2429" s="180">
        <f t="shared" si="37"/>
        <v>7707715</v>
      </c>
      <c r="B2429" s="188" t="s">
        <v>12684</v>
      </c>
      <c r="C2429" s="188" t="s">
        <v>12685</v>
      </c>
      <c r="D2429" t="s">
        <v>13411</v>
      </c>
    </row>
    <row r="2430" spans="1:4" x14ac:dyDescent="0.25">
      <c r="A2430" s="180">
        <f t="shared" si="37"/>
        <v>7707716</v>
      </c>
      <c r="B2430" s="188" t="s">
        <v>3289</v>
      </c>
      <c r="C2430" s="188" t="s">
        <v>3290</v>
      </c>
    </row>
    <row r="2431" spans="1:4" x14ac:dyDescent="0.25">
      <c r="A2431" s="180" t="str">
        <f t="shared" ref="A2431:A2494" si="38">IFERROR(B2431*1,"")</f>
        <v/>
      </c>
      <c r="B2431" s="188" t="s">
        <v>13091</v>
      </c>
      <c r="C2431" s="188"/>
    </row>
    <row r="2432" spans="1:4" x14ac:dyDescent="0.25">
      <c r="A2432" s="180">
        <f t="shared" si="38"/>
        <v>7707718</v>
      </c>
      <c r="B2432" s="188" t="s">
        <v>15074</v>
      </c>
      <c r="C2432" s="188" t="s">
        <v>15075</v>
      </c>
      <c r="D2432" t="s">
        <v>13411</v>
      </c>
    </row>
    <row r="2433" spans="1:4" x14ac:dyDescent="0.25">
      <c r="A2433" s="180">
        <f t="shared" si="38"/>
        <v>7707722</v>
      </c>
      <c r="B2433" s="188" t="s">
        <v>3291</v>
      </c>
      <c r="C2433" s="188" t="s">
        <v>3292</v>
      </c>
    </row>
    <row r="2434" spans="1:4" x14ac:dyDescent="0.25">
      <c r="A2434" s="180">
        <f t="shared" si="38"/>
        <v>7707727</v>
      </c>
      <c r="B2434" s="188" t="s">
        <v>13964</v>
      </c>
      <c r="C2434" s="188" t="s">
        <v>13965</v>
      </c>
    </row>
    <row r="2435" spans="1:4" x14ac:dyDescent="0.25">
      <c r="A2435" s="180">
        <f t="shared" si="38"/>
        <v>7707728</v>
      </c>
      <c r="B2435" s="188" t="s">
        <v>13966</v>
      </c>
      <c r="C2435" s="188" t="s">
        <v>13967</v>
      </c>
    </row>
    <row r="2436" spans="1:4" x14ac:dyDescent="0.25">
      <c r="A2436" s="180">
        <f t="shared" si="38"/>
        <v>7707756</v>
      </c>
      <c r="B2436" s="188" t="s">
        <v>3293</v>
      </c>
      <c r="C2436" s="188" t="s">
        <v>3294</v>
      </c>
    </row>
    <row r="2437" spans="1:4" x14ac:dyDescent="0.25">
      <c r="A2437" s="180">
        <f t="shared" si="38"/>
        <v>7707757</v>
      </c>
      <c r="B2437" s="188" t="s">
        <v>3295</v>
      </c>
      <c r="C2437" s="188" t="s">
        <v>3296</v>
      </c>
    </row>
    <row r="2438" spans="1:4" x14ac:dyDescent="0.25">
      <c r="A2438" s="180">
        <f t="shared" si="38"/>
        <v>7707758</v>
      </c>
      <c r="B2438" s="188" t="s">
        <v>3297</v>
      </c>
      <c r="C2438" s="188" t="s">
        <v>3298</v>
      </c>
      <c r="D2438" t="s">
        <v>13411</v>
      </c>
    </row>
    <row r="2439" spans="1:4" x14ac:dyDescent="0.25">
      <c r="A2439" s="180">
        <f t="shared" si="38"/>
        <v>7707759</v>
      </c>
      <c r="B2439" s="188" t="s">
        <v>13467</v>
      </c>
      <c r="C2439" s="188" t="s">
        <v>13468</v>
      </c>
      <c r="D2439" t="s">
        <v>13411</v>
      </c>
    </row>
    <row r="2440" spans="1:4" x14ac:dyDescent="0.25">
      <c r="A2440" s="180">
        <f t="shared" si="38"/>
        <v>7707760</v>
      </c>
      <c r="B2440" s="188" t="s">
        <v>14981</v>
      </c>
      <c r="C2440" s="188" t="s">
        <v>14982</v>
      </c>
      <c r="D2440" t="s">
        <v>13411</v>
      </c>
    </row>
    <row r="2441" spans="1:4" x14ac:dyDescent="0.25">
      <c r="A2441" s="180">
        <f t="shared" si="38"/>
        <v>7707770</v>
      </c>
      <c r="B2441" s="188" t="s">
        <v>14983</v>
      </c>
      <c r="C2441" s="188" t="s">
        <v>14984</v>
      </c>
      <c r="D2441" t="s">
        <v>13411</v>
      </c>
    </row>
    <row r="2442" spans="1:4" x14ac:dyDescent="0.25">
      <c r="A2442" s="180">
        <f t="shared" si="38"/>
        <v>7707784</v>
      </c>
      <c r="B2442" s="188" t="s">
        <v>3299</v>
      </c>
      <c r="C2442" s="188" t="s">
        <v>3300</v>
      </c>
      <c r="D2442" t="s">
        <v>13411</v>
      </c>
    </row>
    <row r="2443" spans="1:4" x14ac:dyDescent="0.25">
      <c r="A2443" s="180">
        <f t="shared" si="38"/>
        <v>7707800</v>
      </c>
      <c r="B2443" s="188" t="s">
        <v>13469</v>
      </c>
      <c r="C2443" s="188" t="s">
        <v>13470</v>
      </c>
      <c r="D2443" t="s">
        <v>13411</v>
      </c>
    </row>
    <row r="2444" spans="1:4" x14ac:dyDescent="0.25">
      <c r="A2444" s="180">
        <f t="shared" si="38"/>
        <v>7707827</v>
      </c>
      <c r="B2444" s="188" t="s">
        <v>14506</v>
      </c>
      <c r="C2444" s="188" t="s">
        <v>14507</v>
      </c>
    </row>
    <row r="2445" spans="1:4" x14ac:dyDescent="0.25">
      <c r="A2445" s="180">
        <f t="shared" si="38"/>
        <v>7707828</v>
      </c>
      <c r="B2445" s="188" t="s">
        <v>13092</v>
      </c>
      <c r="C2445" s="188" t="s">
        <v>13093</v>
      </c>
    </row>
    <row r="2446" spans="1:4" x14ac:dyDescent="0.25">
      <c r="A2446" s="180">
        <f t="shared" si="38"/>
        <v>7707829</v>
      </c>
      <c r="B2446" s="188" t="s">
        <v>12816</v>
      </c>
      <c r="C2446" s="188" t="s">
        <v>12817</v>
      </c>
    </row>
    <row r="2447" spans="1:4" x14ac:dyDescent="0.25">
      <c r="A2447" s="180">
        <f t="shared" si="38"/>
        <v>7707830</v>
      </c>
      <c r="B2447" s="188" t="s">
        <v>12818</v>
      </c>
      <c r="C2447" s="188" t="s">
        <v>12819</v>
      </c>
      <c r="D2447" t="s">
        <v>13411</v>
      </c>
    </row>
    <row r="2448" spans="1:4" x14ac:dyDescent="0.25">
      <c r="A2448" s="180">
        <f t="shared" si="38"/>
        <v>7707831</v>
      </c>
      <c r="B2448" s="188" t="s">
        <v>3301</v>
      </c>
      <c r="C2448" s="188" t="s">
        <v>3302</v>
      </c>
    </row>
    <row r="2449" spans="1:4" x14ac:dyDescent="0.25">
      <c r="A2449" s="180">
        <f t="shared" si="38"/>
        <v>7707832</v>
      </c>
      <c r="B2449" s="188" t="s">
        <v>3303</v>
      </c>
      <c r="C2449" s="188" t="s">
        <v>3304</v>
      </c>
    </row>
    <row r="2450" spans="1:4" x14ac:dyDescent="0.25">
      <c r="A2450" s="180">
        <f t="shared" si="38"/>
        <v>7707833</v>
      </c>
      <c r="B2450" s="188" t="s">
        <v>6950</v>
      </c>
      <c r="C2450" s="188" t="s">
        <v>6951</v>
      </c>
    </row>
    <row r="2451" spans="1:4" x14ac:dyDescent="0.25">
      <c r="A2451" s="180">
        <f t="shared" si="38"/>
        <v>7707834</v>
      </c>
      <c r="B2451" s="188" t="s">
        <v>6952</v>
      </c>
      <c r="C2451" s="188" t="s">
        <v>6953</v>
      </c>
      <c r="D2451" t="s">
        <v>13411</v>
      </c>
    </row>
    <row r="2452" spans="1:4" x14ac:dyDescent="0.25">
      <c r="A2452" s="180">
        <f t="shared" si="38"/>
        <v>7707835</v>
      </c>
      <c r="B2452" s="188" t="s">
        <v>3305</v>
      </c>
      <c r="C2452" s="188" t="s">
        <v>3306</v>
      </c>
    </row>
    <row r="2453" spans="1:4" x14ac:dyDescent="0.25">
      <c r="A2453" s="180">
        <f t="shared" si="38"/>
        <v>7707836</v>
      </c>
      <c r="B2453" s="188" t="s">
        <v>12820</v>
      </c>
      <c r="C2453" s="188" t="s">
        <v>12821</v>
      </c>
      <c r="D2453" t="s">
        <v>13411</v>
      </c>
    </row>
    <row r="2454" spans="1:4" x14ac:dyDescent="0.25">
      <c r="A2454" s="180">
        <f t="shared" si="38"/>
        <v>7707837</v>
      </c>
      <c r="B2454" s="188" t="s">
        <v>12822</v>
      </c>
      <c r="C2454" s="188" t="s">
        <v>13305</v>
      </c>
      <c r="D2454" t="s">
        <v>13411</v>
      </c>
    </row>
    <row r="2455" spans="1:4" x14ac:dyDescent="0.25">
      <c r="A2455" s="180">
        <f t="shared" si="38"/>
        <v>7707900</v>
      </c>
      <c r="B2455" s="188" t="s">
        <v>3307</v>
      </c>
      <c r="C2455" s="188" t="s">
        <v>3308</v>
      </c>
      <c r="D2455" t="s">
        <v>13411</v>
      </c>
    </row>
    <row r="2456" spans="1:4" x14ac:dyDescent="0.25">
      <c r="A2456" s="180">
        <f t="shared" si="38"/>
        <v>7707901</v>
      </c>
      <c r="B2456" s="188" t="s">
        <v>12823</v>
      </c>
      <c r="C2456" s="188" t="s">
        <v>12824</v>
      </c>
      <c r="D2456" t="s">
        <v>13411</v>
      </c>
    </row>
    <row r="2457" spans="1:4" x14ac:dyDescent="0.25">
      <c r="A2457" s="180">
        <f t="shared" si="38"/>
        <v>7707922</v>
      </c>
      <c r="B2457" s="188" t="s">
        <v>3309</v>
      </c>
      <c r="C2457" s="188" t="s">
        <v>3310</v>
      </c>
      <c r="D2457" t="s">
        <v>13411</v>
      </c>
    </row>
    <row r="2458" spans="1:4" x14ac:dyDescent="0.25">
      <c r="A2458" s="180">
        <f t="shared" si="38"/>
        <v>7707923</v>
      </c>
      <c r="B2458" s="188" t="s">
        <v>3311</v>
      </c>
      <c r="C2458" s="188" t="s">
        <v>3312</v>
      </c>
      <c r="D2458" t="s">
        <v>13411</v>
      </c>
    </row>
    <row r="2459" spans="1:4" x14ac:dyDescent="0.25">
      <c r="A2459" s="180">
        <f t="shared" si="38"/>
        <v>7707924</v>
      </c>
      <c r="B2459" s="188" t="s">
        <v>3313</v>
      </c>
      <c r="C2459" s="188" t="s">
        <v>3314</v>
      </c>
      <c r="D2459" t="s">
        <v>13411</v>
      </c>
    </row>
    <row r="2460" spans="1:4" x14ac:dyDescent="0.25">
      <c r="A2460" s="180">
        <f t="shared" si="38"/>
        <v>7707936</v>
      </c>
      <c r="B2460" s="188" t="s">
        <v>3315</v>
      </c>
      <c r="C2460" s="188" t="s">
        <v>3316</v>
      </c>
    </row>
    <row r="2461" spans="1:4" x14ac:dyDescent="0.25">
      <c r="A2461" s="180">
        <f t="shared" si="38"/>
        <v>7707940</v>
      </c>
      <c r="B2461" s="188" t="s">
        <v>3317</v>
      </c>
      <c r="C2461" s="188" t="s">
        <v>3318</v>
      </c>
      <c r="D2461" t="s">
        <v>13411</v>
      </c>
    </row>
    <row r="2462" spans="1:4" x14ac:dyDescent="0.25">
      <c r="A2462" s="180">
        <f t="shared" si="38"/>
        <v>7707949</v>
      </c>
      <c r="B2462" s="188" t="s">
        <v>3319</v>
      </c>
      <c r="C2462" s="188" t="s">
        <v>14985</v>
      </c>
      <c r="D2462" t="s">
        <v>13411</v>
      </c>
    </row>
    <row r="2463" spans="1:4" x14ac:dyDescent="0.25">
      <c r="A2463" s="180">
        <f t="shared" si="38"/>
        <v>7707950</v>
      </c>
      <c r="B2463" s="188" t="s">
        <v>3320</v>
      </c>
      <c r="C2463" s="188" t="s">
        <v>3321</v>
      </c>
      <c r="D2463" t="s">
        <v>13411</v>
      </c>
    </row>
    <row r="2464" spans="1:4" x14ac:dyDescent="0.25">
      <c r="A2464" s="180">
        <f t="shared" si="38"/>
        <v>7707952</v>
      </c>
      <c r="B2464" s="188" t="s">
        <v>3322</v>
      </c>
      <c r="C2464" s="188" t="s">
        <v>3323</v>
      </c>
      <c r="D2464" t="s">
        <v>13411</v>
      </c>
    </row>
    <row r="2465" spans="1:4" x14ac:dyDescent="0.25">
      <c r="A2465" s="180">
        <f t="shared" si="38"/>
        <v>7707953</v>
      </c>
      <c r="B2465" s="188" t="s">
        <v>3324</v>
      </c>
      <c r="C2465" s="188" t="s">
        <v>3325</v>
      </c>
      <c r="D2465" t="s">
        <v>13411</v>
      </c>
    </row>
    <row r="2466" spans="1:4" x14ac:dyDescent="0.25">
      <c r="A2466" s="180">
        <f t="shared" si="38"/>
        <v>7707980</v>
      </c>
      <c r="B2466" s="188" t="s">
        <v>3326</v>
      </c>
      <c r="C2466" s="188" t="s">
        <v>3327</v>
      </c>
      <c r="D2466" t="s">
        <v>13411</v>
      </c>
    </row>
    <row r="2467" spans="1:4" x14ac:dyDescent="0.25">
      <c r="A2467" s="180">
        <f t="shared" si="38"/>
        <v>7707987</v>
      </c>
      <c r="B2467" s="188" t="s">
        <v>3328</v>
      </c>
      <c r="C2467" s="188" t="s">
        <v>3329</v>
      </c>
      <c r="D2467" t="s">
        <v>13411</v>
      </c>
    </row>
    <row r="2468" spans="1:4" x14ac:dyDescent="0.25">
      <c r="A2468" s="180">
        <f t="shared" si="38"/>
        <v>7707988</v>
      </c>
      <c r="B2468" s="188" t="s">
        <v>3330</v>
      </c>
      <c r="C2468" s="188" t="s">
        <v>3331</v>
      </c>
    </row>
    <row r="2469" spans="1:4" x14ac:dyDescent="0.25">
      <c r="A2469" s="180">
        <f t="shared" si="38"/>
        <v>7707989</v>
      </c>
      <c r="B2469" s="188" t="s">
        <v>3332</v>
      </c>
      <c r="C2469" s="188" t="s">
        <v>3333</v>
      </c>
      <c r="D2469" t="s">
        <v>13411</v>
      </c>
    </row>
    <row r="2470" spans="1:4" x14ac:dyDescent="0.25">
      <c r="A2470" s="180">
        <f t="shared" si="38"/>
        <v>7709000</v>
      </c>
      <c r="B2470" s="188" t="s">
        <v>3334</v>
      </c>
      <c r="C2470" s="188" t="s">
        <v>3335</v>
      </c>
      <c r="D2470" t="s">
        <v>13411</v>
      </c>
    </row>
    <row r="2471" spans="1:4" x14ac:dyDescent="0.25">
      <c r="A2471" s="180">
        <f t="shared" si="38"/>
        <v>7709001</v>
      </c>
      <c r="B2471" s="188" t="s">
        <v>3336</v>
      </c>
      <c r="C2471" s="188" t="s">
        <v>13306</v>
      </c>
    </row>
    <row r="2472" spans="1:4" x14ac:dyDescent="0.25">
      <c r="A2472" s="180">
        <f t="shared" si="38"/>
        <v>7709002</v>
      </c>
      <c r="B2472" s="188" t="s">
        <v>3337</v>
      </c>
      <c r="C2472" s="188" t="s">
        <v>3338</v>
      </c>
    </row>
    <row r="2473" spans="1:4" x14ac:dyDescent="0.25">
      <c r="A2473" s="180">
        <f t="shared" si="38"/>
        <v>7709003</v>
      </c>
      <c r="B2473" s="188" t="s">
        <v>3339</v>
      </c>
      <c r="C2473" s="188" t="s">
        <v>3340</v>
      </c>
    </row>
    <row r="2474" spans="1:4" x14ac:dyDescent="0.25">
      <c r="A2474" s="180">
        <f t="shared" si="38"/>
        <v>7709004</v>
      </c>
      <c r="B2474" s="188" t="s">
        <v>3341</v>
      </c>
      <c r="C2474" s="188" t="s">
        <v>3342</v>
      </c>
    </row>
    <row r="2475" spans="1:4" x14ac:dyDescent="0.25">
      <c r="A2475" s="180">
        <f t="shared" si="38"/>
        <v>7709005</v>
      </c>
      <c r="B2475" s="188" t="s">
        <v>3343</v>
      </c>
      <c r="C2475" s="188" t="s">
        <v>3344</v>
      </c>
    </row>
    <row r="2476" spans="1:4" x14ac:dyDescent="0.25">
      <c r="A2476" s="180" t="str">
        <f t="shared" si="38"/>
        <v/>
      </c>
      <c r="B2476" s="188" t="s">
        <v>13094</v>
      </c>
      <c r="C2476" s="188"/>
    </row>
    <row r="2477" spans="1:4" x14ac:dyDescent="0.25">
      <c r="A2477" s="180">
        <f t="shared" si="38"/>
        <v>7709006</v>
      </c>
      <c r="B2477" s="188" t="s">
        <v>3345</v>
      </c>
      <c r="C2477" s="188" t="s">
        <v>3346</v>
      </c>
    </row>
    <row r="2478" spans="1:4" x14ac:dyDescent="0.25">
      <c r="A2478" s="180" t="str">
        <f t="shared" si="38"/>
        <v/>
      </c>
      <c r="B2478" s="188" t="s">
        <v>13095</v>
      </c>
      <c r="C2478" s="188"/>
    </row>
    <row r="2479" spans="1:4" x14ac:dyDescent="0.25">
      <c r="A2479" s="180">
        <f t="shared" si="38"/>
        <v>7709007</v>
      </c>
      <c r="B2479" s="188" t="s">
        <v>3347</v>
      </c>
      <c r="C2479" s="188" t="s">
        <v>3348</v>
      </c>
    </row>
    <row r="2480" spans="1:4" x14ac:dyDescent="0.25">
      <c r="A2480" s="180">
        <f t="shared" si="38"/>
        <v>7709008</v>
      </c>
      <c r="B2480" s="188" t="s">
        <v>3349</v>
      </c>
      <c r="C2480" s="188" t="s">
        <v>13307</v>
      </c>
    </row>
    <row r="2481" spans="1:4" x14ac:dyDescent="0.25">
      <c r="A2481" s="180">
        <f t="shared" si="38"/>
        <v>7709009</v>
      </c>
      <c r="B2481" s="188" t="s">
        <v>6954</v>
      </c>
      <c r="C2481" s="188" t="s">
        <v>6955</v>
      </c>
    </row>
    <row r="2482" spans="1:4" x14ac:dyDescent="0.25">
      <c r="A2482" s="180">
        <f t="shared" si="38"/>
        <v>7709010</v>
      </c>
      <c r="B2482" s="188" t="s">
        <v>3350</v>
      </c>
      <c r="C2482" s="188" t="s">
        <v>3351</v>
      </c>
    </row>
    <row r="2483" spans="1:4" x14ac:dyDescent="0.25">
      <c r="A2483" s="180">
        <f t="shared" si="38"/>
        <v>7709011</v>
      </c>
      <c r="B2483" s="188" t="s">
        <v>12825</v>
      </c>
      <c r="C2483" s="188" t="s">
        <v>12826</v>
      </c>
      <c r="D2483" t="s">
        <v>13411</v>
      </c>
    </row>
    <row r="2484" spans="1:4" x14ac:dyDescent="0.25">
      <c r="A2484" s="180">
        <f t="shared" si="38"/>
        <v>7709012</v>
      </c>
      <c r="B2484" s="188" t="s">
        <v>12827</v>
      </c>
      <c r="C2484" s="188" t="s">
        <v>12828</v>
      </c>
    </row>
    <row r="2485" spans="1:4" x14ac:dyDescent="0.25">
      <c r="A2485" s="180">
        <f t="shared" si="38"/>
        <v>7709013</v>
      </c>
      <c r="B2485" s="188" t="s">
        <v>3352</v>
      </c>
      <c r="C2485" s="189" t="s">
        <v>3353</v>
      </c>
      <c r="D2485" t="s">
        <v>13411</v>
      </c>
    </row>
    <row r="2486" spans="1:4" x14ac:dyDescent="0.25">
      <c r="A2486" s="180">
        <f t="shared" si="38"/>
        <v>7709014</v>
      </c>
      <c r="B2486" s="188" t="s">
        <v>3354</v>
      </c>
      <c r="C2486" s="188" t="s">
        <v>3355</v>
      </c>
      <c r="D2486" t="s">
        <v>13411</v>
      </c>
    </row>
    <row r="2487" spans="1:4" x14ac:dyDescent="0.25">
      <c r="A2487" s="180">
        <f t="shared" si="38"/>
        <v>7709015</v>
      </c>
      <c r="B2487" s="188" t="s">
        <v>3356</v>
      </c>
      <c r="C2487" s="188" t="s">
        <v>3357</v>
      </c>
      <c r="D2487" t="s">
        <v>13411</v>
      </c>
    </row>
    <row r="2488" spans="1:4" x14ac:dyDescent="0.25">
      <c r="A2488" s="180">
        <f t="shared" si="38"/>
        <v>7709016</v>
      </c>
      <c r="B2488" s="188" t="s">
        <v>3358</v>
      </c>
      <c r="C2488" s="188" t="s">
        <v>3359</v>
      </c>
      <c r="D2488" t="s">
        <v>13411</v>
      </c>
    </row>
    <row r="2489" spans="1:4" x14ac:dyDescent="0.25">
      <c r="A2489" s="180">
        <f t="shared" si="38"/>
        <v>7709017</v>
      </c>
      <c r="B2489" s="188" t="s">
        <v>3360</v>
      </c>
      <c r="C2489" s="188" t="s">
        <v>3361</v>
      </c>
      <c r="D2489" t="s">
        <v>13411</v>
      </c>
    </row>
    <row r="2490" spans="1:4" x14ac:dyDescent="0.25">
      <c r="A2490" s="180">
        <f t="shared" si="38"/>
        <v>7709018</v>
      </c>
      <c r="B2490" s="188" t="s">
        <v>3362</v>
      </c>
      <c r="C2490" s="188" t="s">
        <v>3363</v>
      </c>
    </row>
    <row r="2491" spans="1:4" x14ac:dyDescent="0.25">
      <c r="A2491" s="180">
        <f t="shared" si="38"/>
        <v>7709019</v>
      </c>
      <c r="B2491" s="188" t="s">
        <v>3364</v>
      </c>
      <c r="C2491" s="188" t="s">
        <v>3365</v>
      </c>
    </row>
    <row r="2492" spans="1:4" x14ac:dyDescent="0.25">
      <c r="A2492" s="180">
        <f t="shared" si="38"/>
        <v>7709020</v>
      </c>
      <c r="B2492" s="188" t="s">
        <v>3366</v>
      </c>
      <c r="C2492" s="188" t="s">
        <v>3367</v>
      </c>
    </row>
    <row r="2493" spans="1:4" x14ac:dyDescent="0.25">
      <c r="A2493" s="180">
        <f t="shared" si="38"/>
        <v>7709021</v>
      </c>
      <c r="B2493" s="188" t="s">
        <v>3368</v>
      </c>
      <c r="C2493" s="188" t="s">
        <v>3369</v>
      </c>
      <c r="D2493" t="s">
        <v>13411</v>
      </c>
    </row>
    <row r="2494" spans="1:4" x14ac:dyDescent="0.25">
      <c r="A2494" s="180">
        <f t="shared" si="38"/>
        <v>7709022</v>
      </c>
      <c r="B2494" s="188" t="s">
        <v>3370</v>
      </c>
      <c r="C2494" s="188" t="s">
        <v>3371</v>
      </c>
    </row>
    <row r="2495" spans="1:4" x14ac:dyDescent="0.25">
      <c r="A2495" s="180">
        <f t="shared" ref="A2495:A2558" si="39">IFERROR(B2495*1,"")</f>
        <v>7709023</v>
      </c>
      <c r="B2495" s="188" t="s">
        <v>3372</v>
      </c>
      <c r="C2495" s="188" t="s">
        <v>3373</v>
      </c>
    </row>
    <row r="2496" spans="1:4" x14ac:dyDescent="0.25">
      <c r="A2496" s="180">
        <f t="shared" si="39"/>
        <v>7709024</v>
      </c>
      <c r="B2496" s="188" t="s">
        <v>3374</v>
      </c>
      <c r="C2496" s="188" t="s">
        <v>3375</v>
      </c>
    </row>
    <row r="2497" spans="1:4" x14ac:dyDescent="0.25">
      <c r="A2497" s="180">
        <f t="shared" si="39"/>
        <v>7709025</v>
      </c>
      <c r="B2497" s="188" t="s">
        <v>3376</v>
      </c>
      <c r="C2497" s="188" t="s">
        <v>3377</v>
      </c>
    </row>
    <row r="2498" spans="1:4" x14ac:dyDescent="0.25">
      <c r="A2498" s="180">
        <f t="shared" si="39"/>
        <v>7709026</v>
      </c>
      <c r="B2498" s="188" t="s">
        <v>13471</v>
      </c>
      <c r="C2498" s="188" t="s">
        <v>13472</v>
      </c>
      <c r="D2498" t="s">
        <v>13411</v>
      </c>
    </row>
    <row r="2499" spans="1:4" x14ac:dyDescent="0.25">
      <c r="A2499" s="180">
        <f t="shared" si="39"/>
        <v>7709027</v>
      </c>
      <c r="B2499" s="188" t="s">
        <v>13473</v>
      </c>
      <c r="C2499" s="188" t="s">
        <v>13474</v>
      </c>
      <c r="D2499" t="s">
        <v>13411</v>
      </c>
    </row>
    <row r="2500" spans="1:4" x14ac:dyDescent="0.25">
      <c r="A2500" s="180">
        <f t="shared" si="39"/>
        <v>7709028</v>
      </c>
      <c r="B2500" s="188" t="s">
        <v>13475</v>
      </c>
      <c r="C2500" s="188" t="s">
        <v>13476</v>
      </c>
      <c r="D2500" t="s">
        <v>13411</v>
      </c>
    </row>
    <row r="2501" spans="1:4" x14ac:dyDescent="0.25">
      <c r="A2501" s="180">
        <f t="shared" si="39"/>
        <v>7709029</v>
      </c>
      <c r="B2501" s="188" t="s">
        <v>13477</v>
      </c>
      <c r="C2501" s="188" t="s">
        <v>13478</v>
      </c>
      <c r="D2501" t="s">
        <v>13411</v>
      </c>
    </row>
    <row r="2502" spans="1:4" x14ac:dyDescent="0.25">
      <c r="A2502" s="180">
        <f t="shared" si="39"/>
        <v>7709030</v>
      </c>
      <c r="B2502" s="188" t="s">
        <v>13479</v>
      </c>
      <c r="C2502" s="188" t="s">
        <v>13480</v>
      </c>
      <c r="D2502" t="s">
        <v>13411</v>
      </c>
    </row>
    <row r="2503" spans="1:4" x14ac:dyDescent="0.25">
      <c r="A2503" s="180">
        <f t="shared" si="39"/>
        <v>7709031</v>
      </c>
      <c r="B2503" s="188" t="s">
        <v>13481</v>
      </c>
      <c r="C2503" s="188" t="s">
        <v>13482</v>
      </c>
      <c r="D2503" t="s">
        <v>13411</v>
      </c>
    </row>
    <row r="2504" spans="1:4" x14ac:dyDescent="0.25">
      <c r="A2504" s="180">
        <f t="shared" si="39"/>
        <v>7709032</v>
      </c>
      <c r="B2504" s="188" t="s">
        <v>3378</v>
      </c>
      <c r="C2504" s="188" t="s">
        <v>3379</v>
      </c>
      <c r="D2504" t="s">
        <v>13411</v>
      </c>
    </row>
    <row r="2505" spans="1:4" x14ac:dyDescent="0.25">
      <c r="A2505" s="180">
        <f t="shared" si="39"/>
        <v>7709033</v>
      </c>
      <c r="B2505" s="188" t="s">
        <v>13483</v>
      </c>
      <c r="C2505" s="188" t="s">
        <v>13484</v>
      </c>
      <c r="D2505" t="s">
        <v>13411</v>
      </c>
    </row>
    <row r="2506" spans="1:4" x14ac:dyDescent="0.25">
      <c r="A2506" s="180">
        <f t="shared" si="39"/>
        <v>7709034</v>
      </c>
      <c r="B2506" s="188" t="s">
        <v>13485</v>
      </c>
      <c r="C2506" s="188" t="s">
        <v>13486</v>
      </c>
      <c r="D2506" t="s">
        <v>13411</v>
      </c>
    </row>
    <row r="2507" spans="1:4" x14ac:dyDescent="0.25">
      <c r="A2507" s="180">
        <f t="shared" si="39"/>
        <v>7709035</v>
      </c>
      <c r="B2507" s="188" t="s">
        <v>13487</v>
      </c>
      <c r="C2507" s="188" t="s">
        <v>13488</v>
      </c>
      <c r="D2507" t="s">
        <v>13411</v>
      </c>
    </row>
    <row r="2508" spans="1:4" x14ac:dyDescent="0.25">
      <c r="A2508" s="180">
        <f t="shared" si="39"/>
        <v>7709036</v>
      </c>
      <c r="B2508" s="188" t="s">
        <v>13489</v>
      </c>
      <c r="C2508" s="188" t="s">
        <v>13490</v>
      </c>
      <c r="D2508" t="s">
        <v>13411</v>
      </c>
    </row>
    <row r="2509" spans="1:4" x14ac:dyDescent="0.25">
      <c r="A2509" s="180">
        <f t="shared" si="39"/>
        <v>7709037</v>
      </c>
      <c r="B2509" s="188" t="s">
        <v>13491</v>
      </c>
      <c r="C2509" s="188" t="s">
        <v>13492</v>
      </c>
      <c r="D2509" t="s">
        <v>13411</v>
      </c>
    </row>
    <row r="2510" spans="1:4" x14ac:dyDescent="0.25">
      <c r="A2510" s="180" t="str">
        <f t="shared" si="39"/>
        <v/>
      </c>
      <c r="B2510" s="188" t="s">
        <v>13096</v>
      </c>
      <c r="C2510" s="188"/>
    </row>
    <row r="2511" spans="1:4" x14ac:dyDescent="0.25">
      <c r="A2511" s="180">
        <f t="shared" si="39"/>
        <v>7709039</v>
      </c>
      <c r="B2511" s="188" t="s">
        <v>13493</v>
      </c>
      <c r="C2511" s="188" t="s">
        <v>13494</v>
      </c>
      <c r="D2511" t="s">
        <v>13411</v>
      </c>
    </row>
    <row r="2512" spans="1:4" x14ac:dyDescent="0.25">
      <c r="A2512" s="180">
        <f t="shared" si="39"/>
        <v>7709040</v>
      </c>
      <c r="B2512" s="188" t="s">
        <v>6956</v>
      </c>
      <c r="C2512" s="188" t="s">
        <v>6957</v>
      </c>
      <c r="D2512" t="s">
        <v>13411</v>
      </c>
    </row>
    <row r="2513" spans="1:4" x14ac:dyDescent="0.25">
      <c r="A2513" s="180">
        <f t="shared" si="39"/>
        <v>7709041</v>
      </c>
      <c r="B2513" s="188" t="s">
        <v>3380</v>
      </c>
      <c r="C2513" s="188" t="s">
        <v>14037</v>
      </c>
      <c r="D2513" t="s">
        <v>13411</v>
      </c>
    </row>
    <row r="2514" spans="1:4" x14ac:dyDescent="0.25">
      <c r="A2514" s="180">
        <f t="shared" si="39"/>
        <v>7709042</v>
      </c>
      <c r="B2514" s="188" t="s">
        <v>3381</v>
      </c>
      <c r="C2514" s="188" t="s">
        <v>3382</v>
      </c>
      <c r="D2514" t="s">
        <v>13411</v>
      </c>
    </row>
    <row r="2515" spans="1:4" x14ac:dyDescent="0.25">
      <c r="A2515" s="180">
        <f t="shared" si="39"/>
        <v>7709043</v>
      </c>
      <c r="B2515" s="188" t="s">
        <v>3383</v>
      </c>
      <c r="C2515" s="188" t="s">
        <v>3384</v>
      </c>
      <c r="D2515" t="s">
        <v>13411</v>
      </c>
    </row>
    <row r="2516" spans="1:4" x14ac:dyDescent="0.25">
      <c r="A2516" s="180">
        <f t="shared" si="39"/>
        <v>7709049</v>
      </c>
      <c r="B2516" s="188" t="s">
        <v>3385</v>
      </c>
      <c r="C2516" s="188" t="s">
        <v>3386</v>
      </c>
    </row>
    <row r="2517" spans="1:4" x14ac:dyDescent="0.25">
      <c r="A2517" s="180">
        <f t="shared" si="39"/>
        <v>7709051</v>
      </c>
      <c r="B2517" s="188" t="s">
        <v>13495</v>
      </c>
      <c r="C2517" s="188" t="s">
        <v>13496</v>
      </c>
      <c r="D2517" t="s">
        <v>13411</v>
      </c>
    </row>
    <row r="2518" spans="1:4" x14ac:dyDescent="0.25">
      <c r="A2518" s="180">
        <f t="shared" si="39"/>
        <v>7709052</v>
      </c>
      <c r="B2518" s="188" t="s">
        <v>14508</v>
      </c>
      <c r="C2518" s="188" t="s">
        <v>14509</v>
      </c>
    </row>
    <row r="2519" spans="1:4" x14ac:dyDescent="0.25">
      <c r="A2519" s="180">
        <f t="shared" si="39"/>
        <v>7709059</v>
      </c>
      <c r="B2519" s="188" t="s">
        <v>13497</v>
      </c>
      <c r="C2519" s="188" t="s">
        <v>13498</v>
      </c>
      <c r="D2519" t="s">
        <v>13411</v>
      </c>
    </row>
    <row r="2520" spans="1:4" x14ac:dyDescent="0.25">
      <c r="A2520" s="180">
        <f t="shared" si="39"/>
        <v>7709061</v>
      </c>
      <c r="B2520" s="188" t="s">
        <v>3387</v>
      </c>
      <c r="C2520" s="188" t="s">
        <v>3388</v>
      </c>
      <c r="D2520" t="s">
        <v>13411</v>
      </c>
    </row>
    <row r="2521" spans="1:4" x14ac:dyDescent="0.25">
      <c r="A2521" s="180">
        <f t="shared" si="39"/>
        <v>7709062</v>
      </c>
      <c r="B2521" s="188" t="s">
        <v>3389</v>
      </c>
      <c r="C2521" s="188" t="s">
        <v>3390</v>
      </c>
      <c r="D2521" t="s">
        <v>13411</v>
      </c>
    </row>
    <row r="2522" spans="1:4" x14ac:dyDescent="0.25">
      <c r="A2522" s="180">
        <f t="shared" si="39"/>
        <v>7709063</v>
      </c>
      <c r="B2522" s="188" t="s">
        <v>3391</v>
      </c>
      <c r="C2522" s="188" t="s">
        <v>3392</v>
      </c>
    </row>
    <row r="2523" spans="1:4" x14ac:dyDescent="0.25">
      <c r="A2523" s="180">
        <f t="shared" si="39"/>
        <v>7709064</v>
      </c>
      <c r="B2523" s="188" t="s">
        <v>3393</v>
      </c>
      <c r="C2523" s="188" t="s">
        <v>3394</v>
      </c>
      <c r="D2523" t="s">
        <v>13411</v>
      </c>
    </row>
    <row r="2524" spans="1:4" x14ac:dyDescent="0.25">
      <c r="A2524" s="180">
        <f t="shared" si="39"/>
        <v>7709065</v>
      </c>
      <c r="B2524" s="188" t="s">
        <v>3395</v>
      </c>
      <c r="C2524" s="188" t="s">
        <v>3396</v>
      </c>
      <c r="D2524" t="s">
        <v>13411</v>
      </c>
    </row>
    <row r="2525" spans="1:4" x14ac:dyDescent="0.25">
      <c r="A2525" s="180">
        <f t="shared" si="39"/>
        <v>7709066</v>
      </c>
      <c r="B2525" s="188" t="s">
        <v>3397</v>
      </c>
      <c r="C2525" s="188" t="s">
        <v>3398</v>
      </c>
      <c r="D2525" t="s">
        <v>13411</v>
      </c>
    </row>
    <row r="2526" spans="1:4" x14ac:dyDescent="0.25">
      <c r="A2526" s="180">
        <f t="shared" si="39"/>
        <v>7709067</v>
      </c>
      <c r="B2526" s="188" t="s">
        <v>3399</v>
      </c>
      <c r="C2526" s="188" t="s">
        <v>3400</v>
      </c>
      <c r="D2526" t="s">
        <v>13411</v>
      </c>
    </row>
    <row r="2527" spans="1:4" x14ac:dyDescent="0.25">
      <c r="A2527" s="180">
        <f t="shared" si="39"/>
        <v>7709068</v>
      </c>
      <c r="B2527" s="188" t="s">
        <v>3401</v>
      </c>
      <c r="C2527" s="188" t="s">
        <v>3402</v>
      </c>
      <c r="D2527" t="s">
        <v>13411</v>
      </c>
    </row>
    <row r="2528" spans="1:4" x14ac:dyDescent="0.25">
      <c r="A2528" s="180">
        <f t="shared" si="39"/>
        <v>7709069</v>
      </c>
      <c r="B2528" s="188" t="s">
        <v>3403</v>
      </c>
      <c r="C2528" s="188" t="s">
        <v>3404</v>
      </c>
      <c r="D2528" t="s">
        <v>13411</v>
      </c>
    </row>
    <row r="2529" spans="1:4" x14ac:dyDescent="0.25">
      <c r="A2529" s="180">
        <f t="shared" si="39"/>
        <v>7709070</v>
      </c>
      <c r="B2529" s="188" t="s">
        <v>3405</v>
      </c>
      <c r="C2529" s="188" t="s">
        <v>3406</v>
      </c>
      <c r="D2529" t="s">
        <v>13411</v>
      </c>
    </row>
    <row r="2530" spans="1:4" x14ac:dyDescent="0.25">
      <c r="A2530" s="180">
        <f t="shared" si="39"/>
        <v>7709071</v>
      </c>
      <c r="B2530" s="188" t="s">
        <v>6958</v>
      </c>
      <c r="C2530" s="188" t="s">
        <v>6959</v>
      </c>
    </row>
    <row r="2531" spans="1:4" x14ac:dyDescent="0.25">
      <c r="A2531" s="180">
        <f t="shared" si="39"/>
        <v>7709072</v>
      </c>
      <c r="B2531" s="188" t="s">
        <v>6960</v>
      </c>
      <c r="C2531" s="188" t="s">
        <v>6961</v>
      </c>
    </row>
    <row r="2532" spans="1:4" x14ac:dyDescent="0.25">
      <c r="A2532" s="180">
        <f t="shared" si="39"/>
        <v>7709073</v>
      </c>
      <c r="B2532" s="188" t="s">
        <v>15076</v>
      </c>
      <c r="C2532" s="188" t="s">
        <v>15077</v>
      </c>
      <c r="D2532" t="s">
        <v>13411</v>
      </c>
    </row>
    <row r="2533" spans="1:4" x14ac:dyDescent="0.25">
      <c r="A2533" s="180">
        <f t="shared" si="39"/>
        <v>7709080</v>
      </c>
      <c r="B2533" s="188" t="s">
        <v>13499</v>
      </c>
      <c r="C2533" s="188" t="s">
        <v>13500</v>
      </c>
      <c r="D2533" t="s">
        <v>13411</v>
      </c>
    </row>
    <row r="2534" spans="1:4" x14ac:dyDescent="0.25">
      <c r="A2534" s="180">
        <f t="shared" si="39"/>
        <v>7709092</v>
      </c>
      <c r="B2534" s="188" t="s">
        <v>3407</v>
      </c>
      <c r="C2534" s="188" t="s">
        <v>3408</v>
      </c>
      <c r="D2534" t="s">
        <v>13411</v>
      </c>
    </row>
    <row r="2535" spans="1:4" x14ac:dyDescent="0.25">
      <c r="A2535" s="180">
        <f t="shared" si="39"/>
        <v>7709093</v>
      </c>
      <c r="B2535" s="188" t="s">
        <v>13906</v>
      </c>
      <c r="C2535" s="188" t="s">
        <v>13907</v>
      </c>
      <c r="D2535" t="s">
        <v>13411</v>
      </c>
    </row>
    <row r="2536" spans="1:4" x14ac:dyDescent="0.25">
      <c r="A2536" s="180">
        <f t="shared" si="39"/>
        <v>7709094</v>
      </c>
      <c r="B2536" s="188" t="s">
        <v>3409</v>
      </c>
      <c r="C2536" s="188" t="s">
        <v>3410</v>
      </c>
      <c r="D2536" t="s">
        <v>13411</v>
      </c>
    </row>
    <row r="2537" spans="1:4" x14ac:dyDescent="0.25">
      <c r="A2537" s="180">
        <f t="shared" si="39"/>
        <v>7709101</v>
      </c>
      <c r="B2537" s="188" t="s">
        <v>3411</v>
      </c>
      <c r="C2537" s="188" t="s">
        <v>3412</v>
      </c>
      <c r="D2537" t="s">
        <v>13411</v>
      </c>
    </row>
    <row r="2538" spans="1:4" x14ac:dyDescent="0.25">
      <c r="A2538" s="180">
        <f t="shared" si="39"/>
        <v>7709102</v>
      </c>
      <c r="B2538" s="188" t="s">
        <v>3413</v>
      </c>
      <c r="C2538" s="188" t="s">
        <v>3414</v>
      </c>
      <c r="D2538" t="s">
        <v>13411</v>
      </c>
    </row>
    <row r="2539" spans="1:4" x14ac:dyDescent="0.25">
      <c r="A2539" s="180">
        <f t="shared" si="39"/>
        <v>7709103</v>
      </c>
      <c r="B2539" s="188" t="s">
        <v>3415</v>
      </c>
      <c r="C2539" s="188" t="s">
        <v>3416</v>
      </c>
      <c r="D2539" t="s">
        <v>13411</v>
      </c>
    </row>
    <row r="2540" spans="1:4" x14ac:dyDescent="0.25">
      <c r="A2540" s="180">
        <f t="shared" si="39"/>
        <v>7709104</v>
      </c>
      <c r="B2540" s="188" t="s">
        <v>3417</v>
      </c>
      <c r="C2540" s="188" t="s">
        <v>3418</v>
      </c>
    </row>
    <row r="2541" spans="1:4" x14ac:dyDescent="0.25">
      <c r="A2541" s="180">
        <f t="shared" si="39"/>
        <v>7709105</v>
      </c>
      <c r="B2541" s="188" t="s">
        <v>3419</v>
      </c>
      <c r="C2541" s="188" t="s">
        <v>3420</v>
      </c>
    </row>
    <row r="2542" spans="1:4" x14ac:dyDescent="0.25">
      <c r="A2542" s="180">
        <f t="shared" si="39"/>
        <v>7709106</v>
      </c>
      <c r="B2542" s="188" t="s">
        <v>3421</v>
      </c>
      <c r="C2542" s="188" t="s">
        <v>3422</v>
      </c>
      <c r="D2542" t="s">
        <v>13411</v>
      </c>
    </row>
    <row r="2543" spans="1:4" x14ac:dyDescent="0.25">
      <c r="A2543" s="180">
        <f t="shared" si="39"/>
        <v>7709115</v>
      </c>
      <c r="B2543" s="188" t="s">
        <v>3423</v>
      </c>
      <c r="C2543" s="188" t="s">
        <v>3424</v>
      </c>
      <c r="D2543" t="s">
        <v>13411</v>
      </c>
    </row>
    <row r="2544" spans="1:4" x14ac:dyDescent="0.25">
      <c r="A2544" s="180" t="str">
        <f t="shared" si="39"/>
        <v/>
      </c>
      <c r="B2544" s="188" t="s">
        <v>13097</v>
      </c>
      <c r="C2544" s="188"/>
    </row>
    <row r="2545" spans="1:4" x14ac:dyDescent="0.25">
      <c r="A2545" s="180">
        <f t="shared" si="39"/>
        <v>7709120</v>
      </c>
      <c r="B2545" s="188" t="s">
        <v>3425</v>
      </c>
      <c r="C2545" s="188" t="s">
        <v>3426</v>
      </c>
    </row>
    <row r="2546" spans="1:4" x14ac:dyDescent="0.25">
      <c r="A2546" s="180">
        <f t="shared" si="39"/>
        <v>7709122</v>
      </c>
      <c r="B2546" s="188" t="s">
        <v>3427</v>
      </c>
      <c r="C2546" s="188" t="s">
        <v>3428</v>
      </c>
    </row>
    <row r="2547" spans="1:4" x14ac:dyDescent="0.25">
      <c r="A2547" s="180" t="str">
        <f t="shared" si="39"/>
        <v/>
      </c>
      <c r="B2547" s="188" t="s">
        <v>13098</v>
      </c>
      <c r="C2547" s="188"/>
    </row>
    <row r="2548" spans="1:4" x14ac:dyDescent="0.25">
      <c r="A2548" s="180">
        <f t="shared" si="39"/>
        <v>7709123</v>
      </c>
      <c r="B2548" s="188" t="s">
        <v>13308</v>
      </c>
      <c r="C2548" s="188" t="s">
        <v>13309</v>
      </c>
      <c r="D2548" t="s">
        <v>13411</v>
      </c>
    </row>
    <row r="2549" spans="1:4" x14ac:dyDescent="0.25">
      <c r="A2549" s="180">
        <f t="shared" si="39"/>
        <v>7709135</v>
      </c>
      <c r="B2549" s="188" t="s">
        <v>3429</v>
      </c>
      <c r="C2549" s="188" t="s">
        <v>6962</v>
      </c>
      <c r="D2549" t="s">
        <v>13411</v>
      </c>
    </row>
    <row r="2550" spans="1:4" x14ac:dyDescent="0.25">
      <c r="A2550" s="180" t="str">
        <f t="shared" si="39"/>
        <v/>
      </c>
      <c r="B2550" s="188" t="s">
        <v>13099</v>
      </c>
      <c r="C2550" s="188"/>
    </row>
    <row r="2551" spans="1:4" x14ac:dyDescent="0.25">
      <c r="A2551" s="180">
        <f t="shared" si="39"/>
        <v>7709137</v>
      </c>
      <c r="B2551" s="188" t="s">
        <v>3430</v>
      </c>
      <c r="C2551" s="189" t="s">
        <v>3431</v>
      </c>
      <c r="D2551" t="s">
        <v>13411</v>
      </c>
    </row>
    <row r="2552" spans="1:4" x14ac:dyDescent="0.25">
      <c r="A2552" s="180">
        <f t="shared" si="39"/>
        <v>7709138</v>
      </c>
      <c r="B2552" s="188" t="s">
        <v>3432</v>
      </c>
      <c r="C2552" s="188" t="s">
        <v>3433</v>
      </c>
      <c r="D2552" t="s">
        <v>13411</v>
      </c>
    </row>
    <row r="2553" spans="1:4" x14ac:dyDescent="0.25">
      <c r="A2553" s="180">
        <f t="shared" si="39"/>
        <v>7709139</v>
      </c>
      <c r="B2553" s="188" t="s">
        <v>3434</v>
      </c>
      <c r="C2553" s="188" t="s">
        <v>3435</v>
      </c>
      <c r="D2553" t="s">
        <v>13411</v>
      </c>
    </row>
    <row r="2554" spans="1:4" x14ac:dyDescent="0.25">
      <c r="A2554" s="180">
        <f t="shared" si="39"/>
        <v>7709142</v>
      </c>
      <c r="B2554" s="188" t="s">
        <v>3436</v>
      </c>
      <c r="C2554" s="188" t="s">
        <v>12829</v>
      </c>
      <c r="D2554" t="s">
        <v>13411</v>
      </c>
    </row>
    <row r="2555" spans="1:4" x14ac:dyDescent="0.25">
      <c r="A2555" s="180">
        <f t="shared" si="39"/>
        <v>7709151</v>
      </c>
      <c r="B2555" s="188" t="s">
        <v>13501</v>
      </c>
      <c r="C2555" s="188" t="s">
        <v>13502</v>
      </c>
      <c r="D2555" t="s">
        <v>13411</v>
      </c>
    </row>
    <row r="2556" spans="1:4" x14ac:dyDescent="0.25">
      <c r="A2556" s="180">
        <f t="shared" si="39"/>
        <v>7709152</v>
      </c>
      <c r="B2556" s="188" t="s">
        <v>13503</v>
      </c>
      <c r="C2556" s="188" t="s">
        <v>13504</v>
      </c>
      <c r="D2556" t="s">
        <v>13411</v>
      </c>
    </row>
    <row r="2557" spans="1:4" x14ac:dyDescent="0.25">
      <c r="A2557" s="180">
        <f t="shared" si="39"/>
        <v>7709155</v>
      </c>
      <c r="B2557" s="188" t="s">
        <v>13310</v>
      </c>
      <c r="C2557" s="188" t="s">
        <v>13311</v>
      </c>
      <c r="D2557" t="s">
        <v>13411</v>
      </c>
    </row>
    <row r="2558" spans="1:4" x14ac:dyDescent="0.25">
      <c r="A2558" s="180">
        <f t="shared" si="39"/>
        <v>7709156</v>
      </c>
      <c r="B2558" s="188" t="s">
        <v>3437</v>
      </c>
      <c r="C2558" s="188" t="s">
        <v>3438</v>
      </c>
      <c r="D2558" t="s">
        <v>13411</v>
      </c>
    </row>
    <row r="2559" spans="1:4" x14ac:dyDescent="0.25">
      <c r="A2559" s="180">
        <f t="shared" ref="A2559:A2622" si="40">IFERROR(B2559*1,"")</f>
        <v>7709157</v>
      </c>
      <c r="B2559" s="188" t="s">
        <v>3439</v>
      </c>
      <c r="C2559" s="188" t="s">
        <v>3440</v>
      </c>
    </row>
    <row r="2560" spans="1:4" x14ac:dyDescent="0.25">
      <c r="A2560" s="180">
        <f t="shared" si="40"/>
        <v>7709158</v>
      </c>
      <c r="B2560" s="188" t="s">
        <v>3441</v>
      </c>
      <c r="C2560" s="188" t="s">
        <v>13505</v>
      </c>
      <c r="D2560" t="s">
        <v>13411</v>
      </c>
    </row>
    <row r="2561" spans="1:4" x14ac:dyDescent="0.25">
      <c r="A2561" s="180">
        <f t="shared" si="40"/>
        <v>7709159</v>
      </c>
      <c r="B2561" s="188" t="s">
        <v>3442</v>
      </c>
      <c r="C2561" s="188" t="s">
        <v>3443</v>
      </c>
    </row>
    <row r="2562" spans="1:4" x14ac:dyDescent="0.25">
      <c r="A2562" s="180" t="str">
        <f t="shared" si="40"/>
        <v/>
      </c>
      <c r="B2562" s="188" t="s">
        <v>13100</v>
      </c>
      <c r="C2562" s="188"/>
    </row>
    <row r="2563" spans="1:4" x14ac:dyDescent="0.25">
      <c r="A2563" s="180">
        <f t="shared" si="40"/>
        <v>7709160</v>
      </c>
      <c r="B2563" s="188" t="s">
        <v>3444</v>
      </c>
      <c r="C2563" s="188" t="s">
        <v>3445</v>
      </c>
      <c r="D2563" t="s">
        <v>13411</v>
      </c>
    </row>
    <row r="2564" spans="1:4" x14ac:dyDescent="0.25">
      <c r="A2564" s="180">
        <f t="shared" si="40"/>
        <v>7709161</v>
      </c>
      <c r="B2564" s="188" t="s">
        <v>6963</v>
      </c>
      <c r="C2564" s="188" t="s">
        <v>6964</v>
      </c>
      <c r="D2564" t="s">
        <v>13411</v>
      </c>
    </row>
    <row r="2565" spans="1:4" x14ac:dyDescent="0.25">
      <c r="A2565" s="180">
        <f t="shared" si="40"/>
        <v>7709163</v>
      </c>
      <c r="B2565" s="188" t="s">
        <v>12830</v>
      </c>
      <c r="C2565" s="188" t="s">
        <v>12831</v>
      </c>
    </row>
    <row r="2566" spans="1:4" x14ac:dyDescent="0.25">
      <c r="A2566" s="180">
        <f t="shared" si="40"/>
        <v>7709164</v>
      </c>
      <c r="B2566" s="188" t="s">
        <v>12832</v>
      </c>
      <c r="C2566" s="188" t="s">
        <v>12833</v>
      </c>
    </row>
    <row r="2567" spans="1:4" x14ac:dyDescent="0.25">
      <c r="A2567" s="180" t="str">
        <f t="shared" si="40"/>
        <v/>
      </c>
      <c r="B2567" s="188" t="s">
        <v>13101</v>
      </c>
      <c r="C2567" s="188"/>
    </row>
    <row r="2568" spans="1:4" x14ac:dyDescent="0.25">
      <c r="A2568" s="180">
        <f t="shared" si="40"/>
        <v>7709174</v>
      </c>
      <c r="B2568" s="188" t="s">
        <v>3446</v>
      </c>
      <c r="C2568" s="188" t="s">
        <v>3447</v>
      </c>
      <c r="D2568" t="s">
        <v>13411</v>
      </c>
    </row>
    <row r="2569" spans="1:4" x14ac:dyDescent="0.25">
      <c r="A2569" s="180">
        <f t="shared" si="40"/>
        <v>7709198</v>
      </c>
      <c r="B2569" s="188" t="s">
        <v>3448</v>
      </c>
      <c r="C2569" s="188" t="s">
        <v>3449</v>
      </c>
    </row>
    <row r="2570" spans="1:4" x14ac:dyDescent="0.25">
      <c r="A2570" s="180">
        <f t="shared" si="40"/>
        <v>7709200</v>
      </c>
      <c r="B2570" s="188" t="s">
        <v>3450</v>
      </c>
      <c r="C2570" s="188" t="s">
        <v>3451</v>
      </c>
    </row>
    <row r="2571" spans="1:4" x14ac:dyDescent="0.25">
      <c r="A2571" s="180">
        <f t="shared" si="40"/>
        <v>7709203</v>
      </c>
      <c r="B2571" s="188" t="s">
        <v>3452</v>
      </c>
      <c r="C2571" s="188" t="s">
        <v>3453</v>
      </c>
      <c r="D2571" t="s">
        <v>13411</v>
      </c>
    </row>
    <row r="2572" spans="1:4" x14ac:dyDescent="0.25">
      <c r="A2572" s="180">
        <f t="shared" si="40"/>
        <v>7709204</v>
      </c>
      <c r="B2572" s="188" t="s">
        <v>3454</v>
      </c>
      <c r="C2572" s="188" t="s">
        <v>3455</v>
      </c>
      <c r="D2572" t="s">
        <v>13411</v>
      </c>
    </row>
    <row r="2573" spans="1:4" x14ac:dyDescent="0.25">
      <c r="A2573" s="180">
        <f t="shared" si="40"/>
        <v>7709208</v>
      </c>
      <c r="B2573" s="188" t="s">
        <v>3456</v>
      </c>
      <c r="C2573" s="188" t="s">
        <v>3457</v>
      </c>
      <c r="D2573" t="s">
        <v>13411</v>
      </c>
    </row>
    <row r="2574" spans="1:4" x14ac:dyDescent="0.25">
      <c r="A2574" s="180">
        <f t="shared" si="40"/>
        <v>7709212</v>
      </c>
      <c r="B2574" s="188" t="s">
        <v>3458</v>
      </c>
      <c r="C2574" s="188" t="s">
        <v>3459</v>
      </c>
      <c r="D2574" t="s">
        <v>13411</v>
      </c>
    </row>
    <row r="2575" spans="1:4" x14ac:dyDescent="0.25">
      <c r="A2575" s="180">
        <f t="shared" si="40"/>
        <v>7709228</v>
      </c>
      <c r="B2575" s="188" t="s">
        <v>3460</v>
      </c>
      <c r="C2575" s="188" t="s">
        <v>3461</v>
      </c>
      <c r="D2575" t="s">
        <v>13411</v>
      </c>
    </row>
    <row r="2576" spans="1:4" x14ac:dyDescent="0.25">
      <c r="A2576" s="180">
        <f t="shared" si="40"/>
        <v>7709229</v>
      </c>
      <c r="B2576" s="188" t="s">
        <v>3462</v>
      </c>
      <c r="C2576" s="188" t="s">
        <v>3463</v>
      </c>
      <c r="D2576" t="s">
        <v>13411</v>
      </c>
    </row>
    <row r="2577" spans="1:4" x14ac:dyDescent="0.25">
      <c r="A2577" s="180">
        <f t="shared" si="40"/>
        <v>7709230</v>
      </c>
      <c r="B2577" s="188" t="s">
        <v>3464</v>
      </c>
      <c r="C2577" s="188" t="s">
        <v>3465</v>
      </c>
    </row>
    <row r="2578" spans="1:4" x14ac:dyDescent="0.25">
      <c r="A2578" s="180">
        <f t="shared" si="40"/>
        <v>7709233</v>
      </c>
      <c r="B2578" s="188" t="s">
        <v>3466</v>
      </c>
      <c r="C2578" s="188" t="s">
        <v>3467</v>
      </c>
      <c r="D2578" t="s">
        <v>13411</v>
      </c>
    </row>
    <row r="2579" spans="1:4" x14ac:dyDescent="0.25">
      <c r="A2579" s="180">
        <f t="shared" si="40"/>
        <v>7709234</v>
      </c>
      <c r="B2579" s="188" t="s">
        <v>3468</v>
      </c>
      <c r="C2579" s="188" t="s">
        <v>3469</v>
      </c>
    </row>
    <row r="2580" spans="1:4" x14ac:dyDescent="0.25">
      <c r="A2580" s="180">
        <f t="shared" si="40"/>
        <v>7709235</v>
      </c>
      <c r="B2580" s="188" t="s">
        <v>3470</v>
      </c>
      <c r="C2580" s="188" t="s">
        <v>3471</v>
      </c>
    </row>
    <row r="2581" spans="1:4" x14ac:dyDescent="0.25">
      <c r="A2581" s="180">
        <f t="shared" si="40"/>
        <v>7709236</v>
      </c>
      <c r="B2581" s="188" t="s">
        <v>13102</v>
      </c>
      <c r="C2581" s="188" t="s">
        <v>13103</v>
      </c>
    </row>
    <row r="2582" spans="1:4" x14ac:dyDescent="0.25">
      <c r="A2582" s="180">
        <f t="shared" si="40"/>
        <v>7709238</v>
      </c>
      <c r="B2582" s="188" t="s">
        <v>3472</v>
      </c>
      <c r="C2582" s="188" t="s">
        <v>3473</v>
      </c>
    </row>
    <row r="2583" spans="1:4" x14ac:dyDescent="0.25">
      <c r="A2583" s="180">
        <f t="shared" si="40"/>
        <v>7709245</v>
      </c>
      <c r="B2583" s="188" t="s">
        <v>3474</v>
      </c>
      <c r="C2583" s="188" t="s">
        <v>3475</v>
      </c>
      <c r="D2583" t="s">
        <v>13411</v>
      </c>
    </row>
    <row r="2584" spans="1:4" x14ac:dyDescent="0.25">
      <c r="A2584" s="180">
        <f t="shared" si="40"/>
        <v>7709246</v>
      </c>
      <c r="B2584" s="188" t="s">
        <v>3476</v>
      </c>
      <c r="C2584" s="188" t="s">
        <v>3477</v>
      </c>
      <c r="D2584" t="s">
        <v>13411</v>
      </c>
    </row>
    <row r="2585" spans="1:4" x14ac:dyDescent="0.25">
      <c r="A2585" s="180">
        <f t="shared" si="40"/>
        <v>7709251</v>
      </c>
      <c r="B2585" s="188" t="s">
        <v>3478</v>
      </c>
      <c r="C2585" s="188" t="s">
        <v>3479</v>
      </c>
      <c r="D2585" t="s">
        <v>13411</v>
      </c>
    </row>
    <row r="2586" spans="1:4" x14ac:dyDescent="0.25">
      <c r="A2586" s="180">
        <f t="shared" si="40"/>
        <v>7709272</v>
      </c>
      <c r="B2586" s="188" t="s">
        <v>3480</v>
      </c>
      <c r="C2586" s="188" t="s">
        <v>12834</v>
      </c>
      <c r="D2586" t="s">
        <v>13411</v>
      </c>
    </row>
    <row r="2587" spans="1:4" x14ac:dyDescent="0.25">
      <c r="A2587" s="180" t="str">
        <f t="shared" si="40"/>
        <v/>
      </c>
      <c r="B2587" s="188" t="s">
        <v>13104</v>
      </c>
      <c r="C2587" s="189"/>
    </row>
    <row r="2588" spans="1:4" x14ac:dyDescent="0.25">
      <c r="A2588" s="180">
        <f t="shared" si="40"/>
        <v>7709273</v>
      </c>
      <c r="B2588" s="188" t="s">
        <v>3481</v>
      </c>
      <c r="C2588" s="188" t="s">
        <v>3482</v>
      </c>
    </row>
    <row r="2589" spans="1:4" x14ac:dyDescent="0.25">
      <c r="A2589" s="180">
        <f t="shared" si="40"/>
        <v>7709274</v>
      </c>
      <c r="B2589" s="188" t="s">
        <v>3483</v>
      </c>
      <c r="C2589" s="188" t="s">
        <v>3484</v>
      </c>
      <c r="D2589" t="s">
        <v>13411</v>
      </c>
    </row>
    <row r="2590" spans="1:4" x14ac:dyDescent="0.25">
      <c r="A2590" s="180">
        <f t="shared" si="40"/>
        <v>7709285</v>
      </c>
      <c r="B2590" s="188" t="s">
        <v>3485</v>
      </c>
      <c r="C2590" s="188" t="s">
        <v>3486</v>
      </c>
    </row>
    <row r="2591" spans="1:4" x14ac:dyDescent="0.25">
      <c r="A2591" s="180">
        <f t="shared" si="40"/>
        <v>7709300</v>
      </c>
      <c r="B2591" s="188" t="s">
        <v>3487</v>
      </c>
      <c r="C2591" s="188" t="s">
        <v>3488</v>
      </c>
      <c r="D2591" t="s">
        <v>13411</v>
      </c>
    </row>
    <row r="2592" spans="1:4" x14ac:dyDescent="0.25">
      <c r="A2592" s="180">
        <f t="shared" si="40"/>
        <v>7709301</v>
      </c>
      <c r="B2592" s="188" t="s">
        <v>3489</v>
      </c>
      <c r="C2592" s="188" t="s">
        <v>3490</v>
      </c>
    </row>
    <row r="2593" spans="1:4" x14ac:dyDescent="0.25">
      <c r="A2593" s="180">
        <f t="shared" si="40"/>
        <v>7709302</v>
      </c>
      <c r="B2593" s="188" t="s">
        <v>3491</v>
      </c>
      <c r="C2593" s="188" t="s">
        <v>3492</v>
      </c>
    </row>
    <row r="2594" spans="1:4" x14ac:dyDescent="0.25">
      <c r="A2594" s="180">
        <f t="shared" si="40"/>
        <v>7709303</v>
      </c>
      <c r="B2594" s="188" t="s">
        <v>3493</v>
      </c>
      <c r="C2594" s="188" t="s">
        <v>3494</v>
      </c>
    </row>
    <row r="2595" spans="1:4" x14ac:dyDescent="0.25">
      <c r="A2595" s="180">
        <f t="shared" si="40"/>
        <v>7709304</v>
      </c>
      <c r="B2595" s="188" t="s">
        <v>3495</v>
      </c>
      <c r="C2595" s="188" t="s">
        <v>3496</v>
      </c>
    </row>
    <row r="2596" spans="1:4" x14ac:dyDescent="0.25">
      <c r="A2596" s="180">
        <f t="shared" si="40"/>
        <v>7709305</v>
      </c>
      <c r="B2596" s="188" t="s">
        <v>13312</v>
      </c>
      <c r="C2596" s="188" t="s">
        <v>14986</v>
      </c>
      <c r="D2596" t="s">
        <v>13411</v>
      </c>
    </row>
    <row r="2597" spans="1:4" x14ac:dyDescent="0.25">
      <c r="A2597" s="180">
        <f t="shared" si="40"/>
        <v>7709306</v>
      </c>
      <c r="B2597" s="188" t="s">
        <v>3497</v>
      </c>
      <c r="C2597" s="188" t="s">
        <v>3498</v>
      </c>
    </row>
    <row r="2598" spans="1:4" x14ac:dyDescent="0.25">
      <c r="A2598" s="180">
        <f t="shared" si="40"/>
        <v>7709307</v>
      </c>
      <c r="B2598" s="188" t="s">
        <v>3499</v>
      </c>
      <c r="C2598" s="188" t="s">
        <v>3500</v>
      </c>
      <c r="D2598" t="s">
        <v>13411</v>
      </c>
    </row>
    <row r="2599" spans="1:4" x14ac:dyDescent="0.25">
      <c r="A2599" s="180">
        <f t="shared" si="40"/>
        <v>7709308</v>
      </c>
      <c r="B2599" s="188" t="s">
        <v>3501</v>
      </c>
      <c r="C2599" s="188" t="s">
        <v>3502</v>
      </c>
      <c r="D2599" t="s">
        <v>13411</v>
      </c>
    </row>
    <row r="2600" spans="1:4" x14ac:dyDescent="0.25">
      <c r="A2600" s="180">
        <f t="shared" si="40"/>
        <v>7709310</v>
      </c>
      <c r="B2600" s="188" t="s">
        <v>3503</v>
      </c>
      <c r="C2600" s="188" t="s">
        <v>3504</v>
      </c>
      <c r="D2600" t="s">
        <v>13411</v>
      </c>
    </row>
    <row r="2601" spans="1:4" x14ac:dyDescent="0.25">
      <c r="A2601" s="180">
        <f t="shared" si="40"/>
        <v>7709312</v>
      </c>
      <c r="B2601" s="188" t="s">
        <v>3505</v>
      </c>
      <c r="C2601" s="189" t="s">
        <v>3506</v>
      </c>
      <c r="D2601" t="s">
        <v>13411</v>
      </c>
    </row>
    <row r="2602" spans="1:4" x14ac:dyDescent="0.25">
      <c r="A2602" s="180">
        <f t="shared" si="40"/>
        <v>7709330</v>
      </c>
      <c r="B2602" s="188" t="s">
        <v>3507</v>
      </c>
      <c r="C2602" s="188" t="s">
        <v>3508</v>
      </c>
    </row>
    <row r="2603" spans="1:4" x14ac:dyDescent="0.25">
      <c r="A2603" s="180">
        <f t="shared" si="40"/>
        <v>7709333</v>
      </c>
      <c r="B2603" s="188" t="s">
        <v>3509</v>
      </c>
      <c r="C2603" s="188" t="s">
        <v>3510</v>
      </c>
      <c r="D2603" t="s">
        <v>13411</v>
      </c>
    </row>
    <row r="2604" spans="1:4" x14ac:dyDescent="0.25">
      <c r="A2604" s="180">
        <f t="shared" si="40"/>
        <v>7709334</v>
      </c>
      <c r="B2604" s="188" t="s">
        <v>6965</v>
      </c>
      <c r="C2604" s="188" t="s">
        <v>6966</v>
      </c>
    </row>
    <row r="2605" spans="1:4" x14ac:dyDescent="0.25">
      <c r="A2605" s="180">
        <f t="shared" si="40"/>
        <v>7709338</v>
      </c>
      <c r="B2605" s="188" t="s">
        <v>3511</v>
      </c>
      <c r="C2605" s="188" t="s">
        <v>3512</v>
      </c>
      <c r="D2605" t="s">
        <v>13411</v>
      </c>
    </row>
    <row r="2606" spans="1:4" x14ac:dyDescent="0.25">
      <c r="A2606" s="180" t="str">
        <f t="shared" si="40"/>
        <v/>
      </c>
      <c r="B2606" s="188" t="s">
        <v>13105</v>
      </c>
      <c r="C2606" s="188"/>
    </row>
    <row r="2607" spans="1:4" x14ac:dyDescent="0.25">
      <c r="A2607" s="180">
        <f t="shared" si="40"/>
        <v>7709341</v>
      </c>
      <c r="B2607" s="188" t="s">
        <v>3513</v>
      </c>
      <c r="C2607" s="188" t="s">
        <v>3514</v>
      </c>
      <c r="D2607" t="s">
        <v>13411</v>
      </c>
    </row>
    <row r="2608" spans="1:4" x14ac:dyDescent="0.25">
      <c r="A2608" s="180">
        <f t="shared" si="40"/>
        <v>7709350</v>
      </c>
      <c r="B2608" s="188" t="s">
        <v>3515</v>
      </c>
      <c r="C2608" s="188" t="s">
        <v>3516</v>
      </c>
      <c r="D2608" t="s">
        <v>13411</v>
      </c>
    </row>
    <row r="2609" spans="1:4" x14ac:dyDescent="0.25">
      <c r="A2609" s="180">
        <f t="shared" si="40"/>
        <v>7709351</v>
      </c>
      <c r="B2609" s="188" t="s">
        <v>3517</v>
      </c>
      <c r="C2609" s="188" t="s">
        <v>3518</v>
      </c>
    </row>
    <row r="2610" spans="1:4" x14ac:dyDescent="0.25">
      <c r="A2610" s="180" t="str">
        <f t="shared" si="40"/>
        <v/>
      </c>
      <c r="B2610" s="188" t="s">
        <v>13106</v>
      </c>
      <c r="C2610" s="188"/>
    </row>
    <row r="2611" spans="1:4" x14ac:dyDescent="0.25">
      <c r="A2611" s="180">
        <f t="shared" si="40"/>
        <v>7709352</v>
      </c>
      <c r="B2611" s="188" t="s">
        <v>3519</v>
      </c>
      <c r="C2611" s="188" t="s">
        <v>3520</v>
      </c>
    </row>
    <row r="2612" spans="1:4" x14ac:dyDescent="0.25">
      <c r="A2612" s="180">
        <f t="shared" si="40"/>
        <v>7709353</v>
      </c>
      <c r="B2612" s="188" t="s">
        <v>12835</v>
      </c>
      <c r="C2612" s="188" t="s">
        <v>12836</v>
      </c>
      <c r="D2612" t="s">
        <v>13411</v>
      </c>
    </row>
    <row r="2613" spans="1:4" x14ac:dyDescent="0.25">
      <c r="A2613" s="180">
        <f t="shared" si="40"/>
        <v>7709354</v>
      </c>
      <c r="B2613" s="188" t="s">
        <v>12837</v>
      </c>
      <c r="C2613" s="188" t="s">
        <v>12838</v>
      </c>
      <c r="D2613" t="s">
        <v>13411</v>
      </c>
    </row>
    <row r="2614" spans="1:4" x14ac:dyDescent="0.25">
      <c r="A2614" s="180">
        <f t="shared" si="40"/>
        <v>7709355</v>
      </c>
      <c r="B2614" s="188" t="s">
        <v>3521</v>
      </c>
      <c r="C2614" s="188" t="s">
        <v>12839</v>
      </c>
      <c r="D2614" t="s">
        <v>13411</v>
      </c>
    </row>
    <row r="2615" spans="1:4" x14ac:dyDescent="0.25">
      <c r="A2615" s="180">
        <f t="shared" si="40"/>
        <v>7709356</v>
      </c>
      <c r="B2615" s="188" t="s">
        <v>12840</v>
      </c>
      <c r="C2615" s="188" t="s">
        <v>12841</v>
      </c>
      <c r="D2615" t="s">
        <v>13411</v>
      </c>
    </row>
    <row r="2616" spans="1:4" x14ac:dyDescent="0.25">
      <c r="A2616" s="180">
        <f t="shared" si="40"/>
        <v>7709357</v>
      </c>
      <c r="B2616" s="188" t="s">
        <v>12842</v>
      </c>
      <c r="C2616" s="188" t="s">
        <v>12843</v>
      </c>
      <c r="D2616" t="s">
        <v>13411</v>
      </c>
    </row>
    <row r="2617" spans="1:4" x14ac:dyDescent="0.25">
      <c r="A2617" s="180">
        <f t="shared" si="40"/>
        <v>7709358</v>
      </c>
      <c r="B2617" s="188" t="s">
        <v>3522</v>
      </c>
      <c r="C2617" s="188" t="s">
        <v>3523</v>
      </c>
      <c r="D2617" t="s">
        <v>13411</v>
      </c>
    </row>
    <row r="2618" spans="1:4" x14ac:dyDescent="0.25">
      <c r="A2618" s="180">
        <f t="shared" si="40"/>
        <v>7709359</v>
      </c>
      <c r="B2618" s="188" t="s">
        <v>12844</v>
      </c>
      <c r="C2618" s="188" t="s">
        <v>12845</v>
      </c>
      <c r="D2618" t="s">
        <v>13411</v>
      </c>
    </row>
    <row r="2619" spans="1:4" x14ac:dyDescent="0.25">
      <c r="A2619" s="180">
        <f t="shared" si="40"/>
        <v>7709360</v>
      </c>
      <c r="B2619" s="188" t="s">
        <v>3524</v>
      </c>
      <c r="C2619" s="188" t="s">
        <v>3525</v>
      </c>
      <c r="D2619" t="s">
        <v>13411</v>
      </c>
    </row>
    <row r="2620" spans="1:4" x14ac:dyDescent="0.25">
      <c r="A2620" s="180">
        <f t="shared" si="40"/>
        <v>7709361</v>
      </c>
      <c r="B2620" s="188" t="s">
        <v>3526</v>
      </c>
      <c r="C2620" s="188" t="s">
        <v>3527</v>
      </c>
      <c r="D2620" t="s">
        <v>13411</v>
      </c>
    </row>
    <row r="2621" spans="1:4" x14ac:dyDescent="0.25">
      <c r="A2621" s="180">
        <f t="shared" si="40"/>
        <v>7709364</v>
      </c>
      <c r="B2621" s="188" t="s">
        <v>3528</v>
      </c>
      <c r="C2621" s="188" t="s">
        <v>3529</v>
      </c>
      <c r="D2621" t="s">
        <v>13411</v>
      </c>
    </row>
    <row r="2622" spans="1:4" x14ac:dyDescent="0.25">
      <c r="A2622" s="180">
        <f t="shared" si="40"/>
        <v>7709365</v>
      </c>
      <c r="B2622" s="188" t="s">
        <v>3530</v>
      </c>
      <c r="C2622" s="188" t="s">
        <v>3531</v>
      </c>
      <c r="D2622" t="s">
        <v>13411</v>
      </c>
    </row>
    <row r="2623" spans="1:4" x14ac:dyDescent="0.25">
      <c r="A2623" s="180">
        <f t="shared" ref="A2623:A2686" si="41">IFERROR(B2623*1,"")</f>
        <v>7709380</v>
      </c>
      <c r="B2623" s="188" t="s">
        <v>3532</v>
      </c>
      <c r="C2623" s="188" t="s">
        <v>3533</v>
      </c>
      <c r="D2623" t="s">
        <v>13411</v>
      </c>
    </row>
    <row r="2624" spans="1:4" x14ac:dyDescent="0.25">
      <c r="A2624" s="180">
        <f t="shared" si="41"/>
        <v>7709381</v>
      </c>
      <c r="B2624" s="188" t="s">
        <v>3534</v>
      </c>
      <c r="C2624" s="188" t="s">
        <v>3535</v>
      </c>
      <c r="D2624" t="s">
        <v>13411</v>
      </c>
    </row>
    <row r="2625" spans="1:4" x14ac:dyDescent="0.25">
      <c r="A2625" s="180">
        <f t="shared" si="41"/>
        <v>7709384</v>
      </c>
      <c r="B2625" s="188" t="s">
        <v>3536</v>
      </c>
      <c r="C2625" s="188" t="s">
        <v>6967</v>
      </c>
      <c r="D2625" t="s">
        <v>13411</v>
      </c>
    </row>
    <row r="2626" spans="1:4" x14ac:dyDescent="0.25">
      <c r="A2626" s="180">
        <f t="shared" si="41"/>
        <v>7709393</v>
      </c>
      <c r="B2626" s="188" t="s">
        <v>3537</v>
      </c>
      <c r="C2626" s="188" t="s">
        <v>3538</v>
      </c>
      <c r="D2626" t="s">
        <v>13411</v>
      </c>
    </row>
    <row r="2627" spans="1:4" x14ac:dyDescent="0.25">
      <c r="A2627" s="180">
        <f t="shared" si="41"/>
        <v>7709394</v>
      </c>
      <c r="B2627" s="188" t="s">
        <v>3539</v>
      </c>
      <c r="C2627" s="188" t="s">
        <v>3540</v>
      </c>
      <c r="D2627" t="s">
        <v>13411</v>
      </c>
    </row>
    <row r="2628" spans="1:4" x14ac:dyDescent="0.25">
      <c r="A2628" s="180">
        <f t="shared" si="41"/>
        <v>7709395</v>
      </c>
      <c r="B2628" s="188" t="s">
        <v>3541</v>
      </c>
      <c r="C2628" s="188" t="s">
        <v>3542</v>
      </c>
    </row>
    <row r="2629" spans="1:4" x14ac:dyDescent="0.25">
      <c r="A2629" s="180">
        <f t="shared" si="41"/>
        <v>7709396</v>
      </c>
      <c r="B2629" s="188" t="s">
        <v>3543</v>
      </c>
      <c r="C2629" s="188" t="s">
        <v>3544</v>
      </c>
      <c r="D2629" t="s">
        <v>13411</v>
      </c>
    </row>
    <row r="2630" spans="1:4" x14ac:dyDescent="0.25">
      <c r="A2630" s="180">
        <f t="shared" si="41"/>
        <v>7709401</v>
      </c>
      <c r="B2630" s="188" t="s">
        <v>3545</v>
      </c>
      <c r="C2630" s="188" t="s">
        <v>3546</v>
      </c>
      <c r="D2630" t="s">
        <v>13411</v>
      </c>
    </row>
    <row r="2631" spans="1:4" x14ac:dyDescent="0.25">
      <c r="A2631" s="180">
        <f t="shared" si="41"/>
        <v>7709406</v>
      </c>
      <c r="B2631" s="188" t="s">
        <v>3547</v>
      </c>
      <c r="C2631" s="188" t="s">
        <v>3548</v>
      </c>
    </row>
    <row r="2632" spans="1:4" x14ac:dyDescent="0.25">
      <c r="A2632" s="180">
        <f t="shared" si="41"/>
        <v>7709410</v>
      </c>
      <c r="B2632" s="188" t="s">
        <v>3549</v>
      </c>
      <c r="C2632" s="188" t="s">
        <v>3550</v>
      </c>
      <c r="D2632" t="s">
        <v>13411</v>
      </c>
    </row>
    <row r="2633" spans="1:4" x14ac:dyDescent="0.25">
      <c r="A2633" s="180">
        <f t="shared" si="41"/>
        <v>7709411</v>
      </c>
      <c r="B2633" s="188" t="s">
        <v>3551</v>
      </c>
      <c r="C2633" s="188" t="s">
        <v>3552</v>
      </c>
      <c r="D2633" t="s">
        <v>13411</v>
      </c>
    </row>
    <row r="2634" spans="1:4" x14ac:dyDescent="0.25">
      <c r="A2634" s="180">
        <f t="shared" si="41"/>
        <v>7709412</v>
      </c>
      <c r="B2634" s="188" t="s">
        <v>3553</v>
      </c>
      <c r="C2634" s="188" t="s">
        <v>3554</v>
      </c>
      <c r="D2634" t="s">
        <v>13411</v>
      </c>
    </row>
    <row r="2635" spans="1:4" x14ac:dyDescent="0.25">
      <c r="A2635" s="180">
        <f t="shared" si="41"/>
        <v>7709413</v>
      </c>
      <c r="B2635" s="188" t="s">
        <v>3555</v>
      </c>
      <c r="C2635" s="188" t="s">
        <v>3556</v>
      </c>
    </row>
    <row r="2636" spans="1:4" x14ac:dyDescent="0.25">
      <c r="A2636" s="180">
        <f t="shared" si="41"/>
        <v>7709414</v>
      </c>
      <c r="B2636" s="188" t="s">
        <v>6968</v>
      </c>
      <c r="C2636" s="188" t="s">
        <v>6969</v>
      </c>
      <c r="D2636" t="s">
        <v>13411</v>
      </c>
    </row>
    <row r="2637" spans="1:4" x14ac:dyDescent="0.25">
      <c r="A2637" s="180">
        <f t="shared" si="41"/>
        <v>7709415</v>
      </c>
      <c r="B2637" s="188" t="s">
        <v>6970</v>
      </c>
      <c r="C2637" s="188" t="s">
        <v>6971</v>
      </c>
      <c r="D2637" t="s">
        <v>13411</v>
      </c>
    </row>
    <row r="2638" spans="1:4" x14ac:dyDescent="0.25">
      <c r="A2638" s="180">
        <f t="shared" si="41"/>
        <v>7709416</v>
      </c>
      <c r="B2638" s="188" t="s">
        <v>6972</v>
      </c>
      <c r="C2638" s="188" t="s">
        <v>6973</v>
      </c>
      <c r="D2638" t="s">
        <v>13411</v>
      </c>
    </row>
    <row r="2639" spans="1:4" x14ac:dyDescent="0.25">
      <c r="A2639" s="180">
        <f t="shared" si="41"/>
        <v>7709417</v>
      </c>
      <c r="B2639" s="188" t="s">
        <v>3557</v>
      </c>
      <c r="C2639" s="188" t="s">
        <v>3558</v>
      </c>
    </row>
    <row r="2640" spans="1:4" x14ac:dyDescent="0.25">
      <c r="A2640" s="180">
        <f t="shared" si="41"/>
        <v>7709419</v>
      </c>
      <c r="B2640" s="188" t="s">
        <v>3559</v>
      </c>
      <c r="C2640" s="188" t="s">
        <v>3560</v>
      </c>
      <c r="D2640" t="s">
        <v>13411</v>
      </c>
    </row>
    <row r="2641" spans="1:4" x14ac:dyDescent="0.25">
      <c r="A2641" s="180">
        <f t="shared" si="41"/>
        <v>7709420</v>
      </c>
      <c r="B2641" s="188" t="s">
        <v>3561</v>
      </c>
      <c r="C2641" s="188" t="s">
        <v>3562</v>
      </c>
      <c r="D2641" t="s">
        <v>13411</v>
      </c>
    </row>
    <row r="2642" spans="1:4" x14ac:dyDescent="0.25">
      <c r="A2642" s="180">
        <f t="shared" si="41"/>
        <v>7709421</v>
      </c>
      <c r="B2642" s="188" t="s">
        <v>3563</v>
      </c>
      <c r="C2642" s="188" t="s">
        <v>3564</v>
      </c>
      <c r="D2642" t="s">
        <v>13411</v>
      </c>
    </row>
    <row r="2643" spans="1:4" x14ac:dyDescent="0.25">
      <c r="A2643" s="180">
        <f t="shared" si="41"/>
        <v>7709422</v>
      </c>
      <c r="B2643" s="188" t="s">
        <v>3565</v>
      </c>
      <c r="C2643" s="188" t="s">
        <v>3566</v>
      </c>
      <c r="D2643" t="s">
        <v>13411</v>
      </c>
    </row>
    <row r="2644" spans="1:4" x14ac:dyDescent="0.25">
      <c r="A2644" s="180">
        <f t="shared" si="41"/>
        <v>7709425</v>
      </c>
      <c r="B2644" s="188" t="s">
        <v>3567</v>
      </c>
      <c r="C2644" s="188" t="s">
        <v>3568</v>
      </c>
      <c r="D2644" t="s">
        <v>13411</v>
      </c>
    </row>
    <row r="2645" spans="1:4" x14ac:dyDescent="0.25">
      <c r="A2645" s="180">
        <f t="shared" si="41"/>
        <v>7709426</v>
      </c>
      <c r="B2645" s="188" t="s">
        <v>3569</v>
      </c>
      <c r="C2645" s="188" t="s">
        <v>3570</v>
      </c>
      <c r="D2645" t="s">
        <v>13411</v>
      </c>
    </row>
    <row r="2646" spans="1:4" x14ac:dyDescent="0.25">
      <c r="A2646" s="180">
        <f t="shared" si="41"/>
        <v>7709427</v>
      </c>
      <c r="B2646" s="188" t="s">
        <v>12846</v>
      </c>
      <c r="C2646" s="188" t="s">
        <v>13313</v>
      </c>
      <c r="D2646" t="s">
        <v>13411</v>
      </c>
    </row>
    <row r="2647" spans="1:4" x14ac:dyDescent="0.25">
      <c r="A2647" s="180">
        <f t="shared" si="41"/>
        <v>7709428</v>
      </c>
      <c r="B2647" s="188" t="s">
        <v>12847</v>
      </c>
      <c r="C2647" s="188" t="s">
        <v>13314</v>
      </c>
      <c r="D2647" t="s">
        <v>13411</v>
      </c>
    </row>
    <row r="2648" spans="1:4" x14ac:dyDescent="0.25">
      <c r="A2648" s="180">
        <f t="shared" si="41"/>
        <v>7709438</v>
      </c>
      <c r="B2648" s="188" t="s">
        <v>12686</v>
      </c>
      <c r="C2648" s="188" t="s">
        <v>12687</v>
      </c>
      <c r="D2648" t="s">
        <v>13411</v>
      </c>
    </row>
    <row r="2649" spans="1:4" x14ac:dyDescent="0.25">
      <c r="A2649" s="180">
        <f t="shared" si="41"/>
        <v>7709439</v>
      </c>
      <c r="B2649" s="188" t="s">
        <v>3571</v>
      </c>
      <c r="C2649" s="188" t="s">
        <v>3572</v>
      </c>
      <c r="D2649" t="s">
        <v>13411</v>
      </c>
    </row>
    <row r="2650" spans="1:4" x14ac:dyDescent="0.25">
      <c r="A2650" s="180">
        <f t="shared" si="41"/>
        <v>7709440</v>
      </c>
      <c r="B2650" s="188" t="s">
        <v>3573</v>
      </c>
      <c r="C2650" s="188" t="s">
        <v>3574</v>
      </c>
      <c r="D2650" t="s">
        <v>13411</v>
      </c>
    </row>
    <row r="2651" spans="1:4" x14ac:dyDescent="0.25">
      <c r="A2651" s="180">
        <f t="shared" si="41"/>
        <v>7709441</v>
      </c>
      <c r="B2651" s="188" t="s">
        <v>3575</v>
      </c>
      <c r="C2651" s="188" t="s">
        <v>3576</v>
      </c>
    </row>
    <row r="2652" spans="1:4" x14ac:dyDescent="0.25">
      <c r="A2652" s="180">
        <f t="shared" si="41"/>
        <v>7709442</v>
      </c>
      <c r="B2652" s="188" t="s">
        <v>3577</v>
      </c>
      <c r="C2652" s="188" t="s">
        <v>3578</v>
      </c>
      <c r="D2652" t="s">
        <v>13411</v>
      </c>
    </row>
    <row r="2653" spans="1:4" x14ac:dyDescent="0.25">
      <c r="A2653" s="180">
        <f t="shared" si="41"/>
        <v>7709443</v>
      </c>
      <c r="B2653" s="188" t="s">
        <v>3579</v>
      </c>
      <c r="C2653" s="188" t="s">
        <v>3580</v>
      </c>
    </row>
    <row r="2654" spans="1:4" x14ac:dyDescent="0.25">
      <c r="A2654" s="180">
        <f t="shared" si="41"/>
        <v>7709444</v>
      </c>
      <c r="B2654" s="188" t="s">
        <v>13315</v>
      </c>
      <c r="C2654" s="188" t="s">
        <v>13316</v>
      </c>
      <c r="D2654" t="s">
        <v>13411</v>
      </c>
    </row>
    <row r="2655" spans="1:4" x14ac:dyDescent="0.25">
      <c r="A2655" s="180">
        <f t="shared" si="41"/>
        <v>7709445</v>
      </c>
      <c r="B2655" s="188" t="s">
        <v>14038</v>
      </c>
      <c r="C2655" s="188" t="s">
        <v>14039</v>
      </c>
      <c r="D2655" t="s">
        <v>13411</v>
      </c>
    </row>
    <row r="2656" spans="1:4" x14ac:dyDescent="0.25">
      <c r="A2656" s="180">
        <f t="shared" si="41"/>
        <v>7709450</v>
      </c>
      <c r="B2656" s="188" t="s">
        <v>3581</v>
      </c>
      <c r="C2656" s="188" t="s">
        <v>3582</v>
      </c>
    </row>
    <row r="2657" spans="1:4" x14ac:dyDescent="0.25">
      <c r="A2657" s="180">
        <f t="shared" si="41"/>
        <v>7709451</v>
      </c>
      <c r="B2657" s="188" t="s">
        <v>3583</v>
      </c>
      <c r="C2657" s="188" t="s">
        <v>3584</v>
      </c>
    </row>
    <row r="2658" spans="1:4" x14ac:dyDescent="0.25">
      <c r="A2658" s="180">
        <f t="shared" si="41"/>
        <v>7709452</v>
      </c>
      <c r="B2658" s="188" t="s">
        <v>3585</v>
      </c>
      <c r="C2658" s="188" t="s">
        <v>3586</v>
      </c>
      <c r="D2658" t="s">
        <v>13411</v>
      </c>
    </row>
    <row r="2659" spans="1:4" x14ac:dyDescent="0.25">
      <c r="A2659" s="180">
        <f t="shared" si="41"/>
        <v>7709453</v>
      </c>
      <c r="B2659" s="188" t="s">
        <v>3587</v>
      </c>
      <c r="C2659" s="188" t="s">
        <v>3588</v>
      </c>
      <c r="D2659" t="s">
        <v>13411</v>
      </c>
    </row>
    <row r="2660" spans="1:4" x14ac:dyDescent="0.25">
      <c r="A2660" s="180">
        <f t="shared" si="41"/>
        <v>7709454</v>
      </c>
      <c r="B2660" s="188" t="s">
        <v>3589</v>
      </c>
      <c r="C2660" s="188" t="s">
        <v>3590</v>
      </c>
    </row>
    <row r="2661" spans="1:4" x14ac:dyDescent="0.25">
      <c r="A2661" s="180">
        <f t="shared" si="41"/>
        <v>7709455</v>
      </c>
      <c r="B2661" s="188" t="s">
        <v>3591</v>
      </c>
      <c r="C2661" s="188" t="s">
        <v>3592</v>
      </c>
      <c r="D2661" t="s">
        <v>13411</v>
      </c>
    </row>
    <row r="2662" spans="1:4" x14ac:dyDescent="0.25">
      <c r="A2662" s="180">
        <f t="shared" si="41"/>
        <v>7709456</v>
      </c>
      <c r="B2662" s="188" t="s">
        <v>3593</v>
      </c>
      <c r="C2662" s="188" t="s">
        <v>3594</v>
      </c>
      <c r="D2662" t="s">
        <v>13411</v>
      </c>
    </row>
    <row r="2663" spans="1:4" x14ac:dyDescent="0.25">
      <c r="A2663" s="180">
        <f t="shared" si="41"/>
        <v>7709457</v>
      </c>
      <c r="B2663" s="188" t="s">
        <v>3595</v>
      </c>
      <c r="C2663" s="188" t="s">
        <v>3596</v>
      </c>
      <c r="D2663" t="s">
        <v>13411</v>
      </c>
    </row>
    <row r="2664" spans="1:4" x14ac:dyDescent="0.25">
      <c r="A2664" s="180">
        <f t="shared" si="41"/>
        <v>7709458</v>
      </c>
      <c r="B2664" s="188" t="s">
        <v>3597</v>
      </c>
      <c r="C2664" s="188" t="s">
        <v>3598</v>
      </c>
      <c r="D2664" t="s">
        <v>13411</v>
      </c>
    </row>
    <row r="2665" spans="1:4" x14ac:dyDescent="0.25">
      <c r="A2665" s="180">
        <f t="shared" si="41"/>
        <v>7709459</v>
      </c>
      <c r="B2665" s="188" t="s">
        <v>3599</v>
      </c>
      <c r="C2665" s="188" t="s">
        <v>3600</v>
      </c>
      <c r="D2665" t="s">
        <v>13411</v>
      </c>
    </row>
    <row r="2666" spans="1:4" x14ac:dyDescent="0.25">
      <c r="A2666" s="180">
        <f t="shared" si="41"/>
        <v>7709460</v>
      </c>
      <c r="B2666" s="188" t="s">
        <v>3601</v>
      </c>
      <c r="C2666" s="188" t="s">
        <v>3602</v>
      </c>
      <c r="D2666" t="s">
        <v>13411</v>
      </c>
    </row>
    <row r="2667" spans="1:4" x14ac:dyDescent="0.25">
      <c r="A2667" s="180">
        <f t="shared" si="41"/>
        <v>7709461</v>
      </c>
      <c r="B2667" s="188" t="s">
        <v>3603</v>
      </c>
      <c r="C2667" s="188" t="s">
        <v>3604</v>
      </c>
      <c r="D2667" t="s">
        <v>13411</v>
      </c>
    </row>
    <row r="2668" spans="1:4" x14ac:dyDescent="0.25">
      <c r="A2668" s="180">
        <f t="shared" si="41"/>
        <v>7709462</v>
      </c>
      <c r="B2668" s="188" t="s">
        <v>3605</v>
      </c>
      <c r="C2668" s="188" t="s">
        <v>3606</v>
      </c>
      <c r="D2668" t="s">
        <v>13411</v>
      </c>
    </row>
    <row r="2669" spans="1:4" x14ac:dyDescent="0.25">
      <c r="A2669" s="180">
        <f t="shared" si="41"/>
        <v>7709465</v>
      </c>
      <c r="B2669" s="188" t="s">
        <v>3607</v>
      </c>
      <c r="C2669" s="188" t="s">
        <v>3608</v>
      </c>
      <c r="D2669" t="s">
        <v>13411</v>
      </c>
    </row>
    <row r="2670" spans="1:4" x14ac:dyDescent="0.25">
      <c r="A2670" s="180">
        <f t="shared" si="41"/>
        <v>7709473</v>
      </c>
      <c r="B2670" s="188" t="s">
        <v>3609</v>
      </c>
      <c r="C2670" s="188" t="s">
        <v>3610</v>
      </c>
      <c r="D2670" t="s">
        <v>13411</v>
      </c>
    </row>
    <row r="2671" spans="1:4" x14ac:dyDescent="0.25">
      <c r="A2671" s="180">
        <f t="shared" si="41"/>
        <v>7709490</v>
      </c>
      <c r="B2671" s="188" t="s">
        <v>3611</v>
      </c>
      <c r="C2671" s="188" t="s">
        <v>3612</v>
      </c>
    </row>
    <row r="2672" spans="1:4" x14ac:dyDescent="0.25">
      <c r="A2672" s="180">
        <f t="shared" si="41"/>
        <v>7709495</v>
      </c>
      <c r="B2672" s="188" t="s">
        <v>3613</v>
      </c>
      <c r="C2672" s="188" t="s">
        <v>3614</v>
      </c>
    </row>
    <row r="2673" spans="1:4" x14ac:dyDescent="0.25">
      <c r="A2673" s="180">
        <f t="shared" si="41"/>
        <v>7709499</v>
      </c>
      <c r="B2673" s="188" t="s">
        <v>3615</v>
      </c>
      <c r="C2673" s="188" t="s">
        <v>3616</v>
      </c>
    </row>
    <row r="2674" spans="1:4" x14ac:dyDescent="0.25">
      <c r="A2674" s="180" t="str">
        <f t="shared" si="41"/>
        <v/>
      </c>
      <c r="B2674" s="188" t="s">
        <v>13107</v>
      </c>
      <c r="C2674" s="188"/>
    </row>
    <row r="2675" spans="1:4" x14ac:dyDescent="0.25">
      <c r="A2675" s="180">
        <f t="shared" si="41"/>
        <v>7709500</v>
      </c>
      <c r="B2675" s="188" t="s">
        <v>3617</v>
      </c>
      <c r="C2675" s="188" t="s">
        <v>3618</v>
      </c>
      <c r="D2675" t="s">
        <v>13411</v>
      </c>
    </row>
    <row r="2676" spans="1:4" x14ac:dyDescent="0.25">
      <c r="A2676" s="180">
        <f t="shared" si="41"/>
        <v>7709501</v>
      </c>
      <c r="B2676" s="188" t="s">
        <v>3619</v>
      </c>
      <c r="C2676" s="188" t="s">
        <v>3620</v>
      </c>
    </row>
    <row r="2677" spans="1:4" x14ac:dyDescent="0.25">
      <c r="A2677" s="180">
        <f t="shared" si="41"/>
        <v>7709502</v>
      </c>
      <c r="B2677" s="188" t="s">
        <v>3621</v>
      </c>
      <c r="C2677" s="188" t="s">
        <v>3622</v>
      </c>
      <c r="D2677" t="s">
        <v>13411</v>
      </c>
    </row>
    <row r="2678" spans="1:4" x14ac:dyDescent="0.25">
      <c r="A2678" s="180">
        <f t="shared" si="41"/>
        <v>7709503</v>
      </c>
      <c r="B2678" s="188" t="s">
        <v>3623</v>
      </c>
      <c r="C2678" s="188" t="s">
        <v>3624</v>
      </c>
      <c r="D2678" t="s">
        <v>13411</v>
      </c>
    </row>
    <row r="2679" spans="1:4" x14ac:dyDescent="0.25">
      <c r="A2679" s="180">
        <f t="shared" si="41"/>
        <v>7709504</v>
      </c>
      <c r="B2679" s="188" t="s">
        <v>3625</v>
      </c>
      <c r="C2679" s="188" t="s">
        <v>3626</v>
      </c>
      <c r="D2679" t="s">
        <v>13411</v>
      </c>
    </row>
    <row r="2680" spans="1:4" x14ac:dyDescent="0.25">
      <c r="A2680" s="180">
        <f t="shared" si="41"/>
        <v>7709505</v>
      </c>
      <c r="B2680" s="188" t="s">
        <v>3627</v>
      </c>
      <c r="C2680" s="188" t="s">
        <v>3628</v>
      </c>
      <c r="D2680" t="s">
        <v>13411</v>
      </c>
    </row>
    <row r="2681" spans="1:4" x14ac:dyDescent="0.25">
      <c r="A2681" s="180">
        <f t="shared" si="41"/>
        <v>7709506</v>
      </c>
      <c r="B2681" s="188" t="s">
        <v>3629</v>
      </c>
      <c r="C2681" s="188" t="s">
        <v>3630</v>
      </c>
      <c r="D2681" t="s">
        <v>13411</v>
      </c>
    </row>
    <row r="2682" spans="1:4" x14ac:dyDescent="0.25">
      <c r="A2682" s="180">
        <f t="shared" si="41"/>
        <v>7709517</v>
      </c>
      <c r="B2682" s="188" t="s">
        <v>3631</v>
      </c>
      <c r="C2682" s="188" t="s">
        <v>3632</v>
      </c>
      <c r="D2682" t="s">
        <v>13411</v>
      </c>
    </row>
    <row r="2683" spans="1:4" x14ac:dyDescent="0.25">
      <c r="A2683" s="180">
        <f t="shared" si="41"/>
        <v>7709540</v>
      </c>
      <c r="B2683" s="188" t="s">
        <v>3633</v>
      </c>
      <c r="C2683" s="188" t="s">
        <v>3634</v>
      </c>
      <c r="D2683" t="s">
        <v>13411</v>
      </c>
    </row>
    <row r="2684" spans="1:4" x14ac:dyDescent="0.25">
      <c r="A2684" s="180">
        <f t="shared" si="41"/>
        <v>7709547</v>
      </c>
      <c r="B2684" s="188" t="s">
        <v>3635</v>
      </c>
      <c r="C2684" s="189" t="s">
        <v>3636</v>
      </c>
      <c r="D2684" t="s">
        <v>13411</v>
      </c>
    </row>
    <row r="2685" spans="1:4" x14ac:dyDescent="0.25">
      <c r="A2685" s="180">
        <f t="shared" si="41"/>
        <v>7709549</v>
      </c>
      <c r="B2685" s="188" t="s">
        <v>3637</v>
      </c>
      <c r="C2685" s="188" t="s">
        <v>3638</v>
      </c>
      <c r="D2685" t="s">
        <v>13411</v>
      </c>
    </row>
    <row r="2686" spans="1:4" x14ac:dyDescent="0.25">
      <c r="A2686" s="180">
        <f t="shared" si="41"/>
        <v>7709555</v>
      </c>
      <c r="B2686" s="188" t="s">
        <v>3639</v>
      </c>
      <c r="C2686" s="188" t="s">
        <v>3640</v>
      </c>
    </row>
    <row r="2687" spans="1:4" x14ac:dyDescent="0.25">
      <c r="A2687" s="180">
        <f t="shared" ref="A2687:A2750" si="42">IFERROR(B2687*1,"")</f>
        <v>7709556</v>
      </c>
      <c r="B2687" s="188" t="s">
        <v>3641</v>
      </c>
      <c r="C2687" s="188" t="s">
        <v>3642</v>
      </c>
    </row>
    <row r="2688" spans="1:4" x14ac:dyDescent="0.25">
      <c r="A2688" s="180">
        <f t="shared" si="42"/>
        <v>7709572</v>
      </c>
      <c r="B2688" s="188" t="s">
        <v>3643</v>
      </c>
      <c r="C2688" s="188" t="s">
        <v>3644</v>
      </c>
      <c r="D2688" t="s">
        <v>13411</v>
      </c>
    </row>
    <row r="2689" spans="1:4" x14ac:dyDescent="0.25">
      <c r="A2689" s="180">
        <f t="shared" si="42"/>
        <v>7709600</v>
      </c>
      <c r="B2689" s="188" t="s">
        <v>3645</v>
      </c>
      <c r="C2689" s="188" t="s">
        <v>3646</v>
      </c>
      <c r="D2689" t="s">
        <v>13411</v>
      </c>
    </row>
    <row r="2690" spans="1:4" x14ac:dyDescent="0.25">
      <c r="A2690" s="180">
        <f t="shared" si="42"/>
        <v>7709601</v>
      </c>
      <c r="B2690" s="188" t="s">
        <v>3647</v>
      </c>
      <c r="C2690" s="188" t="s">
        <v>3648</v>
      </c>
    </row>
    <row r="2691" spans="1:4" x14ac:dyDescent="0.25">
      <c r="A2691" s="180">
        <f t="shared" si="42"/>
        <v>7709602</v>
      </c>
      <c r="B2691" s="188" t="s">
        <v>3649</v>
      </c>
      <c r="C2691" s="188" t="s">
        <v>3650</v>
      </c>
    </row>
    <row r="2692" spans="1:4" x14ac:dyDescent="0.25">
      <c r="A2692" s="180">
        <f t="shared" si="42"/>
        <v>7709603</v>
      </c>
      <c r="B2692" s="188" t="s">
        <v>3651</v>
      </c>
      <c r="C2692" s="188" t="s">
        <v>3652</v>
      </c>
    </row>
    <row r="2693" spans="1:4" x14ac:dyDescent="0.25">
      <c r="A2693" s="180">
        <f t="shared" si="42"/>
        <v>7709606</v>
      </c>
      <c r="B2693" s="188" t="s">
        <v>3653</v>
      </c>
      <c r="C2693" s="188" t="s">
        <v>3654</v>
      </c>
      <c r="D2693" t="s">
        <v>13411</v>
      </c>
    </row>
    <row r="2694" spans="1:4" x14ac:dyDescent="0.25">
      <c r="A2694" s="180">
        <f t="shared" si="42"/>
        <v>7709608</v>
      </c>
      <c r="B2694" s="188" t="s">
        <v>3655</v>
      </c>
      <c r="C2694" s="188" t="s">
        <v>3656</v>
      </c>
      <c r="D2694" t="s">
        <v>13411</v>
      </c>
    </row>
    <row r="2695" spans="1:4" x14ac:dyDescent="0.25">
      <c r="A2695" s="180">
        <f t="shared" si="42"/>
        <v>7709625</v>
      </c>
      <c r="B2695" s="188" t="s">
        <v>3657</v>
      </c>
      <c r="C2695" s="188" t="s">
        <v>3658</v>
      </c>
      <c r="D2695" t="s">
        <v>13411</v>
      </c>
    </row>
    <row r="2696" spans="1:4" x14ac:dyDescent="0.25">
      <c r="A2696" s="180">
        <f t="shared" si="42"/>
        <v>7709650</v>
      </c>
      <c r="B2696" s="188" t="s">
        <v>3659</v>
      </c>
      <c r="C2696" s="188" t="s">
        <v>3660</v>
      </c>
      <c r="D2696" t="s">
        <v>13411</v>
      </c>
    </row>
    <row r="2697" spans="1:4" x14ac:dyDescent="0.25">
      <c r="A2697" s="180">
        <f t="shared" si="42"/>
        <v>7709653</v>
      </c>
      <c r="B2697" s="188" t="s">
        <v>3661</v>
      </c>
      <c r="C2697" s="188" t="s">
        <v>3662</v>
      </c>
      <c r="D2697" t="s">
        <v>13411</v>
      </c>
    </row>
    <row r="2698" spans="1:4" x14ac:dyDescent="0.25">
      <c r="A2698" s="180">
        <f t="shared" si="42"/>
        <v>7709654</v>
      </c>
      <c r="B2698" s="188" t="s">
        <v>3663</v>
      </c>
      <c r="C2698" s="188" t="s">
        <v>3664</v>
      </c>
      <c r="D2698" t="s">
        <v>13411</v>
      </c>
    </row>
    <row r="2699" spans="1:4" x14ac:dyDescent="0.25">
      <c r="A2699" s="180">
        <f t="shared" si="42"/>
        <v>7709655</v>
      </c>
      <c r="B2699" s="188" t="s">
        <v>3665</v>
      </c>
      <c r="C2699" s="188" t="s">
        <v>3666</v>
      </c>
    </row>
    <row r="2700" spans="1:4" x14ac:dyDescent="0.25">
      <c r="A2700" s="180">
        <f t="shared" si="42"/>
        <v>7709656</v>
      </c>
      <c r="B2700" s="188" t="s">
        <v>3667</v>
      </c>
      <c r="C2700" s="188" t="s">
        <v>3668</v>
      </c>
    </row>
    <row r="2701" spans="1:4" x14ac:dyDescent="0.25">
      <c r="A2701" s="180">
        <f t="shared" si="42"/>
        <v>7709660</v>
      </c>
      <c r="B2701" s="188" t="s">
        <v>3669</v>
      </c>
      <c r="C2701" s="188" t="s">
        <v>3670</v>
      </c>
      <c r="D2701" t="s">
        <v>13411</v>
      </c>
    </row>
    <row r="2702" spans="1:4" x14ac:dyDescent="0.25">
      <c r="A2702" s="180">
        <f t="shared" si="42"/>
        <v>7709661</v>
      </c>
      <c r="B2702" s="188" t="s">
        <v>3671</v>
      </c>
      <c r="C2702" s="188" t="s">
        <v>3672</v>
      </c>
      <c r="D2702" t="s">
        <v>13411</v>
      </c>
    </row>
    <row r="2703" spans="1:4" x14ac:dyDescent="0.25">
      <c r="A2703" s="180">
        <f t="shared" si="42"/>
        <v>7709662</v>
      </c>
      <c r="B2703" s="188" t="s">
        <v>3673</v>
      </c>
      <c r="C2703" s="188" t="s">
        <v>3674</v>
      </c>
      <c r="D2703" t="s">
        <v>13411</v>
      </c>
    </row>
    <row r="2704" spans="1:4" x14ac:dyDescent="0.25">
      <c r="A2704" s="180">
        <f t="shared" si="42"/>
        <v>7709663</v>
      </c>
      <c r="B2704" s="188" t="s">
        <v>3675</v>
      </c>
      <c r="C2704" s="188" t="s">
        <v>3676</v>
      </c>
      <c r="D2704" t="s">
        <v>13411</v>
      </c>
    </row>
    <row r="2705" spans="1:4" x14ac:dyDescent="0.25">
      <c r="A2705" s="180">
        <f t="shared" si="42"/>
        <v>7709664</v>
      </c>
      <c r="B2705" s="188" t="s">
        <v>3677</v>
      </c>
      <c r="C2705" s="188" t="s">
        <v>3678</v>
      </c>
      <c r="D2705" t="s">
        <v>13411</v>
      </c>
    </row>
    <row r="2706" spans="1:4" x14ac:dyDescent="0.25">
      <c r="A2706" s="180">
        <f t="shared" si="42"/>
        <v>7709665</v>
      </c>
      <c r="B2706" s="188" t="s">
        <v>3679</v>
      </c>
      <c r="C2706" s="188" t="s">
        <v>3680</v>
      </c>
      <c r="D2706" t="s">
        <v>13411</v>
      </c>
    </row>
    <row r="2707" spans="1:4" x14ac:dyDescent="0.25">
      <c r="A2707" s="180">
        <f t="shared" si="42"/>
        <v>7709666</v>
      </c>
      <c r="B2707" s="188" t="s">
        <v>3681</v>
      </c>
      <c r="C2707" s="188" t="s">
        <v>3682</v>
      </c>
      <c r="D2707" t="s">
        <v>13411</v>
      </c>
    </row>
    <row r="2708" spans="1:4" x14ac:dyDescent="0.25">
      <c r="A2708" s="180">
        <f t="shared" si="42"/>
        <v>7709667</v>
      </c>
      <c r="B2708" s="188" t="s">
        <v>3683</v>
      </c>
      <c r="C2708" s="188" t="s">
        <v>3684</v>
      </c>
      <c r="D2708" t="s">
        <v>13411</v>
      </c>
    </row>
    <row r="2709" spans="1:4" x14ac:dyDescent="0.25">
      <c r="A2709" s="180">
        <f t="shared" si="42"/>
        <v>7709668</v>
      </c>
      <c r="B2709" s="188" t="s">
        <v>3685</v>
      </c>
      <c r="C2709" s="188" t="s">
        <v>3686</v>
      </c>
      <c r="D2709" t="s">
        <v>13411</v>
      </c>
    </row>
    <row r="2710" spans="1:4" x14ac:dyDescent="0.25">
      <c r="A2710" s="180">
        <f t="shared" si="42"/>
        <v>7709669</v>
      </c>
      <c r="B2710" s="188" t="s">
        <v>3687</v>
      </c>
      <c r="C2710" s="188" t="s">
        <v>3688</v>
      </c>
      <c r="D2710" t="s">
        <v>13411</v>
      </c>
    </row>
    <row r="2711" spans="1:4" x14ac:dyDescent="0.25">
      <c r="A2711" s="180">
        <f t="shared" si="42"/>
        <v>7709670</v>
      </c>
      <c r="B2711" s="188" t="s">
        <v>3689</v>
      </c>
      <c r="C2711" s="188" t="s">
        <v>3690</v>
      </c>
      <c r="D2711" t="s">
        <v>13411</v>
      </c>
    </row>
    <row r="2712" spans="1:4" x14ac:dyDescent="0.25">
      <c r="A2712" s="180">
        <f t="shared" si="42"/>
        <v>7709671</v>
      </c>
      <c r="B2712" s="188" t="s">
        <v>3691</v>
      </c>
      <c r="C2712" s="188" t="s">
        <v>3692</v>
      </c>
      <c r="D2712" t="s">
        <v>13411</v>
      </c>
    </row>
    <row r="2713" spans="1:4" x14ac:dyDescent="0.25">
      <c r="A2713" s="180">
        <f t="shared" si="42"/>
        <v>7709680</v>
      </c>
      <c r="B2713" s="188" t="s">
        <v>3693</v>
      </c>
      <c r="C2713" s="188" t="s">
        <v>3694</v>
      </c>
      <c r="D2713" t="s">
        <v>13411</v>
      </c>
    </row>
    <row r="2714" spans="1:4" x14ac:dyDescent="0.25">
      <c r="A2714" s="180">
        <f t="shared" si="42"/>
        <v>7709700</v>
      </c>
      <c r="B2714" s="188" t="s">
        <v>3695</v>
      </c>
      <c r="C2714" s="188" t="s">
        <v>3696</v>
      </c>
    </row>
    <row r="2715" spans="1:4" x14ac:dyDescent="0.25">
      <c r="A2715" s="180">
        <f t="shared" si="42"/>
        <v>7709709</v>
      </c>
      <c r="B2715" s="188" t="s">
        <v>3697</v>
      </c>
      <c r="C2715" s="188" t="s">
        <v>3698</v>
      </c>
      <c r="D2715" t="s">
        <v>13411</v>
      </c>
    </row>
    <row r="2716" spans="1:4" x14ac:dyDescent="0.25">
      <c r="A2716" s="180">
        <f t="shared" si="42"/>
        <v>7709712</v>
      </c>
      <c r="B2716" s="188" t="s">
        <v>3699</v>
      </c>
      <c r="C2716" s="188" t="s">
        <v>3700</v>
      </c>
      <c r="D2716" t="s">
        <v>13411</v>
      </c>
    </row>
    <row r="2717" spans="1:4" x14ac:dyDescent="0.25">
      <c r="A2717" s="180">
        <f t="shared" si="42"/>
        <v>7709753</v>
      </c>
      <c r="B2717" s="188" t="s">
        <v>3701</v>
      </c>
      <c r="C2717" s="188" t="s">
        <v>3702</v>
      </c>
      <c r="D2717" t="s">
        <v>13411</v>
      </c>
    </row>
    <row r="2718" spans="1:4" x14ac:dyDescent="0.25">
      <c r="A2718" s="180">
        <f t="shared" si="42"/>
        <v>7709754</v>
      </c>
      <c r="B2718" s="188" t="s">
        <v>3703</v>
      </c>
      <c r="C2718" s="188" t="s">
        <v>3704</v>
      </c>
      <c r="D2718" t="s">
        <v>13411</v>
      </c>
    </row>
    <row r="2719" spans="1:4" x14ac:dyDescent="0.25">
      <c r="A2719" s="180">
        <f t="shared" si="42"/>
        <v>7709755</v>
      </c>
      <c r="B2719" s="188" t="s">
        <v>3705</v>
      </c>
      <c r="C2719" s="188" t="s">
        <v>3706</v>
      </c>
      <c r="D2719" t="s">
        <v>13411</v>
      </c>
    </row>
    <row r="2720" spans="1:4" x14ac:dyDescent="0.25">
      <c r="A2720" s="180">
        <f t="shared" si="42"/>
        <v>7709756</v>
      </c>
      <c r="B2720" s="188" t="s">
        <v>3707</v>
      </c>
      <c r="C2720" s="188" t="s">
        <v>3708</v>
      </c>
      <c r="D2720" t="s">
        <v>13411</v>
      </c>
    </row>
    <row r="2721" spans="1:4" x14ac:dyDescent="0.25">
      <c r="A2721" s="180">
        <f t="shared" si="42"/>
        <v>7709784</v>
      </c>
      <c r="B2721" s="188" t="s">
        <v>3709</v>
      </c>
      <c r="C2721" s="188" t="s">
        <v>3710</v>
      </c>
      <c r="D2721" t="s">
        <v>13411</v>
      </c>
    </row>
    <row r="2722" spans="1:4" x14ac:dyDescent="0.25">
      <c r="A2722" s="180">
        <f t="shared" si="42"/>
        <v>7709785</v>
      </c>
      <c r="B2722" s="188" t="s">
        <v>3711</v>
      </c>
      <c r="C2722" s="188" t="s">
        <v>3712</v>
      </c>
    </row>
    <row r="2723" spans="1:4" x14ac:dyDescent="0.25">
      <c r="A2723" s="180">
        <f t="shared" si="42"/>
        <v>7709786</v>
      </c>
      <c r="B2723" s="188" t="s">
        <v>3713</v>
      </c>
      <c r="C2723" s="188" t="s">
        <v>3714</v>
      </c>
      <c r="D2723" t="s">
        <v>13411</v>
      </c>
    </row>
    <row r="2724" spans="1:4" x14ac:dyDescent="0.25">
      <c r="A2724" s="180">
        <f t="shared" si="42"/>
        <v>7709787</v>
      </c>
      <c r="B2724" s="188" t="s">
        <v>3715</v>
      </c>
      <c r="C2724" s="188" t="s">
        <v>3716</v>
      </c>
      <c r="D2724" t="s">
        <v>13411</v>
      </c>
    </row>
    <row r="2725" spans="1:4" x14ac:dyDescent="0.25">
      <c r="A2725" s="180">
        <f t="shared" si="42"/>
        <v>7709788</v>
      </c>
      <c r="B2725" s="188" t="s">
        <v>3717</v>
      </c>
      <c r="C2725" s="188" t="s">
        <v>3718</v>
      </c>
      <c r="D2725" t="s">
        <v>13411</v>
      </c>
    </row>
    <row r="2726" spans="1:4" x14ac:dyDescent="0.25">
      <c r="A2726" s="180">
        <f t="shared" si="42"/>
        <v>7709789</v>
      </c>
      <c r="B2726" s="188" t="s">
        <v>3719</v>
      </c>
      <c r="C2726" s="188" t="s">
        <v>3720</v>
      </c>
      <c r="D2726" t="s">
        <v>13411</v>
      </c>
    </row>
    <row r="2727" spans="1:4" x14ac:dyDescent="0.25">
      <c r="A2727" s="180">
        <f t="shared" si="42"/>
        <v>7709790</v>
      </c>
      <c r="B2727" s="188" t="s">
        <v>3721</v>
      </c>
      <c r="C2727" s="188" t="s">
        <v>3722</v>
      </c>
      <c r="D2727" t="s">
        <v>13411</v>
      </c>
    </row>
    <row r="2728" spans="1:4" x14ac:dyDescent="0.25">
      <c r="A2728" s="180">
        <f t="shared" si="42"/>
        <v>7709794</v>
      </c>
      <c r="B2728" s="188" t="s">
        <v>14510</v>
      </c>
      <c r="C2728" s="188" t="s">
        <v>14511</v>
      </c>
      <c r="D2728" t="s">
        <v>13411</v>
      </c>
    </row>
    <row r="2729" spans="1:4" x14ac:dyDescent="0.25">
      <c r="A2729" s="180">
        <f t="shared" si="42"/>
        <v>7709795</v>
      </c>
      <c r="B2729" s="188" t="s">
        <v>14512</v>
      </c>
      <c r="C2729" s="188" t="s">
        <v>14513</v>
      </c>
      <c r="D2729" t="s">
        <v>13411</v>
      </c>
    </row>
    <row r="2730" spans="1:4" x14ac:dyDescent="0.25">
      <c r="A2730" s="180">
        <f t="shared" si="42"/>
        <v>7709796</v>
      </c>
      <c r="B2730" s="188" t="s">
        <v>14514</v>
      </c>
      <c r="C2730" s="188" t="s">
        <v>14515</v>
      </c>
      <c r="D2730" t="s">
        <v>13411</v>
      </c>
    </row>
    <row r="2731" spans="1:4" x14ac:dyDescent="0.25">
      <c r="A2731" s="180">
        <f t="shared" si="42"/>
        <v>7709799</v>
      </c>
      <c r="B2731" s="188" t="s">
        <v>13317</v>
      </c>
      <c r="C2731" s="188" t="s">
        <v>13318</v>
      </c>
    </row>
    <row r="2732" spans="1:4" x14ac:dyDescent="0.25">
      <c r="A2732" s="180">
        <f t="shared" si="42"/>
        <v>7709800</v>
      </c>
      <c r="B2732" s="188" t="s">
        <v>3723</v>
      </c>
      <c r="C2732" s="188" t="s">
        <v>3724</v>
      </c>
      <c r="D2732" t="s">
        <v>13411</v>
      </c>
    </row>
    <row r="2733" spans="1:4" x14ac:dyDescent="0.25">
      <c r="A2733" s="180">
        <f t="shared" si="42"/>
        <v>7709801</v>
      </c>
      <c r="B2733" s="188" t="s">
        <v>3725</v>
      </c>
      <c r="C2733" s="188" t="s">
        <v>3726</v>
      </c>
      <c r="D2733" t="s">
        <v>13411</v>
      </c>
    </row>
    <row r="2734" spans="1:4" x14ac:dyDescent="0.25">
      <c r="A2734" s="180">
        <f t="shared" si="42"/>
        <v>7709802</v>
      </c>
      <c r="B2734" s="188" t="s">
        <v>3727</v>
      </c>
      <c r="C2734" s="188" t="s">
        <v>3728</v>
      </c>
    </row>
    <row r="2735" spans="1:4" x14ac:dyDescent="0.25">
      <c r="A2735" s="180">
        <f t="shared" si="42"/>
        <v>7709803</v>
      </c>
      <c r="B2735" s="188" t="s">
        <v>3729</v>
      </c>
      <c r="C2735" s="188" t="s">
        <v>3730</v>
      </c>
    </row>
    <row r="2736" spans="1:4" x14ac:dyDescent="0.25">
      <c r="A2736" s="180">
        <f t="shared" si="42"/>
        <v>7709804</v>
      </c>
      <c r="B2736" s="188" t="s">
        <v>3731</v>
      </c>
      <c r="C2736" s="188" t="s">
        <v>3732</v>
      </c>
    </row>
    <row r="2737" spans="1:3" x14ac:dyDescent="0.25">
      <c r="A2737" s="180">
        <f t="shared" si="42"/>
        <v>7709805</v>
      </c>
      <c r="B2737" s="188" t="s">
        <v>3733</v>
      </c>
      <c r="C2737" s="188" t="s">
        <v>3734</v>
      </c>
    </row>
    <row r="2738" spans="1:3" x14ac:dyDescent="0.25">
      <c r="A2738" s="180">
        <f t="shared" si="42"/>
        <v>7709806</v>
      </c>
      <c r="B2738" s="188" t="s">
        <v>3735</v>
      </c>
      <c r="C2738" s="188" t="s">
        <v>3736</v>
      </c>
    </row>
    <row r="2739" spans="1:3" x14ac:dyDescent="0.25">
      <c r="A2739" s="180">
        <f t="shared" si="42"/>
        <v>7709807</v>
      </c>
      <c r="B2739" s="188" t="s">
        <v>3737</v>
      </c>
      <c r="C2739" s="188" t="s">
        <v>3738</v>
      </c>
    </row>
    <row r="2740" spans="1:3" x14ac:dyDescent="0.25">
      <c r="A2740" s="180">
        <f t="shared" si="42"/>
        <v>7709808</v>
      </c>
      <c r="B2740" s="188" t="s">
        <v>3739</v>
      </c>
      <c r="C2740" s="188" t="s">
        <v>3740</v>
      </c>
    </row>
    <row r="2741" spans="1:3" x14ac:dyDescent="0.25">
      <c r="A2741" s="180">
        <f t="shared" si="42"/>
        <v>7709809</v>
      </c>
      <c r="B2741" s="188" t="s">
        <v>3741</v>
      </c>
      <c r="C2741" s="188" t="s">
        <v>3742</v>
      </c>
    </row>
    <row r="2742" spans="1:3" x14ac:dyDescent="0.25">
      <c r="A2742" s="180">
        <f t="shared" si="42"/>
        <v>7709810</v>
      </c>
      <c r="B2742" s="188" t="s">
        <v>3743</v>
      </c>
      <c r="C2742" s="188" t="s">
        <v>3744</v>
      </c>
    </row>
    <row r="2743" spans="1:3" x14ac:dyDescent="0.25">
      <c r="A2743" s="180" t="str">
        <f t="shared" si="42"/>
        <v/>
      </c>
      <c r="B2743" s="188" t="s">
        <v>13108</v>
      </c>
      <c r="C2743" s="188"/>
    </row>
    <row r="2744" spans="1:3" x14ac:dyDescent="0.25">
      <c r="A2744" s="180">
        <f t="shared" si="42"/>
        <v>7709811</v>
      </c>
      <c r="B2744" s="188" t="s">
        <v>3745</v>
      </c>
      <c r="C2744" s="188" t="s">
        <v>3746</v>
      </c>
    </row>
    <row r="2745" spans="1:3" x14ac:dyDescent="0.25">
      <c r="A2745" s="180">
        <f t="shared" si="42"/>
        <v>7709812</v>
      </c>
      <c r="B2745" s="188" t="s">
        <v>3747</v>
      </c>
      <c r="C2745" s="188" t="s">
        <v>3748</v>
      </c>
    </row>
    <row r="2746" spans="1:3" x14ac:dyDescent="0.25">
      <c r="A2746" s="180">
        <f t="shared" si="42"/>
        <v>7709813</v>
      </c>
      <c r="B2746" s="188" t="s">
        <v>3749</v>
      </c>
      <c r="C2746" s="188" t="s">
        <v>3750</v>
      </c>
    </row>
    <row r="2747" spans="1:3" x14ac:dyDescent="0.25">
      <c r="A2747" s="180">
        <f t="shared" si="42"/>
        <v>7709814</v>
      </c>
      <c r="B2747" s="188" t="s">
        <v>3751</v>
      </c>
      <c r="C2747" s="188" t="s">
        <v>3752</v>
      </c>
    </row>
    <row r="2748" spans="1:3" x14ac:dyDescent="0.25">
      <c r="A2748" s="180">
        <f t="shared" si="42"/>
        <v>7709815</v>
      </c>
      <c r="B2748" s="188" t="s">
        <v>3753</v>
      </c>
      <c r="C2748" s="188" t="s">
        <v>3754</v>
      </c>
    </row>
    <row r="2749" spans="1:3" x14ac:dyDescent="0.25">
      <c r="A2749" s="180">
        <f t="shared" si="42"/>
        <v>7709816</v>
      </c>
      <c r="B2749" s="188" t="s">
        <v>3755</v>
      </c>
      <c r="C2749" s="188" t="s">
        <v>3756</v>
      </c>
    </row>
    <row r="2750" spans="1:3" x14ac:dyDescent="0.25">
      <c r="A2750" s="180">
        <f t="shared" si="42"/>
        <v>7709817</v>
      </c>
      <c r="B2750" s="188" t="s">
        <v>3757</v>
      </c>
      <c r="C2750" s="188" t="s">
        <v>3758</v>
      </c>
    </row>
    <row r="2751" spans="1:3" x14ac:dyDescent="0.25">
      <c r="A2751" s="180">
        <f t="shared" ref="A2751:A2814" si="43">IFERROR(B2751*1,"")</f>
        <v>7709818</v>
      </c>
      <c r="B2751" s="188" t="s">
        <v>3759</v>
      </c>
      <c r="C2751" s="188" t="s">
        <v>3760</v>
      </c>
    </row>
    <row r="2752" spans="1:3" x14ac:dyDescent="0.25">
      <c r="A2752" s="180">
        <f t="shared" si="43"/>
        <v>7709819</v>
      </c>
      <c r="B2752" s="188" t="s">
        <v>3761</v>
      </c>
      <c r="C2752" s="188" t="s">
        <v>3762</v>
      </c>
    </row>
    <row r="2753" spans="1:4" x14ac:dyDescent="0.25">
      <c r="A2753" s="180">
        <f t="shared" si="43"/>
        <v>7709820</v>
      </c>
      <c r="B2753" s="188" t="s">
        <v>3763</v>
      </c>
      <c r="C2753" s="188" t="s">
        <v>3764</v>
      </c>
    </row>
    <row r="2754" spans="1:4" x14ac:dyDescent="0.25">
      <c r="A2754" s="180">
        <f t="shared" si="43"/>
        <v>7709821</v>
      </c>
      <c r="B2754" s="188" t="s">
        <v>3765</v>
      </c>
      <c r="C2754" s="188" t="s">
        <v>3766</v>
      </c>
    </row>
    <row r="2755" spans="1:4" x14ac:dyDescent="0.25">
      <c r="A2755" s="180">
        <f t="shared" si="43"/>
        <v>7709831</v>
      </c>
      <c r="B2755" s="188" t="s">
        <v>3767</v>
      </c>
      <c r="C2755" s="188" t="s">
        <v>3768</v>
      </c>
      <c r="D2755" t="s">
        <v>13411</v>
      </c>
    </row>
    <row r="2756" spans="1:4" x14ac:dyDescent="0.25">
      <c r="A2756" s="180">
        <f t="shared" si="43"/>
        <v>7709833</v>
      </c>
      <c r="B2756" s="188" t="s">
        <v>3769</v>
      </c>
      <c r="C2756" s="188" t="s">
        <v>3770</v>
      </c>
      <c r="D2756" t="s">
        <v>13411</v>
      </c>
    </row>
    <row r="2757" spans="1:4" x14ac:dyDescent="0.25">
      <c r="A2757" s="180">
        <f t="shared" si="43"/>
        <v>7709834</v>
      </c>
      <c r="B2757" s="188" t="s">
        <v>3771</v>
      </c>
      <c r="C2757" s="188" t="s">
        <v>3772</v>
      </c>
    </row>
    <row r="2758" spans="1:4" x14ac:dyDescent="0.25">
      <c r="A2758" s="180">
        <f t="shared" si="43"/>
        <v>7709835</v>
      </c>
      <c r="B2758" s="188" t="s">
        <v>3773</v>
      </c>
      <c r="C2758" s="188" t="s">
        <v>3774</v>
      </c>
    </row>
    <row r="2759" spans="1:4" x14ac:dyDescent="0.25">
      <c r="A2759" s="180">
        <f t="shared" si="43"/>
        <v>7709836</v>
      </c>
      <c r="B2759" s="188" t="s">
        <v>3775</v>
      </c>
      <c r="C2759" s="188" t="s">
        <v>3776</v>
      </c>
    </row>
    <row r="2760" spans="1:4" x14ac:dyDescent="0.25">
      <c r="A2760" s="180">
        <f t="shared" si="43"/>
        <v>7709837</v>
      </c>
      <c r="B2760" s="188" t="s">
        <v>13908</v>
      </c>
      <c r="C2760" s="188" t="s">
        <v>13909</v>
      </c>
      <c r="D2760" t="s">
        <v>13411</v>
      </c>
    </row>
    <row r="2761" spans="1:4" x14ac:dyDescent="0.25">
      <c r="A2761" s="180">
        <f t="shared" si="43"/>
        <v>7709850</v>
      </c>
      <c r="B2761" s="188" t="s">
        <v>3777</v>
      </c>
      <c r="C2761" s="188" t="s">
        <v>3778</v>
      </c>
    </row>
    <row r="2762" spans="1:4" x14ac:dyDescent="0.25">
      <c r="A2762" s="180">
        <f t="shared" si="43"/>
        <v>7709851</v>
      </c>
      <c r="B2762" s="188" t="s">
        <v>3779</v>
      </c>
      <c r="C2762" s="188" t="s">
        <v>3780</v>
      </c>
      <c r="D2762" t="s">
        <v>13411</v>
      </c>
    </row>
    <row r="2763" spans="1:4" x14ac:dyDescent="0.25">
      <c r="A2763" s="180">
        <f t="shared" si="43"/>
        <v>7709852</v>
      </c>
      <c r="B2763" s="188" t="s">
        <v>3781</v>
      </c>
      <c r="C2763" s="188" t="s">
        <v>3782</v>
      </c>
      <c r="D2763" t="s">
        <v>13411</v>
      </c>
    </row>
    <row r="2764" spans="1:4" x14ac:dyDescent="0.25">
      <c r="A2764" s="180">
        <f t="shared" si="43"/>
        <v>7709853</v>
      </c>
      <c r="B2764" s="188" t="s">
        <v>3783</v>
      </c>
      <c r="C2764" s="188" t="s">
        <v>3784</v>
      </c>
      <c r="D2764" t="s">
        <v>13411</v>
      </c>
    </row>
    <row r="2765" spans="1:4" x14ac:dyDescent="0.25">
      <c r="A2765" s="180">
        <f t="shared" si="43"/>
        <v>7709854</v>
      </c>
      <c r="B2765" s="188" t="s">
        <v>3785</v>
      </c>
      <c r="C2765" s="188" t="s">
        <v>3786</v>
      </c>
      <c r="D2765" t="s">
        <v>13411</v>
      </c>
    </row>
    <row r="2766" spans="1:4" x14ac:dyDescent="0.25">
      <c r="A2766" s="180">
        <f t="shared" si="43"/>
        <v>7709855</v>
      </c>
      <c r="B2766" s="188" t="s">
        <v>3787</v>
      </c>
      <c r="C2766" s="188" t="s">
        <v>3788</v>
      </c>
      <c r="D2766" t="s">
        <v>13411</v>
      </c>
    </row>
    <row r="2767" spans="1:4" x14ac:dyDescent="0.25">
      <c r="A2767" s="180">
        <f t="shared" si="43"/>
        <v>7709856</v>
      </c>
      <c r="B2767" s="188" t="s">
        <v>3789</v>
      </c>
      <c r="C2767" s="188" t="s">
        <v>3790</v>
      </c>
      <c r="D2767" t="s">
        <v>13411</v>
      </c>
    </row>
    <row r="2768" spans="1:4" x14ac:dyDescent="0.25">
      <c r="A2768" s="180">
        <f t="shared" si="43"/>
        <v>7709857</v>
      </c>
      <c r="B2768" s="188" t="s">
        <v>3791</v>
      </c>
      <c r="C2768" s="188" t="s">
        <v>3792</v>
      </c>
      <c r="D2768" t="s">
        <v>13411</v>
      </c>
    </row>
    <row r="2769" spans="1:4" x14ac:dyDescent="0.25">
      <c r="A2769" s="180">
        <f t="shared" si="43"/>
        <v>7709858</v>
      </c>
      <c r="B2769" s="188" t="s">
        <v>3793</v>
      </c>
      <c r="C2769" s="188" t="s">
        <v>3794</v>
      </c>
      <c r="D2769" t="s">
        <v>13411</v>
      </c>
    </row>
    <row r="2770" spans="1:4" x14ac:dyDescent="0.25">
      <c r="A2770" s="180">
        <f t="shared" si="43"/>
        <v>7709859</v>
      </c>
      <c r="B2770" s="188" t="s">
        <v>3795</v>
      </c>
      <c r="C2770" s="188" t="s">
        <v>3796</v>
      </c>
      <c r="D2770" t="s">
        <v>13411</v>
      </c>
    </row>
    <row r="2771" spans="1:4" x14ac:dyDescent="0.25">
      <c r="A2771" s="180">
        <f t="shared" si="43"/>
        <v>7709860</v>
      </c>
      <c r="B2771" s="188" t="s">
        <v>3797</v>
      </c>
      <c r="C2771" s="188" t="s">
        <v>3798</v>
      </c>
    </row>
    <row r="2772" spans="1:4" x14ac:dyDescent="0.25">
      <c r="A2772" s="180">
        <f t="shared" si="43"/>
        <v>7709861</v>
      </c>
      <c r="B2772" s="188" t="s">
        <v>3799</v>
      </c>
      <c r="C2772" s="188" t="s">
        <v>3800</v>
      </c>
      <c r="D2772" t="s">
        <v>13411</v>
      </c>
    </row>
    <row r="2773" spans="1:4" x14ac:dyDescent="0.25">
      <c r="A2773" s="180">
        <f t="shared" si="43"/>
        <v>7709862</v>
      </c>
      <c r="B2773" s="188" t="s">
        <v>13506</v>
      </c>
      <c r="C2773" s="188" t="s">
        <v>13507</v>
      </c>
      <c r="D2773" t="s">
        <v>13411</v>
      </c>
    </row>
    <row r="2774" spans="1:4" x14ac:dyDescent="0.25">
      <c r="A2774" s="180">
        <f t="shared" si="43"/>
        <v>7709863</v>
      </c>
      <c r="B2774" s="188" t="s">
        <v>14272</v>
      </c>
      <c r="C2774" s="188" t="s">
        <v>14273</v>
      </c>
      <c r="D2774" t="s">
        <v>13411</v>
      </c>
    </row>
    <row r="2775" spans="1:4" x14ac:dyDescent="0.25">
      <c r="A2775" s="180">
        <f t="shared" si="43"/>
        <v>7709864</v>
      </c>
      <c r="B2775" s="188" t="s">
        <v>14274</v>
      </c>
      <c r="C2775" s="188" t="s">
        <v>14275</v>
      </c>
      <c r="D2775" t="s">
        <v>13411</v>
      </c>
    </row>
    <row r="2776" spans="1:4" x14ac:dyDescent="0.25">
      <c r="A2776" s="180">
        <f t="shared" si="43"/>
        <v>7709865</v>
      </c>
      <c r="B2776" s="188" t="s">
        <v>3801</v>
      </c>
      <c r="C2776" s="188" t="s">
        <v>3802</v>
      </c>
      <c r="D2776" t="s">
        <v>13411</v>
      </c>
    </row>
    <row r="2777" spans="1:4" x14ac:dyDescent="0.25">
      <c r="A2777" s="180">
        <f t="shared" si="43"/>
        <v>7709866</v>
      </c>
      <c r="B2777" s="188" t="s">
        <v>3803</v>
      </c>
      <c r="C2777" s="188" t="s">
        <v>3804</v>
      </c>
      <c r="D2777" t="s">
        <v>13411</v>
      </c>
    </row>
    <row r="2778" spans="1:4" x14ac:dyDescent="0.25">
      <c r="A2778" s="180">
        <f t="shared" si="43"/>
        <v>7709867</v>
      </c>
      <c r="B2778" s="188" t="s">
        <v>3805</v>
      </c>
      <c r="C2778" s="188" t="s">
        <v>3806</v>
      </c>
      <c r="D2778" t="s">
        <v>13411</v>
      </c>
    </row>
    <row r="2779" spans="1:4" x14ac:dyDescent="0.25">
      <c r="A2779" s="180">
        <f t="shared" si="43"/>
        <v>7709869</v>
      </c>
      <c r="B2779" s="188" t="s">
        <v>3807</v>
      </c>
      <c r="C2779" s="188" t="s">
        <v>3808</v>
      </c>
    </row>
    <row r="2780" spans="1:4" x14ac:dyDescent="0.25">
      <c r="A2780" s="180">
        <f t="shared" si="43"/>
        <v>7709880</v>
      </c>
      <c r="B2780" s="188" t="s">
        <v>14128</v>
      </c>
      <c r="C2780" s="188" t="s">
        <v>14129</v>
      </c>
      <c r="D2780" t="s">
        <v>13411</v>
      </c>
    </row>
    <row r="2781" spans="1:4" x14ac:dyDescent="0.25">
      <c r="A2781" s="180">
        <f t="shared" si="43"/>
        <v>7709881</v>
      </c>
      <c r="B2781" s="188" t="s">
        <v>14130</v>
      </c>
      <c r="C2781" s="188" t="s">
        <v>14131</v>
      </c>
      <c r="D2781" t="s">
        <v>13411</v>
      </c>
    </row>
    <row r="2782" spans="1:4" x14ac:dyDescent="0.25">
      <c r="A2782" s="180">
        <f t="shared" si="43"/>
        <v>77098818</v>
      </c>
      <c r="B2782" s="188" t="s">
        <v>3809</v>
      </c>
      <c r="C2782" s="188" t="s">
        <v>3748</v>
      </c>
    </row>
    <row r="2783" spans="1:4" x14ac:dyDescent="0.25">
      <c r="A2783" s="180" t="str">
        <f t="shared" si="43"/>
        <v/>
      </c>
      <c r="B2783" s="188" t="s">
        <v>13109</v>
      </c>
      <c r="C2783" s="188"/>
    </row>
    <row r="2784" spans="1:4" x14ac:dyDescent="0.25">
      <c r="A2784" s="180">
        <f t="shared" si="43"/>
        <v>7709882</v>
      </c>
      <c r="B2784" s="188" t="s">
        <v>14132</v>
      </c>
      <c r="C2784" s="188" t="s">
        <v>14133</v>
      </c>
      <c r="D2784" t="s">
        <v>13411</v>
      </c>
    </row>
    <row r="2785" spans="1:4" x14ac:dyDescent="0.25">
      <c r="A2785" s="180">
        <f t="shared" si="43"/>
        <v>7709883</v>
      </c>
      <c r="B2785" s="188" t="s">
        <v>14987</v>
      </c>
      <c r="C2785" s="188" t="s">
        <v>14988</v>
      </c>
    </row>
    <row r="2786" spans="1:4" x14ac:dyDescent="0.25">
      <c r="A2786" s="180">
        <f t="shared" si="43"/>
        <v>7709890</v>
      </c>
      <c r="B2786" s="188" t="s">
        <v>3810</v>
      </c>
      <c r="C2786" s="188" t="s">
        <v>3811</v>
      </c>
    </row>
    <row r="2787" spans="1:4" x14ac:dyDescent="0.25">
      <c r="A2787" s="180">
        <f t="shared" si="43"/>
        <v>7709891</v>
      </c>
      <c r="B2787" s="188" t="s">
        <v>12848</v>
      </c>
      <c r="C2787" s="188" t="s">
        <v>12849</v>
      </c>
    </row>
    <row r="2788" spans="1:4" x14ac:dyDescent="0.25">
      <c r="A2788" s="180">
        <f t="shared" si="43"/>
        <v>7709892</v>
      </c>
      <c r="B2788" s="188" t="s">
        <v>12850</v>
      </c>
      <c r="C2788" s="188" t="s">
        <v>12851</v>
      </c>
      <c r="D2788" t="s">
        <v>13411</v>
      </c>
    </row>
    <row r="2789" spans="1:4" x14ac:dyDescent="0.25">
      <c r="A2789" s="180">
        <f t="shared" si="43"/>
        <v>7709900</v>
      </c>
      <c r="B2789" s="188" t="s">
        <v>3812</v>
      </c>
      <c r="C2789" s="188" t="s">
        <v>3813</v>
      </c>
    </row>
    <row r="2790" spans="1:4" x14ac:dyDescent="0.25">
      <c r="A2790" s="180">
        <f t="shared" si="43"/>
        <v>7709901</v>
      </c>
      <c r="B2790" s="188" t="s">
        <v>3814</v>
      </c>
      <c r="C2790" s="188" t="s">
        <v>3815</v>
      </c>
    </row>
    <row r="2791" spans="1:4" x14ac:dyDescent="0.25">
      <c r="A2791" s="180">
        <f t="shared" si="43"/>
        <v>7709902</v>
      </c>
      <c r="B2791" s="188" t="s">
        <v>3816</v>
      </c>
      <c r="C2791" s="188" t="s">
        <v>3817</v>
      </c>
      <c r="D2791" t="s">
        <v>13411</v>
      </c>
    </row>
    <row r="2792" spans="1:4" x14ac:dyDescent="0.25">
      <c r="A2792" s="180">
        <f t="shared" si="43"/>
        <v>7709903</v>
      </c>
      <c r="B2792" s="188" t="s">
        <v>12852</v>
      </c>
      <c r="C2792" s="188" t="s">
        <v>12853</v>
      </c>
    </row>
    <row r="2793" spans="1:4" x14ac:dyDescent="0.25">
      <c r="A2793" s="180">
        <f t="shared" si="43"/>
        <v>7709904</v>
      </c>
      <c r="B2793" s="188" t="s">
        <v>13319</v>
      </c>
      <c r="C2793" s="188" t="s">
        <v>13320</v>
      </c>
    </row>
    <row r="2794" spans="1:4" x14ac:dyDescent="0.25">
      <c r="A2794" s="180">
        <f t="shared" si="43"/>
        <v>7709909</v>
      </c>
      <c r="B2794" s="188" t="s">
        <v>3818</v>
      </c>
      <c r="C2794" s="188" t="s">
        <v>3819</v>
      </c>
    </row>
    <row r="2795" spans="1:4" x14ac:dyDescent="0.25">
      <c r="A2795" s="180">
        <f t="shared" si="43"/>
        <v>7709943</v>
      </c>
      <c r="B2795" s="188" t="s">
        <v>3820</v>
      </c>
      <c r="C2795" s="188" t="s">
        <v>3821</v>
      </c>
      <c r="D2795" t="s">
        <v>13411</v>
      </c>
    </row>
    <row r="2796" spans="1:4" x14ac:dyDescent="0.25">
      <c r="A2796" s="180">
        <f t="shared" si="43"/>
        <v>7709955</v>
      </c>
      <c r="B2796" s="188" t="s">
        <v>3822</v>
      </c>
      <c r="C2796" s="188" t="s">
        <v>3823</v>
      </c>
    </row>
    <row r="2797" spans="1:4" x14ac:dyDescent="0.25">
      <c r="A2797" s="180">
        <f t="shared" si="43"/>
        <v>7709956</v>
      </c>
      <c r="B2797" s="188" t="s">
        <v>3824</v>
      </c>
      <c r="C2797" s="188" t="s">
        <v>3825</v>
      </c>
      <c r="D2797" t="s">
        <v>13411</v>
      </c>
    </row>
    <row r="2798" spans="1:4" x14ac:dyDescent="0.25">
      <c r="A2798" s="180">
        <f t="shared" si="43"/>
        <v>7709998</v>
      </c>
      <c r="B2798" s="188" t="s">
        <v>3826</v>
      </c>
      <c r="C2798" s="188" t="s">
        <v>3827</v>
      </c>
      <c r="D2798" t="s">
        <v>13411</v>
      </c>
    </row>
    <row r="2799" spans="1:4" x14ac:dyDescent="0.25">
      <c r="A2799" s="180" t="str">
        <f t="shared" si="43"/>
        <v/>
      </c>
      <c r="B2799" s="188" t="s">
        <v>13110</v>
      </c>
      <c r="C2799" s="188"/>
    </row>
    <row r="2800" spans="1:4" x14ac:dyDescent="0.25">
      <c r="A2800" s="180">
        <f t="shared" si="43"/>
        <v>7709999</v>
      </c>
      <c r="B2800" s="188" t="s">
        <v>3828</v>
      </c>
      <c r="C2800" s="188" t="s">
        <v>3829</v>
      </c>
      <c r="D2800" t="s">
        <v>13411</v>
      </c>
    </row>
    <row r="2801" spans="1:4" x14ac:dyDescent="0.25">
      <c r="A2801" s="180">
        <f t="shared" si="43"/>
        <v>7710000</v>
      </c>
      <c r="B2801" s="188" t="s">
        <v>13910</v>
      </c>
      <c r="C2801" s="188" t="s">
        <v>13911</v>
      </c>
      <c r="D2801" t="s">
        <v>13411</v>
      </c>
    </row>
    <row r="2802" spans="1:4" x14ac:dyDescent="0.25">
      <c r="A2802" s="180">
        <f t="shared" si="43"/>
        <v>7710001</v>
      </c>
      <c r="B2802" s="188" t="s">
        <v>3830</v>
      </c>
      <c r="C2802" s="188" t="s">
        <v>12854</v>
      </c>
      <c r="D2802" t="s">
        <v>13411</v>
      </c>
    </row>
    <row r="2803" spans="1:4" x14ac:dyDescent="0.25">
      <c r="A2803" s="180">
        <f t="shared" si="43"/>
        <v>7710002</v>
      </c>
      <c r="B2803" s="188" t="s">
        <v>12855</v>
      </c>
      <c r="C2803" s="188" t="s">
        <v>13111</v>
      </c>
      <c r="D2803" t="s">
        <v>13411</v>
      </c>
    </row>
    <row r="2804" spans="1:4" x14ac:dyDescent="0.25">
      <c r="A2804" s="180">
        <f t="shared" si="43"/>
        <v>7710003</v>
      </c>
      <c r="B2804" s="188" t="s">
        <v>12856</v>
      </c>
      <c r="C2804" s="188" t="s">
        <v>12857</v>
      </c>
      <c r="D2804" t="s">
        <v>13411</v>
      </c>
    </row>
    <row r="2805" spans="1:4" x14ac:dyDescent="0.25">
      <c r="A2805" s="180">
        <f t="shared" si="43"/>
        <v>7710004</v>
      </c>
      <c r="B2805" s="188" t="s">
        <v>12858</v>
      </c>
      <c r="C2805" s="188" t="s">
        <v>12859</v>
      </c>
      <c r="D2805" t="s">
        <v>13411</v>
      </c>
    </row>
    <row r="2806" spans="1:4" x14ac:dyDescent="0.25">
      <c r="A2806" s="180">
        <f t="shared" si="43"/>
        <v>7710005</v>
      </c>
      <c r="B2806" s="188" t="s">
        <v>13112</v>
      </c>
      <c r="C2806" s="188" t="s">
        <v>13113</v>
      </c>
      <c r="D2806" t="s">
        <v>13411</v>
      </c>
    </row>
    <row r="2807" spans="1:4" x14ac:dyDescent="0.25">
      <c r="A2807" s="180">
        <f t="shared" si="43"/>
        <v>7710006</v>
      </c>
      <c r="B2807" s="188" t="s">
        <v>13114</v>
      </c>
      <c r="C2807" s="188" t="s">
        <v>13115</v>
      </c>
      <c r="D2807" t="s">
        <v>13411</v>
      </c>
    </row>
    <row r="2808" spans="1:4" x14ac:dyDescent="0.25">
      <c r="A2808" s="180">
        <f t="shared" si="43"/>
        <v>7710007</v>
      </c>
      <c r="B2808" s="188" t="s">
        <v>13116</v>
      </c>
      <c r="C2808" s="188" t="s">
        <v>13117</v>
      </c>
      <c r="D2808" t="s">
        <v>13411</v>
      </c>
    </row>
    <row r="2809" spans="1:4" x14ac:dyDescent="0.25">
      <c r="A2809" s="180">
        <f t="shared" si="43"/>
        <v>7710008</v>
      </c>
      <c r="B2809" s="188" t="s">
        <v>13118</v>
      </c>
      <c r="C2809" s="188" t="s">
        <v>13119</v>
      </c>
      <c r="D2809" t="s">
        <v>13411</v>
      </c>
    </row>
    <row r="2810" spans="1:4" x14ac:dyDescent="0.25">
      <c r="A2810" s="180">
        <f t="shared" si="43"/>
        <v>7710009</v>
      </c>
      <c r="B2810" s="188" t="s">
        <v>13120</v>
      </c>
      <c r="C2810" s="188" t="s">
        <v>13121</v>
      </c>
      <c r="D2810" t="s">
        <v>13411</v>
      </c>
    </row>
    <row r="2811" spans="1:4" x14ac:dyDescent="0.25">
      <c r="A2811" s="180">
        <f t="shared" si="43"/>
        <v>7710010</v>
      </c>
      <c r="B2811" s="188" t="s">
        <v>3831</v>
      </c>
      <c r="C2811" s="188" t="s">
        <v>3832</v>
      </c>
    </row>
    <row r="2812" spans="1:4" x14ac:dyDescent="0.25">
      <c r="A2812" s="180">
        <f t="shared" si="43"/>
        <v>7710011</v>
      </c>
      <c r="B2812" s="188" t="s">
        <v>13912</v>
      </c>
      <c r="C2812" s="188" t="s">
        <v>13913</v>
      </c>
      <c r="D2812" t="s">
        <v>13411</v>
      </c>
    </row>
    <row r="2813" spans="1:4" x14ac:dyDescent="0.25">
      <c r="A2813" s="180">
        <f t="shared" si="43"/>
        <v>7710012</v>
      </c>
      <c r="B2813" s="188" t="s">
        <v>13914</v>
      </c>
      <c r="C2813" s="188" t="s">
        <v>13915</v>
      </c>
      <c r="D2813" t="s">
        <v>13411</v>
      </c>
    </row>
    <row r="2814" spans="1:4" x14ac:dyDescent="0.25">
      <c r="A2814" s="180">
        <f t="shared" si="43"/>
        <v>7710013</v>
      </c>
      <c r="B2814" s="188" t="s">
        <v>13916</v>
      </c>
      <c r="C2814" s="188" t="s">
        <v>13917</v>
      </c>
      <c r="D2814" t="s">
        <v>13411</v>
      </c>
    </row>
    <row r="2815" spans="1:4" x14ac:dyDescent="0.25">
      <c r="A2815" s="180">
        <f t="shared" ref="A2815:A2878" si="44">IFERROR(B2815*1,"")</f>
        <v>7710020</v>
      </c>
      <c r="B2815" s="188" t="s">
        <v>3833</v>
      </c>
      <c r="C2815" s="188" t="s">
        <v>3834</v>
      </c>
      <c r="D2815" t="s">
        <v>13411</v>
      </c>
    </row>
    <row r="2816" spans="1:4" x14ac:dyDescent="0.25">
      <c r="A2816" s="180">
        <f t="shared" si="44"/>
        <v>7710021</v>
      </c>
      <c r="B2816" s="188" t="s">
        <v>3835</v>
      </c>
      <c r="C2816" s="189" t="s">
        <v>3836</v>
      </c>
    </row>
    <row r="2817" spans="1:4" x14ac:dyDescent="0.25">
      <c r="A2817" s="180">
        <f t="shared" si="44"/>
        <v>7710022</v>
      </c>
      <c r="B2817" s="188" t="s">
        <v>3837</v>
      </c>
      <c r="C2817" s="188" t="s">
        <v>3838</v>
      </c>
      <c r="D2817" t="s">
        <v>13411</v>
      </c>
    </row>
    <row r="2818" spans="1:4" x14ac:dyDescent="0.25">
      <c r="A2818" s="180">
        <f t="shared" si="44"/>
        <v>7710023</v>
      </c>
      <c r="B2818" s="188" t="s">
        <v>13508</v>
      </c>
      <c r="C2818" s="188" t="s">
        <v>13509</v>
      </c>
    </row>
    <row r="2819" spans="1:4" x14ac:dyDescent="0.25">
      <c r="A2819" s="180">
        <f t="shared" si="44"/>
        <v>7710030</v>
      </c>
      <c r="B2819" s="188" t="s">
        <v>3839</v>
      </c>
      <c r="C2819" s="188" t="s">
        <v>13122</v>
      </c>
      <c r="D2819" t="s">
        <v>13411</v>
      </c>
    </row>
    <row r="2820" spans="1:4" x14ac:dyDescent="0.25">
      <c r="A2820" s="180">
        <f t="shared" si="44"/>
        <v>7710031</v>
      </c>
      <c r="B2820" s="188" t="s">
        <v>3840</v>
      </c>
      <c r="C2820" s="188" t="s">
        <v>13123</v>
      </c>
      <c r="D2820" t="s">
        <v>13411</v>
      </c>
    </row>
    <row r="2821" spans="1:4" x14ac:dyDescent="0.25">
      <c r="A2821" s="180">
        <f t="shared" si="44"/>
        <v>7710032</v>
      </c>
      <c r="B2821" s="188" t="s">
        <v>3841</v>
      </c>
      <c r="C2821" s="188" t="s">
        <v>3842</v>
      </c>
      <c r="D2821" t="s">
        <v>13411</v>
      </c>
    </row>
    <row r="2822" spans="1:4" x14ac:dyDescent="0.25">
      <c r="A2822" s="180">
        <f t="shared" si="44"/>
        <v>7710033</v>
      </c>
      <c r="B2822" s="188" t="s">
        <v>13124</v>
      </c>
      <c r="C2822" s="188" t="s">
        <v>13125</v>
      </c>
      <c r="D2822" t="s">
        <v>13411</v>
      </c>
    </row>
    <row r="2823" spans="1:4" x14ac:dyDescent="0.25">
      <c r="A2823" s="180">
        <f t="shared" si="44"/>
        <v>7710034</v>
      </c>
      <c r="B2823" s="188" t="s">
        <v>13918</v>
      </c>
      <c r="C2823" s="188" t="s">
        <v>13919</v>
      </c>
      <c r="D2823" t="s">
        <v>13411</v>
      </c>
    </row>
    <row r="2824" spans="1:4" x14ac:dyDescent="0.25">
      <c r="A2824" s="180">
        <f t="shared" si="44"/>
        <v>7710040</v>
      </c>
      <c r="B2824" s="188" t="s">
        <v>12860</v>
      </c>
      <c r="C2824" s="188" t="s">
        <v>12861</v>
      </c>
    </row>
    <row r="2825" spans="1:4" x14ac:dyDescent="0.25">
      <c r="A2825" s="180">
        <f t="shared" si="44"/>
        <v>7710041</v>
      </c>
      <c r="B2825" s="188" t="s">
        <v>12862</v>
      </c>
      <c r="C2825" s="188" t="s">
        <v>12863</v>
      </c>
    </row>
    <row r="2826" spans="1:4" x14ac:dyDescent="0.25">
      <c r="A2826" s="180">
        <f t="shared" si="44"/>
        <v>7710042</v>
      </c>
      <c r="B2826" s="188" t="s">
        <v>12864</v>
      </c>
      <c r="C2826" s="188" t="s">
        <v>12865</v>
      </c>
    </row>
    <row r="2827" spans="1:4" x14ac:dyDescent="0.25">
      <c r="A2827" s="180">
        <f t="shared" si="44"/>
        <v>7710043</v>
      </c>
      <c r="B2827" s="188" t="s">
        <v>12866</v>
      </c>
      <c r="C2827" s="188" t="s">
        <v>12867</v>
      </c>
    </row>
    <row r="2828" spans="1:4" x14ac:dyDescent="0.25">
      <c r="A2828" s="180">
        <f t="shared" si="44"/>
        <v>7710044</v>
      </c>
      <c r="B2828" s="188" t="s">
        <v>12868</v>
      </c>
      <c r="C2828" s="188" t="s">
        <v>12869</v>
      </c>
    </row>
    <row r="2829" spans="1:4" x14ac:dyDescent="0.25">
      <c r="A2829" s="180">
        <f t="shared" si="44"/>
        <v>7710045</v>
      </c>
      <c r="B2829" s="188" t="s">
        <v>12870</v>
      </c>
      <c r="C2829" s="188" t="s">
        <v>12871</v>
      </c>
    </row>
    <row r="2830" spans="1:4" x14ac:dyDescent="0.25">
      <c r="A2830" s="180">
        <f t="shared" si="44"/>
        <v>7710046</v>
      </c>
      <c r="B2830" s="188" t="s">
        <v>12872</v>
      </c>
      <c r="C2830" s="188" t="s">
        <v>12873</v>
      </c>
    </row>
    <row r="2831" spans="1:4" x14ac:dyDescent="0.25">
      <c r="A2831" s="180">
        <f t="shared" si="44"/>
        <v>7710047</v>
      </c>
      <c r="B2831" s="188" t="s">
        <v>12874</v>
      </c>
      <c r="C2831" s="188" t="s">
        <v>12875</v>
      </c>
    </row>
    <row r="2832" spans="1:4" x14ac:dyDescent="0.25">
      <c r="A2832" s="180">
        <f t="shared" si="44"/>
        <v>7710048</v>
      </c>
      <c r="B2832" s="188" t="s">
        <v>12876</v>
      </c>
      <c r="C2832" s="188" t="s">
        <v>12877</v>
      </c>
    </row>
    <row r="2833" spans="1:4" x14ac:dyDescent="0.25">
      <c r="A2833" s="180">
        <f t="shared" si="44"/>
        <v>7710049</v>
      </c>
      <c r="B2833" s="188" t="s">
        <v>12878</v>
      </c>
      <c r="C2833" s="188" t="s">
        <v>12879</v>
      </c>
    </row>
    <row r="2834" spans="1:4" x14ac:dyDescent="0.25">
      <c r="A2834" s="180">
        <f t="shared" si="44"/>
        <v>7710221</v>
      </c>
      <c r="B2834" s="188" t="s">
        <v>12880</v>
      </c>
      <c r="C2834" s="188" t="s">
        <v>12881</v>
      </c>
      <c r="D2834" t="s">
        <v>13411</v>
      </c>
    </row>
    <row r="2835" spans="1:4" x14ac:dyDescent="0.25">
      <c r="A2835" s="180">
        <f t="shared" si="44"/>
        <v>7710230</v>
      </c>
      <c r="B2835" s="188" t="s">
        <v>12882</v>
      </c>
      <c r="C2835" s="188" t="s">
        <v>12883</v>
      </c>
      <c r="D2835" t="s">
        <v>13411</v>
      </c>
    </row>
    <row r="2836" spans="1:4" x14ac:dyDescent="0.25">
      <c r="A2836" s="180">
        <f t="shared" si="44"/>
        <v>7710231</v>
      </c>
      <c r="B2836" s="188" t="s">
        <v>12884</v>
      </c>
      <c r="C2836" s="188" t="s">
        <v>12885</v>
      </c>
      <c r="D2836" t="s">
        <v>13411</v>
      </c>
    </row>
    <row r="2837" spans="1:4" x14ac:dyDescent="0.25">
      <c r="A2837" s="180">
        <f t="shared" si="44"/>
        <v>7711003</v>
      </c>
      <c r="B2837" s="188" t="s">
        <v>3843</v>
      </c>
      <c r="C2837" s="188" t="s">
        <v>3844</v>
      </c>
      <c r="D2837" t="s">
        <v>13411</v>
      </c>
    </row>
    <row r="2838" spans="1:4" x14ac:dyDescent="0.25">
      <c r="A2838" s="180">
        <f t="shared" si="44"/>
        <v>7711004</v>
      </c>
      <c r="B2838" s="188" t="s">
        <v>13321</v>
      </c>
      <c r="C2838" s="188" t="s">
        <v>13322</v>
      </c>
      <c r="D2838" t="s">
        <v>13411</v>
      </c>
    </row>
    <row r="2839" spans="1:4" x14ac:dyDescent="0.25">
      <c r="A2839" s="180">
        <f t="shared" si="44"/>
        <v>7711034</v>
      </c>
      <c r="B2839" s="188" t="s">
        <v>3845</v>
      </c>
      <c r="C2839" s="188" t="s">
        <v>3846</v>
      </c>
      <c r="D2839" t="s">
        <v>13411</v>
      </c>
    </row>
    <row r="2840" spans="1:4" x14ac:dyDescent="0.25">
      <c r="A2840" s="180">
        <f t="shared" si="44"/>
        <v>7711068</v>
      </c>
      <c r="B2840" s="188" t="s">
        <v>3847</v>
      </c>
      <c r="C2840" s="188" t="s">
        <v>3848</v>
      </c>
    </row>
    <row r="2841" spans="1:4" x14ac:dyDescent="0.25">
      <c r="A2841" s="180">
        <f t="shared" si="44"/>
        <v>7711069</v>
      </c>
      <c r="B2841" s="188" t="s">
        <v>3849</v>
      </c>
      <c r="C2841" s="188" t="s">
        <v>3850</v>
      </c>
      <c r="D2841" t="s">
        <v>13411</v>
      </c>
    </row>
    <row r="2842" spans="1:4" x14ac:dyDescent="0.25">
      <c r="A2842" s="180">
        <f t="shared" si="44"/>
        <v>7711070</v>
      </c>
      <c r="B2842" s="188" t="s">
        <v>3851</v>
      </c>
      <c r="C2842" s="188" t="s">
        <v>3852</v>
      </c>
      <c r="D2842" t="s">
        <v>13411</v>
      </c>
    </row>
    <row r="2843" spans="1:4" x14ac:dyDescent="0.25">
      <c r="A2843" s="180">
        <f t="shared" si="44"/>
        <v>7711091</v>
      </c>
      <c r="B2843" s="188" t="s">
        <v>3853</v>
      </c>
      <c r="C2843" s="188" t="s">
        <v>3854</v>
      </c>
      <c r="D2843" t="s">
        <v>13411</v>
      </c>
    </row>
    <row r="2844" spans="1:4" x14ac:dyDescent="0.25">
      <c r="A2844" s="180">
        <f t="shared" si="44"/>
        <v>7711100</v>
      </c>
      <c r="B2844" s="188" t="s">
        <v>3855</v>
      </c>
      <c r="C2844" s="188" t="s">
        <v>3856</v>
      </c>
      <c r="D2844" t="s">
        <v>13411</v>
      </c>
    </row>
    <row r="2845" spans="1:4" x14ac:dyDescent="0.25">
      <c r="A2845" s="180">
        <f t="shared" si="44"/>
        <v>7711136</v>
      </c>
      <c r="B2845" s="188" t="s">
        <v>3857</v>
      </c>
      <c r="C2845" s="188" t="s">
        <v>3858</v>
      </c>
    </row>
    <row r="2846" spans="1:4" x14ac:dyDescent="0.25">
      <c r="A2846" s="180">
        <f t="shared" si="44"/>
        <v>7711137</v>
      </c>
      <c r="B2846" s="188" t="s">
        <v>3859</v>
      </c>
      <c r="C2846" s="188" t="s">
        <v>3860</v>
      </c>
    </row>
    <row r="2847" spans="1:4" x14ac:dyDescent="0.25">
      <c r="A2847" s="180">
        <f t="shared" si="44"/>
        <v>7711138</v>
      </c>
      <c r="B2847" s="188" t="s">
        <v>3861</v>
      </c>
      <c r="C2847" s="188" t="s">
        <v>3862</v>
      </c>
    </row>
    <row r="2848" spans="1:4" x14ac:dyDescent="0.25">
      <c r="A2848" s="180">
        <f t="shared" si="44"/>
        <v>7711139</v>
      </c>
      <c r="B2848" s="188" t="s">
        <v>3863</v>
      </c>
      <c r="C2848" s="188" t="s">
        <v>3864</v>
      </c>
      <c r="D2848" t="s">
        <v>13411</v>
      </c>
    </row>
    <row r="2849" spans="1:4" x14ac:dyDescent="0.25">
      <c r="A2849" s="180">
        <f t="shared" si="44"/>
        <v>7711141</v>
      </c>
      <c r="B2849" s="188" t="s">
        <v>3865</v>
      </c>
      <c r="C2849" s="188" t="s">
        <v>3866</v>
      </c>
    </row>
    <row r="2850" spans="1:4" x14ac:dyDescent="0.25">
      <c r="A2850" s="180">
        <f t="shared" si="44"/>
        <v>7711205</v>
      </c>
      <c r="B2850" s="188" t="s">
        <v>3867</v>
      </c>
      <c r="C2850" s="188" t="s">
        <v>3868</v>
      </c>
    </row>
    <row r="2851" spans="1:4" x14ac:dyDescent="0.25">
      <c r="A2851" s="180">
        <f t="shared" si="44"/>
        <v>7711213</v>
      </c>
      <c r="B2851" s="188" t="s">
        <v>3869</v>
      </c>
      <c r="C2851" s="188" t="s">
        <v>3870</v>
      </c>
      <c r="D2851" t="s">
        <v>13411</v>
      </c>
    </row>
    <row r="2852" spans="1:4" x14ac:dyDescent="0.25">
      <c r="A2852" s="180">
        <f t="shared" si="44"/>
        <v>7711222</v>
      </c>
      <c r="B2852" s="188" t="s">
        <v>3871</v>
      </c>
      <c r="C2852" s="188" t="s">
        <v>3872</v>
      </c>
      <c r="D2852" t="s">
        <v>13411</v>
      </c>
    </row>
    <row r="2853" spans="1:4" x14ac:dyDescent="0.25">
      <c r="A2853" s="180">
        <f t="shared" si="44"/>
        <v>7711300</v>
      </c>
      <c r="B2853" s="188" t="s">
        <v>3873</v>
      </c>
      <c r="C2853" s="188" t="s">
        <v>3874</v>
      </c>
    </row>
    <row r="2854" spans="1:4" x14ac:dyDescent="0.25">
      <c r="A2854" s="180">
        <f t="shared" si="44"/>
        <v>7711413</v>
      </c>
      <c r="B2854" s="188" t="s">
        <v>3875</v>
      </c>
      <c r="C2854" s="188" t="s">
        <v>3876</v>
      </c>
    </row>
    <row r="2855" spans="1:4" x14ac:dyDescent="0.25">
      <c r="A2855" s="180">
        <f t="shared" si="44"/>
        <v>7711503</v>
      </c>
      <c r="B2855" s="188" t="s">
        <v>3877</v>
      </c>
      <c r="C2855" s="188" t="s">
        <v>3878</v>
      </c>
      <c r="D2855" t="s">
        <v>13412</v>
      </c>
    </row>
    <row r="2856" spans="1:4" x14ac:dyDescent="0.25">
      <c r="A2856" s="180">
        <f t="shared" si="44"/>
        <v>7711676</v>
      </c>
      <c r="B2856" s="188" t="s">
        <v>3879</v>
      </c>
      <c r="C2856" s="188" t="s">
        <v>3880</v>
      </c>
      <c r="D2856" t="s">
        <v>13411</v>
      </c>
    </row>
    <row r="2857" spans="1:4" x14ac:dyDescent="0.25">
      <c r="A2857" s="180">
        <f t="shared" si="44"/>
        <v>779999</v>
      </c>
      <c r="B2857" s="188" t="s">
        <v>13920</v>
      </c>
      <c r="C2857" s="188" t="s">
        <v>13921</v>
      </c>
      <c r="D2857" t="s">
        <v>13411</v>
      </c>
    </row>
    <row r="2858" spans="1:4" x14ac:dyDescent="0.25">
      <c r="A2858" s="180">
        <f t="shared" si="44"/>
        <v>7800000</v>
      </c>
      <c r="B2858" s="188" t="s">
        <v>3881</v>
      </c>
      <c r="C2858" s="188" t="s">
        <v>3882</v>
      </c>
      <c r="D2858" t="s">
        <v>13412</v>
      </c>
    </row>
    <row r="2859" spans="1:4" x14ac:dyDescent="0.25">
      <c r="A2859" s="180">
        <f t="shared" si="44"/>
        <v>7800001</v>
      </c>
      <c r="B2859" s="188" t="s">
        <v>13510</v>
      </c>
      <c r="C2859" s="188" t="s">
        <v>13511</v>
      </c>
      <c r="D2859" t="s">
        <v>13412</v>
      </c>
    </row>
    <row r="2860" spans="1:4" x14ac:dyDescent="0.25">
      <c r="A2860" s="180">
        <f t="shared" si="44"/>
        <v>7800002</v>
      </c>
      <c r="B2860" s="188" t="s">
        <v>13512</v>
      </c>
      <c r="C2860" s="188" t="s">
        <v>13513</v>
      </c>
      <c r="D2860" t="s">
        <v>13412</v>
      </c>
    </row>
    <row r="2861" spans="1:4" x14ac:dyDescent="0.25">
      <c r="A2861" s="180">
        <f t="shared" si="44"/>
        <v>7800003</v>
      </c>
      <c r="B2861" s="188" t="s">
        <v>13514</v>
      </c>
      <c r="C2861" s="188" t="s">
        <v>13515</v>
      </c>
      <c r="D2861" t="s">
        <v>13412</v>
      </c>
    </row>
    <row r="2862" spans="1:4" x14ac:dyDescent="0.25">
      <c r="A2862" s="180">
        <f t="shared" si="44"/>
        <v>8203265</v>
      </c>
      <c r="B2862" s="188" t="s">
        <v>3883</v>
      </c>
      <c r="C2862" s="188" t="s">
        <v>3884</v>
      </c>
      <c r="D2862" t="s">
        <v>13411</v>
      </c>
    </row>
    <row r="2863" spans="1:4" x14ac:dyDescent="0.25">
      <c r="A2863" s="180">
        <f t="shared" si="44"/>
        <v>8203267</v>
      </c>
      <c r="B2863" s="188" t="s">
        <v>3885</v>
      </c>
      <c r="C2863" s="188" t="s">
        <v>3886</v>
      </c>
    </row>
    <row r="2864" spans="1:4" x14ac:dyDescent="0.25">
      <c r="A2864" s="180">
        <f t="shared" si="44"/>
        <v>8203268</v>
      </c>
      <c r="B2864" s="188" t="s">
        <v>3887</v>
      </c>
      <c r="C2864" s="188" t="s">
        <v>3888</v>
      </c>
    </row>
    <row r="2865" spans="1:4" x14ac:dyDescent="0.25">
      <c r="A2865" s="180">
        <f t="shared" si="44"/>
        <v>8203700</v>
      </c>
      <c r="B2865" s="188" t="s">
        <v>14276</v>
      </c>
      <c r="C2865" s="188" t="s">
        <v>14277</v>
      </c>
    </row>
    <row r="2866" spans="1:4" x14ac:dyDescent="0.25">
      <c r="A2866" s="180">
        <f t="shared" si="44"/>
        <v>8203830</v>
      </c>
      <c r="B2866" s="188" t="s">
        <v>3889</v>
      </c>
      <c r="C2866" s="188" t="s">
        <v>3890</v>
      </c>
      <c r="D2866" t="s">
        <v>13411</v>
      </c>
    </row>
    <row r="2867" spans="1:4" x14ac:dyDescent="0.25">
      <c r="A2867" s="180">
        <f t="shared" si="44"/>
        <v>8203835</v>
      </c>
      <c r="B2867" s="188" t="s">
        <v>3891</v>
      </c>
      <c r="C2867" s="188" t="s">
        <v>3892</v>
      </c>
    </row>
    <row r="2868" spans="1:4" x14ac:dyDescent="0.25">
      <c r="A2868" s="180">
        <f t="shared" si="44"/>
        <v>8205006</v>
      </c>
      <c r="B2868" s="188" t="s">
        <v>13323</v>
      </c>
      <c r="C2868" s="188" t="s">
        <v>13324</v>
      </c>
      <c r="D2868" t="s">
        <v>13411</v>
      </c>
    </row>
    <row r="2869" spans="1:4" x14ac:dyDescent="0.25">
      <c r="A2869" s="180">
        <f t="shared" si="44"/>
        <v>8205010</v>
      </c>
      <c r="B2869" s="188" t="s">
        <v>3893</v>
      </c>
      <c r="C2869" s="188" t="s">
        <v>3894</v>
      </c>
      <c r="D2869" t="s">
        <v>14957</v>
      </c>
    </row>
    <row r="2870" spans="1:4" x14ac:dyDescent="0.25">
      <c r="A2870" s="180">
        <f t="shared" si="44"/>
        <v>8205011</v>
      </c>
      <c r="B2870" s="188" t="s">
        <v>3895</v>
      </c>
      <c r="C2870" s="188" t="s">
        <v>3896</v>
      </c>
    </row>
    <row r="2871" spans="1:4" x14ac:dyDescent="0.25">
      <c r="A2871" s="180">
        <f t="shared" si="44"/>
        <v>8205016</v>
      </c>
      <c r="B2871" s="188" t="s">
        <v>3897</v>
      </c>
      <c r="C2871" s="188" t="s">
        <v>3898</v>
      </c>
      <c r="D2871" t="s">
        <v>14957</v>
      </c>
    </row>
    <row r="2872" spans="1:4" x14ac:dyDescent="0.25">
      <c r="A2872" s="180">
        <f t="shared" si="44"/>
        <v>8205018</v>
      </c>
      <c r="B2872" s="188" t="s">
        <v>3899</v>
      </c>
      <c r="C2872" s="188" t="s">
        <v>3900</v>
      </c>
      <c r="D2872" t="s">
        <v>14957</v>
      </c>
    </row>
    <row r="2873" spans="1:4" x14ac:dyDescent="0.25">
      <c r="A2873" s="180">
        <f t="shared" si="44"/>
        <v>8205020</v>
      </c>
      <c r="B2873" s="188" t="s">
        <v>3901</v>
      </c>
      <c r="C2873" s="188" t="s">
        <v>3902</v>
      </c>
      <c r="D2873" t="s">
        <v>14957</v>
      </c>
    </row>
    <row r="2874" spans="1:4" x14ac:dyDescent="0.25">
      <c r="A2874" s="180">
        <f t="shared" si="44"/>
        <v>8205021</v>
      </c>
      <c r="B2874" s="188" t="s">
        <v>3903</v>
      </c>
      <c r="C2874" s="188" t="s">
        <v>3904</v>
      </c>
    </row>
    <row r="2875" spans="1:4" x14ac:dyDescent="0.25">
      <c r="A2875" s="180">
        <f t="shared" si="44"/>
        <v>8205030</v>
      </c>
      <c r="B2875" s="188" t="s">
        <v>3905</v>
      </c>
      <c r="C2875" s="188" t="s">
        <v>3906</v>
      </c>
    </row>
    <row r="2876" spans="1:4" x14ac:dyDescent="0.25">
      <c r="A2876" s="180">
        <f t="shared" si="44"/>
        <v>8205037</v>
      </c>
      <c r="B2876" s="188" t="s">
        <v>13325</v>
      </c>
      <c r="C2876" s="188" t="s">
        <v>14040</v>
      </c>
      <c r="D2876" t="s">
        <v>13411</v>
      </c>
    </row>
    <row r="2877" spans="1:4" x14ac:dyDescent="0.25">
      <c r="A2877" s="180">
        <f t="shared" si="44"/>
        <v>8205038</v>
      </c>
      <c r="B2877" s="188" t="s">
        <v>13326</v>
      </c>
      <c r="C2877" s="188" t="s">
        <v>14041</v>
      </c>
      <c r="D2877" t="s">
        <v>13411</v>
      </c>
    </row>
    <row r="2878" spans="1:4" x14ac:dyDescent="0.25">
      <c r="A2878" s="180">
        <f t="shared" si="44"/>
        <v>8205040</v>
      </c>
      <c r="B2878" s="188" t="s">
        <v>3907</v>
      </c>
      <c r="C2878" s="188" t="s">
        <v>3908</v>
      </c>
      <c r="D2878" t="s">
        <v>14957</v>
      </c>
    </row>
    <row r="2879" spans="1:4" x14ac:dyDescent="0.25">
      <c r="A2879" s="180">
        <f t="shared" ref="A2879:A2942" si="45">IFERROR(B2879*1,"")</f>
        <v>8205041</v>
      </c>
      <c r="B2879" s="188" t="s">
        <v>3909</v>
      </c>
      <c r="C2879" s="188" t="s">
        <v>3910</v>
      </c>
      <c r="D2879" t="s">
        <v>14989</v>
      </c>
    </row>
    <row r="2880" spans="1:4" x14ac:dyDescent="0.25">
      <c r="A2880" s="180" t="str">
        <f t="shared" si="45"/>
        <v/>
      </c>
      <c r="B2880" s="188" t="s">
        <v>13126</v>
      </c>
      <c r="C2880" s="188"/>
    </row>
    <row r="2881" spans="1:4" x14ac:dyDescent="0.25">
      <c r="A2881" s="180">
        <f t="shared" si="45"/>
        <v>8205044</v>
      </c>
      <c r="B2881" s="188" t="s">
        <v>3911</v>
      </c>
      <c r="C2881" s="188" t="s">
        <v>3912</v>
      </c>
    </row>
    <row r="2882" spans="1:4" x14ac:dyDescent="0.25">
      <c r="A2882" s="180">
        <f t="shared" si="45"/>
        <v>8205050</v>
      </c>
      <c r="B2882" s="188" t="s">
        <v>3913</v>
      </c>
      <c r="C2882" s="188" t="s">
        <v>3914</v>
      </c>
      <c r="D2882" t="s">
        <v>13412</v>
      </c>
    </row>
    <row r="2883" spans="1:4" x14ac:dyDescent="0.25">
      <c r="A2883" s="180">
        <f t="shared" si="45"/>
        <v>8205051</v>
      </c>
      <c r="B2883" s="188" t="s">
        <v>3915</v>
      </c>
      <c r="C2883" s="188" t="s">
        <v>3916</v>
      </c>
      <c r="D2883" t="s">
        <v>13412</v>
      </c>
    </row>
    <row r="2884" spans="1:4" x14ac:dyDescent="0.25">
      <c r="A2884" s="180">
        <f t="shared" si="45"/>
        <v>8205060</v>
      </c>
      <c r="B2884" s="188" t="s">
        <v>3917</v>
      </c>
      <c r="C2884" s="188" t="s">
        <v>3918</v>
      </c>
      <c r="D2884" t="s">
        <v>14957</v>
      </c>
    </row>
    <row r="2885" spans="1:4" x14ac:dyDescent="0.25">
      <c r="A2885" s="180">
        <f t="shared" si="45"/>
        <v>8205061</v>
      </c>
      <c r="B2885" s="188" t="s">
        <v>3919</v>
      </c>
      <c r="C2885" s="188" t="s">
        <v>3920</v>
      </c>
    </row>
    <row r="2886" spans="1:4" x14ac:dyDescent="0.25">
      <c r="A2886" s="180">
        <f t="shared" si="45"/>
        <v>8205078</v>
      </c>
      <c r="B2886" s="188" t="s">
        <v>3921</v>
      </c>
      <c r="C2886" s="188" t="s">
        <v>12688</v>
      </c>
      <c r="D2886" t="s">
        <v>13411</v>
      </c>
    </row>
    <row r="2887" spans="1:4" x14ac:dyDescent="0.25">
      <c r="A2887" s="180">
        <f t="shared" si="45"/>
        <v>8205079</v>
      </c>
      <c r="B2887" s="188" t="s">
        <v>3922</v>
      </c>
      <c r="C2887" s="188" t="s">
        <v>3923</v>
      </c>
    </row>
    <row r="2888" spans="1:4" x14ac:dyDescent="0.25">
      <c r="A2888" s="180">
        <f t="shared" si="45"/>
        <v>8205080</v>
      </c>
      <c r="B2888" s="188" t="s">
        <v>3924</v>
      </c>
      <c r="C2888" s="188" t="s">
        <v>3925</v>
      </c>
      <c r="D2888" t="s">
        <v>13411</v>
      </c>
    </row>
    <row r="2889" spans="1:4" x14ac:dyDescent="0.25">
      <c r="A2889" s="180">
        <f t="shared" si="45"/>
        <v>8205090</v>
      </c>
      <c r="B2889" s="188" t="s">
        <v>6974</v>
      </c>
      <c r="C2889" s="188" t="s">
        <v>6975</v>
      </c>
      <c r="D2889" t="s">
        <v>13411</v>
      </c>
    </row>
    <row r="2890" spans="1:4" x14ac:dyDescent="0.25">
      <c r="A2890" s="180">
        <f t="shared" si="45"/>
        <v>8205115</v>
      </c>
      <c r="B2890" s="188" t="s">
        <v>3926</v>
      </c>
      <c r="C2890" s="188" t="s">
        <v>3927</v>
      </c>
      <c r="D2890" t="s">
        <v>14989</v>
      </c>
    </row>
    <row r="2891" spans="1:4" x14ac:dyDescent="0.25">
      <c r="A2891" s="180">
        <f t="shared" si="45"/>
        <v>8205116</v>
      </c>
      <c r="B2891" s="188" t="s">
        <v>3928</v>
      </c>
      <c r="C2891" s="188" t="s">
        <v>3929</v>
      </c>
      <c r="D2891" t="s">
        <v>14989</v>
      </c>
    </row>
    <row r="2892" spans="1:4" x14ac:dyDescent="0.25">
      <c r="A2892" s="180">
        <f t="shared" si="45"/>
        <v>8205117</v>
      </c>
      <c r="B2892" s="188" t="s">
        <v>3930</v>
      </c>
      <c r="C2892" s="188" t="s">
        <v>3931</v>
      </c>
      <c r="D2892" t="s">
        <v>13412</v>
      </c>
    </row>
    <row r="2893" spans="1:4" x14ac:dyDescent="0.25">
      <c r="A2893" s="180">
        <f t="shared" si="45"/>
        <v>8205118</v>
      </c>
      <c r="B2893" s="188" t="s">
        <v>3932</v>
      </c>
      <c r="C2893" s="188" t="s">
        <v>3933</v>
      </c>
      <c r="D2893" t="s">
        <v>13411</v>
      </c>
    </row>
    <row r="2894" spans="1:4" x14ac:dyDescent="0.25">
      <c r="A2894" s="180">
        <f t="shared" si="45"/>
        <v>8205119</v>
      </c>
      <c r="B2894" s="188" t="s">
        <v>3934</v>
      </c>
      <c r="C2894" s="188" t="s">
        <v>13327</v>
      </c>
      <c r="D2894" t="s">
        <v>13411</v>
      </c>
    </row>
    <row r="2895" spans="1:4" x14ac:dyDescent="0.25">
      <c r="A2895" s="180">
        <f t="shared" si="45"/>
        <v>8205120</v>
      </c>
      <c r="B2895" s="188" t="s">
        <v>3935</v>
      </c>
      <c r="C2895" s="188" t="s">
        <v>3936</v>
      </c>
      <c r="D2895" t="s">
        <v>13411</v>
      </c>
    </row>
    <row r="2896" spans="1:4" x14ac:dyDescent="0.25">
      <c r="A2896" s="180">
        <f t="shared" si="45"/>
        <v>8205137</v>
      </c>
      <c r="B2896" s="188" t="s">
        <v>14516</v>
      </c>
      <c r="C2896" s="188" t="s">
        <v>14517</v>
      </c>
      <c r="D2896" t="s">
        <v>13411</v>
      </c>
    </row>
    <row r="2897" spans="1:4" x14ac:dyDescent="0.25">
      <c r="A2897" s="180">
        <f t="shared" si="45"/>
        <v>8205138</v>
      </c>
      <c r="B2897" s="188" t="s">
        <v>14518</v>
      </c>
      <c r="C2897" s="188" t="s">
        <v>14519</v>
      </c>
      <c r="D2897" t="s">
        <v>13411</v>
      </c>
    </row>
    <row r="2898" spans="1:4" x14ac:dyDescent="0.25">
      <c r="A2898" s="180">
        <f t="shared" si="45"/>
        <v>8205149</v>
      </c>
      <c r="B2898" s="188" t="s">
        <v>14520</v>
      </c>
      <c r="C2898" s="188" t="s">
        <v>14521</v>
      </c>
    </row>
    <row r="2899" spans="1:4" x14ac:dyDescent="0.25">
      <c r="A2899" s="180">
        <f t="shared" si="45"/>
        <v>8205150</v>
      </c>
      <c r="B2899" s="188" t="s">
        <v>3937</v>
      </c>
      <c r="C2899" s="188" t="s">
        <v>3938</v>
      </c>
      <c r="D2899" t="s">
        <v>13412</v>
      </c>
    </row>
    <row r="2900" spans="1:4" x14ac:dyDescent="0.25">
      <c r="A2900" s="180">
        <f t="shared" si="45"/>
        <v>8205200</v>
      </c>
      <c r="B2900" s="188" t="s">
        <v>13922</v>
      </c>
      <c r="C2900" s="188" t="s">
        <v>13923</v>
      </c>
      <c r="D2900" t="s">
        <v>13411</v>
      </c>
    </row>
    <row r="2901" spans="1:4" x14ac:dyDescent="0.25">
      <c r="A2901" s="180">
        <f t="shared" si="45"/>
        <v>8205210</v>
      </c>
      <c r="B2901" s="188" t="s">
        <v>13924</v>
      </c>
      <c r="C2901" s="188" t="s">
        <v>13925</v>
      </c>
      <c r="D2901" t="s">
        <v>13411</v>
      </c>
    </row>
    <row r="2902" spans="1:4" x14ac:dyDescent="0.25">
      <c r="A2902" s="180">
        <f t="shared" si="45"/>
        <v>8205600</v>
      </c>
      <c r="B2902" s="188" t="s">
        <v>13328</v>
      </c>
      <c r="C2902" s="188" t="s">
        <v>13329</v>
      </c>
      <c r="D2902" t="s">
        <v>13411</v>
      </c>
    </row>
    <row r="2903" spans="1:4" x14ac:dyDescent="0.25">
      <c r="A2903" s="180">
        <f t="shared" si="45"/>
        <v>8205800</v>
      </c>
      <c r="B2903" s="188" t="s">
        <v>3939</v>
      </c>
      <c r="C2903" s="188" t="s">
        <v>3940</v>
      </c>
      <c r="D2903" t="s">
        <v>13412</v>
      </c>
    </row>
    <row r="2904" spans="1:4" x14ac:dyDescent="0.25">
      <c r="A2904" s="180">
        <f t="shared" si="45"/>
        <v>8205818</v>
      </c>
      <c r="B2904" s="188" t="s">
        <v>13330</v>
      </c>
      <c r="C2904" s="188" t="s">
        <v>13516</v>
      </c>
      <c r="D2904" t="s">
        <v>13411</v>
      </c>
    </row>
    <row r="2905" spans="1:4" x14ac:dyDescent="0.25">
      <c r="A2905" s="180">
        <f t="shared" si="45"/>
        <v>8205881</v>
      </c>
      <c r="B2905" s="188" t="s">
        <v>3941</v>
      </c>
      <c r="C2905" s="188" t="s">
        <v>3942</v>
      </c>
      <c r="D2905" t="s">
        <v>13411</v>
      </c>
    </row>
    <row r="2906" spans="1:4" x14ac:dyDescent="0.25">
      <c r="A2906" s="180">
        <f t="shared" si="45"/>
        <v>8205989</v>
      </c>
      <c r="B2906" s="188" t="s">
        <v>6976</v>
      </c>
      <c r="C2906" s="188" t="s">
        <v>6977</v>
      </c>
    </row>
    <row r="2907" spans="1:4" x14ac:dyDescent="0.25">
      <c r="A2907" s="180">
        <f t="shared" si="45"/>
        <v>8251025</v>
      </c>
      <c r="B2907" s="188" t="s">
        <v>3943</v>
      </c>
      <c r="C2907" s="188" t="s">
        <v>3944</v>
      </c>
      <c r="D2907" t="s">
        <v>13412</v>
      </c>
    </row>
    <row r="2908" spans="1:4" x14ac:dyDescent="0.25">
      <c r="A2908" s="180">
        <f t="shared" si="45"/>
        <v>8300777</v>
      </c>
      <c r="B2908" s="188" t="s">
        <v>3945</v>
      </c>
      <c r="C2908" s="188" t="s">
        <v>3946</v>
      </c>
    </row>
    <row r="2909" spans="1:4" x14ac:dyDescent="0.25">
      <c r="A2909" s="180">
        <f t="shared" si="45"/>
        <v>8301000</v>
      </c>
      <c r="B2909" s="188" t="s">
        <v>3947</v>
      </c>
      <c r="C2909" s="188" t="s">
        <v>3948</v>
      </c>
      <c r="D2909" t="s">
        <v>13411</v>
      </c>
    </row>
    <row r="2910" spans="1:4" x14ac:dyDescent="0.25">
      <c r="A2910" s="180">
        <f t="shared" si="45"/>
        <v>8301008</v>
      </c>
      <c r="B2910" s="188" t="s">
        <v>3949</v>
      </c>
      <c r="C2910" s="188" t="s">
        <v>3950</v>
      </c>
      <c r="D2910" t="s">
        <v>13411</v>
      </c>
    </row>
    <row r="2911" spans="1:4" x14ac:dyDescent="0.25">
      <c r="A2911" s="180">
        <f t="shared" si="45"/>
        <v>8301300</v>
      </c>
      <c r="B2911" s="188" t="s">
        <v>3951</v>
      </c>
      <c r="C2911" s="188" t="s">
        <v>3952</v>
      </c>
    </row>
    <row r="2912" spans="1:4" x14ac:dyDescent="0.25">
      <c r="A2912" s="180">
        <f t="shared" si="45"/>
        <v>8301301</v>
      </c>
      <c r="B2912" s="188" t="s">
        <v>6978</v>
      </c>
      <c r="C2912" s="188" t="s">
        <v>12689</v>
      </c>
      <c r="D2912" t="s">
        <v>13411</v>
      </c>
    </row>
    <row r="2913" spans="1:4" x14ac:dyDescent="0.25">
      <c r="A2913" s="180">
        <f t="shared" si="45"/>
        <v>8301310</v>
      </c>
      <c r="B2913" s="188" t="s">
        <v>3953</v>
      </c>
      <c r="C2913" s="188" t="s">
        <v>3954</v>
      </c>
    </row>
    <row r="2914" spans="1:4" x14ac:dyDescent="0.25">
      <c r="A2914" s="180">
        <f t="shared" si="45"/>
        <v>8301311</v>
      </c>
      <c r="B2914" s="188" t="s">
        <v>3955</v>
      </c>
      <c r="C2914" s="188" t="s">
        <v>3956</v>
      </c>
      <c r="D2914" t="s">
        <v>13411</v>
      </c>
    </row>
    <row r="2915" spans="1:4" x14ac:dyDescent="0.25">
      <c r="A2915" s="180">
        <f t="shared" si="45"/>
        <v>8301312</v>
      </c>
      <c r="B2915" s="188" t="s">
        <v>3957</v>
      </c>
      <c r="C2915" s="188" t="s">
        <v>3958</v>
      </c>
      <c r="D2915" t="s">
        <v>13411</v>
      </c>
    </row>
    <row r="2916" spans="1:4" x14ac:dyDescent="0.25">
      <c r="A2916" s="180">
        <f t="shared" si="45"/>
        <v>8301313</v>
      </c>
      <c r="B2916" s="188" t="s">
        <v>3959</v>
      </c>
      <c r="C2916" s="188" t="s">
        <v>3960</v>
      </c>
    </row>
    <row r="2917" spans="1:4" x14ac:dyDescent="0.25">
      <c r="A2917" s="180">
        <f t="shared" si="45"/>
        <v>8301350</v>
      </c>
      <c r="B2917" s="188" t="s">
        <v>3961</v>
      </c>
      <c r="C2917" s="188" t="s">
        <v>3962</v>
      </c>
    </row>
    <row r="2918" spans="1:4" x14ac:dyDescent="0.25">
      <c r="A2918" s="180">
        <f t="shared" si="45"/>
        <v>8301495</v>
      </c>
      <c r="B2918" s="188" t="s">
        <v>3963</v>
      </c>
      <c r="C2918" s="188" t="s">
        <v>3964</v>
      </c>
      <c r="D2918" t="s">
        <v>13411</v>
      </c>
    </row>
    <row r="2919" spans="1:4" x14ac:dyDescent="0.25">
      <c r="A2919" s="180">
        <f t="shared" si="45"/>
        <v>8301558</v>
      </c>
      <c r="B2919" s="188" t="s">
        <v>3965</v>
      </c>
      <c r="C2919" s="188" t="s">
        <v>3966</v>
      </c>
      <c r="D2919" t="s">
        <v>13411</v>
      </c>
    </row>
    <row r="2920" spans="1:4" x14ac:dyDescent="0.25">
      <c r="A2920" s="180">
        <f t="shared" si="45"/>
        <v>8301700</v>
      </c>
      <c r="B2920" s="188" t="s">
        <v>3967</v>
      </c>
      <c r="C2920" s="188" t="s">
        <v>3968</v>
      </c>
      <c r="D2920" t="s">
        <v>13411</v>
      </c>
    </row>
    <row r="2921" spans="1:4" x14ac:dyDescent="0.25">
      <c r="A2921" s="180">
        <f t="shared" si="45"/>
        <v>8301805</v>
      </c>
      <c r="B2921" s="188" t="s">
        <v>3969</v>
      </c>
      <c r="C2921" s="188" t="s">
        <v>3970</v>
      </c>
      <c r="D2921" t="s">
        <v>13411</v>
      </c>
    </row>
    <row r="2922" spans="1:4" x14ac:dyDescent="0.25">
      <c r="A2922" s="180">
        <f t="shared" si="45"/>
        <v>8301900</v>
      </c>
      <c r="B2922" s="188" t="s">
        <v>3971</v>
      </c>
      <c r="C2922" s="188" t="s">
        <v>3972</v>
      </c>
      <c r="D2922" t="s">
        <v>13411</v>
      </c>
    </row>
    <row r="2923" spans="1:4" x14ac:dyDescent="0.25">
      <c r="A2923" s="180">
        <f t="shared" si="45"/>
        <v>8301901</v>
      </c>
      <c r="B2923" s="188" t="s">
        <v>3973</v>
      </c>
      <c r="C2923" s="188" t="s">
        <v>3974</v>
      </c>
    </row>
    <row r="2924" spans="1:4" x14ac:dyDescent="0.25">
      <c r="A2924" s="180">
        <f t="shared" si="45"/>
        <v>8302001</v>
      </c>
      <c r="B2924" s="188" t="s">
        <v>3975</v>
      </c>
      <c r="C2924" s="188" t="s">
        <v>3976</v>
      </c>
    </row>
    <row r="2925" spans="1:4" x14ac:dyDescent="0.25">
      <c r="A2925" s="180">
        <f t="shared" si="45"/>
        <v>8303000</v>
      </c>
      <c r="B2925" s="188" t="s">
        <v>3977</v>
      </c>
      <c r="C2925" s="188" t="s">
        <v>3978</v>
      </c>
    </row>
    <row r="2926" spans="1:4" x14ac:dyDescent="0.25">
      <c r="A2926" s="180">
        <f t="shared" si="45"/>
        <v>8303001</v>
      </c>
      <c r="B2926" s="188" t="s">
        <v>12886</v>
      </c>
      <c r="C2926" s="188" t="s">
        <v>12887</v>
      </c>
      <c r="D2926" t="s">
        <v>13411</v>
      </c>
    </row>
    <row r="2927" spans="1:4" x14ac:dyDescent="0.25">
      <c r="A2927" s="180">
        <f t="shared" si="45"/>
        <v>8303002</v>
      </c>
      <c r="B2927" s="188" t="s">
        <v>3979</v>
      </c>
      <c r="C2927" s="188" t="s">
        <v>3980</v>
      </c>
      <c r="D2927" t="s">
        <v>13412</v>
      </c>
    </row>
    <row r="2928" spans="1:4" x14ac:dyDescent="0.25">
      <c r="A2928" s="180">
        <f t="shared" si="45"/>
        <v>8303003</v>
      </c>
      <c r="B2928" s="188" t="s">
        <v>3981</v>
      </c>
      <c r="C2928" s="188" t="s">
        <v>3982</v>
      </c>
      <c r="D2928" t="s">
        <v>13412</v>
      </c>
    </row>
    <row r="2929" spans="1:4" x14ac:dyDescent="0.25">
      <c r="A2929" s="180">
        <f t="shared" si="45"/>
        <v>8303004</v>
      </c>
      <c r="B2929" s="188" t="s">
        <v>3983</v>
      </c>
      <c r="C2929" s="188" t="s">
        <v>3984</v>
      </c>
      <c r="D2929" t="s">
        <v>13412</v>
      </c>
    </row>
    <row r="2930" spans="1:4" x14ac:dyDescent="0.25">
      <c r="A2930" s="180">
        <f t="shared" si="45"/>
        <v>8303005</v>
      </c>
      <c r="B2930" s="188" t="s">
        <v>3985</v>
      </c>
      <c r="C2930" s="188" t="s">
        <v>3986</v>
      </c>
      <c r="D2930" t="s">
        <v>13412</v>
      </c>
    </row>
    <row r="2931" spans="1:4" x14ac:dyDescent="0.25">
      <c r="A2931" s="180">
        <f t="shared" si="45"/>
        <v>8303006</v>
      </c>
      <c r="B2931" s="188" t="s">
        <v>3987</v>
      </c>
      <c r="C2931" s="188" t="s">
        <v>3988</v>
      </c>
      <c r="D2931" t="s">
        <v>13412</v>
      </c>
    </row>
    <row r="2932" spans="1:4" x14ac:dyDescent="0.25">
      <c r="A2932" s="180">
        <f t="shared" si="45"/>
        <v>8303007</v>
      </c>
      <c r="B2932" s="188" t="s">
        <v>3989</v>
      </c>
      <c r="C2932" s="188" t="s">
        <v>3990</v>
      </c>
      <c r="D2932" t="s">
        <v>13412</v>
      </c>
    </row>
    <row r="2933" spans="1:4" x14ac:dyDescent="0.25">
      <c r="A2933" s="180">
        <f t="shared" si="45"/>
        <v>8303008</v>
      </c>
      <c r="B2933" s="188" t="s">
        <v>3991</v>
      </c>
      <c r="C2933" s="188" t="s">
        <v>12888</v>
      </c>
      <c r="D2933" t="s">
        <v>13412</v>
      </c>
    </row>
    <row r="2934" spans="1:4" x14ac:dyDescent="0.25">
      <c r="A2934" s="180">
        <f t="shared" si="45"/>
        <v>8303009</v>
      </c>
      <c r="B2934" s="188" t="s">
        <v>3992</v>
      </c>
      <c r="C2934" s="188" t="s">
        <v>3993</v>
      </c>
    </row>
    <row r="2935" spans="1:4" x14ac:dyDescent="0.25">
      <c r="A2935" s="180">
        <f t="shared" si="45"/>
        <v>8303010</v>
      </c>
      <c r="B2935" s="188" t="s">
        <v>15015</v>
      </c>
      <c r="C2935" s="188"/>
    </row>
    <row r="2936" spans="1:4" x14ac:dyDescent="0.25">
      <c r="A2936" s="180">
        <f t="shared" si="45"/>
        <v>8303011</v>
      </c>
      <c r="B2936" s="188" t="s">
        <v>3994</v>
      </c>
      <c r="C2936" s="188" t="s">
        <v>3995</v>
      </c>
      <c r="D2936" t="s">
        <v>13412</v>
      </c>
    </row>
    <row r="2937" spans="1:4" x14ac:dyDescent="0.25">
      <c r="A2937" s="180">
        <f t="shared" si="45"/>
        <v>8303012</v>
      </c>
      <c r="B2937" s="188" t="s">
        <v>3996</v>
      </c>
      <c r="C2937" s="188" t="s">
        <v>3997</v>
      </c>
    </row>
    <row r="2938" spans="1:4" x14ac:dyDescent="0.25">
      <c r="A2938" s="180">
        <f t="shared" si="45"/>
        <v>8303014</v>
      </c>
      <c r="B2938" s="188" t="s">
        <v>3998</v>
      </c>
      <c r="C2938" s="188" t="s">
        <v>13517</v>
      </c>
      <c r="D2938" t="s">
        <v>13412</v>
      </c>
    </row>
    <row r="2939" spans="1:4" x14ac:dyDescent="0.25">
      <c r="A2939" s="180">
        <f t="shared" si="45"/>
        <v>8303015</v>
      </c>
      <c r="B2939" s="188" t="s">
        <v>3999</v>
      </c>
      <c r="C2939" s="188" t="s">
        <v>4000</v>
      </c>
    </row>
    <row r="2940" spans="1:4" x14ac:dyDescent="0.25">
      <c r="A2940" s="180">
        <f t="shared" si="45"/>
        <v>8303016</v>
      </c>
      <c r="B2940" s="188" t="s">
        <v>4001</v>
      </c>
      <c r="C2940" s="188" t="s">
        <v>4002</v>
      </c>
    </row>
    <row r="2941" spans="1:4" x14ac:dyDescent="0.25">
      <c r="A2941" s="180">
        <f t="shared" si="45"/>
        <v>8303017</v>
      </c>
      <c r="B2941" s="188" t="s">
        <v>4003</v>
      </c>
      <c r="C2941" s="188" t="s">
        <v>4004</v>
      </c>
    </row>
    <row r="2942" spans="1:4" x14ac:dyDescent="0.25">
      <c r="A2942" s="180">
        <f t="shared" si="45"/>
        <v>8303018</v>
      </c>
      <c r="B2942" s="188" t="s">
        <v>4005</v>
      </c>
      <c r="C2942" s="188" t="s">
        <v>4006</v>
      </c>
    </row>
    <row r="2943" spans="1:4" x14ac:dyDescent="0.25">
      <c r="A2943" s="180">
        <f t="shared" ref="A2943:A3006" si="46">IFERROR(B2943*1,"")</f>
        <v>8303019</v>
      </c>
      <c r="B2943" s="188" t="s">
        <v>4007</v>
      </c>
      <c r="C2943" s="188" t="s">
        <v>4008</v>
      </c>
    </row>
    <row r="2944" spans="1:4" x14ac:dyDescent="0.25">
      <c r="A2944" s="180">
        <f t="shared" si="46"/>
        <v>8303020</v>
      </c>
      <c r="B2944" s="188" t="s">
        <v>12889</v>
      </c>
      <c r="C2944" s="188" t="s">
        <v>12890</v>
      </c>
      <c r="D2944" t="s">
        <v>13412</v>
      </c>
    </row>
    <row r="2945" spans="1:4" x14ac:dyDescent="0.25">
      <c r="A2945" s="180">
        <f t="shared" si="46"/>
        <v>8303021</v>
      </c>
      <c r="B2945" s="188" t="s">
        <v>13518</v>
      </c>
      <c r="C2945" s="188" t="s">
        <v>13519</v>
      </c>
      <c r="D2945" t="s">
        <v>13411</v>
      </c>
    </row>
    <row r="2946" spans="1:4" x14ac:dyDescent="0.25">
      <c r="A2946" s="180">
        <f t="shared" si="46"/>
        <v>8303022</v>
      </c>
      <c r="B2946" s="188" t="s">
        <v>13520</v>
      </c>
      <c r="C2946" s="188" t="s">
        <v>14279</v>
      </c>
      <c r="D2946" t="s">
        <v>13412</v>
      </c>
    </row>
    <row r="2947" spans="1:4" x14ac:dyDescent="0.25">
      <c r="A2947" s="180">
        <f t="shared" si="46"/>
        <v>8303023</v>
      </c>
      <c r="B2947" s="188" t="s">
        <v>13521</v>
      </c>
      <c r="C2947" s="188" t="s">
        <v>14280</v>
      </c>
      <c r="D2947" t="s">
        <v>13412</v>
      </c>
    </row>
    <row r="2948" spans="1:4" x14ac:dyDescent="0.25">
      <c r="A2948" s="180">
        <f t="shared" si="46"/>
        <v>8303032</v>
      </c>
      <c r="B2948" s="188" t="s">
        <v>4009</v>
      </c>
      <c r="C2948" s="188" t="s">
        <v>4010</v>
      </c>
    </row>
    <row r="2949" spans="1:4" x14ac:dyDescent="0.25">
      <c r="A2949" s="180">
        <f t="shared" si="46"/>
        <v>8303033</v>
      </c>
      <c r="B2949" s="188" t="s">
        <v>4011</v>
      </c>
      <c r="C2949" s="188" t="s">
        <v>4012</v>
      </c>
    </row>
    <row r="2950" spans="1:4" x14ac:dyDescent="0.25">
      <c r="A2950" s="180">
        <f t="shared" si="46"/>
        <v>8303111</v>
      </c>
      <c r="B2950" s="188" t="s">
        <v>4013</v>
      </c>
      <c r="C2950" s="188" t="s">
        <v>4014</v>
      </c>
      <c r="D2950" t="s">
        <v>13412</v>
      </c>
    </row>
    <row r="2951" spans="1:4" x14ac:dyDescent="0.25">
      <c r="A2951" s="180">
        <f t="shared" si="46"/>
        <v>8303112</v>
      </c>
      <c r="B2951" s="188" t="s">
        <v>4015</v>
      </c>
      <c r="C2951" s="188" t="s">
        <v>4016</v>
      </c>
      <c r="D2951" t="s">
        <v>13412</v>
      </c>
    </row>
    <row r="2952" spans="1:4" x14ac:dyDescent="0.25">
      <c r="A2952" s="180">
        <f t="shared" si="46"/>
        <v>8303113</v>
      </c>
      <c r="B2952" s="188" t="s">
        <v>4017</v>
      </c>
      <c r="C2952" s="188" t="s">
        <v>4018</v>
      </c>
      <c r="D2952" t="s">
        <v>13412</v>
      </c>
    </row>
    <row r="2953" spans="1:4" x14ac:dyDescent="0.25">
      <c r="A2953" s="180">
        <f t="shared" si="46"/>
        <v>8303114</v>
      </c>
      <c r="B2953" s="188" t="s">
        <v>4019</v>
      </c>
      <c r="C2953" s="188" t="s">
        <v>4020</v>
      </c>
      <c r="D2953" t="s">
        <v>13412</v>
      </c>
    </row>
    <row r="2954" spans="1:4" x14ac:dyDescent="0.25">
      <c r="A2954" s="180">
        <f t="shared" si="46"/>
        <v>8303116</v>
      </c>
      <c r="B2954" s="188" t="s">
        <v>13522</v>
      </c>
      <c r="C2954" s="188" t="s">
        <v>13523</v>
      </c>
      <c r="D2954" t="s">
        <v>13411</v>
      </c>
    </row>
    <row r="2955" spans="1:4" x14ac:dyDescent="0.25">
      <c r="A2955" s="180">
        <f t="shared" si="46"/>
        <v>8303119</v>
      </c>
      <c r="B2955" s="188" t="s">
        <v>13524</v>
      </c>
      <c r="C2955" s="188" t="s">
        <v>13525</v>
      </c>
      <c r="D2955" t="s">
        <v>13412</v>
      </c>
    </row>
    <row r="2956" spans="1:4" x14ac:dyDescent="0.25">
      <c r="A2956" s="180">
        <f t="shared" si="46"/>
        <v>8303120</v>
      </c>
      <c r="B2956" s="188" t="s">
        <v>4021</v>
      </c>
      <c r="C2956" s="188" t="s">
        <v>4022</v>
      </c>
      <c r="D2956" t="s">
        <v>13412</v>
      </c>
    </row>
    <row r="2957" spans="1:4" x14ac:dyDescent="0.25">
      <c r="A2957" s="180">
        <f t="shared" si="46"/>
        <v>8303121</v>
      </c>
      <c r="B2957" s="188" t="s">
        <v>4023</v>
      </c>
      <c r="C2957" s="188" t="s">
        <v>4024</v>
      </c>
      <c r="D2957" t="s">
        <v>13412</v>
      </c>
    </row>
    <row r="2958" spans="1:4" x14ac:dyDescent="0.25">
      <c r="A2958" s="180">
        <f t="shared" si="46"/>
        <v>8303123</v>
      </c>
      <c r="B2958" s="188" t="s">
        <v>4025</v>
      </c>
      <c r="C2958" s="188" t="s">
        <v>4026</v>
      </c>
      <c r="D2958" t="s">
        <v>13412</v>
      </c>
    </row>
    <row r="2959" spans="1:4" x14ac:dyDescent="0.25">
      <c r="A2959" s="180">
        <f t="shared" si="46"/>
        <v>8303125</v>
      </c>
      <c r="B2959" s="188" t="s">
        <v>4027</v>
      </c>
      <c r="C2959" s="188" t="s">
        <v>4028</v>
      </c>
      <c r="D2959" t="s">
        <v>13411</v>
      </c>
    </row>
    <row r="2960" spans="1:4" x14ac:dyDescent="0.25">
      <c r="A2960" s="180">
        <f t="shared" si="46"/>
        <v>8303126</v>
      </c>
      <c r="B2960" s="188" t="s">
        <v>4029</v>
      </c>
      <c r="C2960" s="188" t="s">
        <v>4030</v>
      </c>
    </row>
    <row r="2961" spans="1:4" x14ac:dyDescent="0.25">
      <c r="A2961" s="180">
        <f t="shared" si="46"/>
        <v>8303127</v>
      </c>
      <c r="B2961" s="188" t="s">
        <v>4031</v>
      </c>
      <c r="C2961" s="188" t="s">
        <v>4032</v>
      </c>
      <c r="D2961" t="s">
        <v>13411</v>
      </c>
    </row>
    <row r="2962" spans="1:4" x14ac:dyDescent="0.25">
      <c r="A2962" s="180">
        <f t="shared" si="46"/>
        <v>8303128</v>
      </c>
      <c r="B2962" s="188" t="s">
        <v>4033</v>
      </c>
      <c r="C2962" s="188" t="s">
        <v>4034</v>
      </c>
      <c r="D2962" t="s">
        <v>13412</v>
      </c>
    </row>
    <row r="2963" spans="1:4" x14ac:dyDescent="0.25">
      <c r="A2963" s="180">
        <f t="shared" si="46"/>
        <v>8303129</v>
      </c>
      <c r="B2963" s="188" t="s">
        <v>4035</v>
      </c>
      <c r="C2963" s="188" t="s">
        <v>4036</v>
      </c>
      <c r="D2963" t="s">
        <v>13412</v>
      </c>
    </row>
    <row r="2964" spans="1:4" x14ac:dyDescent="0.25">
      <c r="A2964" s="180">
        <f t="shared" si="46"/>
        <v>8303130</v>
      </c>
      <c r="B2964" s="188" t="s">
        <v>4037</v>
      </c>
      <c r="C2964" s="188" t="s">
        <v>4038</v>
      </c>
      <c r="D2964" t="s">
        <v>13412</v>
      </c>
    </row>
    <row r="2965" spans="1:4" x14ac:dyDescent="0.25">
      <c r="A2965" s="180">
        <f t="shared" si="46"/>
        <v>8303131</v>
      </c>
      <c r="B2965" s="188" t="s">
        <v>4039</v>
      </c>
      <c r="C2965" s="188" t="s">
        <v>4040</v>
      </c>
    </row>
    <row r="2966" spans="1:4" x14ac:dyDescent="0.25">
      <c r="A2966" s="180">
        <f t="shared" si="46"/>
        <v>8303132</v>
      </c>
      <c r="B2966" s="188" t="s">
        <v>4041</v>
      </c>
      <c r="C2966" s="188" t="s">
        <v>4042</v>
      </c>
    </row>
    <row r="2967" spans="1:4" x14ac:dyDescent="0.25">
      <c r="A2967" s="180">
        <f t="shared" si="46"/>
        <v>8303133</v>
      </c>
      <c r="B2967" s="188" t="s">
        <v>4043</v>
      </c>
      <c r="C2967" s="188" t="s">
        <v>4044</v>
      </c>
      <c r="D2967" t="s">
        <v>13412</v>
      </c>
    </row>
    <row r="2968" spans="1:4" x14ac:dyDescent="0.25">
      <c r="A2968" s="180">
        <f t="shared" si="46"/>
        <v>8303222</v>
      </c>
      <c r="B2968" s="188" t="s">
        <v>4045</v>
      </c>
      <c r="C2968" s="188" t="s">
        <v>13926</v>
      </c>
      <c r="D2968" t="s">
        <v>13412</v>
      </c>
    </row>
    <row r="2969" spans="1:4" x14ac:dyDescent="0.25">
      <c r="A2969" s="180">
        <f t="shared" si="46"/>
        <v>8303223</v>
      </c>
      <c r="B2969" s="188" t="s">
        <v>13927</v>
      </c>
      <c r="C2969" s="188" t="s">
        <v>13928</v>
      </c>
      <c r="D2969" t="s">
        <v>13412</v>
      </c>
    </row>
    <row r="2970" spans="1:4" x14ac:dyDescent="0.25">
      <c r="A2970" s="180">
        <f t="shared" si="46"/>
        <v>8303297</v>
      </c>
      <c r="B2970" s="188" t="s">
        <v>4046</v>
      </c>
      <c r="C2970" s="188" t="s">
        <v>4047</v>
      </c>
      <c r="D2970" t="s">
        <v>13412</v>
      </c>
    </row>
    <row r="2971" spans="1:4" x14ac:dyDescent="0.25">
      <c r="A2971" s="180">
        <f t="shared" si="46"/>
        <v>8303298</v>
      </c>
      <c r="B2971" s="188" t="s">
        <v>4048</v>
      </c>
      <c r="C2971" s="188" t="s">
        <v>4049</v>
      </c>
      <c r="D2971" t="s">
        <v>13412</v>
      </c>
    </row>
    <row r="2972" spans="1:4" x14ac:dyDescent="0.25">
      <c r="A2972" s="180">
        <f t="shared" si="46"/>
        <v>8303299</v>
      </c>
      <c r="B2972" s="188" t="s">
        <v>4050</v>
      </c>
      <c r="C2972" s="188" t="s">
        <v>4051</v>
      </c>
      <c r="D2972" t="s">
        <v>13412</v>
      </c>
    </row>
    <row r="2973" spans="1:4" x14ac:dyDescent="0.25">
      <c r="A2973" s="180">
        <f t="shared" si="46"/>
        <v>8303300</v>
      </c>
      <c r="B2973" s="188" t="s">
        <v>4052</v>
      </c>
      <c r="C2973" s="188" t="s">
        <v>4053</v>
      </c>
      <c r="D2973" t="s">
        <v>13412</v>
      </c>
    </row>
    <row r="2974" spans="1:4" x14ac:dyDescent="0.25">
      <c r="A2974" s="180">
        <f t="shared" si="46"/>
        <v>8303356</v>
      </c>
      <c r="B2974" s="188" t="s">
        <v>4054</v>
      </c>
      <c r="C2974" s="188" t="s">
        <v>4055</v>
      </c>
    </row>
    <row r="2975" spans="1:4" x14ac:dyDescent="0.25">
      <c r="A2975" s="180">
        <f t="shared" si="46"/>
        <v>8303357</v>
      </c>
      <c r="B2975" s="188" t="s">
        <v>4056</v>
      </c>
      <c r="C2975" s="188" t="s">
        <v>3980</v>
      </c>
      <c r="D2975" t="s">
        <v>13411</v>
      </c>
    </row>
    <row r="2976" spans="1:4" x14ac:dyDescent="0.25">
      <c r="A2976" s="180">
        <f t="shared" si="46"/>
        <v>8303358</v>
      </c>
      <c r="B2976" s="188" t="s">
        <v>4057</v>
      </c>
      <c r="C2976" s="188" t="s">
        <v>4058</v>
      </c>
    </row>
    <row r="2977" spans="1:4" x14ac:dyDescent="0.25">
      <c r="A2977" s="180">
        <f t="shared" si="46"/>
        <v>8303360</v>
      </c>
      <c r="B2977" s="188" t="s">
        <v>13331</v>
      </c>
      <c r="C2977" s="188" t="s">
        <v>13332</v>
      </c>
      <c r="D2977" t="s">
        <v>13411</v>
      </c>
    </row>
    <row r="2978" spans="1:4" x14ac:dyDescent="0.25">
      <c r="A2978" s="180">
        <f t="shared" si="46"/>
        <v>8303370</v>
      </c>
      <c r="B2978" s="188" t="s">
        <v>14990</v>
      </c>
      <c r="C2978" s="188" t="s">
        <v>15078</v>
      </c>
    </row>
    <row r="2979" spans="1:4" x14ac:dyDescent="0.25">
      <c r="A2979" s="180">
        <f t="shared" si="46"/>
        <v>8303371</v>
      </c>
      <c r="B2979" s="188" t="s">
        <v>15079</v>
      </c>
      <c r="C2979" s="188" t="s">
        <v>15080</v>
      </c>
    </row>
    <row r="2980" spans="1:4" x14ac:dyDescent="0.25">
      <c r="A2980" s="180">
        <f t="shared" si="46"/>
        <v>8303372</v>
      </c>
      <c r="B2980" s="188" t="s">
        <v>15081</v>
      </c>
      <c r="C2980" s="188" t="s">
        <v>15082</v>
      </c>
    </row>
    <row r="2981" spans="1:4" x14ac:dyDescent="0.25">
      <c r="A2981" s="180">
        <f t="shared" si="46"/>
        <v>8303373</v>
      </c>
      <c r="B2981" s="188" t="s">
        <v>15083</v>
      </c>
      <c r="C2981" s="188" t="s">
        <v>15084</v>
      </c>
    </row>
    <row r="2982" spans="1:4" x14ac:dyDescent="0.25">
      <c r="A2982" s="180">
        <f t="shared" si="46"/>
        <v>8303374</v>
      </c>
      <c r="B2982" s="188" t="s">
        <v>15085</v>
      </c>
      <c r="C2982" s="188" t="s">
        <v>15086</v>
      </c>
    </row>
    <row r="2983" spans="1:4" x14ac:dyDescent="0.25">
      <c r="A2983" s="180">
        <f t="shared" si="46"/>
        <v>8303375</v>
      </c>
      <c r="B2983" s="188" t="s">
        <v>15087</v>
      </c>
      <c r="C2983" s="188" t="s">
        <v>15088</v>
      </c>
    </row>
    <row r="2984" spans="1:4" x14ac:dyDescent="0.25">
      <c r="A2984" s="180">
        <f t="shared" si="46"/>
        <v>8303376</v>
      </c>
      <c r="B2984" s="188" t="s">
        <v>15089</v>
      </c>
      <c r="C2984" s="188" t="s">
        <v>15090</v>
      </c>
    </row>
    <row r="2985" spans="1:4" x14ac:dyDescent="0.25">
      <c r="A2985" s="180">
        <f t="shared" si="46"/>
        <v>8303377</v>
      </c>
      <c r="B2985" s="188" t="s">
        <v>15091</v>
      </c>
      <c r="C2985" s="188" t="s">
        <v>15092</v>
      </c>
    </row>
    <row r="2986" spans="1:4" x14ac:dyDescent="0.25">
      <c r="A2986" s="180">
        <f t="shared" si="46"/>
        <v>8303442</v>
      </c>
      <c r="B2986" s="188" t="s">
        <v>13929</v>
      </c>
      <c r="C2986" s="188" t="s">
        <v>13930</v>
      </c>
      <c r="D2986" t="s">
        <v>13412</v>
      </c>
    </row>
    <row r="2987" spans="1:4" x14ac:dyDescent="0.25">
      <c r="A2987" s="180">
        <f t="shared" si="46"/>
        <v>8303495</v>
      </c>
      <c r="B2987" s="188" t="s">
        <v>4059</v>
      </c>
      <c r="C2987" s="188" t="s">
        <v>4060</v>
      </c>
      <c r="D2987" t="s">
        <v>13412</v>
      </c>
    </row>
    <row r="2988" spans="1:4" x14ac:dyDescent="0.25">
      <c r="A2988" s="180">
        <f t="shared" si="46"/>
        <v>8303496</v>
      </c>
      <c r="B2988" s="188" t="s">
        <v>4061</v>
      </c>
      <c r="C2988" s="188" t="s">
        <v>4062</v>
      </c>
      <c r="D2988" t="s">
        <v>13411</v>
      </c>
    </row>
    <row r="2989" spans="1:4" x14ac:dyDescent="0.25">
      <c r="A2989" s="180">
        <f t="shared" si="46"/>
        <v>8303497</v>
      </c>
      <c r="B2989" s="188" t="s">
        <v>15093</v>
      </c>
      <c r="C2989" s="188" t="s">
        <v>15094</v>
      </c>
      <c r="D2989" t="s">
        <v>13411</v>
      </c>
    </row>
    <row r="2990" spans="1:4" x14ac:dyDescent="0.25">
      <c r="A2990" s="180">
        <f t="shared" si="46"/>
        <v>8303523</v>
      </c>
      <c r="B2990" s="188" t="s">
        <v>4063</v>
      </c>
      <c r="C2990" s="188" t="s">
        <v>4064</v>
      </c>
      <c r="D2990" t="s">
        <v>13412</v>
      </c>
    </row>
    <row r="2991" spans="1:4" x14ac:dyDescent="0.25">
      <c r="A2991" s="180">
        <f t="shared" si="46"/>
        <v>8303544</v>
      </c>
      <c r="B2991" s="188" t="s">
        <v>4065</v>
      </c>
      <c r="C2991" s="188" t="s">
        <v>4066</v>
      </c>
      <c r="D2991" t="s">
        <v>13412</v>
      </c>
    </row>
    <row r="2992" spans="1:4" x14ac:dyDescent="0.25">
      <c r="A2992" s="180">
        <f t="shared" si="46"/>
        <v>8303665</v>
      </c>
      <c r="B2992" s="188" t="s">
        <v>4067</v>
      </c>
      <c r="C2992" s="188" t="s">
        <v>4068</v>
      </c>
      <c r="D2992" t="s">
        <v>13412</v>
      </c>
    </row>
    <row r="2993" spans="1:4" x14ac:dyDescent="0.25">
      <c r="A2993" s="180">
        <f t="shared" si="46"/>
        <v>8303674</v>
      </c>
      <c r="B2993" s="188" t="s">
        <v>4069</v>
      </c>
      <c r="C2993" s="188" t="s">
        <v>4070</v>
      </c>
      <c r="D2993" t="s">
        <v>13412</v>
      </c>
    </row>
    <row r="2994" spans="1:4" x14ac:dyDescent="0.25">
      <c r="A2994" s="180">
        <f t="shared" si="46"/>
        <v>8303677</v>
      </c>
      <c r="B2994" s="188" t="s">
        <v>4071</v>
      </c>
      <c r="C2994" s="188" t="s">
        <v>4072</v>
      </c>
      <c r="D2994" t="s">
        <v>13412</v>
      </c>
    </row>
    <row r="2995" spans="1:4" x14ac:dyDescent="0.25">
      <c r="A2995" s="180">
        <f t="shared" si="46"/>
        <v>8303700</v>
      </c>
      <c r="B2995" s="188" t="s">
        <v>4073</v>
      </c>
      <c r="C2995" s="188" t="s">
        <v>4074</v>
      </c>
      <c r="D2995" t="s">
        <v>13411</v>
      </c>
    </row>
    <row r="2996" spans="1:4" x14ac:dyDescent="0.25">
      <c r="A2996" s="180">
        <f t="shared" si="46"/>
        <v>8303701</v>
      </c>
      <c r="B2996" s="188" t="s">
        <v>4075</v>
      </c>
      <c r="C2996" s="188" t="s">
        <v>4076</v>
      </c>
      <c r="D2996" t="s">
        <v>13412</v>
      </c>
    </row>
    <row r="2997" spans="1:4" x14ac:dyDescent="0.25">
      <c r="A2997" s="180">
        <f t="shared" si="46"/>
        <v>8303702</v>
      </c>
      <c r="B2997" s="188" t="s">
        <v>14522</v>
      </c>
      <c r="C2997" s="188" t="s">
        <v>14523</v>
      </c>
      <c r="D2997" t="s">
        <v>13411</v>
      </c>
    </row>
    <row r="2998" spans="1:4" x14ac:dyDescent="0.25">
      <c r="A2998" s="180">
        <f t="shared" si="46"/>
        <v>8303703</v>
      </c>
      <c r="B2998" s="188" t="s">
        <v>15095</v>
      </c>
      <c r="C2998" s="188" t="s">
        <v>15096</v>
      </c>
      <c r="D2998" t="s">
        <v>13411</v>
      </c>
    </row>
    <row r="2999" spans="1:4" x14ac:dyDescent="0.25">
      <c r="A2999" s="180">
        <f t="shared" si="46"/>
        <v>8303750</v>
      </c>
      <c r="B2999" s="188" t="s">
        <v>14042</v>
      </c>
      <c r="C2999" s="188" t="s">
        <v>14043</v>
      </c>
      <c r="D2999" t="s">
        <v>13412</v>
      </c>
    </row>
    <row r="3000" spans="1:4" x14ac:dyDescent="0.25">
      <c r="A3000" s="180">
        <f t="shared" si="46"/>
        <v>8303800</v>
      </c>
      <c r="B3000" s="188" t="s">
        <v>4077</v>
      </c>
      <c r="C3000" s="189" t="s">
        <v>4078</v>
      </c>
      <c r="D3000" t="s">
        <v>13412</v>
      </c>
    </row>
    <row r="3001" spans="1:4" x14ac:dyDescent="0.25">
      <c r="A3001" s="180">
        <f t="shared" si="46"/>
        <v>8303900</v>
      </c>
      <c r="B3001" s="188" t="s">
        <v>4079</v>
      </c>
      <c r="C3001" s="188" t="s">
        <v>4080</v>
      </c>
      <c r="D3001" t="s">
        <v>13412</v>
      </c>
    </row>
    <row r="3002" spans="1:4" x14ac:dyDescent="0.25">
      <c r="A3002" s="180">
        <f t="shared" si="46"/>
        <v>8303901</v>
      </c>
      <c r="B3002" s="188" t="s">
        <v>4081</v>
      </c>
      <c r="C3002" s="188" t="s">
        <v>4082</v>
      </c>
    </row>
    <row r="3003" spans="1:4" x14ac:dyDescent="0.25">
      <c r="A3003" s="180">
        <f t="shared" si="46"/>
        <v>8303902</v>
      </c>
      <c r="B3003" s="188" t="s">
        <v>4083</v>
      </c>
      <c r="C3003" s="188" t="s">
        <v>4084</v>
      </c>
      <c r="D3003" t="s">
        <v>13412</v>
      </c>
    </row>
    <row r="3004" spans="1:4" x14ac:dyDescent="0.25">
      <c r="A3004" s="180">
        <f t="shared" si="46"/>
        <v>8303987</v>
      </c>
      <c r="B3004" s="188" t="s">
        <v>4085</v>
      </c>
      <c r="C3004" s="188" t="s">
        <v>4086</v>
      </c>
      <c r="D3004" t="s">
        <v>13411</v>
      </c>
    </row>
    <row r="3005" spans="1:4" x14ac:dyDescent="0.25">
      <c r="A3005" s="180">
        <f t="shared" si="46"/>
        <v>8305000</v>
      </c>
      <c r="B3005" s="188" t="s">
        <v>4087</v>
      </c>
      <c r="C3005" s="188" t="s">
        <v>4088</v>
      </c>
      <c r="D3005" t="s">
        <v>13412</v>
      </c>
    </row>
    <row r="3006" spans="1:4" x14ac:dyDescent="0.25">
      <c r="A3006" s="180">
        <f t="shared" si="46"/>
        <v>8305001</v>
      </c>
      <c r="B3006" s="188" t="s">
        <v>4089</v>
      </c>
      <c r="C3006" s="188" t="s">
        <v>4090</v>
      </c>
      <c r="D3006" t="s">
        <v>13412</v>
      </c>
    </row>
    <row r="3007" spans="1:4" x14ac:dyDescent="0.25">
      <c r="A3007" s="180">
        <f t="shared" ref="A3007:A3070" si="47">IFERROR(B3007*1,"")</f>
        <v>8305002</v>
      </c>
      <c r="B3007" s="188" t="s">
        <v>4091</v>
      </c>
      <c r="C3007" s="188" t="s">
        <v>4092</v>
      </c>
      <c r="D3007" t="s">
        <v>13412</v>
      </c>
    </row>
    <row r="3008" spans="1:4" x14ac:dyDescent="0.25">
      <c r="A3008" s="180">
        <f t="shared" si="47"/>
        <v>8305003</v>
      </c>
      <c r="B3008" s="188" t="s">
        <v>4093</v>
      </c>
      <c r="C3008" s="188" t="s">
        <v>4094</v>
      </c>
      <c r="D3008" t="s">
        <v>13412</v>
      </c>
    </row>
    <row r="3009" spans="1:4" x14ac:dyDescent="0.25">
      <c r="A3009" s="180">
        <f t="shared" si="47"/>
        <v>8305004</v>
      </c>
      <c r="B3009" s="188" t="s">
        <v>4095</v>
      </c>
      <c r="C3009" s="188" t="s">
        <v>4096</v>
      </c>
    </row>
    <row r="3010" spans="1:4" x14ac:dyDescent="0.25">
      <c r="A3010" s="180">
        <f t="shared" si="47"/>
        <v>8305006</v>
      </c>
      <c r="B3010" s="188" t="s">
        <v>4097</v>
      </c>
      <c r="C3010" s="188" t="s">
        <v>4098</v>
      </c>
      <c r="D3010" t="s">
        <v>13412</v>
      </c>
    </row>
    <row r="3011" spans="1:4" x14ac:dyDescent="0.25">
      <c r="A3011" s="180">
        <f t="shared" si="47"/>
        <v>8305007</v>
      </c>
      <c r="B3011" s="188" t="s">
        <v>4099</v>
      </c>
      <c r="C3011" s="188" t="s">
        <v>4100</v>
      </c>
      <c r="D3011" t="s">
        <v>13412</v>
      </c>
    </row>
    <row r="3012" spans="1:4" x14ac:dyDescent="0.25">
      <c r="A3012" s="180">
        <f t="shared" si="47"/>
        <v>8305008</v>
      </c>
      <c r="B3012" s="188" t="s">
        <v>4101</v>
      </c>
      <c r="C3012" s="188" t="s">
        <v>4102</v>
      </c>
      <c r="D3012" t="s">
        <v>13412</v>
      </c>
    </row>
    <row r="3013" spans="1:4" x14ac:dyDescent="0.25">
      <c r="A3013" s="180">
        <f t="shared" si="47"/>
        <v>8305010</v>
      </c>
      <c r="B3013" s="188" t="s">
        <v>13968</v>
      </c>
      <c r="C3013" s="188" t="s">
        <v>13969</v>
      </c>
      <c r="D3013" t="s">
        <v>13411</v>
      </c>
    </row>
    <row r="3014" spans="1:4" x14ac:dyDescent="0.25">
      <c r="A3014" s="180">
        <f t="shared" si="47"/>
        <v>8306100</v>
      </c>
      <c r="B3014" s="188" t="s">
        <v>4103</v>
      </c>
      <c r="C3014" s="188" t="s">
        <v>14524</v>
      </c>
      <c r="D3014" t="s">
        <v>13412</v>
      </c>
    </row>
    <row r="3015" spans="1:4" x14ac:dyDescent="0.25">
      <c r="A3015" s="180">
        <f t="shared" si="47"/>
        <v>8306101</v>
      </c>
      <c r="B3015" s="188" t="s">
        <v>4104</v>
      </c>
      <c r="C3015" s="188" t="s">
        <v>4105</v>
      </c>
      <c r="D3015" t="s">
        <v>13412</v>
      </c>
    </row>
    <row r="3016" spans="1:4" x14ac:dyDescent="0.25">
      <c r="A3016" s="180">
        <f t="shared" si="47"/>
        <v>8306200</v>
      </c>
      <c r="B3016" s="188" t="s">
        <v>4106</v>
      </c>
      <c r="C3016" s="188" t="s">
        <v>4107</v>
      </c>
      <c r="D3016" t="s">
        <v>13412</v>
      </c>
    </row>
    <row r="3017" spans="1:4" x14ac:dyDescent="0.25">
      <c r="A3017" s="180">
        <f t="shared" si="47"/>
        <v>8307001</v>
      </c>
      <c r="B3017" s="188" t="s">
        <v>4108</v>
      </c>
      <c r="C3017" s="188" t="s">
        <v>4109</v>
      </c>
    </row>
    <row r="3018" spans="1:4" x14ac:dyDescent="0.25">
      <c r="A3018" s="180" t="str">
        <f t="shared" si="47"/>
        <v/>
      </c>
      <c r="B3018" s="188" t="s">
        <v>13127</v>
      </c>
      <c r="C3018" s="188"/>
    </row>
    <row r="3019" spans="1:4" x14ac:dyDescent="0.25">
      <c r="A3019" s="180">
        <f t="shared" si="47"/>
        <v>8307002</v>
      </c>
      <c r="B3019" s="188" t="s">
        <v>4110</v>
      </c>
      <c r="C3019" s="188" t="s">
        <v>4111</v>
      </c>
      <c r="D3019" t="s">
        <v>13411</v>
      </c>
    </row>
    <row r="3020" spans="1:4" x14ac:dyDescent="0.25">
      <c r="A3020" s="180">
        <f t="shared" si="47"/>
        <v>8307003</v>
      </c>
      <c r="B3020" s="188" t="s">
        <v>13526</v>
      </c>
      <c r="C3020" s="188" t="s">
        <v>13527</v>
      </c>
    </row>
    <row r="3021" spans="1:4" x14ac:dyDescent="0.25">
      <c r="A3021" s="180">
        <f t="shared" si="47"/>
        <v>8307017</v>
      </c>
      <c r="B3021" s="188" t="s">
        <v>4112</v>
      </c>
      <c r="C3021" s="188" t="s">
        <v>4113</v>
      </c>
      <c r="D3021" t="s">
        <v>13412</v>
      </c>
    </row>
    <row r="3022" spans="1:4" x14ac:dyDescent="0.25">
      <c r="A3022" s="180">
        <f t="shared" si="47"/>
        <v>8307018</v>
      </c>
      <c r="B3022" s="188" t="s">
        <v>4114</v>
      </c>
      <c r="C3022" s="188" t="s">
        <v>4115</v>
      </c>
      <c r="D3022" t="s">
        <v>13412</v>
      </c>
    </row>
    <row r="3023" spans="1:4" x14ac:dyDescent="0.25">
      <c r="A3023" s="180">
        <f t="shared" si="47"/>
        <v>8307159</v>
      </c>
      <c r="B3023" s="188" t="s">
        <v>4116</v>
      </c>
      <c r="C3023" s="188" t="s">
        <v>4117</v>
      </c>
    </row>
    <row r="3024" spans="1:4" x14ac:dyDescent="0.25">
      <c r="A3024" s="180">
        <f t="shared" si="47"/>
        <v>8307810</v>
      </c>
      <c r="B3024" s="188" t="s">
        <v>4118</v>
      </c>
      <c r="C3024" s="188" t="s">
        <v>4119</v>
      </c>
      <c r="D3024" t="s">
        <v>13412</v>
      </c>
    </row>
    <row r="3025" spans="1:4" x14ac:dyDescent="0.25">
      <c r="A3025" s="180">
        <f t="shared" si="47"/>
        <v>8307811</v>
      </c>
      <c r="B3025" s="188" t="s">
        <v>4120</v>
      </c>
      <c r="C3025" s="188" t="s">
        <v>4121</v>
      </c>
      <c r="D3025" t="s">
        <v>13412</v>
      </c>
    </row>
    <row r="3026" spans="1:4" x14ac:dyDescent="0.25">
      <c r="A3026" s="180">
        <f t="shared" si="47"/>
        <v>8351026</v>
      </c>
      <c r="B3026" s="188" t="s">
        <v>4122</v>
      </c>
      <c r="C3026" s="188" t="s">
        <v>4123</v>
      </c>
    </row>
    <row r="3027" spans="1:4" x14ac:dyDescent="0.25">
      <c r="A3027" s="180">
        <f t="shared" si="47"/>
        <v>8400000</v>
      </c>
      <c r="B3027" s="188" t="s">
        <v>4124</v>
      </c>
      <c r="C3027" s="188" t="s">
        <v>4125</v>
      </c>
      <c r="D3027" t="s">
        <v>13412</v>
      </c>
    </row>
    <row r="3028" spans="1:4" x14ac:dyDescent="0.25">
      <c r="A3028" s="180">
        <f t="shared" si="47"/>
        <v>8400001</v>
      </c>
      <c r="B3028" s="188" t="s">
        <v>4126</v>
      </c>
      <c r="C3028" s="188" t="s">
        <v>4127</v>
      </c>
    </row>
    <row r="3029" spans="1:4" x14ac:dyDescent="0.25">
      <c r="A3029" s="180">
        <f t="shared" si="47"/>
        <v>8400002</v>
      </c>
      <c r="B3029" s="188" t="s">
        <v>4128</v>
      </c>
      <c r="C3029" s="188" t="s">
        <v>4129</v>
      </c>
      <c r="D3029" t="s">
        <v>13412</v>
      </c>
    </row>
    <row r="3030" spans="1:4" x14ac:dyDescent="0.25">
      <c r="A3030" s="180">
        <f t="shared" si="47"/>
        <v>8400003</v>
      </c>
      <c r="B3030" s="188" t="s">
        <v>4130</v>
      </c>
      <c r="C3030" s="188" t="s">
        <v>6979</v>
      </c>
    </row>
    <row r="3031" spans="1:4" x14ac:dyDescent="0.25">
      <c r="A3031" s="180">
        <f t="shared" si="47"/>
        <v>8400004</v>
      </c>
      <c r="B3031" s="188" t="s">
        <v>6980</v>
      </c>
      <c r="C3031" s="188" t="s">
        <v>6981</v>
      </c>
    </row>
    <row r="3032" spans="1:4" x14ac:dyDescent="0.25">
      <c r="A3032" s="180">
        <f t="shared" si="47"/>
        <v>8400005</v>
      </c>
      <c r="B3032" s="188" t="s">
        <v>12690</v>
      </c>
      <c r="C3032" s="188" t="s">
        <v>12691</v>
      </c>
      <c r="D3032" t="s">
        <v>13412</v>
      </c>
    </row>
    <row r="3033" spans="1:4" x14ac:dyDescent="0.25">
      <c r="A3033" s="180">
        <f t="shared" si="47"/>
        <v>8400006</v>
      </c>
      <c r="B3033" s="188" t="s">
        <v>14525</v>
      </c>
      <c r="C3033" s="188" t="s">
        <v>14526</v>
      </c>
      <c r="D3033" t="s">
        <v>13411</v>
      </c>
    </row>
    <row r="3034" spans="1:4" x14ac:dyDescent="0.25">
      <c r="A3034" s="180">
        <f t="shared" si="47"/>
        <v>8400007</v>
      </c>
      <c r="B3034" s="188" t="s">
        <v>13333</v>
      </c>
      <c r="C3034" s="188" t="s">
        <v>13334</v>
      </c>
      <c r="D3034" t="s">
        <v>13411</v>
      </c>
    </row>
    <row r="3035" spans="1:4" x14ac:dyDescent="0.25">
      <c r="A3035" s="180">
        <f t="shared" si="47"/>
        <v>8400008</v>
      </c>
      <c r="B3035" s="188" t="s">
        <v>4131</v>
      </c>
      <c r="C3035" s="188" t="s">
        <v>12692</v>
      </c>
      <c r="D3035" t="s">
        <v>13412</v>
      </c>
    </row>
    <row r="3036" spans="1:4" x14ac:dyDescent="0.25">
      <c r="A3036" s="180">
        <f t="shared" si="47"/>
        <v>8400009</v>
      </c>
      <c r="B3036" s="188" t="s">
        <v>4132</v>
      </c>
      <c r="C3036" s="188" t="s">
        <v>4133</v>
      </c>
    </row>
    <row r="3037" spans="1:4" x14ac:dyDescent="0.25">
      <c r="A3037" s="180">
        <f t="shared" si="47"/>
        <v>8400010</v>
      </c>
      <c r="B3037" s="188" t="s">
        <v>4134</v>
      </c>
      <c r="C3037" s="188" t="s">
        <v>4135</v>
      </c>
      <c r="D3037" t="s">
        <v>13412</v>
      </c>
    </row>
    <row r="3038" spans="1:4" x14ac:dyDescent="0.25">
      <c r="A3038" s="180">
        <f t="shared" si="47"/>
        <v>8400019</v>
      </c>
      <c r="B3038" s="188" t="s">
        <v>14134</v>
      </c>
      <c r="C3038" s="188" t="s">
        <v>14135</v>
      </c>
      <c r="D3038" t="s">
        <v>13412</v>
      </c>
    </row>
    <row r="3039" spans="1:4" x14ac:dyDescent="0.25">
      <c r="A3039" s="180">
        <f t="shared" si="47"/>
        <v>8400020</v>
      </c>
      <c r="B3039" s="188" t="s">
        <v>4136</v>
      </c>
      <c r="C3039" s="188" t="s">
        <v>4137</v>
      </c>
    </row>
    <row r="3040" spans="1:4" x14ac:dyDescent="0.25">
      <c r="A3040" s="180">
        <f t="shared" si="47"/>
        <v>8400021</v>
      </c>
      <c r="B3040" s="188" t="s">
        <v>4138</v>
      </c>
      <c r="C3040" s="188" t="s">
        <v>4139</v>
      </c>
    </row>
    <row r="3041" spans="1:4" x14ac:dyDescent="0.25">
      <c r="A3041" s="180">
        <f t="shared" si="47"/>
        <v>8400024</v>
      </c>
      <c r="B3041" s="188" t="s">
        <v>4140</v>
      </c>
      <c r="C3041" s="188" t="s">
        <v>4141</v>
      </c>
      <c r="D3041" t="s">
        <v>13412</v>
      </c>
    </row>
    <row r="3042" spans="1:4" x14ac:dyDescent="0.25">
      <c r="A3042" s="180">
        <f t="shared" si="47"/>
        <v>8400025</v>
      </c>
      <c r="B3042" s="188" t="s">
        <v>4142</v>
      </c>
      <c r="C3042" s="188" t="s">
        <v>4143</v>
      </c>
    </row>
    <row r="3043" spans="1:4" x14ac:dyDescent="0.25">
      <c r="A3043" s="180">
        <f t="shared" si="47"/>
        <v>8400026</v>
      </c>
      <c r="B3043" s="188" t="s">
        <v>4144</v>
      </c>
      <c r="C3043" s="188" t="s">
        <v>4145</v>
      </c>
      <c r="D3043" t="s">
        <v>13411</v>
      </c>
    </row>
    <row r="3044" spans="1:4" x14ac:dyDescent="0.25">
      <c r="A3044" s="180">
        <f t="shared" si="47"/>
        <v>8400027</v>
      </c>
      <c r="B3044" s="188" t="s">
        <v>4146</v>
      </c>
      <c r="C3044" s="188" t="s">
        <v>4147</v>
      </c>
      <c r="D3044" t="s">
        <v>13412</v>
      </c>
    </row>
    <row r="3045" spans="1:4" x14ac:dyDescent="0.25">
      <c r="A3045" s="180">
        <f t="shared" si="47"/>
        <v>8400028</v>
      </c>
      <c r="B3045" s="188" t="s">
        <v>4148</v>
      </c>
      <c r="C3045" s="188" t="s">
        <v>4149</v>
      </c>
    </row>
    <row r="3046" spans="1:4" x14ac:dyDescent="0.25">
      <c r="A3046" s="180">
        <f t="shared" si="47"/>
        <v>8400029</v>
      </c>
      <c r="B3046" s="188" t="s">
        <v>4150</v>
      </c>
      <c r="C3046" s="188" t="s">
        <v>4151</v>
      </c>
    </row>
    <row r="3047" spans="1:4" x14ac:dyDescent="0.25">
      <c r="A3047" s="180">
        <f t="shared" si="47"/>
        <v>8400030</v>
      </c>
      <c r="B3047" s="188" t="s">
        <v>4152</v>
      </c>
      <c r="C3047" s="188" t="s">
        <v>4153</v>
      </c>
    </row>
    <row r="3048" spans="1:4" x14ac:dyDescent="0.25">
      <c r="A3048" s="180">
        <f t="shared" si="47"/>
        <v>8400032</v>
      </c>
      <c r="B3048" s="188" t="s">
        <v>4154</v>
      </c>
      <c r="C3048" s="188" t="s">
        <v>4155</v>
      </c>
      <c r="D3048" t="s">
        <v>13411</v>
      </c>
    </row>
    <row r="3049" spans="1:4" x14ac:dyDescent="0.25">
      <c r="A3049" s="180">
        <f t="shared" si="47"/>
        <v>8400035</v>
      </c>
      <c r="B3049" s="188" t="s">
        <v>4156</v>
      </c>
      <c r="C3049" s="188" t="s">
        <v>4157</v>
      </c>
    </row>
    <row r="3050" spans="1:4" x14ac:dyDescent="0.25">
      <c r="A3050" s="180">
        <f t="shared" si="47"/>
        <v>8400036</v>
      </c>
      <c r="B3050" s="188" t="s">
        <v>4158</v>
      </c>
      <c r="C3050" s="188" t="s">
        <v>4159</v>
      </c>
    </row>
    <row r="3051" spans="1:4" x14ac:dyDescent="0.25">
      <c r="A3051" s="180">
        <f t="shared" si="47"/>
        <v>8400051</v>
      </c>
      <c r="B3051" s="188" t="s">
        <v>12693</v>
      </c>
      <c r="C3051" s="188" t="s">
        <v>12694</v>
      </c>
    </row>
    <row r="3052" spans="1:4" x14ac:dyDescent="0.25">
      <c r="A3052" s="180">
        <f t="shared" si="47"/>
        <v>8400062</v>
      </c>
      <c r="B3052" s="188" t="s">
        <v>4160</v>
      </c>
      <c r="C3052" s="188" t="s">
        <v>4161</v>
      </c>
      <c r="D3052" t="s">
        <v>13411</v>
      </c>
    </row>
    <row r="3053" spans="1:4" x14ac:dyDescent="0.25">
      <c r="A3053" s="180">
        <f t="shared" si="47"/>
        <v>8400070</v>
      </c>
      <c r="B3053" s="188" t="s">
        <v>4162</v>
      </c>
      <c r="C3053" s="188" t="s">
        <v>4163</v>
      </c>
      <c r="D3053" t="s">
        <v>13412</v>
      </c>
    </row>
    <row r="3054" spans="1:4" x14ac:dyDescent="0.25">
      <c r="A3054" s="180">
        <f t="shared" si="47"/>
        <v>8400076</v>
      </c>
      <c r="B3054" s="188" t="s">
        <v>4164</v>
      </c>
      <c r="C3054" s="188" t="s">
        <v>4165</v>
      </c>
    </row>
    <row r="3055" spans="1:4" x14ac:dyDescent="0.25">
      <c r="A3055" s="180">
        <f t="shared" si="47"/>
        <v>8400080</v>
      </c>
      <c r="B3055" s="188" t="s">
        <v>4166</v>
      </c>
      <c r="C3055" s="188" t="s">
        <v>4167</v>
      </c>
      <c r="D3055" t="s">
        <v>13412</v>
      </c>
    </row>
    <row r="3056" spans="1:4" x14ac:dyDescent="0.25">
      <c r="A3056" s="180">
        <f t="shared" si="47"/>
        <v>8400085</v>
      </c>
      <c r="B3056" s="188" t="s">
        <v>4168</v>
      </c>
      <c r="C3056" s="188" t="s">
        <v>4169</v>
      </c>
    </row>
    <row r="3057" spans="1:4" x14ac:dyDescent="0.25">
      <c r="A3057" s="180">
        <f t="shared" si="47"/>
        <v>8400086</v>
      </c>
      <c r="B3057" s="188" t="s">
        <v>4170</v>
      </c>
      <c r="C3057" s="188" t="s">
        <v>4171</v>
      </c>
    </row>
    <row r="3058" spans="1:4" x14ac:dyDescent="0.25">
      <c r="A3058" s="180">
        <f t="shared" si="47"/>
        <v>8400087</v>
      </c>
      <c r="B3058" s="188" t="s">
        <v>4172</v>
      </c>
      <c r="C3058" s="188" t="s">
        <v>4173</v>
      </c>
    </row>
    <row r="3059" spans="1:4" x14ac:dyDescent="0.25">
      <c r="A3059" s="180">
        <f t="shared" si="47"/>
        <v>8400088</v>
      </c>
      <c r="B3059" s="188" t="s">
        <v>4174</v>
      </c>
      <c r="C3059" s="188" t="s">
        <v>4175</v>
      </c>
    </row>
    <row r="3060" spans="1:4" x14ac:dyDescent="0.25">
      <c r="A3060" s="180">
        <f t="shared" si="47"/>
        <v>8400089</v>
      </c>
      <c r="B3060" s="188" t="s">
        <v>4176</v>
      </c>
      <c r="C3060" s="188" t="s">
        <v>4177</v>
      </c>
    </row>
    <row r="3061" spans="1:4" x14ac:dyDescent="0.25">
      <c r="A3061" s="180">
        <f t="shared" si="47"/>
        <v>8400090</v>
      </c>
      <c r="B3061" s="188" t="s">
        <v>4178</v>
      </c>
      <c r="C3061" s="188" t="s">
        <v>4179</v>
      </c>
    </row>
    <row r="3062" spans="1:4" x14ac:dyDescent="0.25">
      <c r="A3062" s="180">
        <f t="shared" si="47"/>
        <v>8400091</v>
      </c>
      <c r="B3062" s="188" t="s">
        <v>6982</v>
      </c>
      <c r="C3062" s="188" t="s">
        <v>6983</v>
      </c>
      <c r="D3062" t="s">
        <v>13411</v>
      </c>
    </row>
    <row r="3063" spans="1:4" x14ac:dyDescent="0.25">
      <c r="A3063" s="180">
        <f t="shared" si="47"/>
        <v>8400100</v>
      </c>
      <c r="B3063" s="188" t="s">
        <v>14992</v>
      </c>
      <c r="C3063" s="188" t="s">
        <v>14993</v>
      </c>
      <c r="D3063" t="s">
        <v>13412</v>
      </c>
    </row>
    <row r="3064" spans="1:4" x14ac:dyDescent="0.25">
      <c r="A3064" s="180">
        <f t="shared" si="47"/>
        <v>8400105</v>
      </c>
      <c r="B3064" s="188" t="s">
        <v>4180</v>
      </c>
      <c r="C3064" s="188" t="s">
        <v>4181</v>
      </c>
      <c r="D3064" t="s">
        <v>13411</v>
      </c>
    </row>
    <row r="3065" spans="1:4" x14ac:dyDescent="0.25">
      <c r="A3065" s="180">
        <f t="shared" si="47"/>
        <v>8400106</v>
      </c>
      <c r="B3065" s="188" t="s">
        <v>4182</v>
      </c>
      <c r="C3065" s="188" t="s">
        <v>4183</v>
      </c>
    </row>
    <row r="3066" spans="1:4" x14ac:dyDescent="0.25">
      <c r="A3066" s="180">
        <f t="shared" si="47"/>
        <v>8400107</v>
      </c>
      <c r="B3066" s="188" t="s">
        <v>6984</v>
      </c>
      <c r="C3066" s="188" t="s">
        <v>6985</v>
      </c>
    </row>
    <row r="3067" spans="1:4" x14ac:dyDescent="0.25">
      <c r="A3067" s="180">
        <f t="shared" si="47"/>
        <v>8400110</v>
      </c>
      <c r="B3067" s="188" t="s">
        <v>4184</v>
      </c>
      <c r="C3067" s="188" t="s">
        <v>4185</v>
      </c>
      <c r="D3067" t="s">
        <v>13411</v>
      </c>
    </row>
    <row r="3068" spans="1:4" x14ac:dyDescent="0.25">
      <c r="A3068" s="180">
        <f t="shared" si="47"/>
        <v>8400111</v>
      </c>
      <c r="B3068" s="188" t="s">
        <v>4186</v>
      </c>
      <c r="C3068" s="188" t="s">
        <v>4187</v>
      </c>
    </row>
    <row r="3069" spans="1:4" x14ac:dyDescent="0.25">
      <c r="A3069" s="180">
        <f t="shared" si="47"/>
        <v>8400112</v>
      </c>
      <c r="B3069" s="188" t="s">
        <v>4188</v>
      </c>
      <c r="C3069" s="188" t="s">
        <v>4189</v>
      </c>
      <c r="D3069" t="s">
        <v>13411</v>
      </c>
    </row>
    <row r="3070" spans="1:4" x14ac:dyDescent="0.25">
      <c r="A3070" s="180">
        <f t="shared" si="47"/>
        <v>8400113</v>
      </c>
      <c r="B3070" s="188" t="s">
        <v>4190</v>
      </c>
      <c r="C3070" s="188" t="s">
        <v>4191</v>
      </c>
    </row>
    <row r="3071" spans="1:4" x14ac:dyDescent="0.25">
      <c r="A3071" s="180">
        <f t="shared" ref="A3071:A3134" si="48">IFERROR(B3071*1,"")</f>
        <v>8400114</v>
      </c>
      <c r="B3071" s="188" t="s">
        <v>4192</v>
      </c>
      <c r="C3071" s="188" t="s">
        <v>4193</v>
      </c>
    </row>
    <row r="3072" spans="1:4" x14ac:dyDescent="0.25">
      <c r="A3072" s="180">
        <f t="shared" si="48"/>
        <v>8400116</v>
      </c>
      <c r="B3072" s="188" t="s">
        <v>4194</v>
      </c>
      <c r="C3072" s="188" t="s">
        <v>4195</v>
      </c>
      <c r="D3072" t="s">
        <v>13411</v>
      </c>
    </row>
    <row r="3073" spans="1:4" x14ac:dyDescent="0.25">
      <c r="A3073" s="180">
        <f t="shared" si="48"/>
        <v>8400117</v>
      </c>
      <c r="B3073" s="188" t="s">
        <v>4196</v>
      </c>
      <c r="C3073" s="188" t="s">
        <v>4197</v>
      </c>
    </row>
    <row r="3074" spans="1:4" x14ac:dyDescent="0.25">
      <c r="A3074" s="180">
        <f t="shared" si="48"/>
        <v>8400119</v>
      </c>
      <c r="B3074" s="188" t="s">
        <v>4198</v>
      </c>
      <c r="C3074" s="188" t="s">
        <v>12891</v>
      </c>
      <c r="D3074" t="s">
        <v>13412</v>
      </c>
    </row>
    <row r="3075" spans="1:4" x14ac:dyDescent="0.25">
      <c r="A3075" s="180">
        <f t="shared" si="48"/>
        <v>8400120</v>
      </c>
      <c r="B3075" s="188" t="s">
        <v>4199</v>
      </c>
      <c r="C3075" s="188" t="s">
        <v>4200</v>
      </c>
      <c r="D3075" t="s">
        <v>13411</v>
      </c>
    </row>
    <row r="3076" spans="1:4" x14ac:dyDescent="0.25">
      <c r="A3076" s="180">
        <f t="shared" si="48"/>
        <v>8400121</v>
      </c>
      <c r="B3076" s="188" t="s">
        <v>4201</v>
      </c>
      <c r="C3076" s="188" t="s">
        <v>4202</v>
      </c>
    </row>
    <row r="3077" spans="1:4" x14ac:dyDescent="0.25">
      <c r="A3077" s="180">
        <f t="shared" si="48"/>
        <v>8400122</v>
      </c>
      <c r="B3077" s="188" t="s">
        <v>4203</v>
      </c>
      <c r="C3077" s="188" t="s">
        <v>4204</v>
      </c>
    </row>
    <row r="3078" spans="1:4" x14ac:dyDescent="0.25">
      <c r="A3078" s="180">
        <f t="shared" si="48"/>
        <v>8400123</v>
      </c>
      <c r="B3078" s="188" t="s">
        <v>4205</v>
      </c>
      <c r="C3078" s="188" t="s">
        <v>4206</v>
      </c>
      <c r="D3078" t="s">
        <v>13412</v>
      </c>
    </row>
    <row r="3079" spans="1:4" x14ac:dyDescent="0.25">
      <c r="A3079" s="180">
        <f t="shared" si="48"/>
        <v>8400124</v>
      </c>
      <c r="B3079" s="188" t="s">
        <v>4207</v>
      </c>
      <c r="C3079" s="188" t="s">
        <v>4208</v>
      </c>
      <c r="D3079" t="s">
        <v>13411</v>
      </c>
    </row>
    <row r="3080" spans="1:4" x14ac:dyDescent="0.25">
      <c r="A3080" s="180">
        <f t="shared" si="48"/>
        <v>8400125</v>
      </c>
      <c r="B3080" s="188" t="s">
        <v>4209</v>
      </c>
      <c r="C3080" s="188" t="s">
        <v>4210</v>
      </c>
      <c r="D3080" t="s">
        <v>13411</v>
      </c>
    </row>
    <row r="3081" spans="1:4" x14ac:dyDescent="0.25">
      <c r="A3081" s="180">
        <f t="shared" si="48"/>
        <v>8400126</v>
      </c>
      <c r="B3081" s="188" t="s">
        <v>4211</v>
      </c>
      <c r="C3081" s="188" t="s">
        <v>4212</v>
      </c>
      <c r="D3081" t="s">
        <v>13412</v>
      </c>
    </row>
    <row r="3082" spans="1:4" x14ac:dyDescent="0.25">
      <c r="A3082" s="180">
        <f t="shared" si="48"/>
        <v>8400127</v>
      </c>
      <c r="B3082" s="188" t="s">
        <v>4213</v>
      </c>
      <c r="C3082" s="188" t="s">
        <v>4214</v>
      </c>
    </row>
    <row r="3083" spans="1:4" x14ac:dyDescent="0.25">
      <c r="A3083" s="180">
        <f t="shared" si="48"/>
        <v>8400128</v>
      </c>
      <c r="B3083" s="188" t="s">
        <v>4215</v>
      </c>
      <c r="C3083" s="188" t="s">
        <v>4216</v>
      </c>
      <c r="D3083" t="s">
        <v>13411</v>
      </c>
    </row>
    <row r="3084" spans="1:4" x14ac:dyDescent="0.25">
      <c r="A3084" s="180">
        <f t="shared" si="48"/>
        <v>8400129</v>
      </c>
      <c r="B3084" s="188" t="s">
        <v>4217</v>
      </c>
      <c r="C3084" s="188" t="s">
        <v>4218</v>
      </c>
      <c r="D3084" t="s">
        <v>13411</v>
      </c>
    </row>
    <row r="3085" spans="1:4" x14ac:dyDescent="0.25">
      <c r="A3085" s="180">
        <f t="shared" si="48"/>
        <v>8400130</v>
      </c>
      <c r="B3085" s="188" t="s">
        <v>4219</v>
      </c>
      <c r="C3085" s="188" t="s">
        <v>4220</v>
      </c>
      <c r="D3085" t="s">
        <v>13411</v>
      </c>
    </row>
    <row r="3086" spans="1:4" x14ac:dyDescent="0.25">
      <c r="A3086" s="180">
        <f t="shared" si="48"/>
        <v>8400131</v>
      </c>
      <c r="B3086" s="188" t="s">
        <v>4221</v>
      </c>
      <c r="C3086" s="188" t="s">
        <v>4222</v>
      </c>
      <c r="D3086" t="s">
        <v>13411</v>
      </c>
    </row>
    <row r="3087" spans="1:4" x14ac:dyDescent="0.25">
      <c r="A3087" s="180">
        <f t="shared" si="48"/>
        <v>8400132</v>
      </c>
      <c r="B3087" s="188" t="s">
        <v>4223</v>
      </c>
      <c r="C3087" s="188" t="s">
        <v>4224</v>
      </c>
    </row>
    <row r="3088" spans="1:4" x14ac:dyDescent="0.25">
      <c r="A3088" s="180">
        <f t="shared" si="48"/>
        <v>8400142</v>
      </c>
      <c r="B3088" s="188" t="s">
        <v>4225</v>
      </c>
      <c r="C3088" s="188" t="s">
        <v>4226</v>
      </c>
      <c r="D3088" t="s">
        <v>13411</v>
      </c>
    </row>
    <row r="3089" spans="1:4" x14ac:dyDescent="0.25">
      <c r="A3089" s="180">
        <f t="shared" si="48"/>
        <v>8400150</v>
      </c>
      <c r="B3089" s="188" t="s">
        <v>4227</v>
      </c>
      <c r="C3089" s="188" t="s">
        <v>4228</v>
      </c>
      <c r="D3089" t="s">
        <v>13411</v>
      </c>
    </row>
    <row r="3090" spans="1:4" x14ac:dyDescent="0.25">
      <c r="A3090" s="180">
        <f t="shared" si="48"/>
        <v>8400155</v>
      </c>
      <c r="B3090" s="188" t="s">
        <v>4229</v>
      </c>
      <c r="C3090" s="188" t="s">
        <v>4230</v>
      </c>
    </row>
    <row r="3091" spans="1:4" x14ac:dyDescent="0.25">
      <c r="A3091" s="180">
        <f t="shared" si="48"/>
        <v>8400158</v>
      </c>
      <c r="B3091" s="188" t="s">
        <v>4231</v>
      </c>
      <c r="C3091" s="188" t="s">
        <v>4232</v>
      </c>
    </row>
    <row r="3092" spans="1:4" x14ac:dyDescent="0.25">
      <c r="A3092" s="180">
        <f t="shared" si="48"/>
        <v>8400164</v>
      </c>
      <c r="B3092" s="188" t="s">
        <v>4233</v>
      </c>
      <c r="C3092" s="188" t="s">
        <v>4234</v>
      </c>
    </row>
    <row r="3093" spans="1:4" x14ac:dyDescent="0.25">
      <c r="A3093" s="180">
        <f t="shared" si="48"/>
        <v>8400165</v>
      </c>
      <c r="B3093" s="188" t="s">
        <v>4235</v>
      </c>
      <c r="C3093" s="188" t="s">
        <v>4236</v>
      </c>
    </row>
    <row r="3094" spans="1:4" x14ac:dyDescent="0.25">
      <c r="A3094" s="180">
        <f t="shared" si="48"/>
        <v>8400166</v>
      </c>
      <c r="B3094" s="188" t="s">
        <v>4237</v>
      </c>
      <c r="C3094" s="188" t="s">
        <v>4238</v>
      </c>
    </row>
    <row r="3095" spans="1:4" x14ac:dyDescent="0.25">
      <c r="A3095" s="180">
        <f t="shared" si="48"/>
        <v>8400167</v>
      </c>
      <c r="B3095" s="188" t="s">
        <v>4239</v>
      </c>
      <c r="C3095" s="188" t="s">
        <v>4240</v>
      </c>
      <c r="D3095" t="s">
        <v>13411</v>
      </c>
    </row>
    <row r="3096" spans="1:4" x14ac:dyDescent="0.25">
      <c r="A3096" s="180">
        <f t="shared" si="48"/>
        <v>8400168</v>
      </c>
      <c r="B3096" s="188" t="s">
        <v>4241</v>
      </c>
      <c r="C3096" s="188" t="s">
        <v>4242</v>
      </c>
      <c r="D3096" t="s">
        <v>13411</v>
      </c>
    </row>
    <row r="3097" spans="1:4" x14ac:dyDescent="0.25">
      <c r="A3097" s="180">
        <f t="shared" si="48"/>
        <v>8400169</v>
      </c>
      <c r="B3097" s="188" t="s">
        <v>4243</v>
      </c>
      <c r="C3097" s="188" t="s">
        <v>4244</v>
      </c>
      <c r="D3097" t="s">
        <v>13411</v>
      </c>
    </row>
    <row r="3098" spans="1:4" x14ac:dyDescent="0.25">
      <c r="A3098" s="180">
        <f t="shared" si="48"/>
        <v>8400170</v>
      </c>
      <c r="B3098" s="188" t="s">
        <v>4245</v>
      </c>
      <c r="C3098" s="188" t="s">
        <v>4246</v>
      </c>
      <c r="D3098" t="s">
        <v>13412</v>
      </c>
    </row>
    <row r="3099" spans="1:4" x14ac:dyDescent="0.25">
      <c r="A3099" s="180">
        <f t="shared" si="48"/>
        <v>8400173</v>
      </c>
      <c r="B3099" s="188" t="s">
        <v>4247</v>
      </c>
      <c r="C3099" s="188" t="s">
        <v>4248</v>
      </c>
      <c r="D3099" t="s">
        <v>13411</v>
      </c>
    </row>
    <row r="3100" spans="1:4" x14ac:dyDescent="0.25">
      <c r="A3100" s="180">
        <f t="shared" si="48"/>
        <v>8400174</v>
      </c>
      <c r="B3100" s="188" t="s">
        <v>4249</v>
      </c>
      <c r="C3100" s="188" t="s">
        <v>4250</v>
      </c>
    </row>
    <row r="3101" spans="1:4" x14ac:dyDescent="0.25">
      <c r="A3101" s="180">
        <f t="shared" si="48"/>
        <v>8400175</v>
      </c>
      <c r="B3101" s="188" t="s">
        <v>6986</v>
      </c>
      <c r="C3101" s="188" t="s">
        <v>6987</v>
      </c>
    </row>
    <row r="3102" spans="1:4" x14ac:dyDescent="0.25">
      <c r="A3102" s="180">
        <f t="shared" si="48"/>
        <v>8400190</v>
      </c>
      <c r="B3102" s="188" t="s">
        <v>4251</v>
      </c>
      <c r="C3102" s="188" t="s">
        <v>4252</v>
      </c>
    </row>
    <row r="3103" spans="1:4" x14ac:dyDescent="0.25">
      <c r="A3103" s="180">
        <f t="shared" si="48"/>
        <v>8400214</v>
      </c>
      <c r="B3103" s="188" t="s">
        <v>4253</v>
      </c>
      <c r="C3103" s="188" t="s">
        <v>4254</v>
      </c>
    </row>
    <row r="3104" spans="1:4" x14ac:dyDescent="0.25">
      <c r="A3104" s="180">
        <f t="shared" si="48"/>
        <v>8400222</v>
      </c>
      <c r="B3104" s="188" t="s">
        <v>4255</v>
      </c>
      <c r="C3104" s="188" t="s">
        <v>4256</v>
      </c>
    </row>
    <row r="3105" spans="1:4" x14ac:dyDescent="0.25">
      <c r="A3105" s="180">
        <f t="shared" si="48"/>
        <v>8400223</v>
      </c>
      <c r="B3105" s="188" t="s">
        <v>4257</v>
      </c>
      <c r="C3105" s="188" t="s">
        <v>4258</v>
      </c>
    </row>
    <row r="3106" spans="1:4" x14ac:dyDescent="0.25">
      <c r="A3106" s="180">
        <f t="shared" si="48"/>
        <v>8400224</v>
      </c>
      <c r="B3106" s="188" t="s">
        <v>4259</v>
      </c>
      <c r="C3106" s="188" t="s">
        <v>4260</v>
      </c>
      <c r="D3106" t="s">
        <v>13412</v>
      </c>
    </row>
    <row r="3107" spans="1:4" x14ac:dyDescent="0.25">
      <c r="A3107" s="180">
        <f t="shared" si="48"/>
        <v>8400240</v>
      </c>
      <c r="B3107" s="188" t="s">
        <v>4261</v>
      </c>
      <c r="C3107" s="188" t="s">
        <v>4262</v>
      </c>
      <c r="D3107" t="s">
        <v>13411</v>
      </c>
    </row>
    <row r="3108" spans="1:4" x14ac:dyDescent="0.25">
      <c r="A3108" s="180">
        <f t="shared" si="48"/>
        <v>8400252</v>
      </c>
      <c r="B3108" s="188" t="s">
        <v>4263</v>
      </c>
      <c r="C3108" s="188" t="s">
        <v>4264</v>
      </c>
      <c r="D3108" t="s">
        <v>13412</v>
      </c>
    </row>
    <row r="3109" spans="1:4" x14ac:dyDescent="0.25">
      <c r="A3109" s="180">
        <f t="shared" si="48"/>
        <v>8400265</v>
      </c>
      <c r="B3109" s="188" t="s">
        <v>4265</v>
      </c>
      <c r="C3109" s="188" t="s">
        <v>4266</v>
      </c>
    </row>
    <row r="3110" spans="1:4" x14ac:dyDescent="0.25">
      <c r="A3110" s="180">
        <f t="shared" si="48"/>
        <v>8400266</v>
      </c>
      <c r="B3110" s="188" t="s">
        <v>6988</v>
      </c>
      <c r="C3110" s="188" t="s">
        <v>6989</v>
      </c>
    </row>
    <row r="3111" spans="1:4" x14ac:dyDescent="0.25">
      <c r="A3111" s="180">
        <f t="shared" si="48"/>
        <v>8400267</v>
      </c>
      <c r="B3111" s="188" t="s">
        <v>14527</v>
      </c>
      <c r="C3111" s="188" t="s">
        <v>14528</v>
      </c>
    </row>
    <row r="3112" spans="1:4" x14ac:dyDescent="0.25">
      <c r="A3112" s="180">
        <f t="shared" si="48"/>
        <v>8400280</v>
      </c>
      <c r="B3112" s="188" t="s">
        <v>4267</v>
      </c>
      <c r="C3112" s="188" t="s">
        <v>4268</v>
      </c>
    </row>
    <row r="3113" spans="1:4" x14ac:dyDescent="0.25">
      <c r="A3113" s="180">
        <f t="shared" si="48"/>
        <v>8400286</v>
      </c>
      <c r="B3113" s="188" t="s">
        <v>4269</v>
      </c>
      <c r="C3113" s="188" t="s">
        <v>4270</v>
      </c>
      <c r="D3113" t="s">
        <v>13412</v>
      </c>
    </row>
    <row r="3114" spans="1:4" x14ac:dyDescent="0.25">
      <c r="A3114" s="180">
        <f t="shared" si="48"/>
        <v>8400287</v>
      </c>
      <c r="B3114" s="188" t="s">
        <v>4271</v>
      </c>
      <c r="C3114" s="188" t="s">
        <v>4272</v>
      </c>
    </row>
    <row r="3115" spans="1:4" x14ac:dyDescent="0.25">
      <c r="A3115" s="180">
        <f t="shared" si="48"/>
        <v>8400292</v>
      </c>
      <c r="B3115" s="188" t="s">
        <v>4273</v>
      </c>
      <c r="C3115" s="188" t="s">
        <v>4274</v>
      </c>
      <c r="D3115" t="s">
        <v>13412</v>
      </c>
    </row>
    <row r="3116" spans="1:4" x14ac:dyDescent="0.25">
      <c r="A3116" s="180">
        <f t="shared" si="48"/>
        <v>8400300</v>
      </c>
      <c r="B3116" s="188" t="s">
        <v>4275</v>
      </c>
      <c r="C3116" s="188" t="s">
        <v>4276</v>
      </c>
      <c r="D3116" t="s">
        <v>13411</v>
      </c>
    </row>
    <row r="3117" spans="1:4" x14ac:dyDescent="0.25">
      <c r="A3117" s="180">
        <f t="shared" si="48"/>
        <v>8400309</v>
      </c>
      <c r="B3117" s="188" t="s">
        <v>4277</v>
      </c>
      <c r="C3117" s="188" t="s">
        <v>4278</v>
      </c>
    </row>
    <row r="3118" spans="1:4" x14ac:dyDescent="0.25">
      <c r="A3118" s="180">
        <f t="shared" si="48"/>
        <v>8400311</v>
      </c>
      <c r="B3118" s="188" t="s">
        <v>4279</v>
      </c>
      <c r="C3118" s="188" t="s">
        <v>4280</v>
      </c>
      <c r="D3118" t="s">
        <v>13412</v>
      </c>
    </row>
    <row r="3119" spans="1:4" x14ac:dyDescent="0.25">
      <c r="A3119" s="180">
        <f t="shared" si="48"/>
        <v>8400312</v>
      </c>
      <c r="B3119" s="188" t="s">
        <v>4281</v>
      </c>
      <c r="C3119" s="188" t="s">
        <v>4282</v>
      </c>
    </row>
    <row r="3120" spans="1:4" x14ac:dyDescent="0.25">
      <c r="A3120" s="180">
        <f t="shared" si="48"/>
        <v>8400323</v>
      </c>
      <c r="B3120" s="188" t="s">
        <v>4283</v>
      </c>
      <c r="C3120" s="188" t="s">
        <v>4284</v>
      </c>
      <c r="D3120" t="s">
        <v>13411</v>
      </c>
    </row>
    <row r="3121" spans="1:4" x14ac:dyDescent="0.25">
      <c r="A3121" s="180">
        <f t="shared" si="48"/>
        <v>8400330</v>
      </c>
      <c r="B3121" s="188" t="s">
        <v>4285</v>
      </c>
      <c r="C3121" s="188" t="s">
        <v>4286</v>
      </c>
      <c r="D3121" t="s">
        <v>13411</v>
      </c>
    </row>
    <row r="3122" spans="1:4" x14ac:dyDescent="0.25">
      <c r="A3122" s="180">
        <f t="shared" si="48"/>
        <v>8400331</v>
      </c>
      <c r="B3122" s="188" t="s">
        <v>12892</v>
      </c>
      <c r="C3122" s="188" t="s">
        <v>12893</v>
      </c>
      <c r="D3122" t="s">
        <v>13411</v>
      </c>
    </row>
    <row r="3123" spans="1:4" x14ac:dyDescent="0.25">
      <c r="A3123" s="180">
        <f t="shared" si="48"/>
        <v>8400333</v>
      </c>
      <c r="B3123" s="188" t="s">
        <v>4287</v>
      </c>
      <c r="C3123" s="188" t="s">
        <v>4288</v>
      </c>
      <c r="D3123" t="s">
        <v>13412</v>
      </c>
    </row>
    <row r="3124" spans="1:4" x14ac:dyDescent="0.25">
      <c r="A3124" s="180">
        <f t="shared" si="48"/>
        <v>8400356</v>
      </c>
      <c r="B3124" s="188" t="s">
        <v>4289</v>
      </c>
      <c r="C3124" s="188" t="s">
        <v>4290</v>
      </c>
      <c r="D3124" t="s">
        <v>13412</v>
      </c>
    </row>
    <row r="3125" spans="1:4" x14ac:dyDescent="0.25">
      <c r="A3125" s="180">
        <f t="shared" si="48"/>
        <v>8400357</v>
      </c>
      <c r="B3125" s="188" t="s">
        <v>4291</v>
      </c>
      <c r="C3125" s="188" t="s">
        <v>4292</v>
      </c>
      <c r="D3125" t="s">
        <v>13412</v>
      </c>
    </row>
    <row r="3126" spans="1:4" x14ac:dyDescent="0.25">
      <c r="A3126" s="180">
        <f t="shared" si="48"/>
        <v>8400360</v>
      </c>
      <c r="B3126" s="188" t="s">
        <v>4293</v>
      </c>
      <c r="C3126" s="188" t="s">
        <v>4294</v>
      </c>
      <c r="D3126" t="s">
        <v>13411</v>
      </c>
    </row>
    <row r="3127" spans="1:4" x14ac:dyDescent="0.25">
      <c r="A3127" s="180">
        <f t="shared" si="48"/>
        <v>8400367</v>
      </c>
      <c r="B3127" s="188" t="s">
        <v>4295</v>
      </c>
      <c r="C3127" s="188" t="s">
        <v>4296</v>
      </c>
      <c r="D3127" t="s">
        <v>13411</v>
      </c>
    </row>
    <row r="3128" spans="1:4" x14ac:dyDescent="0.25">
      <c r="A3128" s="180">
        <f t="shared" si="48"/>
        <v>8400368</v>
      </c>
      <c r="B3128" s="188" t="s">
        <v>4297</v>
      </c>
      <c r="C3128" s="188" t="s">
        <v>4298</v>
      </c>
      <c r="D3128" t="s">
        <v>13412</v>
      </c>
    </row>
    <row r="3129" spans="1:4" x14ac:dyDescent="0.25">
      <c r="A3129" s="180">
        <f t="shared" si="48"/>
        <v>8400369</v>
      </c>
      <c r="B3129" s="188" t="s">
        <v>4299</v>
      </c>
      <c r="C3129" s="188" t="s">
        <v>4300</v>
      </c>
    </row>
    <row r="3130" spans="1:4" x14ac:dyDescent="0.25">
      <c r="A3130" s="180">
        <f t="shared" si="48"/>
        <v>8400370</v>
      </c>
      <c r="B3130" s="188" t="s">
        <v>4301</v>
      </c>
      <c r="C3130" s="188" t="s">
        <v>4302</v>
      </c>
      <c r="D3130" t="s">
        <v>13411</v>
      </c>
    </row>
    <row r="3131" spans="1:4" x14ac:dyDescent="0.25">
      <c r="A3131" s="180">
        <f t="shared" si="48"/>
        <v>8400390</v>
      </c>
      <c r="B3131" s="188" t="s">
        <v>4303</v>
      </c>
      <c r="C3131" s="188" t="s">
        <v>4304</v>
      </c>
      <c r="D3131" t="s">
        <v>13411</v>
      </c>
    </row>
    <row r="3132" spans="1:4" x14ac:dyDescent="0.25">
      <c r="A3132" s="180">
        <f t="shared" si="48"/>
        <v>8400391</v>
      </c>
      <c r="B3132" s="188" t="s">
        <v>4305</v>
      </c>
      <c r="C3132" s="188" t="s">
        <v>4306</v>
      </c>
      <c r="D3132" t="s">
        <v>13411</v>
      </c>
    </row>
    <row r="3133" spans="1:4" x14ac:dyDescent="0.25">
      <c r="A3133" s="180">
        <f t="shared" si="48"/>
        <v>8400392</v>
      </c>
      <c r="B3133" s="188" t="s">
        <v>4307</v>
      </c>
      <c r="C3133" s="188" t="s">
        <v>13335</v>
      </c>
      <c r="D3133" t="s">
        <v>13412</v>
      </c>
    </row>
    <row r="3134" spans="1:4" x14ac:dyDescent="0.25">
      <c r="A3134" s="180">
        <f t="shared" si="48"/>
        <v>8400393</v>
      </c>
      <c r="B3134" s="188" t="s">
        <v>4308</v>
      </c>
      <c r="C3134" s="188" t="s">
        <v>4309</v>
      </c>
      <c r="D3134" t="s">
        <v>13411</v>
      </c>
    </row>
    <row r="3135" spans="1:4" x14ac:dyDescent="0.25">
      <c r="A3135" s="180">
        <f t="shared" ref="A3135:A3198" si="49">IFERROR(B3135*1,"")</f>
        <v>8400452</v>
      </c>
      <c r="B3135" s="188" t="s">
        <v>4310</v>
      </c>
      <c r="C3135" s="188" t="s">
        <v>4311</v>
      </c>
    </row>
    <row r="3136" spans="1:4" x14ac:dyDescent="0.25">
      <c r="A3136" s="180">
        <f t="shared" si="49"/>
        <v>8400456</v>
      </c>
      <c r="B3136" s="188" t="s">
        <v>4312</v>
      </c>
      <c r="C3136" s="188" t="s">
        <v>4313</v>
      </c>
    </row>
    <row r="3137" spans="1:4" x14ac:dyDescent="0.25">
      <c r="A3137" s="180">
        <f t="shared" si="49"/>
        <v>8400564</v>
      </c>
      <c r="B3137" s="188" t="s">
        <v>4314</v>
      </c>
      <c r="C3137" s="188" t="s">
        <v>4315</v>
      </c>
    </row>
    <row r="3138" spans="1:4" x14ac:dyDescent="0.25">
      <c r="A3138" s="180">
        <f t="shared" si="49"/>
        <v>8400650</v>
      </c>
      <c r="B3138" s="188" t="s">
        <v>4316</v>
      </c>
      <c r="C3138" s="188" t="s">
        <v>4317</v>
      </c>
      <c r="D3138" t="s">
        <v>13412</v>
      </c>
    </row>
    <row r="3139" spans="1:4" x14ac:dyDescent="0.25">
      <c r="A3139" s="180">
        <f t="shared" si="49"/>
        <v>8400651</v>
      </c>
      <c r="B3139" s="188" t="s">
        <v>4318</v>
      </c>
      <c r="C3139" s="188" t="s">
        <v>4319</v>
      </c>
    </row>
    <row r="3140" spans="1:4" x14ac:dyDescent="0.25">
      <c r="A3140" s="180">
        <f t="shared" si="49"/>
        <v>8400654</v>
      </c>
      <c r="B3140" s="188" t="s">
        <v>4320</v>
      </c>
      <c r="C3140" s="188" t="s">
        <v>4321</v>
      </c>
    </row>
    <row r="3141" spans="1:4" x14ac:dyDescent="0.25">
      <c r="A3141" s="180">
        <f t="shared" si="49"/>
        <v>8400661</v>
      </c>
      <c r="B3141" s="188" t="s">
        <v>4322</v>
      </c>
      <c r="C3141" s="188" t="s">
        <v>4323</v>
      </c>
    </row>
    <row r="3142" spans="1:4" x14ac:dyDescent="0.25">
      <c r="A3142" s="180">
        <f t="shared" si="49"/>
        <v>8400662</v>
      </c>
      <c r="B3142" s="188" t="s">
        <v>4324</v>
      </c>
      <c r="C3142" s="188" t="s">
        <v>4325</v>
      </c>
      <c r="D3142" t="s">
        <v>13411</v>
      </c>
    </row>
    <row r="3143" spans="1:4" x14ac:dyDescent="0.25">
      <c r="A3143" s="180">
        <f t="shared" si="49"/>
        <v>8400663</v>
      </c>
      <c r="B3143" s="188" t="s">
        <v>4326</v>
      </c>
      <c r="C3143" s="188" t="s">
        <v>4327</v>
      </c>
    </row>
    <row r="3144" spans="1:4" x14ac:dyDescent="0.25">
      <c r="A3144" s="180">
        <f t="shared" si="49"/>
        <v>8400664</v>
      </c>
      <c r="B3144" s="188" t="s">
        <v>4328</v>
      </c>
      <c r="C3144" s="188" t="s">
        <v>4329</v>
      </c>
    </row>
    <row r="3145" spans="1:4" x14ac:dyDescent="0.25">
      <c r="A3145" s="180">
        <f t="shared" si="49"/>
        <v>8400689</v>
      </c>
      <c r="B3145" s="188" t="s">
        <v>4330</v>
      </c>
      <c r="C3145" s="188" t="s">
        <v>4331</v>
      </c>
      <c r="D3145" t="s">
        <v>13412</v>
      </c>
    </row>
    <row r="3146" spans="1:4" x14ac:dyDescent="0.25">
      <c r="A3146" s="180">
        <f t="shared" si="49"/>
        <v>8400691</v>
      </c>
      <c r="B3146" s="188" t="s">
        <v>4332</v>
      </c>
      <c r="C3146" s="188" t="s">
        <v>4333</v>
      </c>
      <c r="D3146" t="s">
        <v>13412</v>
      </c>
    </row>
    <row r="3147" spans="1:4" x14ac:dyDescent="0.25">
      <c r="A3147" s="180">
        <f t="shared" si="49"/>
        <v>8400753</v>
      </c>
      <c r="B3147" s="188" t="s">
        <v>4334</v>
      </c>
      <c r="C3147" s="188" t="s">
        <v>14994</v>
      </c>
      <c r="D3147" t="s">
        <v>13412</v>
      </c>
    </row>
    <row r="3148" spans="1:4" x14ac:dyDescent="0.25">
      <c r="A3148" s="180">
        <f t="shared" si="49"/>
        <v>8400852</v>
      </c>
      <c r="B3148" s="188" t="s">
        <v>4335</v>
      </c>
      <c r="C3148" s="188" t="s">
        <v>4336</v>
      </c>
      <c r="D3148" t="s">
        <v>13411</v>
      </c>
    </row>
    <row r="3149" spans="1:4" x14ac:dyDescent="0.25">
      <c r="A3149" s="180">
        <f t="shared" si="49"/>
        <v>8400907</v>
      </c>
      <c r="B3149" s="188" t="s">
        <v>4337</v>
      </c>
      <c r="C3149" s="188" t="s">
        <v>4338</v>
      </c>
    </row>
    <row r="3150" spans="1:4" x14ac:dyDescent="0.25">
      <c r="A3150" s="180">
        <f t="shared" si="49"/>
        <v>8400908</v>
      </c>
      <c r="B3150" s="188" t="s">
        <v>4339</v>
      </c>
      <c r="C3150" s="188" t="s">
        <v>4340</v>
      </c>
      <c r="D3150" t="s">
        <v>13412</v>
      </c>
    </row>
    <row r="3151" spans="1:4" x14ac:dyDescent="0.25">
      <c r="A3151" s="180">
        <f t="shared" si="49"/>
        <v>8400951</v>
      </c>
      <c r="B3151" s="188" t="s">
        <v>4341</v>
      </c>
      <c r="C3151" s="188" t="s">
        <v>4342</v>
      </c>
    </row>
    <row r="3152" spans="1:4" x14ac:dyDescent="0.25">
      <c r="A3152" s="180">
        <f t="shared" si="49"/>
        <v>8401001</v>
      </c>
      <c r="B3152" s="188" t="s">
        <v>4343</v>
      </c>
      <c r="C3152" s="188" t="s">
        <v>13336</v>
      </c>
      <c r="D3152" t="s">
        <v>13412</v>
      </c>
    </row>
    <row r="3153" spans="1:4" x14ac:dyDescent="0.25">
      <c r="A3153" s="180">
        <f t="shared" si="49"/>
        <v>8401002</v>
      </c>
      <c r="B3153" s="188" t="s">
        <v>4344</v>
      </c>
      <c r="C3153" s="188" t="s">
        <v>6990</v>
      </c>
    </row>
    <row r="3154" spans="1:4" x14ac:dyDescent="0.25">
      <c r="A3154" s="180">
        <f t="shared" si="49"/>
        <v>8401003</v>
      </c>
      <c r="B3154" s="188" t="s">
        <v>4345</v>
      </c>
      <c r="C3154" s="188" t="s">
        <v>4346</v>
      </c>
      <c r="D3154" t="s">
        <v>13412</v>
      </c>
    </row>
    <row r="3155" spans="1:4" x14ac:dyDescent="0.25">
      <c r="A3155" s="180">
        <f t="shared" si="49"/>
        <v>8401004</v>
      </c>
      <c r="B3155" s="188" t="s">
        <v>4347</v>
      </c>
      <c r="C3155" s="188" t="s">
        <v>4348</v>
      </c>
      <c r="D3155" t="s">
        <v>13412</v>
      </c>
    </row>
    <row r="3156" spans="1:4" x14ac:dyDescent="0.25">
      <c r="A3156" s="180">
        <f t="shared" si="49"/>
        <v>8401005</v>
      </c>
      <c r="B3156" s="188" t="s">
        <v>4349</v>
      </c>
      <c r="C3156" s="188" t="s">
        <v>4350</v>
      </c>
      <c r="D3156" t="s">
        <v>13412</v>
      </c>
    </row>
    <row r="3157" spans="1:4" x14ac:dyDescent="0.25">
      <c r="A3157" s="180">
        <f t="shared" si="49"/>
        <v>8401006</v>
      </c>
      <c r="B3157" s="188" t="s">
        <v>4351</v>
      </c>
      <c r="C3157" s="188" t="s">
        <v>4352</v>
      </c>
      <c r="D3157" t="s">
        <v>13412</v>
      </c>
    </row>
    <row r="3158" spans="1:4" x14ac:dyDescent="0.25">
      <c r="A3158" s="180">
        <f t="shared" si="49"/>
        <v>8401007</v>
      </c>
      <c r="B3158" s="188" t="s">
        <v>4353</v>
      </c>
      <c r="C3158" s="188" t="s">
        <v>4354</v>
      </c>
    </row>
    <row r="3159" spans="1:4" x14ac:dyDescent="0.25">
      <c r="A3159" s="180">
        <f t="shared" si="49"/>
        <v>8401008</v>
      </c>
      <c r="B3159" s="188" t="s">
        <v>4355</v>
      </c>
      <c r="C3159" s="188" t="s">
        <v>4356</v>
      </c>
    </row>
    <row r="3160" spans="1:4" x14ac:dyDescent="0.25">
      <c r="A3160" s="180">
        <f t="shared" si="49"/>
        <v>8401009</v>
      </c>
      <c r="B3160" s="188" t="s">
        <v>4357</v>
      </c>
      <c r="C3160" s="188" t="s">
        <v>4358</v>
      </c>
      <c r="D3160" t="s">
        <v>13412</v>
      </c>
    </row>
    <row r="3161" spans="1:4" x14ac:dyDescent="0.25">
      <c r="A3161" s="180">
        <f t="shared" si="49"/>
        <v>8401010</v>
      </c>
      <c r="B3161" s="188" t="s">
        <v>4359</v>
      </c>
      <c r="C3161" s="188" t="s">
        <v>4360</v>
      </c>
      <c r="D3161" t="s">
        <v>13412</v>
      </c>
    </row>
    <row r="3162" spans="1:4" x14ac:dyDescent="0.25">
      <c r="A3162" s="180">
        <f t="shared" si="49"/>
        <v>8401011</v>
      </c>
      <c r="B3162" s="188" t="s">
        <v>4361</v>
      </c>
      <c r="C3162" s="188" t="s">
        <v>4362</v>
      </c>
      <c r="D3162" t="s">
        <v>13412</v>
      </c>
    </row>
    <row r="3163" spans="1:4" x14ac:dyDescent="0.25">
      <c r="A3163" s="180">
        <f t="shared" si="49"/>
        <v>8401012</v>
      </c>
      <c r="B3163" s="188" t="s">
        <v>4363</v>
      </c>
      <c r="C3163" s="188" t="s">
        <v>4364</v>
      </c>
      <c r="D3163" t="s">
        <v>13412</v>
      </c>
    </row>
    <row r="3164" spans="1:4" x14ac:dyDescent="0.25">
      <c r="A3164" s="180">
        <f t="shared" si="49"/>
        <v>8401013</v>
      </c>
      <c r="B3164" s="188" t="s">
        <v>6991</v>
      </c>
      <c r="C3164" s="188" t="s">
        <v>6992</v>
      </c>
      <c r="D3164" t="s">
        <v>13412</v>
      </c>
    </row>
    <row r="3165" spans="1:4" x14ac:dyDescent="0.25">
      <c r="A3165" s="180">
        <f t="shared" si="49"/>
        <v>8401014</v>
      </c>
      <c r="B3165" s="188" t="s">
        <v>13528</v>
      </c>
      <c r="C3165" s="188" t="s">
        <v>13529</v>
      </c>
      <c r="D3165" t="s">
        <v>13412</v>
      </c>
    </row>
    <row r="3166" spans="1:4" x14ac:dyDescent="0.25">
      <c r="A3166" s="180">
        <f t="shared" si="49"/>
        <v>8401133</v>
      </c>
      <c r="B3166" s="188" t="s">
        <v>12894</v>
      </c>
      <c r="C3166" s="188" t="s">
        <v>12895</v>
      </c>
      <c r="D3166" t="s">
        <v>13411</v>
      </c>
    </row>
    <row r="3167" spans="1:4" x14ac:dyDescent="0.25">
      <c r="A3167" s="180">
        <f t="shared" si="49"/>
        <v>8401134</v>
      </c>
      <c r="B3167" s="188" t="s">
        <v>12896</v>
      </c>
      <c r="C3167" s="188" t="s">
        <v>12897</v>
      </c>
    </row>
    <row r="3168" spans="1:4" x14ac:dyDescent="0.25">
      <c r="A3168" s="180">
        <f t="shared" si="49"/>
        <v>8401232</v>
      </c>
      <c r="B3168" s="188" t="s">
        <v>4365</v>
      </c>
      <c r="C3168" s="188" t="s">
        <v>4366</v>
      </c>
      <c r="D3168" t="s">
        <v>13412</v>
      </c>
    </row>
    <row r="3169" spans="1:4" x14ac:dyDescent="0.25">
      <c r="A3169" s="180">
        <f t="shared" si="49"/>
        <v>8500001</v>
      </c>
      <c r="B3169" s="188" t="s">
        <v>4367</v>
      </c>
      <c r="C3169" s="188" t="s">
        <v>4368</v>
      </c>
      <c r="D3169" t="s">
        <v>13412</v>
      </c>
    </row>
    <row r="3170" spans="1:4" x14ac:dyDescent="0.25">
      <c r="A3170" s="180">
        <f t="shared" si="49"/>
        <v>8500002</v>
      </c>
      <c r="B3170" s="188" t="s">
        <v>4369</v>
      </c>
      <c r="C3170" s="188" t="s">
        <v>4370</v>
      </c>
    </row>
    <row r="3171" spans="1:4" x14ac:dyDescent="0.25">
      <c r="A3171" s="180">
        <f t="shared" si="49"/>
        <v>8500003</v>
      </c>
      <c r="B3171" s="188" t="s">
        <v>4371</v>
      </c>
      <c r="C3171" s="188" t="s">
        <v>4372</v>
      </c>
      <c r="D3171" t="s">
        <v>13412</v>
      </c>
    </row>
    <row r="3172" spans="1:4" x14ac:dyDescent="0.25">
      <c r="A3172" s="180">
        <f t="shared" si="49"/>
        <v>8500300</v>
      </c>
      <c r="B3172" s="188" t="s">
        <v>4373</v>
      </c>
      <c r="C3172" s="188" t="s">
        <v>4374</v>
      </c>
    </row>
    <row r="3173" spans="1:4" x14ac:dyDescent="0.25">
      <c r="A3173" s="180">
        <f t="shared" si="49"/>
        <v>8500500</v>
      </c>
      <c r="B3173" s="188" t="s">
        <v>4375</v>
      </c>
      <c r="C3173" s="188" t="s">
        <v>4376</v>
      </c>
      <c r="D3173" t="s">
        <v>13412</v>
      </c>
    </row>
    <row r="3174" spans="1:4" x14ac:dyDescent="0.25">
      <c r="A3174" s="180">
        <f t="shared" si="49"/>
        <v>8501001</v>
      </c>
      <c r="B3174" s="188" t="s">
        <v>4377</v>
      </c>
      <c r="C3174" s="188" t="s">
        <v>4378</v>
      </c>
    </row>
    <row r="3175" spans="1:4" x14ac:dyDescent="0.25">
      <c r="A3175" s="180">
        <f t="shared" si="49"/>
        <v>8501015</v>
      </c>
      <c r="B3175" s="188" t="s">
        <v>4379</v>
      </c>
      <c r="C3175" s="188" t="s">
        <v>4380</v>
      </c>
      <c r="D3175" t="s">
        <v>13412</v>
      </c>
    </row>
    <row r="3176" spans="1:4" x14ac:dyDescent="0.25">
      <c r="A3176" s="180">
        <f t="shared" si="49"/>
        <v>8501024</v>
      </c>
      <c r="B3176" s="188" t="s">
        <v>4381</v>
      </c>
      <c r="C3176" s="188" t="s">
        <v>6993</v>
      </c>
    </row>
    <row r="3177" spans="1:4" x14ac:dyDescent="0.25">
      <c r="A3177" s="180">
        <f t="shared" si="49"/>
        <v>8501025</v>
      </c>
      <c r="B3177" s="188" t="s">
        <v>4382</v>
      </c>
      <c r="C3177" s="188" t="s">
        <v>4383</v>
      </c>
      <c r="D3177" t="s">
        <v>13412</v>
      </c>
    </row>
    <row r="3178" spans="1:4" x14ac:dyDescent="0.25">
      <c r="A3178" s="180">
        <f t="shared" si="49"/>
        <v>8501026</v>
      </c>
      <c r="B3178" s="188" t="s">
        <v>4384</v>
      </c>
      <c r="C3178" s="188" t="s">
        <v>4385</v>
      </c>
      <c r="D3178" t="s">
        <v>13412</v>
      </c>
    </row>
    <row r="3179" spans="1:4" x14ac:dyDescent="0.25">
      <c r="A3179" s="180">
        <f t="shared" si="49"/>
        <v>8501027</v>
      </c>
      <c r="B3179" s="188" t="s">
        <v>4386</v>
      </c>
      <c r="C3179" s="188" t="s">
        <v>4387</v>
      </c>
      <c r="D3179" t="s">
        <v>13412</v>
      </c>
    </row>
    <row r="3180" spans="1:4" x14ac:dyDescent="0.25">
      <c r="A3180" s="180">
        <f t="shared" si="49"/>
        <v>8501034</v>
      </c>
      <c r="B3180" s="188" t="s">
        <v>4388</v>
      </c>
      <c r="C3180" s="188" t="s">
        <v>4389</v>
      </c>
    </row>
    <row r="3181" spans="1:4" x14ac:dyDescent="0.25">
      <c r="A3181" s="180">
        <f t="shared" si="49"/>
        <v>8501228</v>
      </c>
      <c r="B3181" s="188" t="s">
        <v>4390</v>
      </c>
      <c r="C3181" s="188" t="s">
        <v>4391</v>
      </c>
    </row>
    <row r="3182" spans="1:4" x14ac:dyDescent="0.25">
      <c r="A3182" s="180">
        <f t="shared" si="49"/>
        <v>8501551</v>
      </c>
      <c r="B3182" s="188" t="s">
        <v>4392</v>
      </c>
      <c r="C3182" s="188" t="s">
        <v>4393</v>
      </c>
      <c r="D3182" t="s">
        <v>13412</v>
      </c>
    </row>
    <row r="3183" spans="1:4" x14ac:dyDescent="0.25">
      <c r="A3183" s="180">
        <f t="shared" si="49"/>
        <v>8501594</v>
      </c>
      <c r="B3183" s="188" t="s">
        <v>4394</v>
      </c>
      <c r="C3183" s="188" t="s">
        <v>4395</v>
      </c>
    </row>
    <row r="3184" spans="1:4" x14ac:dyDescent="0.25">
      <c r="A3184" s="180">
        <f t="shared" si="49"/>
        <v>8501602</v>
      </c>
      <c r="B3184" s="188" t="s">
        <v>4396</v>
      </c>
      <c r="C3184" s="188" t="s">
        <v>4397</v>
      </c>
    </row>
    <row r="3185" spans="1:4" x14ac:dyDescent="0.25">
      <c r="A3185" s="180">
        <f t="shared" si="49"/>
        <v>8501621</v>
      </c>
      <c r="B3185" s="188" t="s">
        <v>4398</v>
      </c>
      <c r="C3185" s="188" t="s">
        <v>4399</v>
      </c>
    </row>
    <row r="3186" spans="1:4" x14ac:dyDescent="0.25">
      <c r="A3186" s="180">
        <f t="shared" si="49"/>
        <v>8501654</v>
      </c>
      <c r="B3186" s="188" t="s">
        <v>4400</v>
      </c>
      <c r="C3186" s="188" t="s">
        <v>4401</v>
      </c>
    </row>
    <row r="3187" spans="1:4" x14ac:dyDescent="0.25">
      <c r="A3187" s="180">
        <f t="shared" si="49"/>
        <v>8501655</v>
      </c>
      <c r="B3187" s="188" t="s">
        <v>4402</v>
      </c>
      <c r="C3187" s="188" t="s">
        <v>4403</v>
      </c>
    </row>
    <row r="3188" spans="1:4" x14ac:dyDescent="0.25">
      <c r="A3188" s="180">
        <f t="shared" si="49"/>
        <v>8501662</v>
      </c>
      <c r="B3188" s="188" t="s">
        <v>4404</v>
      </c>
      <c r="C3188" s="188" t="s">
        <v>6994</v>
      </c>
      <c r="D3188" t="s">
        <v>13412</v>
      </c>
    </row>
    <row r="3189" spans="1:4" x14ac:dyDescent="0.25">
      <c r="A3189" s="180">
        <f t="shared" si="49"/>
        <v>8501700</v>
      </c>
      <c r="B3189" s="188" t="s">
        <v>4405</v>
      </c>
      <c r="C3189" s="188" t="s">
        <v>4406</v>
      </c>
      <c r="D3189" t="s">
        <v>13411</v>
      </c>
    </row>
    <row r="3190" spans="1:4" x14ac:dyDescent="0.25">
      <c r="A3190" s="180">
        <f t="shared" si="49"/>
        <v>8503000</v>
      </c>
      <c r="B3190" s="188" t="s">
        <v>4407</v>
      </c>
      <c r="C3190" s="188" t="s">
        <v>4408</v>
      </c>
      <c r="D3190" t="s">
        <v>13412</v>
      </c>
    </row>
    <row r="3191" spans="1:4" x14ac:dyDescent="0.25">
      <c r="A3191" s="180">
        <f t="shared" si="49"/>
        <v>8503003</v>
      </c>
      <c r="B3191" s="188" t="s">
        <v>4409</v>
      </c>
      <c r="C3191" s="188" t="s">
        <v>4410</v>
      </c>
      <c r="D3191" t="s">
        <v>13412</v>
      </c>
    </row>
    <row r="3192" spans="1:4" x14ac:dyDescent="0.25">
      <c r="A3192" s="180">
        <f t="shared" si="49"/>
        <v>8503011</v>
      </c>
      <c r="B3192" s="188" t="s">
        <v>4411</v>
      </c>
      <c r="C3192" s="188" t="s">
        <v>4412</v>
      </c>
    </row>
    <row r="3193" spans="1:4" x14ac:dyDescent="0.25">
      <c r="A3193" s="180">
        <f t="shared" si="49"/>
        <v>8503012</v>
      </c>
      <c r="B3193" s="188" t="s">
        <v>4413</v>
      </c>
      <c r="C3193" s="188" t="s">
        <v>4414</v>
      </c>
      <c r="D3193" t="s">
        <v>13412</v>
      </c>
    </row>
    <row r="3194" spans="1:4" x14ac:dyDescent="0.25">
      <c r="A3194" s="180">
        <f t="shared" si="49"/>
        <v>8503020</v>
      </c>
      <c r="B3194" s="188" t="s">
        <v>4415</v>
      </c>
      <c r="C3194" s="188" t="s">
        <v>4416</v>
      </c>
      <c r="D3194" t="s">
        <v>13412</v>
      </c>
    </row>
    <row r="3195" spans="1:4" x14ac:dyDescent="0.25">
      <c r="A3195" s="180">
        <f t="shared" si="49"/>
        <v>8503026</v>
      </c>
      <c r="B3195" s="188" t="s">
        <v>4417</v>
      </c>
      <c r="C3195" s="188" t="s">
        <v>4418</v>
      </c>
    </row>
    <row r="3196" spans="1:4" x14ac:dyDescent="0.25">
      <c r="A3196" s="180">
        <f t="shared" si="49"/>
        <v>8503045</v>
      </c>
      <c r="B3196" s="188" t="s">
        <v>4419</v>
      </c>
      <c r="C3196" s="188" t="s">
        <v>4420</v>
      </c>
      <c r="D3196" t="s">
        <v>13412</v>
      </c>
    </row>
    <row r="3197" spans="1:4" x14ac:dyDescent="0.25">
      <c r="A3197" s="180">
        <f t="shared" si="49"/>
        <v>8503046</v>
      </c>
      <c r="B3197" s="188" t="s">
        <v>4421</v>
      </c>
      <c r="C3197" s="188" t="s">
        <v>4422</v>
      </c>
    </row>
    <row r="3198" spans="1:4" x14ac:dyDescent="0.25">
      <c r="A3198" s="180">
        <f t="shared" si="49"/>
        <v>8503060</v>
      </c>
      <c r="B3198" s="188" t="s">
        <v>4423</v>
      </c>
      <c r="C3198" s="188" t="s">
        <v>4424</v>
      </c>
    </row>
    <row r="3199" spans="1:4" x14ac:dyDescent="0.25">
      <c r="A3199" s="180">
        <f t="shared" ref="A3199:A3262" si="50">IFERROR(B3199*1,"")</f>
        <v>8503061</v>
      </c>
      <c r="B3199" s="188" t="s">
        <v>4425</v>
      </c>
      <c r="C3199" s="188" t="s">
        <v>4426</v>
      </c>
      <c r="D3199" t="s">
        <v>13412</v>
      </c>
    </row>
    <row r="3200" spans="1:4" x14ac:dyDescent="0.25">
      <c r="A3200" s="180">
        <f t="shared" si="50"/>
        <v>850306101</v>
      </c>
      <c r="B3200" s="188" t="s">
        <v>4427</v>
      </c>
      <c r="C3200" s="188" t="s">
        <v>4428</v>
      </c>
    </row>
    <row r="3201" spans="1:4" x14ac:dyDescent="0.25">
      <c r="A3201" s="180">
        <f t="shared" si="50"/>
        <v>8503063</v>
      </c>
      <c r="B3201" s="188" t="s">
        <v>4429</v>
      </c>
      <c r="C3201" s="188" t="s">
        <v>4430</v>
      </c>
      <c r="D3201" t="s">
        <v>13412</v>
      </c>
    </row>
    <row r="3202" spans="1:4" x14ac:dyDescent="0.25">
      <c r="A3202" s="180">
        <f t="shared" si="50"/>
        <v>8503090</v>
      </c>
      <c r="B3202" s="188" t="s">
        <v>4431</v>
      </c>
      <c r="C3202" s="188" t="s">
        <v>4432</v>
      </c>
      <c r="D3202" t="s">
        <v>13411</v>
      </c>
    </row>
    <row r="3203" spans="1:4" x14ac:dyDescent="0.25">
      <c r="A3203" s="180">
        <f t="shared" si="50"/>
        <v>8503091</v>
      </c>
      <c r="B3203" s="188" t="s">
        <v>4433</v>
      </c>
      <c r="C3203" s="188" t="s">
        <v>4434</v>
      </c>
    </row>
    <row r="3204" spans="1:4" x14ac:dyDescent="0.25">
      <c r="A3204" s="180" t="str">
        <f t="shared" si="50"/>
        <v/>
      </c>
      <c r="B3204" s="188" t="s">
        <v>13128</v>
      </c>
      <c r="C3204" s="188"/>
    </row>
    <row r="3205" spans="1:4" x14ac:dyDescent="0.25">
      <c r="A3205" s="180">
        <f t="shared" si="50"/>
        <v>8503092</v>
      </c>
      <c r="B3205" s="188" t="s">
        <v>12695</v>
      </c>
      <c r="C3205" s="188" t="s">
        <v>12696</v>
      </c>
    </row>
    <row r="3206" spans="1:4" x14ac:dyDescent="0.25">
      <c r="A3206" s="180">
        <f t="shared" si="50"/>
        <v>8503097</v>
      </c>
      <c r="B3206" s="188" t="s">
        <v>13931</v>
      </c>
      <c r="C3206" s="188" t="s">
        <v>13932</v>
      </c>
      <c r="D3206" t="s">
        <v>13411</v>
      </c>
    </row>
    <row r="3207" spans="1:4" x14ac:dyDescent="0.25">
      <c r="A3207" s="180">
        <f t="shared" si="50"/>
        <v>8503098</v>
      </c>
      <c r="B3207" s="188" t="s">
        <v>4435</v>
      </c>
      <c r="C3207" s="188" t="s">
        <v>4436</v>
      </c>
      <c r="D3207" t="s">
        <v>13411</v>
      </c>
    </row>
    <row r="3208" spans="1:4" x14ac:dyDescent="0.25">
      <c r="A3208" s="180">
        <f t="shared" si="50"/>
        <v>8503100</v>
      </c>
      <c r="B3208" s="188" t="s">
        <v>4437</v>
      </c>
      <c r="C3208" s="188" t="s">
        <v>4438</v>
      </c>
      <c r="D3208" t="s">
        <v>13412</v>
      </c>
    </row>
    <row r="3209" spans="1:4" x14ac:dyDescent="0.25">
      <c r="A3209" s="180">
        <f t="shared" si="50"/>
        <v>8503111</v>
      </c>
      <c r="B3209" s="188" t="s">
        <v>4439</v>
      </c>
      <c r="C3209" s="188" t="s">
        <v>4440</v>
      </c>
      <c r="D3209" t="s">
        <v>13412</v>
      </c>
    </row>
    <row r="3210" spans="1:4" x14ac:dyDescent="0.25">
      <c r="A3210" s="180">
        <f t="shared" si="50"/>
        <v>8503125</v>
      </c>
      <c r="B3210" s="188" t="s">
        <v>4441</v>
      </c>
      <c r="C3210" s="188" t="s">
        <v>13337</v>
      </c>
      <c r="D3210" t="s">
        <v>13412</v>
      </c>
    </row>
    <row r="3211" spans="1:4" x14ac:dyDescent="0.25">
      <c r="A3211" s="180">
        <f t="shared" si="50"/>
        <v>8503130</v>
      </c>
      <c r="B3211" s="188" t="s">
        <v>4442</v>
      </c>
      <c r="C3211" s="188" t="s">
        <v>4443</v>
      </c>
    </row>
    <row r="3212" spans="1:4" x14ac:dyDescent="0.25">
      <c r="A3212" s="180">
        <f t="shared" si="50"/>
        <v>8503159</v>
      </c>
      <c r="B3212" s="188" t="s">
        <v>4444</v>
      </c>
      <c r="C3212" s="188" t="s">
        <v>4445</v>
      </c>
    </row>
    <row r="3213" spans="1:4" x14ac:dyDescent="0.25">
      <c r="A3213" s="180">
        <f t="shared" si="50"/>
        <v>8503168</v>
      </c>
      <c r="B3213" s="188" t="s">
        <v>4446</v>
      </c>
      <c r="C3213" s="188" t="s">
        <v>6995</v>
      </c>
    </row>
    <row r="3214" spans="1:4" x14ac:dyDescent="0.25">
      <c r="A3214" s="180">
        <f t="shared" si="50"/>
        <v>8503201</v>
      </c>
      <c r="B3214" s="188" t="s">
        <v>4447</v>
      </c>
      <c r="C3214" s="188" t="s">
        <v>4448</v>
      </c>
      <c r="D3214" t="s">
        <v>13412</v>
      </c>
    </row>
    <row r="3215" spans="1:4" x14ac:dyDescent="0.25">
      <c r="A3215" s="180">
        <f t="shared" si="50"/>
        <v>8503202</v>
      </c>
      <c r="B3215" s="188" t="s">
        <v>4449</v>
      </c>
      <c r="C3215" s="188" t="s">
        <v>4450</v>
      </c>
      <c r="D3215" t="s">
        <v>13412</v>
      </c>
    </row>
    <row r="3216" spans="1:4" x14ac:dyDescent="0.25">
      <c r="A3216" s="180">
        <f t="shared" si="50"/>
        <v>8503209</v>
      </c>
      <c r="B3216" s="188" t="s">
        <v>4451</v>
      </c>
      <c r="C3216" s="188" t="s">
        <v>4452</v>
      </c>
      <c r="D3216" t="s">
        <v>13412</v>
      </c>
    </row>
    <row r="3217" spans="1:4" x14ac:dyDescent="0.25">
      <c r="A3217" s="180">
        <f t="shared" si="50"/>
        <v>8503224</v>
      </c>
      <c r="B3217" s="188" t="s">
        <v>4453</v>
      </c>
      <c r="C3217" s="188" t="s">
        <v>6996</v>
      </c>
      <c r="D3217" t="s">
        <v>13412</v>
      </c>
    </row>
    <row r="3218" spans="1:4" x14ac:dyDescent="0.25">
      <c r="A3218" s="180">
        <f t="shared" si="50"/>
        <v>8503225</v>
      </c>
      <c r="B3218" s="188" t="s">
        <v>12898</v>
      </c>
      <c r="C3218" s="188" t="s">
        <v>12899</v>
      </c>
      <c r="D3218" t="s">
        <v>13412</v>
      </c>
    </row>
    <row r="3219" spans="1:4" x14ac:dyDescent="0.25">
      <c r="A3219" s="180">
        <f t="shared" si="50"/>
        <v>8503230</v>
      </c>
      <c r="B3219" s="188" t="s">
        <v>4454</v>
      </c>
      <c r="C3219" s="188" t="s">
        <v>4455</v>
      </c>
    </row>
    <row r="3220" spans="1:4" x14ac:dyDescent="0.25">
      <c r="A3220" s="180">
        <f t="shared" si="50"/>
        <v>8503234</v>
      </c>
      <c r="B3220" s="188" t="s">
        <v>4456</v>
      </c>
      <c r="C3220" s="188" t="s">
        <v>4457</v>
      </c>
      <c r="D3220" t="s">
        <v>13411</v>
      </c>
    </row>
    <row r="3221" spans="1:4" x14ac:dyDescent="0.25">
      <c r="A3221" s="180">
        <f t="shared" si="50"/>
        <v>8503235</v>
      </c>
      <c r="B3221" s="188" t="s">
        <v>4458</v>
      </c>
      <c r="C3221" s="188" t="s">
        <v>4459</v>
      </c>
    </row>
    <row r="3222" spans="1:4" x14ac:dyDescent="0.25">
      <c r="A3222" s="180">
        <f t="shared" si="50"/>
        <v>8503236</v>
      </c>
      <c r="B3222" s="188" t="s">
        <v>4460</v>
      </c>
      <c r="C3222" s="188" t="s">
        <v>4461</v>
      </c>
    </row>
    <row r="3223" spans="1:4" x14ac:dyDescent="0.25">
      <c r="A3223" s="180">
        <f t="shared" si="50"/>
        <v>8503238</v>
      </c>
      <c r="B3223" s="188" t="s">
        <v>4462</v>
      </c>
      <c r="C3223" s="188" t="s">
        <v>4463</v>
      </c>
    </row>
    <row r="3224" spans="1:4" x14ac:dyDescent="0.25">
      <c r="A3224" s="180">
        <f t="shared" si="50"/>
        <v>8503250</v>
      </c>
      <c r="B3224" s="188" t="s">
        <v>4464</v>
      </c>
      <c r="C3224" s="188" t="s">
        <v>4465</v>
      </c>
    </row>
    <row r="3225" spans="1:4" x14ac:dyDescent="0.25">
      <c r="A3225" s="180">
        <f t="shared" si="50"/>
        <v>8503258</v>
      </c>
      <c r="B3225" s="188" t="s">
        <v>4466</v>
      </c>
      <c r="C3225" s="188" t="s">
        <v>4467</v>
      </c>
      <c r="D3225" t="s">
        <v>13412</v>
      </c>
    </row>
    <row r="3226" spans="1:4" x14ac:dyDescent="0.25">
      <c r="A3226" s="180">
        <f t="shared" si="50"/>
        <v>8503302</v>
      </c>
      <c r="B3226" s="188" t="s">
        <v>4468</v>
      </c>
      <c r="C3226" s="188" t="s">
        <v>4469</v>
      </c>
    </row>
    <row r="3227" spans="1:4" x14ac:dyDescent="0.25">
      <c r="A3227" s="180">
        <f t="shared" si="50"/>
        <v>8503303</v>
      </c>
      <c r="B3227" s="188" t="s">
        <v>4470</v>
      </c>
      <c r="C3227" s="188" t="s">
        <v>4471</v>
      </c>
      <c r="D3227" t="s">
        <v>13412</v>
      </c>
    </row>
    <row r="3228" spans="1:4" x14ac:dyDescent="0.25">
      <c r="A3228" s="180">
        <f t="shared" si="50"/>
        <v>8503304</v>
      </c>
      <c r="B3228" s="188" t="s">
        <v>4472</v>
      </c>
      <c r="C3228" s="188" t="s">
        <v>4473</v>
      </c>
    </row>
    <row r="3229" spans="1:4" x14ac:dyDescent="0.25">
      <c r="A3229" s="180">
        <f t="shared" si="50"/>
        <v>8503305</v>
      </c>
      <c r="B3229" s="188" t="s">
        <v>4474</v>
      </c>
      <c r="C3229" s="188" t="s">
        <v>4475</v>
      </c>
      <c r="D3229" t="s">
        <v>13412</v>
      </c>
    </row>
    <row r="3230" spans="1:4" x14ac:dyDescent="0.25">
      <c r="A3230" s="180">
        <f t="shared" si="50"/>
        <v>8503310</v>
      </c>
      <c r="B3230" s="188" t="s">
        <v>4476</v>
      </c>
      <c r="C3230" s="188" t="s">
        <v>4477</v>
      </c>
    </row>
    <row r="3231" spans="1:4" x14ac:dyDescent="0.25">
      <c r="A3231" s="180">
        <f t="shared" si="50"/>
        <v>8503320</v>
      </c>
      <c r="B3231" s="188" t="s">
        <v>4478</v>
      </c>
      <c r="C3231" s="189" t="s">
        <v>4479</v>
      </c>
      <c r="D3231" t="s">
        <v>13412</v>
      </c>
    </row>
    <row r="3232" spans="1:4" x14ac:dyDescent="0.25">
      <c r="A3232" s="180">
        <f t="shared" si="50"/>
        <v>8503332</v>
      </c>
      <c r="B3232" s="188" t="s">
        <v>12697</v>
      </c>
      <c r="C3232" s="188" t="s">
        <v>12698</v>
      </c>
      <c r="D3232" t="s">
        <v>13412</v>
      </c>
    </row>
    <row r="3233" spans="1:4" x14ac:dyDescent="0.25">
      <c r="A3233" s="180">
        <f t="shared" si="50"/>
        <v>8503401</v>
      </c>
      <c r="B3233" s="188" t="s">
        <v>4480</v>
      </c>
      <c r="C3233" s="188" t="s">
        <v>4481</v>
      </c>
    </row>
    <row r="3234" spans="1:4" x14ac:dyDescent="0.25">
      <c r="A3234" s="180">
        <f t="shared" si="50"/>
        <v>8503402</v>
      </c>
      <c r="B3234" s="188" t="s">
        <v>4482</v>
      </c>
      <c r="C3234" s="188" t="s">
        <v>4483</v>
      </c>
      <c r="D3234" t="s">
        <v>13412</v>
      </c>
    </row>
    <row r="3235" spans="1:4" x14ac:dyDescent="0.25">
      <c r="A3235" s="180">
        <f t="shared" si="50"/>
        <v>8503424</v>
      </c>
      <c r="B3235" s="188" t="s">
        <v>4484</v>
      </c>
      <c r="C3235" s="188" t="s">
        <v>4485</v>
      </c>
      <c r="D3235" t="s">
        <v>13412</v>
      </c>
    </row>
    <row r="3236" spans="1:4" x14ac:dyDescent="0.25">
      <c r="A3236" s="180">
        <f t="shared" si="50"/>
        <v>8503425</v>
      </c>
      <c r="B3236" s="188" t="s">
        <v>4486</v>
      </c>
      <c r="C3236" s="188" t="s">
        <v>4487</v>
      </c>
      <c r="D3236" t="s">
        <v>13411</v>
      </c>
    </row>
    <row r="3237" spans="1:4" x14ac:dyDescent="0.25">
      <c r="A3237" s="180">
        <f t="shared" si="50"/>
        <v>8503426</v>
      </c>
      <c r="B3237" s="188" t="s">
        <v>4488</v>
      </c>
      <c r="C3237" s="188" t="s">
        <v>4489</v>
      </c>
    </row>
    <row r="3238" spans="1:4" x14ac:dyDescent="0.25">
      <c r="A3238" s="180">
        <f t="shared" si="50"/>
        <v>8503427</v>
      </c>
      <c r="B3238" s="188" t="s">
        <v>4490</v>
      </c>
      <c r="C3238" s="188" t="s">
        <v>4491</v>
      </c>
    </row>
    <row r="3239" spans="1:4" x14ac:dyDescent="0.25">
      <c r="A3239" s="180">
        <f t="shared" si="50"/>
        <v>8503428</v>
      </c>
      <c r="B3239" s="188" t="s">
        <v>4492</v>
      </c>
      <c r="C3239" s="188" t="s">
        <v>6997</v>
      </c>
      <c r="D3239" t="s">
        <v>13412</v>
      </c>
    </row>
    <row r="3240" spans="1:4" x14ac:dyDescent="0.25">
      <c r="A3240" s="180">
        <f t="shared" si="50"/>
        <v>8503429</v>
      </c>
      <c r="B3240" s="188" t="s">
        <v>4493</v>
      </c>
      <c r="C3240" s="188" t="s">
        <v>4494</v>
      </c>
      <c r="D3240" t="s">
        <v>13412</v>
      </c>
    </row>
    <row r="3241" spans="1:4" x14ac:dyDescent="0.25">
      <c r="A3241" s="180">
        <f t="shared" si="50"/>
        <v>8503451</v>
      </c>
      <c r="B3241" s="188" t="s">
        <v>4495</v>
      </c>
      <c r="C3241" s="188" t="s">
        <v>4496</v>
      </c>
      <c r="D3241" t="s">
        <v>13412</v>
      </c>
    </row>
    <row r="3242" spans="1:4" x14ac:dyDescent="0.25">
      <c r="A3242" s="180">
        <f t="shared" si="50"/>
        <v>8503456</v>
      </c>
      <c r="B3242" s="188" t="s">
        <v>4497</v>
      </c>
      <c r="C3242" s="188" t="s">
        <v>4422</v>
      </c>
    </row>
    <row r="3243" spans="1:4" x14ac:dyDescent="0.25">
      <c r="A3243" s="180">
        <f t="shared" si="50"/>
        <v>8503457</v>
      </c>
      <c r="B3243" s="188" t="s">
        <v>4498</v>
      </c>
      <c r="C3243" s="188" t="s">
        <v>4499</v>
      </c>
      <c r="D3243" t="s">
        <v>13412</v>
      </c>
    </row>
    <row r="3244" spans="1:4" x14ac:dyDescent="0.25">
      <c r="A3244" s="180">
        <f t="shared" si="50"/>
        <v>8503458</v>
      </c>
      <c r="B3244" s="188" t="s">
        <v>4500</v>
      </c>
      <c r="C3244" s="188" t="s">
        <v>4501</v>
      </c>
    </row>
    <row r="3245" spans="1:4" x14ac:dyDescent="0.25">
      <c r="A3245" s="180">
        <f t="shared" si="50"/>
        <v>8503500</v>
      </c>
      <c r="B3245" s="188" t="s">
        <v>4502</v>
      </c>
      <c r="C3245" s="188" t="s">
        <v>4503</v>
      </c>
      <c r="D3245" t="s">
        <v>13412</v>
      </c>
    </row>
    <row r="3246" spans="1:4" x14ac:dyDescent="0.25">
      <c r="A3246" s="180">
        <f t="shared" si="50"/>
        <v>8503501</v>
      </c>
      <c r="B3246" s="188" t="s">
        <v>13970</v>
      </c>
      <c r="C3246" s="188" t="s">
        <v>13971</v>
      </c>
      <c r="D3246" t="s">
        <v>13412</v>
      </c>
    </row>
    <row r="3247" spans="1:4" x14ac:dyDescent="0.25">
      <c r="A3247" s="180">
        <f t="shared" si="50"/>
        <v>8503505</v>
      </c>
      <c r="B3247" s="188" t="s">
        <v>4504</v>
      </c>
      <c r="C3247" s="188" t="s">
        <v>4505</v>
      </c>
      <c r="D3247" t="s">
        <v>13412</v>
      </c>
    </row>
    <row r="3248" spans="1:4" x14ac:dyDescent="0.25">
      <c r="A3248" s="180">
        <f t="shared" si="50"/>
        <v>8503600</v>
      </c>
      <c r="B3248" s="188" t="s">
        <v>4506</v>
      </c>
      <c r="C3248" s="188" t="s">
        <v>4507</v>
      </c>
      <c r="D3248" t="s">
        <v>13412</v>
      </c>
    </row>
    <row r="3249" spans="1:4" x14ac:dyDescent="0.25">
      <c r="A3249" s="180">
        <f t="shared" si="50"/>
        <v>8503637</v>
      </c>
      <c r="B3249" s="188" t="s">
        <v>14529</v>
      </c>
      <c r="C3249" s="188" t="s">
        <v>14530</v>
      </c>
      <c r="D3249" t="s">
        <v>13412</v>
      </c>
    </row>
    <row r="3250" spans="1:4" x14ac:dyDescent="0.25">
      <c r="A3250" s="180">
        <f t="shared" si="50"/>
        <v>8503638</v>
      </c>
      <c r="B3250" s="188" t="s">
        <v>4508</v>
      </c>
      <c r="C3250" s="188" t="s">
        <v>4509</v>
      </c>
      <c r="D3250" t="s">
        <v>13412</v>
      </c>
    </row>
    <row r="3251" spans="1:4" x14ac:dyDescent="0.25">
      <c r="A3251" s="180">
        <f t="shared" si="50"/>
        <v>8503639</v>
      </c>
      <c r="B3251" s="188" t="s">
        <v>4510</v>
      </c>
      <c r="C3251" s="188" t="s">
        <v>4511</v>
      </c>
      <c r="D3251" t="s">
        <v>13412</v>
      </c>
    </row>
    <row r="3252" spans="1:4" x14ac:dyDescent="0.25">
      <c r="A3252" s="180">
        <f t="shared" si="50"/>
        <v>8503712</v>
      </c>
      <c r="B3252" s="188" t="s">
        <v>4512</v>
      </c>
      <c r="C3252" s="188" t="s">
        <v>4513</v>
      </c>
    </row>
    <row r="3253" spans="1:4" x14ac:dyDescent="0.25">
      <c r="A3253" s="180">
        <f t="shared" si="50"/>
        <v>8503716</v>
      </c>
      <c r="B3253" s="188" t="s">
        <v>4514</v>
      </c>
      <c r="C3253" s="188" t="s">
        <v>4515</v>
      </c>
      <c r="D3253" t="s">
        <v>13412</v>
      </c>
    </row>
    <row r="3254" spans="1:4" x14ac:dyDescent="0.25">
      <c r="A3254" s="180">
        <f t="shared" si="50"/>
        <v>8503750</v>
      </c>
      <c r="B3254" s="188" t="s">
        <v>4516</v>
      </c>
      <c r="C3254" s="188" t="s">
        <v>4517</v>
      </c>
      <c r="D3254" t="s">
        <v>13412</v>
      </c>
    </row>
    <row r="3255" spans="1:4" x14ac:dyDescent="0.25">
      <c r="A3255" s="180">
        <f t="shared" si="50"/>
        <v>8503760</v>
      </c>
      <c r="B3255" s="188" t="s">
        <v>4518</v>
      </c>
      <c r="C3255" s="188" t="s">
        <v>4519</v>
      </c>
      <c r="D3255" t="s">
        <v>13412</v>
      </c>
    </row>
    <row r="3256" spans="1:4" x14ac:dyDescent="0.25">
      <c r="A3256" s="180">
        <f t="shared" si="50"/>
        <v>8503800</v>
      </c>
      <c r="B3256" s="188" t="s">
        <v>4520</v>
      </c>
      <c r="C3256" s="188" t="s">
        <v>4521</v>
      </c>
    </row>
    <row r="3257" spans="1:4" x14ac:dyDescent="0.25">
      <c r="A3257" s="180">
        <f t="shared" si="50"/>
        <v>8503801</v>
      </c>
      <c r="B3257" s="188" t="s">
        <v>4522</v>
      </c>
      <c r="C3257" s="188" t="s">
        <v>4523</v>
      </c>
      <c r="D3257" t="s">
        <v>13412</v>
      </c>
    </row>
    <row r="3258" spans="1:4" x14ac:dyDescent="0.25">
      <c r="A3258" s="180">
        <f t="shared" si="50"/>
        <v>8503802</v>
      </c>
      <c r="B3258" s="188" t="s">
        <v>4524</v>
      </c>
      <c r="C3258" s="188" t="s">
        <v>4525</v>
      </c>
      <c r="D3258" t="s">
        <v>13412</v>
      </c>
    </row>
    <row r="3259" spans="1:4" x14ac:dyDescent="0.25">
      <c r="A3259" s="180">
        <f t="shared" si="50"/>
        <v>8503803</v>
      </c>
      <c r="B3259" s="188" t="s">
        <v>4526</v>
      </c>
      <c r="C3259" s="188" t="s">
        <v>4527</v>
      </c>
      <c r="D3259" t="s">
        <v>13412</v>
      </c>
    </row>
    <row r="3260" spans="1:4" x14ac:dyDescent="0.25">
      <c r="A3260" s="180">
        <f t="shared" si="50"/>
        <v>8503804</v>
      </c>
      <c r="B3260" s="188" t="s">
        <v>4528</v>
      </c>
      <c r="C3260" s="188" t="s">
        <v>4529</v>
      </c>
      <c r="D3260" t="s">
        <v>13412</v>
      </c>
    </row>
    <row r="3261" spans="1:4" x14ac:dyDescent="0.25">
      <c r="A3261" s="180">
        <f t="shared" si="50"/>
        <v>8503808</v>
      </c>
      <c r="B3261" s="188" t="s">
        <v>4530</v>
      </c>
      <c r="C3261" s="188" t="s">
        <v>4531</v>
      </c>
    </row>
    <row r="3262" spans="1:4" x14ac:dyDescent="0.25">
      <c r="A3262" s="180">
        <f t="shared" si="50"/>
        <v>8503820</v>
      </c>
      <c r="B3262" s="188" t="s">
        <v>4532</v>
      </c>
      <c r="C3262" s="188" t="s">
        <v>4533</v>
      </c>
      <c r="D3262" t="s">
        <v>13412</v>
      </c>
    </row>
    <row r="3263" spans="1:4" x14ac:dyDescent="0.25">
      <c r="A3263" s="180">
        <f t="shared" ref="A3263:A3326" si="51">IFERROR(B3263*1,"")</f>
        <v>8503821</v>
      </c>
      <c r="B3263" s="188" t="s">
        <v>4534</v>
      </c>
      <c r="C3263" s="188" t="s">
        <v>4535</v>
      </c>
    </row>
    <row r="3264" spans="1:4" x14ac:dyDescent="0.25">
      <c r="A3264" s="180">
        <f t="shared" si="51"/>
        <v>8503825</v>
      </c>
      <c r="B3264" s="188" t="s">
        <v>4536</v>
      </c>
      <c r="C3264" s="188" t="s">
        <v>4537</v>
      </c>
    </row>
    <row r="3265" spans="1:4" x14ac:dyDescent="0.25">
      <c r="A3265" s="180">
        <f t="shared" si="51"/>
        <v>8503826</v>
      </c>
      <c r="B3265" s="188" t="s">
        <v>4538</v>
      </c>
      <c r="C3265" s="188" t="s">
        <v>4539</v>
      </c>
    </row>
    <row r="3266" spans="1:4" x14ac:dyDescent="0.25">
      <c r="A3266" s="180">
        <f t="shared" si="51"/>
        <v>8503827</v>
      </c>
      <c r="B3266" s="188" t="s">
        <v>4540</v>
      </c>
      <c r="C3266" s="188" t="s">
        <v>4541</v>
      </c>
    </row>
    <row r="3267" spans="1:4" x14ac:dyDescent="0.25">
      <c r="A3267" s="180">
        <f t="shared" si="51"/>
        <v>8503828</v>
      </c>
      <c r="B3267" s="188" t="s">
        <v>4542</v>
      </c>
      <c r="C3267" s="188" t="s">
        <v>4543</v>
      </c>
    </row>
    <row r="3268" spans="1:4" x14ac:dyDescent="0.25">
      <c r="A3268" s="180">
        <f t="shared" si="51"/>
        <v>8503829</v>
      </c>
      <c r="B3268" s="188" t="s">
        <v>4544</v>
      </c>
      <c r="C3268" s="188" t="s">
        <v>4545</v>
      </c>
    </row>
    <row r="3269" spans="1:4" x14ac:dyDescent="0.25">
      <c r="A3269" s="180">
        <f t="shared" si="51"/>
        <v>8503830</v>
      </c>
      <c r="B3269" s="188" t="s">
        <v>4546</v>
      </c>
      <c r="C3269" s="188" t="s">
        <v>4547</v>
      </c>
      <c r="D3269" t="s">
        <v>13412</v>
      </c>
    </row>
    <row r="3270" spans="1:4" x14ac:dyDescent="0.25">
      <c r="A3270" s="180">
        <f t="shared" si="51"/>
        <v>8503833</v>
      </c>
      <c r="B3270" s="188" t="s">
        <v>4548</v>
      </c>
      <c r="C3270" s="188" t="s">
        <v>4549</v>
      </c>
    </row>
    <row r="3271" spans="1:4" x14ac:dyDescent="0.25">
      <c r="A3271" s="180">
        <f t="shared" si="51"/>
        <v>8503834</v>
      </c>
      <c r="B3271" s="188" t="s">
        <v>4550</v>
      </c>
      <c r="C3271" s="188" t="s">
        <v>4551</v>
      </c>
    </row>
    <row r="3272" spans="1:4" x14ac:dyDescent="0.25">
      <c r="A3272" s="180">
        <f t="shared" si="51"/>
        <v>8503835</v>
      </c>
      <c r="B3272" s="188" t="s">
        <v>4552</v>
      </c>
      <c r="C3272" s="188" t="s">
        <v>4553</v>
      </c>
    </row>
    <row r="3273" spans="1:4" x14ac:dyDescent="0.25">
      <c r="A3273" s="180">
        <f t="shared" si="51"/>
        <v>8503836</v>
      </c>
      <c r="B3273" s="188" t="s">
        <v>4554</v>
      </c>
      <c r="C3273" s="188" t="s">
        <v>4555</v>
      </c>
    </row>
    <row r="3274" spans="1:4" x14ac:dyDescent="0.25">
      <c r="A3274" s="180">
        <f t="shared" si="51"/>
        <v>8503837</v>
      </c>
      <c r="B3274" s="188" t="s">
        <v>4556</v>
      </c>
      <c r="C3274" s="188" t="s">
        <v>4557</v>
      </c>
    </row>
    <row r="3275" spans="1:4" x14ac:dyDescent="0.25">
      <c r="A3275" s="180">
        <f t="shared" si="51"/>
        <v>8503853</v>
      </c>
      <c r="B3275" s="188" t="s">
        <v>4558</v>
      </c>
      <c r="C3275" s="188" t="s">
        <v>4559</v>
      </c>
    </row>
    <row r="3276" spans="1:4" x14ac:dyDescent="0.25">
      <c r="A3276" s="180">
        <f t="shared" si="51"/>
        <v>8503888</v>
      </c>
      <c r="B3276" s="188" t="s">
        <v>4560</v>
      </c>
      <c r="C3276" s="188" t="s">
        <v>4561</v>
      </c>
    </row>
    <row r="3277" spans="1:4" x14ac:dyDescent="0.25">
      <c r="A3277" s="180">
        <f t="shared" si="51"/>
        <v>8503901</v>
      </c>
      <c r="B3277" s="188" t="s">
        <v>4562</v>
      </c>
      <c r="C3277" s="188" t="s">
        <v>4563</v>
      </c>
      <c r="D3277" t="s">
        <v>13412</v>
      </c>
    </row>
    <row r="3278" spans="1:4" x14ac:dyDescent="0.25">
      <c r="A3278" s="180">
        <f t="shared" si="51"/>
        <v>8503983</v>
      </c>
      <c r="B3278" s="188" t="s">
        <v>4564</v>
      </c>
      <c r="C3278" s="188" t="s">
        <v>4565</v>
      </c>
      <c r="D3278" t="s">
        <v>13411</v>
      </c>
    </row>
    <row r="3279" spans="1:4" x14ac:dyDescent="0.25">
      <c r="A3279" s="180">
        <f t="shared" si="51"/>
        <v>8503984</v>
      </c>
      <c r="B3279" s="188" t="s">
        <v>4566</v>
      </c>
      <c r="C3279" s="188" t="s">
        <v>4567</v>
      </c>
      <c r="D3279" t="s">
        <v>13411</v>
      </c>
    </row>
    <row r="3280" spans="1:4" x14ac:dyDescent="0.25">
      <c r="A3280" s="180">
        <f t="shared" si="51"/>
        <v>8503999</v>
      </c>
      <c r="B3280" s="188" t="s">
        <v>4568</v>
      </c>
      <c r="C3280" s="188" t="s">
        <v>4569</v>
      </c>
      <c r="D3280" t="s">
        <v>13412</v>
      </c>
    </row>
    <row r="3281" spans="1:4" x14ac:dyDescent="0.25">
      <c r="A3281" s="180">
        <f t="shared" si="51"/>
        <v>8505000</v>
      </c>
      <c r="B3281" s="188" t="s">
        <v>4570</v>
      </c>
      <c r="C3281" s="188" t="s">
        <v>4571</v>
      </c>
    </row>
    <row r="3282" spans="1:4" x14ac:dyDescent="0.25">
      <c r="A3282" s="180">
        <f t="shared" si="51"/>
        <v>8505001</v>
      </c>
      <c r="B3282" s="188" t="s">
        <v>4572</v>
      </c>
      <c r="C3282" s="188" t="s">
        <v>4573</v>
      </c>
      <c r="D3282" t="s">
        <v>13411</v>
      </c>
    </row>
    <row r="3283" spans="1:4" x14ac:dyDescent="0.25">
      <c r="A3283" s="180">
        <f t="shared" si="51"/>
        <v>8505002</v>
      </c>
      <c r="B3283" s="188" t="s">
        <v>4574</v>
      </c>
      <c r="C3283" s="188" t="s">
        <v>4575</v>
      </c>
    </row>
    <row r="3284" spans="1:4" x14ac:dyDescent="0.25">
      <c r="A3284" s="180">
        <f t="shared" si="51"/>
        <v>8505003</v>
      </c>
      <c r="B3284" s="188" t="s">
        <v>4576</v>
      </c>
      <c r="C3284" s="188" t="s">
        <v>4577</v>
      </c>
      <c r="D3284" t="s">
        <v>13411</v>
      </c>
    </row>
    <row r="3285" spans="1:4" x14ac:dyDescent="0.25">
      <c r="A3285" s="180">
        <f t="shared" si="51"/>
        <v>8505004</v>
      </c>
      <c r="B3285" s="188" t="s">
        <v>4578</v>
      </c>
      <c r="C3285" s="188" t="s">
        <v>4579</v>
      </c>
    </row>
    <row r="3286" spans="1:4" x14ac:dyDescent="0.25">
      <c r="A3286" s="180">
        <f t="shared" si="51"/>
        <v>8505005</v>
      </c>
      <c r="B3286" s="188" t="s">
        <v>4580</v>
      </c>
      <c r="C3286" s="188" t="s">
        <v>4581</v>
      </c>
    </row>
    <row r="3287" spans="1:4" x14ac:dyDescent="0.25">
      <c r="A3287" s="180">
        <f t="shared" si="51"/>
        <v>8505006</v>
      </c>
      <c r="B3287" s="188" t="s">
        <v>4582</v>
      </c>
      <c r="C3287" s="188" t="s">
        <v>4583</v>
      </c>
      <c r="D3287" t="s">
        <v>13411</v>
      </c>
    </row>
    <row r="3288" spans="1:4" x14ac:dyDescent="0.25">
      <c r="A3288" s="180">
        <f t="shared" si="51"/>
        <v>8505007</v>
      </c>
      <c r="B3288" s="188" t="s">
        <v>4584</v>
      </c>
      <c r="C3288" s="188" t="s">
        <v>4585</v>
      </c>
    </row>
    <row r="3289" spans="1:4" x14ac:dyDescent="0.25">
      <c r="A3289" s="180">
        <f t="shared" si="51"/>
        <v>8505008</v>
      </c>
      <c r="B3289" s="188" t="s">
        <v>4586</v>
      </c>
      <c r="C3289" s="188" t="s">
        <v>4587</v>
      </c>
    </row>
    <row r="3290" spans="1:4" x14ac:dyDescent="0.25">
      <c r="A3290" s="180">
        <f t="shared" si="51"/>
        <v>8505009</v>
      </c>
      <c r="B3290" s="188" t="s">
        <v>4588</v>
      </c>
      <c r="C3290" s="188" t="s">
        <v>4589</v>
      </c>
    </row>
    <row r="3291" spans="1:4" x14ac:dyDescent="0.25">
      <c r="A3291" s="180">
        <f t="shared" si="51"/>
        <v>8505010</v>
      </c>
      <c r="B3291" s="188" t="s">
        <v>4590</v>
      </c>
      <c r="C3291" s="188" t="s">
        <v>4591</v>
      </c>
    </row>
    <row r="3292" spans="1:4" x14ac:dyDescent="0.25">
      <c r="A3292" s="180">
        <f t="shared" si="51"/>
        <v>8505011</v>
      </c>
      <c r="B3292" s="188" t="s">
        <v>4592</v>
      </c>
      <c r="C3292" s="188" t="s">
        <v>4593</v>
      </c>
    </row>
    <row r="3293" spans="1:4" x14ac:dyDescent="0.25">
      <c r="A3293" s="180">
        <f t="shared" si="51"/>
        <v>8505012</v>
      </c>
      <c r="B3293" s="188" t="s">
        <v>4594</v>
      </c>
      <c r="C3293" s="188" t="s">
        <v>4595</v>
      </c>
    </row>
    <row r="3294" spans="1:4" x14ac:dyDescent="0.25">
      <c r="A3294" s="180">
        <f t="shared" si="51"/>
        <v>8505013</v>
      </c>
      <c r="B3294" s="188" t="s">
        <v>4596</v>
      </c>
      <c r="C3294" s="188" t="s">
        <v>4597</v>
      </c>
    </row>
    <row r="3295" spans="1:4" x14ac:dyDescent="0.25">
      <c r="A3295" s="180">
        <f t="shared" si="51"/>
        <v>8505014</v>
      </c>
      <c r="B3295" s="188" t="s">
        <v>4598</v>
      </c>
      <c r="C3295" s="188" t="s">
        <v>4599</v>
      </c>
      <c r="D3295" t="s">
        <v>13411</v>
      </c>
    </row>
    <row r="3296" spans="1:4" x14ac:dyDescent="0.25">
      <c r="A3296" s="180">
        <f t="shared" si="51"/>
        <v>8505015</v>
      </c>
      <c r="B3296" s="188" t="s">
        <v>4600</v>
      </c>
      <c r="C3296" s="188" t="s">
        <v>4601</v>
      </c>
    </row>
    <row r="3297" spans="1:4" x14ac:dyDescent="0.25">
      <c r="A3297" s="180">
        <f t="shared" si="51"/>
        <v>8505016</v>
      </c>
      <c r="B3297" s="188" t="s">
        <v>4602</v>
      </c>
      <c r="C3297" s="188" t="s">
        <v>4603</v>
      </c>
      <c r="D3297" t="s">
        <v>13411</v>
      </c>
    </row>
    <row r="3298" spans="1:4" x14ac:dyDescent="0.25">
      <c r="A3298" s="180">
        <f t="shared" si="51"/>
        <v>8505017</v>
      </c>
      <c r="B3298" s="188" t="s">
        <v>4604</v>
      </c>
      <c r="C3298" s="188" t="s">
        <v>13338</v>
      </c>
      <c r="D3298" t="s">
        <v>13411</v>
      </c>
    </row>
    <row r="3299" spans="1:4" x14ac:dyDescent="0.25">
      <c r="A3299" s="180">
        <f t="shared" si="51"/>
        <v>8505018</v>
      </c>
      <c r="B3299" s="188" t="s">
        <v>4605</v>
      </c>
      <c r="C3299" s="188" t="s">
        <v>4606</v>
      </c>
    </row>
    <row r="3300" spans="1:4" x14ac:dyDescent="0.25">
      <c r="A3300" s="180">
        <f t="shared" si="51"/>
        <v>8505019</v>
      </c>
      <c r="B3300" s="188" t="s">
        <v>4607</v>
      </c>
      <c r="C3300" s="188" t="s">
        <v>13339</v>
      </c>
      <c r="D3300" t="s">
        <v>13411</v>
      </c>
    </row>
    <row r="3301" spans="1:4" x14ac:dyDescent="0.25">
      <c r="A3301" s="180">
        <f t="shared" si="51"/>
        <v>8505020</v>
      </c>
      <c r="B3301" s="188" t="s">
        <v>4608</v>
      </c>
      <c r="C3301" s="188" t="s">
        <v>4609</v>
      </c>
    </row>
    <row r="3302" spans="1:4" x14ac:dyDescent="0.25">
      <c r="A3302" s="180">
        <f t="shared" si="51"/>
        <v>8505021</v>
      </c>
      <c r="B3302" s="188" t="s">
        <v>4610</v>
      </c>
      <c r="C3302" s="188" t="s">
        <v>4611</v>
      </c>
      <c r="D3302" t="s">
        <v>13411</v>
      </c>
    </row>
    <row r="3303" spans="1:4" x14ac:dyDescent="0.25">
      <c r="A3303" s="180">
        <f t="shared" si="51"/>
        <v>8505022</v>
      </c>
      <c r="B3303" s="188" t="s">
        <v>4612</v>
      </c>
      <c r="C3303" s="188" t="s">
        <v>4613</v>
      </c>
      <c r="D3303" t="s">
        <v>13411</v>
      </c>
    </row>
    <row r="3304" spans="1:4" x14ac:dyDescent="0.25">
      <c r="A3304" s="180">
        <f t="shared" si="51"/>
        <v>850502201</v>
      </c>
      <c r="B3304" s="188" t="s">
        <v>4614</v>
      </c>
      <c r="C3304" s="188" t="s">
        <v>4615</v>
      </c>
    </row>
    <row r="3305" spans="1:4" x14ac:dyDescent="0.25">
      <c r="A3305" s="180">
        <f t="shared" si="51"/>
        <v>8505023</v>
      </c>
      <c r="B3305" s="188" t="s">
        <v>4616</v>
      </c>
      <c r="C3305" s="188" t="s">
        <v>4617</v>
      </c>
      <c r="D3305" t="s">
        <v>13411</v>
      </c>
    </row>
    <row r="3306" spans="1:4" x14ac:dyDescent="0.25">
      <c r="A3306" s="180">
        <f t="shared" si="51"/>
        <v>850502302</v>
      </c>
      <c r="B3306" s="188" t="s">
        <v>4618</v>
      </c>
      <c r="C3306" s="188" t="s">
        <v>4619</v>
      </c>
    </row>
    <row r="3307" spans="1:4" x14ac:dyDescent="0.25">
      <c r="A3307" s="180">
        <f t="shared" si="51"/>
        <v>8505024</v>
      </c>
      <c r="B3307" s="188" t="s">
        <v>4620</v>
      </c>
      <c r="C3307" s="188" t="s">
        <v>4621</v>
      </c>
      <c r="D3307" t="s">
        <v>13411</v>
      </c>
    </row>
    <row r="3308" spans="1:4" x14ac:dyDescent="0.25">
      <c r="A3308" s="180">
        <f t="shared" si="51"/>
        <v>850502403</v>
      </c>
      <c r="B3308" s="188" t="s">
        <v>4622</v>
      </c>
      <c r="C3308" s="188" t="s">
        <v>4623</v>
      </c>
    </row>
    <row r="3309" spans="1:4" x14ac:dyDescent="0.25">
      <c r="A3309" s="180">
        <f t="shared" si="51"/>
        <v>8505025</v>
      </c>
      <c r="B3309" s="188" t="s">
        <v>4624</v>
      </c>
      <c r="C3309" s="188" t="s">
        <v>4625</v>
      </c>
      <c r="D3309" t="s">
        <v>13411</v>
      </c>
    </row>
    <row r="3310" spans="1:4" x14ac:dyDescent="0.25">
      <c r="A3310" s="180">
        <f t="shared" si="51"/>
        <v>8505026</v>
      </c>
      <c r="B3310" s="188" t="s">
        <v>4626</v>
      </c>
      <c r="C3310" s="188" t="s">
        <v>4627</v>
      </c>
      <c r="D3310" t="s">
        <v>13411</v>
      </c>
    </row>
    <row r="3311" spans="1:4" x14ac:dyDescent="0.25">
      <c r="A3311" s="180">
        <f t="shared" si="51"/>
        <v>8505027</v>
      </c>
      <c r="B3311" s="188" t="s">
        <v>4628</v>
      </c>
      <c r="C3311" s="188" t="s">
        <v>4629</v>
      </c>
    </row>
    <row r="3312" spans="1:4" x14ac:dyDescent="0.25">
      <c r="A3312" s="180">
        <f t="shared" si="51"/>
        <v>8505028</v>
      </c>
      <c r="B3312" s="188" t="s">
        <v>4630</v>
      </c>
      <c r="C3312" s="188" t="s">
        <v>4631</v>
      </c>
      <c r="D3312" t="s">
        <v>13411</v>
      </c>
    </row>
    <row r="3313" spans="1:4" x14ac:dyDescent="0.25">
      <c r="A3313" s="180">
        <f t="shared" si="51"/>
        <v>8505029</v>
      </c>
      <c r="B3313" s="188" t="s">
        <v>4632</v>
      </c>
      <c r="C3313" s="188" t="s">
        <v>4633</v>
      </c>
      <c r="D3313" t="s">
        <v>13411</v>
      </c>
    </row>
    <row r="3314" spans="1:4" x14ac:dyDescent="0.25">
      <c r="A3314" s="180">
        <f t="shared" si="51"/>
        <v>8505030</v>
      </c>
      <c r="B3314" s="188" t="s">
        <v>4634</v>
      </c>
      <c r="C3314" s="188" t="s">
        <v>4635</v>
      </c>
      <c r="D3314" t="s">
        <v>13411</v>
      </c>
    </row>
    <row r="3315" spans="1:4" x14ac:dyDescent="0.25">
      <c r="A3315" s="180">
        <f t="shared" si="51"/>
        <v>8505031</v>
      </c>
      <c r="B3315" s="188" t="s">
        <v>4636</v>
      </c>
      <c r="C3315" s="188" t="s">
        <v>4637</v>
      </c>
      <c r="D3315" t="s">
        <v>13411</v>
      </c>
    </row>
    <row r="3316" spans="1:4" x14ac:dyDescent="0.25">
      <c r="A3316" s="180">
        <f t="shared" si="51"/>
        <v>8505032</v>
      </c>
      <c r="B3316" s="188" t="s">
        <v>4638</v>
      </c>
      <c r="C3316" s="188" t="s">
        <v>4639</v>
      </c>
      <c r="D3316" t="s">
        <v>13411</v>
      </c>
    </row>
    <row r="3317" spans="1:4" x14ac:dyDescent="0.25">
      <c r="A3317" s="180">
        <f t="shared" si="51"/>
        <v>8505033</v>
      </c>
      <c r="B3317" s="188" t="s">
        <v>4640</v>
      </c>
      <c r="C3317" s="188" t="s">
        <v>4641</v>
      </c>
      <c r="D3317" t="s">
        <v>13411</v>
      </c>
    </row>
    <row r="3318" spans="1:4" x14ac:dyDescent="0.25">
      <c r="A3318" s="180">
        <f t="shared" si="51"/>
        <v>8505034</v>
      </c>
      <c r="B3318" s="188" t="s">
        <v>13340</v>
      </c>
      <c r="C3318" s="188" t="s">
        <v>13341</v>
      </c>
      <c r="D3318" t="s">
        <v>13411</v>
      </c>
    </row>
    <row r="3319" spans="1:4" x14ac:dyDescent="0.25">
      <c r="A3319" s="180">
        <f t="shared" si="51"/>
        <v>8505036</v>
      </c>
      <c r="B3319" s="188" t="s">
        <v>14995</v>
      </c>
      <c r="C3319" s="188" t="s">
        <v>14996</v>
      </c>
    </row>
    <row r="3320" spans="1:4" x14ac:dyDescent="0.25">
      <c r="A3320" s="180">
        <f t="shared" si="51"/>
        <v>8505040</v>
      </c>
      <c r="B3320" s="188" t="s">
        <v>6998</v>
      </c>
      <c r="C3320" s="188" t="s">
        <v>6999</v>
      </c>
    </row>
    <row r="3321" spans="1:4" x14ac:dyDescent="0.25">
      <c r="A3321" s="180">
        <f t="shared" si="51"/>
        <v>8505041</v>
      </c>
      <c r="B3321" s="188" t="s">
        <v>7000</v>
      </c>
      <c r="C3321" s="188" t="s">
        <v>7001</v>
      </c>
    </row>
    <row r="3322" spans="1:4" x14ac:dyDescent="0.25">
      <c r="A3322" s="180">
        <f t="shared" si="51"/>
        <v>8505042</v>
      </c>
      <c r="B3322" s="188" t="s">
        <v>7002</v>
      </c>
      <c r="C3322" s="188" t="s">
        <v>7003</v>
      </c>
    </row>
    <row r="3323" spans="1:4" x14ac:dyDescent="0.25">
      <c r="A3323" s="180">
        <f t="shared" si="51"/>
        <v>8505043</v>
      </c>
      <c r="B3323" s="188" t="s">
        <v>7004</v>
      </c>
      <c r="C3323" s="188" t="s">
        <v>7005</v>
      </c>
    </row>
    <row r="3324" spans="1:4" x14ac:dyDescent="0.25">
      <c r="A3324" s="180">
        <f t="shared" si="51"/>
        <v>8505044</v>
      </c>
      <c r="B3324" s="188" t="s">
        <v>7006</v>
      </c>
      <c r="C3324" s="188" t="s">
        <v>7007</v>
      </c>
    </row>
    <row r="3325" spans="1:4" x14ac:dyDescent="0.25">
      <c r="A3325" s="180">
        <f t="shared" si="51"/>
        <v>8505045</v>
      </c>
      <c r="B3325" s="188" t="s">
        <v>7008</v>
      </c>
      <c r="C3325" s="188" t="s">
        <v>7009</v>
      </c>
    </row>
    <row r="3326" spans="1:4" x14ac:dyDescent="0.25">
      <c r="A3326" s="180">
        <f t="shared" si="51"/>
        <v>8505046</v>
      </c>
      <c r="B3326" s="188" t="s">
        <v>7010</v>
      </c>
      <c r="C3326" s="188" t="s">
        <v>7011</v>
      </c>
    </row>
    <row r="3327" spans="1:4" x14ac:dyDescent="0.25">
      <c r="A3327" s="180">
        <f t="shared" ref="A3327:A3390" si="52">IFERROR(B3327*1,"")</f>
        <v>8505047</v>
      </c>
      <c r="B3327" s="188" t="s">
        <v>7012</v>
      </c>
      <c r="C3327" s="188" t="s">
        <v>7013</v>
      </c>
    </row>
    <row r="3328" spans="1:4" x14ac:dyDescent="0.25">
      <c r="A3328" s="180">
        <f t="shared" si="52"/>
        <v>8505048</v>
      </c>
      <c r="B3328" s="188" t="s">
        <v>7014</v>
      </c>
      <c r="C3328" s="188" t="s">
        <v>7015</v>
      </c>
    </row>
    <row r="3329" spans="1:4" x14ac:dyDescent="0.25">
      <c r="A3329" s="180">
        <f t="shared" si="52"/>
        <v>8505050</v>
      </c>
      <c r="B3329" s="188" t="s">
        <v>13342</v>
      </c>
      <c r="C3329" s="188" t="s">
        <v>13343</v>
      </c>
      <c r="D3329" t="s">
        <v>13411</v>
      </c>
    </row>
    <row r="3330" spans="1:4" x14ac:dyDescent="0.25">
      <c r="A3330" s="180">
        <f t="shared" si="52"/>
        <v>8505051</v>
      </c>
      <c r="B3330" s="188" t="s">
        <v>13344</v>
      </c>
      <c r="C3330" s="188" t="s">
        <v>13345</v>
      </c>
      <c r="D3330" t="s">
        <v>13411</v>
      </c>
    </row>
    <row r="3331" spans="1:4" x14ac:dyDescent="0.25">
      <c r="A3331" s="180">
        <f t="shared" si="52"/>
        <v>8505052</v>
      </c>
      <c r="B3331" s="188" t="s">
        <v>13346</v>
      </c>
      <c r="C3331" s="188" t="s">
        <v>13347</v>
      </c>
      <c r="D3331" t="s">
        <v>13411</v>
      </c>
    </row>
    <row r="3332" spans="1:4" x14ac:dyDescent="0.25">
      <c r="A3332" s="180">
        <f t="shared" si="52"/>
        <v>8505053</v>
      </c>
      <c r="B3332" s="188" t="s">
        <v>13348</v>
      </c>
      <c r="C3332" s="188" t="s">
        <v>13349</v>
      </c>
      <c r="D3332" t="s">
        <v>13411</v>
      </c>
    </row>
    <row r="3333" spans="1:4" x14ac:dyDescent="0.25">
      <c r="A3333" s="180">
        <f t="shared" si="52"/>
        <v>8505054</v>
      </c>
      <c r="B3333" s="188" t="s">
        <v>13350</v>
      </c>
      <c r="C3333" s="188" t="s">
        <v>13351</v>
      </c>
      <c r="D3333" t="s">
        <v>13411</v>
      </c>
    </row>
    <row r="3334" spans="1:4" x14ac:dyDescent="0.25">
      <c r="A3334" s="180">
        <f t="shared" si="52"/>
        <v>8505055</v>
      </c>
      <c r="B3334" s="188" t="s">
        <v>13352</v>
      </c>
      <c r="C3334" s="188" t="s">
        <v>13353</v>
      </c>
      <c r="D3334" t="s">
        <v>13411</v>
      </c>
    </row>
    <row r="3335" spans="1:4" x14ac:dyDescent="0.25">
      <c r="A3335" s="180">
        <f t="shared" si="52"/>
        <v>8505063</v>
      </c>
      <c r="B3335" s="188" t="s">
        <v>4642</v>
      </c>
      <c r="C3335" s="188" t="s">
        <v>4643</v>
      </c>
    </row>
    <row r="3336" spans="1:4" x14ac:dyDescent="0.25">
      <c r="A3336" s="180">
        <f t="shared" si="52"/>
        <v>8505067</v>
      </c>
      <c r="B3336" s="188" t="s">
        <v>7016</v>
      </c>
      <c r="C3336" s="188" t="s">
        <v>7017</v>
      </c>
    </row>
    <row r="3337" spans="1:4" x14ac:dyDescent="0.25">
      <c r="A3337" s="180">
        <f t="shared" si="52"/>
        <v>8505068</v>
      </c>
      <c r="B3337" s="188" t="s">
        <v>4644</v>
      </c>
      <c r="C3337" s="188" t="s">
        <v>4645</v>
      </c>
    </row>
    <row r="3338" spans="1:4" x14ac:dyDescent="0.25">
      <c r="A3338" s="180">
        <f t="shared" si="52"/>
        <v>8505069</v>
      </c>
      <c r="B3338" s="188" t="s">
        <v>4646</v>
      </c>
      <c r="C3338" s="188" t="s">
        <v>4647</v>
      </c>
    </row>
    <row r="3339" spans="1:4" x14ac:dyDescent="0.25">
      <c r="A3339" s="180">
        <f t="shared" si="52"/>
        <v>8505070</v>
      </c>
      <c r="B3339" s="188" t="s">
        <v>4648</v>
      </c>
      <c r="C3339" s="188" t="s">
        <v>4649</v>
      </c>
      <c r="D3339" t="s">
        <v>13411</v>
      </c>
    </row>
    <row r="3340" spans="1:4" x14ac:dyDescent="0.25">
      <c r="A3340" s="180">
        <f t="shared" si="52"/>
        <v>8505071</v>
      </c>
      <c r="B3340" s="188" t="s">
        <v>4650</v>
      </c>
      <c r="C3340" s="188" t="s">
        <v>4651</v>
      </c>
    </row>
    <row r="3341" spans="1:4" x14ac:dyDescent="0.25">
      <c r="A3341" s="180">
        <f t="shared" si="52"/>
        <v>8505072</v>
      </c>
      <c r="B3341" s="188" t="s">
        <v>4652</v>
      </c>
      <c r="C3341" s="188" t="s">
        <v>4653</v>
      </c>
    </row>
    <row r="3342" spans="1:4" x14ac:dyDescent="0.25">
      <c r="A3342" s="180">
        <f t="shared" si="52"/>
        <v>8505073</v>
      </c>
      <c r="B3342" s="188" t="s">
        <v>4654</v>
      </c>
      <c r="C3342" s="188" t="s">
        <v>4655</v>
      </c>
    </row>
    <row r="3343" spans="1:4" x14ac:dyDescent="0.25">
      <c r="A3343" s="180">
        <f t="shared" si="52"/>
        <v>8505074</v>
      </c>
      <c r="B3343" s="188" t="s">
        <v>4656</v>
      </c>
      <c r="C3343" s="188" t="s">
        <v>4657</v>
      </c>
      <c r="D3343" t="s">
        <v>13411</v>
      </c>
    </row>
    <row r="3344" spans="1:4" x14ac:dyDescent="0.25">
      <c r="A3344" s="180">
        <f t="shared" si="52"/>
        <v>8505075</v>
      </c>
      <c r="B3344" s="188" t="s">
        <v>4658</v>
      </c>
      <c r="C3344" s="188" t="s">
        <v>4659</v>
      </c>
      <c r="D3344" t="s">
        <v>13411</v>
      </c>
    </row>
    <row r="3345" spans="1:4" x14ac:dyDescent="0.25">
      <c r="A3345" s="180">
        <f t="shared" si="52"/>
        <v>8505076</v>
      </c>
      <c r="B3345" s="188" t="s">
        <v>4660</v>
      </c>
      <c r="C3345" s="188" t="s">
        <v>4661</v>
      </c>
    </row>
    <row r="3346" spans="1:4" x14ac:dyDescent="0.25">
      <c r="A3346" s="180">
        <f t="shared" si="52"/>
        <v>8505100</v>
      </c>
      <c r="B3346" s="188" t="s">
        <v>4662</v>
      </c>
      <c r="C3346" s="188" t="s">
        <v>4663</v>
      </c>
      <c r="D3346" t="s">
        <v>13412</v>
      </c>
    </row>
    <row r="3347" spans="1:4" x14ac:dyDescent="0.25">
      <c r="A3347" s="180">
        <f t="shared" si="52"/>
        <v>8505101</v>
      </c>
      <c r="B3347" s="188" t="s">
        <v>4664</v>
      </c>
      <c r="C3347" s="188" t="s">
        <v>4665</v>
      </c>
      <c r="D3347" t="s">
        <v>13411</v>
      </c>
    </row>
    <row r="3348" spans="1:4" x14ac:dyDescent="0.25">
      <c r="A3348" s="180">
        <f t="shared" si="52"/>
        <v>8505109</v>
      </c>
      <c r="B3348" s="188" t="s">
        <v>4666</v>
      </c>
      <c r="C3348" s="188" t="s">
        <v>4667</v>
      </c>
    </row>
    <row r="3349" spans="1:4" x14ac:dyDescent="0.25">
      <c r="A3349" s="180">
        <f t="shared" si="52"/>
        <v>8505110</v>
      </c>
      <c r="B3349" s="188" t="s">
        <v>4668</v>
      </c>
      <c r="C3349" s="188" t="s">
        <v>4669</v>
      </c>
    </row>
    <row r="3350" spans="1:4" x14ac:dyDescent="0.25">
      <c r="A3350" s="180">
        <f t="shared" si="52"/>
        <v>8505111</v>
      </c>
      <c r="B3350" s="188" t="s">
        <v>4670</v>
      </c>
      <c r="C3350" s="188" t="s">
        <v>4671</v>
      </c>
      <c r="D3350" t="s">
        <v>13411</v>
      </c>
    </row>
    <row r="3351" spans="1:4" x14ac:dyDescent="0.25">
      <c r="A3351" s="180">
        <f t="shared" si="52"/>
        <v>8505118</v>
      </c>
      <c r="B3351" s="188" t="s">
        <v>4672</v>
      </c>
      <c r="C3351" s="188" t="s">
        <v>4673</v>
      </c>
    </row>
    <row r="3352" spans="1:4" x14ac:dyDescent="0.25">
      <c r="A3352" s="180">
        <f t="shared" si="52"/>
        <v>8505120</v>
      </c>
      <c r="B3352" s="188" t="s">
        <v>4674</v>
      </c>
      <c r="C3352" s="188" t="s">
        <v>4675</v>
      </c>
      <c r="D3352" t="s">
        <v>13411</v>
      </c>
    </row>
    <row r="3353" spans="1:4" x14ac:dyDescent="0.25">
      <c r="A3353" s="180">
        <f t="shared" si="52"/>
        <v>8505121</v>
      </c>
      <c r="B3353" s="188" t="s">
        <v>4676</v>
      </c>
      <c r="C3353" s="188" t="s">
        <v>4677</v>
      </c>
      <c r="D3353" t="s">
        <v>13411</v>
      </c>
    </row>
    <row r="3354" spans="1:4" x14ac:dyDescent="0.25">
      <c r="A3354" s="180">
        <f t="shared" si="52"/>
        <v>8505122</v>
      </c>
      <c r="B3354" s="188" t="s">
        <v>4678</v>
      </c>
      <c r="C3354" s="188" t="s">
        <v>4679</v>
      </c>
      <c r="D3354" t="s">
        <v>13411</v>
      </c>
    </row>
    <row r="3355" spans="1:4" x14ac:dyDescent="0.25">
      <c r="A3355" s="180">
        <f t="shared" si="52"/>
        <v>8505123</v>
      </c>
      <c r="B3355" s="188" t="s">
        <v>4680</v>
      </c>
      <c r="C3355" s="188" t="s">
        <v>4681</v>
      </c>
      <c r="D3355" t="s">
        <v>13411</v>
      </c>
    </row>
    <row r="3356" spans="1:4" x14ac:dyDescent="0.25">
      <c r="A3356" s="180">
        <f t="shared" si="52"/>
        <v>8505124</v>
      </c>
      <c r="B3356" s="188" t="s">
        <v>4682</v>
      </c>
      <c r="C3356" s="188" t="s">
        <v>4683</v>
      </c>
      <c r="D3356" t="s">
        <v>13411</v>
      </c>
    </row>
    <row r="3357" spans="1:4" x14ac:dyDescent="0.25">
      <c r="A3357" s="180">
        <f t="shared" si="52"/>
        <v>8505125</v>
      </c>
      <c r="B3357" s="188" t="s">
        <v>4684</v>
      </c>
      <c r="C3357" s="188" t="s">
        <v>4685</v>
      </c>
      <c r="D3357" t="s">
        <v>13411</v>
      </c>
    </row>
    <row r="3358" spans="1:4" x14ac:dyDescent="0.25">
      <c r="A3358" s="180">
        <f t="shared" si="52"/>
        <v>8505126</v>
      </c>
      <c r="B3358" s="188" t="s">
        <v>4686</v>
      </c>
      <c r="C3358" s="188" t="s">
        <v>4687</v>
      </c>
      <c r="D3358" t="s">
        <v>13411</v>
      </c>
    </row>
    <row r="3359" spans="1:4" x14ac:dyDescent="0.25">
      <c r="A3359" s="180">
        <f t="shared" si="52"/>
        <v>8505127</v>
      </c>
      <c r="B3359" s="188" t="s">
        <v>4688</v>
      </c>
      <c r="C3359" s="188" t="s">
        <v>4689</v>
      </c>
      <c r="D3359" t="s">
        <v>13411</v>
      </c>
    </row>
    <row r="3360" spans="1:4" x14ac:dyDescent="0.25">
      <c r="A3360" s="180">
        <f t="shared" si="52"/>
        <v>8505128</v>
      </c>
      <c r="B3360" s="188" t="s">
        <v>4690</v>
      </c>
      <c r="C3360" s="188" t="s">
        <v>4691</v>
      </c>
      <c r="D3360" t="s">
        <v>13411</v>
      </c>
    </row>
    <row r="3361" spans="1:4" x14ac:dyDescent="0.25">
      <c r="A3361" s="180">
        <f t="shared" si="52"/>
        <v>8505129</v>
      </c>
      <c r="B3361" s="188" t="s">
        <v>4692</v>
      </c>
      <c r="C3361" s="188" t="s">
        <v>4693</v>
      </c>
      <c r="D3361" t="s">
        <v>13411</v>
      </c>
    </row>
    <row r="3362" spans="1:4" x14ac:dyDescent="0.25">
      <c r="A3362" s="180">
        <f t="shared" si="52"/>
        <v>8505130</v>
      </c>
      <c r="B3362" s="188" t="s">
        <v>4694</v>
      </c>
      <c r="C3362" s="188" t="s">
        <v>4695</v>
      </c>
      <c r="D3362" t="s">
        <v>13411</v>
      </c>
    </row>
    <row r="3363" spans="1:4" x14ac:dyDescent="0.25">
      <c r="A3363" s="180">
        <f t="shared" si="52"/>
        <v>8505131</v>
      </c>
      <c r="B3363" s="188" t="s">
        <v>4696</v>
      </c>
      <c r="C3363" s="188" t="s">
        <v>4697</v>
      </c>
      <c r="D3363" t="s">
        <v>13411</v>
      </c>
    </row>
    <row r="3364" spans="1:4" x14ac:dyDescent="0.25">
      <c r="A3364" s="180">
        <f t="shared" si="52"/>
        <v>8505132</v>
      </c>
      <c r="B3364" s="188" t="s">
        <v>4698</v>
      </c>
      <c r="C3364" s="188" t="s">
        <v>4699</v>
      </c>
    </row>
    <row r="3365" spans="1:4" x14ac:dyDescent="0.25">
      <c r="A3365" s="180">
        <f t="shared" si="52"/>
        <v>8505133</v>
      </c>
      <c r="B3365" s="188" t="s">
        <v>4700</v>
      </c>
      <c r="C3365" s="188" t="s">
        <v>4701</v>
      </c>
      <c r="D3365" t="s">
        <v>13411</v>
      </c>
    </row>
    <row r="3366" spans="1:4" x14ac:dyDescent="0.25">
      <c r="A3366" s="180">
        <f t="shared" si="52"/>
        <v>8505134</v>
      </c>
      <c r="B3366" s="188" t="s">
        <v>4702</v>
      </c>
      <c r="C3366" s="188" t="s">
        <v>4703</v>
      </c>
      <c r="D3366" t="s">
        <v>13411</v>
      </c>
    </row>
    <row r="3367" spans="1:4" x14ac:dyDescent="0.25">
      <c r="A3367" s="180">
        <f t="shared" si="52"/>
        <v>8505135</v>
      </c>
      <c r="B3367" s="188" t="s">
        <v>4704</v>
      </c>
      <c r="C3367" s="188" t="s">
        <v>4705</v>
      </c>
      <c r="D3367" t="s">
        <v>13411</v>
      </c>
    </row>
    <row r="3368" spans="1:4" x14ac:dyDescent="0.25">
      <c r="A3368" s="180">
        <f t="shared" si="52"/>
        <v>8505136</v>
      </c>
      <c r="B3368" s="188" t="s">
        <v>4706</v>
      </c>
      <c r="C3368" s="188" t="s">
        <v>4707</v>
      </c>
      <c r="D3368" t="s">
        <v>13411</v>
      </c>
    </row>
    <row r="3369" spans="1:4" x14ac:dyDescent="0.25">
      <c r="A3369" s="180">
        <f t="shared" si="52"/>
        <v>8505137</v>
      </c>
      <c r="B3369" s="188" t="s">
        <v>4708</v>
      </c>
      <c r="C3369" s="188" t="s">
        <v>4709</v>
      </c>
      <c r="D3369" t="s">
        <v>13411</v>
      </c>
    </row>
    <row r="3370" spans="1:4" x14ac:dyDescent="0.25">
      <c r="A3370" s="180">
        <f t="shared" si="52"/>
        <v>8505138</v>
      </c>
      <c r="B3370" s="188" t="s">
        <v>4710</v>
      </c>
      <c r="C3370" s="188" t="s">
        <v>4711</v>
      </c>
      <c r="D3370" t="s">
        <v>13411</v>
      </c>
    </row>
    <row r="3371" spans="1:4" x14ac:dyDescent="0.25">
      <c r="A3371" s="180">
        <f t="shared" si="52"/>
        <v>8505139</v>
      </c>
      <c r="B3371" s="188" t="s">
        <v>4712</v>
      </c>
      <c r="C3371" s="188" t="s">
        <v>4713</v>
      </c>
      <c r="D3371" t="s">
        <v>13411</v>
      </c>
    </row>
    <row r="3372" spans="1:4" x14ac:dyDescent="0.25">
      <c r="A3372" s="180">
        <f t="shared" si="52"/>
        <v>8505140</v>
      </c>
      <c r="B3372" s="188" t="s">
        <v>4714</v>
      </c>
      <c r="C3372" s="188" t="s">
        <v>4715</v>
      </c>
      <c r="D3372" t="s">
        <v>13411</v>
      </c>
    </row>
    <row r="3373" spans="1:4" x14ac:dyDescent="0.25">
      <c r="A3373" s="180">
        <f t="shared" si="52"/>
        <v>8505141</v>
      </c>
      <c r="B3373" s="188" t="s">
        <v>4716</v>
      </c>
      <c r="C3373" s="188" t="s">
        <v>4717</v>
      </c>
      <c r="D3373" t="s">
        <v>13411</v>
      </c>
    </row>
    <row r="3374" spans="1:4" x14ac:dyDescent="0.25">
      <c r="A3374" s="180">
        <f t="shared" si="52"/>
        <v>8505142</v>
      </c>
      <c r="B3374" s="188" t="s">
        <v>4718</v>
      </c>
      <c r="C3374" s="188" t="s">
        <v>4719</v>
      </c>
      <c r="D3374" t="s">
        <v>13411</v>
      </c>
    </row>
    <row r="3375" spans="1:4" x14ac:dyDescent="0.25">
      <c r="A3375" s="180">
        <f t="shared" si="52"/>
        <v>8505149</v>
      </c>
      <c r="B3375" s="188" t="s">
        <v>4720</v>
      </c>
      <c r="C3375" s="188" t="s">
        <v>4721</v>
      </c>
      <c r="D3375" t="s">
        <v>13411</v>
      </c>
    </row>
    <row r="3376" spans="1:4" x14ac:dyDescent="0.25">
      <c r="A3376" s="180">
        <f t="shared" si="52"/>
        <v>8505150</v>
      </c>
      <c r="B3376" s="188" t="s">
        <v>4722</v>
      </c>
      <c r="C3376" s="188" t="s">
        <v>7018</v>
      </c>
    </row>
    <row r="3377" spans="1:4" x14ac:dyDescent="0.25">
      <c r="A3377" s="180">
        <f t="shared" si="52"/>
        <v>8505151</v>
      </c>
      <c r="B3377" s="188" t="s">
        <v>4723</v>
      </c>
      <c r="C3377" s="188" t="s">
        <v>4724</v>
      </c>
      <c r="D3377" t="s">
        <v>13411</v>
      </c>
    </row>
    <row r="3378" spans="1:4" x14ac:dyDescent="0.25">
      <c r="A3378" s="180">
        <f t="shared" si="52"/>
        <v>8505153</v>
      </c>
      <c r="B3378" s="188" t="s">
        <v>4725</v>
      </c>
      <c r="C3378" s="188" t="s">
        <v>4726</v>
      </c>
      <c r="D3378" t="s">
        <v>13411</v>
      </c>
    </row>
    <row r="3379" spans="1:4" x14ac:dyDescent="0.25">
      <c r="A3379" s="180">
        <f t="shared" si="52"/>
        <v>8505154</v>
      </c>
      <c r="B3379" s="188" t="s">
        <v>4727</v>
      </c>
      <c r="C3379" s="188" t="s">
        <v>4728</v>
      </c>
      <c r="D3379" t="s">
        <v>13411</v>
      </c>
    </row>
    <row r="3380" spans="1:4" x14ac:dyDescent="0.25">
      <c r="A3380" s="180">
        <f t="shared" si="52"/>
        <v>8505155</v>
      </c>
      <c r="B3380" s="188" t="s">
        <v>4729</v>
      </c>
      <c r="C3380" s="188" t="s">
        <v>4730</v>
      </c>
      <c r="D3380" t="s">
        <v>13411</v>
      </c>
    </row>
    <row r="3381" spans="1:4" x14ac:dyDescent="0.25">
      <c r="A3381" s="180">
        <f t="shared" si="52"/>
        <v>8505156</v>
      </c>
      <c r="B3381" s="188" t="s">
        <v>4731</v>
      </c>
      <c r="C3381" s="188" t="s">
        <v>4732</v>
      </c>
      <c r="D3381" t="s">
        <v>13411</v>
      </c>
    </row>
    <row r="3382" spans="1:4" x14ac:dyDescent="0.25">
      <c r="A3382" s="180">
        <f t="shared" si="52"/>
        <v>8505157</v>
      </c>
      <c r="B3382" s="188" t="s">
        <v>4733</v>
      </c>
      <c r="C3382" s="188" t="s">
        <v>4734</v>
      </c>
      <c r="D3382" t="s">
        <v>13411</v>
      </c>
    </row>
    <row r="3383" spans="1:4" x14ac:dyDescent="0.25">
      <c r="A3383" s="180">
        <f t="shared" si="52"/>
        <v>8505158</v>
      </c>
      <c r="B3383" s="188" t="s">
        <v>4735</v>
      </c>
      <c r="C3383" s="188" t="s">
        <v>4736</v>
      </c>
      <c r="D3383" t="s">
        <v>13411</v>
      </c>
    </row>
    <row r="3384" spans="1:4" x14ac:dyDescent="0.25">
      <c r="A3384" s="180">
        <f t="shared" si="52"/>
        <v>8505159</v>
      </c>
      <c r="B3384" s="188" t="s">
        <v>4737</v>
      </c>
      <c r="C3384" s="188" t="s">
        <v>4738</v>
      </c>
      <c r="D3384" t="s">
        <v>13411</v>
      </c>
    </row>
    <row r="3385" spans="1:4" x14ac:dyDescent="0.25">
      <c r="A3385" s="180">
        <f t="shared" si="52"/>
        <v>8505160</v>
      </c>
      <c r="B3385" s="188" t="s">
        <v>4739</v>
      </c>
      <c r="C3385" s="188" t="s">
        <v>4740</v>
      </c>
      <c r="D3385" t="s">
        <v>13411</v>
      </c>
    </row>
    <row r="3386" spans="1:4" x14ac:dyDescent="0.25">
      <c r="A3386" s="180">
        <f t="shared" si="52"/>
        <v>8505161</v>
      </c>
      <c r="B3386" s="188" t="s">
        <v>4741</v>
      </c>
      <c r="C3386" s="188" t="s">
        <v>4742</v>
      </c>
      <c r="D3386" t="s">
        <v>13411</v>
      </c>
    </row>
    <row r="3387" spans="1:4" x14ac:dyDescent="0.25">
      <c r="A3387" s="180">
        <f t="shared" si="52"/>
        <v>8505162</v>
      </c>
      <c r="B3387" s="188" t="s">
        <v>4743</v>
      </c>
      <c r="C3387" s="188" t="s">
        <v>4744</v>
      </c>
      <c r="D3387" t="s">
        <v>13411</v>
      </c>
    </row>
    <row r="3388" spans="1:4" x14ac:dyDescent="0.25">
      <c r="A3388" s="180">
        <f t="shared" si="52"/>
        <v>8505163</v>
      </c>
      <c r="B3388" s="188" t="s">
        <v>4745</v>
      </c>
      <c r="C3388" s="188" t="s">
        <v>4746</v>
      </c>
      <c r="D3388" t="s">
        <v>13411</v>
      </c>
    </row>
    <row r="3389" spans="1:4" x14ac:dyDescent="0.25">
      <c r="A3389" s="180">
        <f t="shared" si="52"/>
        <v>8505164</v>
      </c>
      <c r="B3389" s="188" t="s">
        <v>4747</v>
      </c>
      <c r="C3389" s="188" t="s">
        <v>4748</v>
      </c>
    </row>
    <row r="3390" spans="1:4" x14ac:dyDescent="0.25">
      <c r="A3390" s="180">
        <f t="shared" si="52"/>
        <v>8505165</v>
      </c>
      <c r="B3390" s="188" t="s">
        <v>4749</v>
      </c>
      <c r="C3390" s="188" t="s">
        <v>4750</v>
      </c>
    </row>
    <row r="3391" spans="1:4" x14ac:dyDescent="0.25">
      <c r="A3391" s="180">
        <f t="shared" ref="A3391:A3454" si="53">IFERROR(B3391*1,"")</f>
        <v>8505166</v>
      </c>
      <c r="B3391" s="188" t="s">
        <v>4751</v>
      </c>
      <c r="C3391" s="188" t="s">
        <v>4752</v>
      </c>
    </row>
    <row r="3392" spans="1:4" x14ac:dyDescent="0.25">
      <c r="A3392" s="180">
        <f t="shared" si="53"/>
        <v>8505167</v>
      </c>
      <c r="B3392" s="188" t="s">
        <v>4753</v>
      </c>
      <c r="C3392" s="188" t="s">
        <v>4754</v>
      </c>
      <c r="D3392" t="s">
        <v>13411</v>
      </c>
    </row>
    <row r="3393" spans="1:4" x14ac:dyDescent="0.25">
      <c r="A3393" s="180">
        <f t="shared" si="53"/>
        <v>8505168</v>
      </c>
      <c r="B3393" s="188" t="s">
        <v>4755</v>
      </c>
      <c r="C3393" s="188" t="s">
        <v>4756</v>
      </c>
      <c r="D3393" t="s">
        <v>13411</v>
      </c>
    </row>
    <row r="3394" spans="1:4" x14ac:dyDescent="0.25">
      <c r="A3394" s="180">
        <f t="shared" si="53"/>
        <v>8505169</v>
      </c>
      <c r="B3394" s="188" t="s">
        <v>4757</v>
      </c>
      <c r="C3394" s="188" t="s">
        <v>4758</v>
      </c>
      <c r="D3394" t="s">
        <v>13411</v>
      </c>
    </row>
    <row r="3395" spans="1:4" x14ac:dyDescent="0.25">
      <c r="A3395" s="180">
        <f t="shared" si="53"/>
        <v>8505170</v>
      </c>
      <c r="B3395" s="188" t="s">
        <v>4759</v>
      </c>
      <c r="C3395" s="188" t="s">
        <v>4760</v>
      </c>
      <c r="D3395" t="s">
        <v>13411</v>
      </c>
    </row>
    <row r="3396" spans="1:4" x14ac:dyDescent="0.25">
      <c r="A3396" s="180">
        <f t="shared" si="53"/>
        <v>8505171</v>
      </c>
      <c r="B3396" s="188" t="s">
        <v>4761</v>
      </c>
      <c r="C3396" s="188" t="s">
        <v>4762</v>
      </c>
      <c r="D3396" t="s">
        <v>13411</v>
      </c>
    </row>
    <row r="3397" spans="1:4" x14ac:dyDescent="0.25">
      <c r="A3397" s="180">
        <f t="shared" si="53"/>
        <v>8505172</v>
      </c>
      <c r="B3397" s="188" t="s">
        <v>4763</v>
      </c>
      <c r="C3397" s="188" t="s">
        <v>4764</v>
      </c>
      <c r="D3397" t="s">
        <v>13411</v>
      </c>
    </row>
    <row r="3398" spans="1:4" x14ac:dyDescent="0.25">
      <c r="A3398" s="180">
        <f t="shared" si="53"/>
        <v>8505173</v>
      </c>
      <c r="B3398" s="188" t="s">
        <v>4765</v>
      </c>
      <c r="C3398" s="188" t="s">
        <v>4766</v>
      </c>
      <c r="D3398" t="s">
        <v>13411</v>
      </c>
    </row>
    <row r="3399" spans="1:4" x14ac:dyDescent="0.25">
      <c r="A3399" s="180">
        <f t="shared" si="53"/>
        <v>8505174</v>
      </c>
      <c r="B3399" s="188" t="s">
        <v>12900</v>
      </c>
      <c r="C3399" s="188" t="s">
        <v>12901</v>
      </c>
      <c r="D3399" t="s">
        <v>13411</v>
      </c>
    </row>
    <row r="3400" spans="1:4" x14ac:dyDescent="0.25">
      <c r="A3400" s="180">
        <f t="shared" si="53"/>
        <v>8505175</v>
      </c>
      <c r="B3400" s="188" t="s">
        <v>4767</v>
      </c>
      <c r="C3400" s="188" t="s">
        <v>4768</v>
      </c>
      <c r="D3400" t="s">
        <v>13411</v>
      </c>
    </row>
    <row r="3401" spans="1:4" x14ac:dyDescent="0.25">
      <c r="A3401" s="180">
        <f t="shared" si="53"/>
        <v>8505176</v>
      </c>
      <c r="B3401" s="188" t="s">
        <v>4769</v>
      </c>
      <c r="C3401" s="188" t="s">
        <v>4770</v>
      </c>
      <c r="D3401" t="s">
        <v>13411</v>
      </c>
    </row>
    <row r="3402" spans="1:4" x14ac:dyDescent="0.25">
      <c r="A3402" s="180">
        <f t="shared" si="53"/>
        <v>8505177</v>
      </c>
      <c r="B3402" s="188" t="s">
        <v>4771</v>
      </c>
      <c r="C3402" s="188" t="s">
        <v>4772</v>
      </c>
      <c r="D3402" t="s">
        <v>13411</v>
      </c>
    </row>
    <row r="3403" spans="1:4" x14ac:dyDescent="0.25">
      <c r="A3403" s="180">
        <f t="shared" si="53"/>
        <v>8505178</v>
      </c>
      <c r="B3403" s="188" t="s">
        <v>4773</v>
      </c>
      <c r="C3403" s="188" t="s">
        <v>4774</v>
      </c>
      <c r="D3403" t="s">
        <v>13411</v>
      </c>
    </row>
    <row r="3404" spans="1:4" x14ac:dyDescent="0.25">
      <c r="A3404" s="180">
        <f t="shared" si="53"/>
        <v>8505196</v>
      </c>
      <c r="B3404" s="188" t="s">
        <v>4775</v>
      </c>
      <c r="C3404" s="188" t="s">
        <v>4776</v>
      </c>
      <c r="D3404" t="s">
        <v>13411</v>
      </c>
    </row>
    <row r="3405" spans="1:4" x14ac:dyDescent="0.25">
      <c r="A3405" s="180">
        <f t="shared" si="53"/>
        <v>8505200</v>
      </c>
      <c r="B3405" s="188" t="s">
        <v>4777</v>
      </c>
      <c r="C3405" s="188" t="s">
        <v>4778</v>
      </c>
    </row>
    <row r="3406" spans="1:4" x14ac:dyDescent="0.25">
      <c r="A3406" s="180">
        <f t="shared" si="53"/>
        <v>8505201</v>
      </c>
      <c r="B3406" s="188" t="s">
        <v>4779</v>
      </c>
      <c r="C3406" s="188" t="s">
        <v>4780</v>
      </c>
      <c r="D3406" t="s">
        <v>13411</v>
      </c>
    </row>
    <row r="3407" spans="1:4" x14ac:dyDescent="0.25">
      <c r="A3407" s="180">
        <f t="shared" si="53"/>
        <v>8505202</v>
      </c>
      <c r="B3407" s="188" t="s">
        <v>4781</v>
      </c>
      <c r="C3407" s="188" t="s">
        <v>4782</v>
      </c>
      <c r="D3407" t="s">
        <v>13411</v>
      </c>
    </row>
    <row r="3408" spans="1:4" x14ac:dyDescent="0.25">
      <c r="A3408" s="180">
        <f t="shared" si="53"/>
        <v>8505203</v>
      </c>
      <c r="B3408" s="188" t="s">
        <v>4783</v>
      </c>
      <c r="C3408" s="188" t="s">
        <v>4784</v>
      </c>
    </row>
    <row r="3409" spans="1:4" x14ac:dyDescent="0.25">
      <c r="A3409" s="180">
        <f t="shared" si="53"/>
        <v>8505204</v>
      </c>
      <c r="B3409" s="188" t="s">
        <v>4785</v>
      </c>
      <c r="C3409" s="188" t="s">
        <v>4786</v>
      </c>
    </row>
    <row r="3410" spans="1:4" x14ac:dyDescent="0.25">
      <c r="A3410" s="180">
        <f t="shared" si="53"/>
        <v>8505205</v>
      </c>
      <c r="B3410" s="188" t="s">
        <v>4787</v>
      </c>
      <c r="C3410" s="188" t="s">
        <v>4788</v>
      </c>
      <c r="D3410" t="s">
        <v>13411</v>
      </c>
    </row>
    <row r="3411" spans="1:4" x14ac:dyDescent="0.25">
      <c r="A3411" s="180">
        <f t="shared" si="53"/>
        <v>8505206</v>
      </c>
      <c r="B3411" s="188" t="s">
        <v>4789</v>
      </c>
      <c r="C3411" s="188" t="s">
        <v>4790</v>
      </c>
      <c r="D3411" t="s">
        <v>13411</v>
      </c>
    </row>
    <row r="3412" spans="1:4" x14ac:dyDescent="0.25">
      <c r="A3412" s="180">
        <f t="shared" si="53"/>
        <v>8505207</v>
      </c>
      <c r="B3412" s="188" t="s">
        <v>4791</v>
      </c>
      <c r="C3412" s="188" t="s">
        <v>4792</v>
      </c>
      <c r="D3412" t="s">
        <v>13411</v>
      </c>
    </row>
    <row r="3413" spans="1:4" x14ac:dyDescent="0.25">
      <c r="A3413" s="180">
        <f t="shared" si="53"/>
        <v>8505208</v>
      </c>
      <c r="B3413" s="188" t="s">
        <v>4793</v>
      </c>
      <c r="C3413" s="188" t="s">
        <v>4794</v>
      </c>
    </row>
    <row r="3414" spans="1:4" x14ac:dyDescent="0.25">
      <c r="A3414" s="180">
        <f t="shared" si="53"/>
        <v>8505209</v>
      </c>
      <c r="B3414" s="188" t="s">
        <v>4795</v>
      </c>
      <c r="C3414" s="188" t="s">
        <v>4796</v>
      </c>
      <c r="D3414" t="s">
        <v>13411</v>
      </c>
    </row>
    <row r="3415" spans="1:4" x14ac:dyDescent="0.25">
      <c r="A3415" s="180">
        <f t="shared" si="53"/>
        <v>8505210</v>
      </c>
      <c r="B3415" s="188" t="s">
        <v>4797</v>
      </c>
      <c r="C3415" s="188" t="s">
        <v>4798</v>
      </c>
      <c r="D3415" t="s">
        <v>13411</v>
      </c>
    </row>
    <row r="3416" spans="1:4" x14ac:dyDescent="0.25">
      <c r="A3416" s="180">
        <f t="shared" si="53"/>
        <v>8505211</v>
      </c>
      <c r="B3416" s="188" t="s">
        <v>4799</v>
      </c>
      <c r="C3416" s="188" t="s">
        <v>4800</v>
      </c>
      <c r="D3416" t="s">
        <v>13411</v>
      </c>
    </row>
    <row r="3417" spans="1:4" x14ac:dyDescent="0.25">
      <c r="A3417" s="180">
        <f t="shared" si="53"/>
        <v>8505215</v>
      </c>
      <c r="B3417" s="188" t="s">
        <v>4801</v>
      </c>
      <c r="C3417" s="188" t="s">
        <v>4802</v>
      </c>
      <c r="D3417" t="s">
        <v>13411</v>
      </c>
    </row>
    <row r="3418" spans="1:4" x14ac:dyDescent="0.25">
      <c r="A3418" s="180">
        <f t="shared" si="53"/>
        <v>8505216</v>
      </c>
      <c r="B3418" s="188" t="s">
        <v>4803</v>
      </c>
      <c r="C3418" s="188" t="s">
        <v>4804</v>
      </c>
    </row>
    <row r="3419" spans="1:4" x14ac:dyDescent="0.25">
      <c r="A3419" s="180">
        <f t="shared" si="53"/>
        <v>8505217</v>
      </c>
      <c r="B3419" s="188" t="s">
        <v>4805</v>
      </c>
      <c r="C3419" s="188" t="s">
        <v>4806</v>
      </c>
    </row>
    <row r="3420" spans="1:4" x14ac:dyDescent="0.25">
      <c r="A3420" s="180">
        <f t="shared" si="53"/>
        <v>8505219</v>
      </c>
      <c r="B3420" s="188" t="s">
        <v>4807</v>
      </c>
      <c r="C3420" s="188" t="s">
        <v>4808</v>
      </c>
    </row>
    <row r="3421" spans="1:4" x14ac:dyDescent="0.25">
      <c r="A3421" s="180">
        <f t="shared" si="53"/>
        <v>8505220</v>
      </c>
      <c r="B3421" s="188" t="s">
        <v>4809</v>
      </c>
      <c r="C3421" s="188" t="s">
        <v>4810</v>
      </c>
      <c r="D3421" t="s">
        <v>13411</v>
      </c>
    </row>
    <row r="3422" spans="1:4" x14ac:dyDescent="0.25">
      <c r="A3422" s="180">
        <f t="shared" si="53"/>
        <v>8505221</v>
      </c>
      <c r="B3422" s="188" t="s">
        <v>4811</v>
      </c>
      <c r="C3422" s="188" t="s">
        <v>4812</v>
      </c>
      <c r="D3422" t="s">
        <v>13411</v>
      </c>
    </row>
    <row r="3423" spans="1:4" x14ac:dyDescent="0.25">
      <c r="A3423" s="180">
        <f t="shared" si="53"/>
        <v>8505223</v>
      </c>
      <c r="B3423" s="188" t="s">
        <v>4813</v>
      </c>
      <c r="C3423" s="188" t="s">
        <v>4814</v>
      </c>
      <c r="D3423" t="s">
        <v>13411</v>
      </c>
    </row>
    <row r="3424" spans="1:4" x14ac:dyDescent="0.25">
      <c r="A3424" s="180">
        <f t="shared" si="53"/>
        <v>8505224</v>
      </c>
      <c r="B3424" s="188" t="s">
        <v>4815</v>
      </c>
      <c r="C3424" s="188" t="s">
        <v>4816</v>
      </c>
      <c r="D3424" t="s">
        <v>13411</v>
      </c>
    </row>
    <row r="3425" spans="1:4" x14ac:dyDescent="0.25">
      <c r="A3425" s="180">
        <f t="shared" si="53"/>
        <v>8505225</v>
      </c>
      <c r="B3425" s="188" t="s">
        <v>4817</v>
      </c>
      <c r="C3425" s="188" t="s">
        <v>4818</v>
      </c>
    </row>
    <row r="3426" spans="1:4" x14ac:dyDescent="0.25">
      <c r="A3426" s="180">
        <f t="shared" si="53"/>
        <v>8505233</v>
      </c>
      <c r="B3426" s="188" t="s">
        <v>4819</v>
      </c>
      <c r="C3426" s="188" t="s">
        <v>4820</v>
      </c>
      <c r="D3426" t="s">
        <v>13411</v>
      </c>
    </row>
    <row r="3427" spans="1:4" x14ac:dyDescent="0.25">
      <c r="A3427" s="180">
        <f t="shared" si="53"/>
        <v>8505243</v>
      </c>
      <c r="B3427" s="188" t="s">
        <v>4821</v>
      </c>
      <c r="C3427" s="188" t="s">
        <v>4822</v>
      </c>
      <c r="D3427" t="s">
        <v>13411</v>
      </c>
    </row>
    <row r="3428" spans="1:4" x14ac:dyDescent="0.25">
      <c r="A3428" s="180">
        <f t="shared" si="53"/>
        <v>8505250</v>
      </c>
      <c r="B3428" s="188" t="s">
        <v>4823</v>
      </c>
      <c r="C3428" s="188" t="s">
        <v>4824</v>
      </c>
      <c r="D3428" t="s">
        <v>13411</v>
      </c>
    </row>
    <row r="3429" spans="1:4" x14ac:dyDescent="0.25">
      <c r="A3429" s="180">
        <f t="shared" si="53"/>
        <v>8505262</v>
      </c>
      <c r="B3429" s="188" t="s">
        <v>4825</v>
      </c>
      <c r="C3429" s="188" t="s">
        <v>4826</v>
      </c>
      <c r="D3429" t="s">
        <v>13411</v>
      </c>
    </row>
    <row r="3430" spans="1:4" x14ac:dyDescent="0.25">
      <c r="A3430" s="180">
        <f t="shared" si="53"/>
        <v>8505263</v>
      </c>
      <c r="B3430" s="188" t="s">
        <v>4827</v>
      </c>
      <c r="C3430" s="189" t="s">
        <v>4828</v>
      </c>
    </row>
    <row r="3431" spans="1:4" x14ac:dyDescent="0.25">
      <c r="A3431" s="180">
        <f t="shared" si="53"/>
        <v>8505264</v>
      </c>
      <c r="B3431" s="188" t="s">
        <v>4829</v>
      </c>
      <c r="C3431" s="188" t="s">
        <v>4830</v>
      </c>
    </row>
    <row r="3432" spans="1:4" x14ac:dyDescent="0.25">
      <c r="A3432" s="180" t="str">
        <f t="shared" si="53"/>
        <v/>
      </c>
      <c r="B3432" s="188" t="s">
        <v>13129</v>
      </c>
      <c r="C3432" s="188"/>
    </row>
    <row r="3433" spans="1:4" x14ac:dyDescent="0.25">
      <c r="A3433" s="180">
        <f t="shared" si="53"/>
        <v>8505290</v>
      </c>
      <c r="B3433" s="188" t="s">
        <v>4831</v>
      </c>
      <c r="C3433" s="188" t="s">
        <v>4832</v>
      </c>
    </row>
    <row r="3434" spans="1:4" x14ac:dyDescent="0.25">
      <c r="A3434" s="180">
        <f t="shared" si="53"/>
        <v>8505291</v>
      </c>
      <c r="B3434" s="188" t="s">
        <v>4833</v>
      </c>
      <c r="C3434" s="188" t="s">
        <v>4834</v>
      </c>
    </row>
    <row r="3435" spans="1:4" x14ac:dyDescent="0.25">
      <c r="A3435" s="180">
        <f t="shared" si="53"/>
        <v>8505320</v>
      </c>
      <c r="B3435" s="188" t="s">
        <v>4835</v>
      </c>
      <c r="C3435" s="188" t="s">
        <v>4836</v>
      </c>
      <c r="D3435" t="s">
        <v>13411</v>
      </c>
    </row>
    <row r="3436" spans="1:4" x14ac:dyDescent="0.25">
      <c r="A3436" s="180">
        <f t="shared" si="53"/>
        <v>8505322</v>
      </c>
      <c r="B3436" s="188" t="s">
        <v>4837</v>
      </c>
      <c r="C3436" s="188" t="s">
        <v>4838</v>
      </c>
    </row>
    <row r="3437" spans="1:4" x14ac:dyDescent="0.25">
      <c r="A3437" s="180">
        <f t="shared" si="53"/>
        <v>8505324</v>
      </c>
      <c r="B3437" s="188" t="s">
        <v>4839</v>
      </c>
      <c r="C3437" s="188" t="s">
        <v>4840</v>
      </c>
    </row>
    <row r="3438" spans="1:4" x14ac:dyDescent="0.25">
      <c r="A3438" s="180">
        <f t="shared" si="53"/>
        <v>8505329</v>
      </c>
      <c r="B3438" s="188" t="s">
        <v>4841</v>
      </c>
      <c r="C3438" s="188" t="s">
        <v>4842</v>
      </c>
      <c r="D3438" t="s">
        <v>13411</v>
      </c>
    </row>
    <row r="3439" spans="1:4" x14ac:dyDescent="0.25">
      <c r="A3439" s="180">
        <f t="shared" si="53"/>
        <v>8505330</v>
      </c>
      <c r="B3439" s="188" t="s">
        <v>4843</v>
      </c>
      <c r="C3439" s="188" t="s">
        <v>4844</v>
      </c>
    </row>
    <row r="3440" spans="1:4" x14ac:dyDescent="0.25">
      <c r="A3440" s="180">
        <f t="shared" si="53"/>
        <v>8505331</v>
      </c>
      <c r="B3440" s="188" t="s">
        <v>4845</v>
      </c>
      <c r="C3440" s="188" t="s">
        <v>4846</v>
      </c>
      <c r="D3440" t="s">
        <v>13411</v>
      </c>
    </row>
    <row r="3441" spans="1:4" x14ac:dyDescent="0.25">
      <c r="A3441" s="180">
        <f t="shared" si="53"/>
        <v>8505367</v>
      </c>
      <c r="B3441" s="188" t="s">
        <v>4847</v>
      </c>
      <c r="C3441" s="188" t="s">
        <v>4848</v>
      </c>
      <c r="D3441" t="s">
        <v>13411</v>
      </c>
    </row>
    <row r="3442" spans="1:4" x14ac:dyDescent="0.25">
      <c r="A3442" s="180">
        <f t="shared" si="53"/>
        <v>8505401</v>
      </c>
      <c r="B3442" s="188" t="s">
        <v>12902</v>
      </c>
      <c r="C3442" s="188" t="s">
        <v>12903</v>
      </c>
      <c r="D3442" t="s">
        <v>13411</v>
      </c>
    </row>
    <row r="3443" spans="1:4" x14ac:dyDescent="0.25">
      <c r="A3443" s="180">
        <f t="shared" si="53"/>
        <v>8505402</v>
      </c>
      <c r="B3443" s="188" t="s">
        <v>12904</v>
      </c>
      <c r="C3443" s="188" t="s">
        <v>12905</v>
      </c>
      <c r="D3443" t="s">
        <v>13411</v>
      </c>
    </row>
    <row r="3444" spans="1:4" x14ac:dyDescent="0.25">
      <c r="A3444" s="180">
        <f t="shared" si="53"/>
        <v>8505403</v>
      </c>
      <c r="B3444" s="188" t="s">
        <v>12906</v>
      </c>
      <c r="C3444" s="188" t="s">
        <v>12907</v>
      </c>
      <c r="D3444" t="s">
        <v>13411</v>
      </c>
    </row>
    <row r="3445" spans="1:4" x14ac:dyDescent="0.25">
      <c r="A3445" s="180">
        <f t="shared" si="53"/>
        <v>8505404</v>
      </c>
      <c r="B3445" s="188" t="s">
        <v>12908</v>
      </c>
      <c r="C3445" s="188" t="s">
        <v>12909</v>
      </c>
      <c r="D3445" t="s">
        <v>13411</v>
      </c>
    </row>
    <row r="3446" spans="1:4" x14ac:dyDescent="0.25">
      <c r="A3446" s="180">
        <f t="shared" si="53"/>
        <v>8505405</v>
      </c>
      <c r="B3446" s="188" t="s">
        <v>12910</v>
      </c>
      <c r="C3446" s="188" t="s">
        <v>12911</v>
      </c>
    </row>
    <row r="3447" spans="1:4" x14ac:dyDescent="0.25">
      <c r="A3447" s="180">
        <f t="shared" si="53"/>
        <v>8505406</v>
      </c>
      <c r="B3447" s="188" t="s">
        <v>12912</v>
      </c>
      <c r="C3447" s="188" t="s">
        <v>12913</v>
      </c>
      <c r="D3447" t="s">
        <v>13411</v>
      </c>
    </row>
    <row r="3448" spans="1:4" x14ac:dyDescent="0.25">
      <c r="A3448" s="180">
        <f t="shared" si="53"/>
        <v>8505590</v>
      </c>
      <c r="B3448" s="188" t="s">
        <v>13130</v>
      </c>
      <c r="C3448" s="188" t="s">
        <v>13933</v>
      </c>
      <c r="D3448" t="s">
        <v>13411</v>
      </c>
    </row>
    <row r="3449" spans="1:4" x14ac:dyDescent="0.25">
      <c r="A3449" s="180">
        <f t="shared" si="53"/>
        <v>8505591</v>
      </c>
      <c r="B3449" s="188" t="s">
        <v>13934</v>
      </c>
      <c r="C3449" s="188" t="s">
        <v>13935</v>
      </c>
      <c r="D3449" t="s">
        <v>13411</v>
      </c>
    </row>
    <row r="3450" spans="1:4" x14ac:dyDescent="0.25">
      <c r="A3450" s="180">
        <f t="shared" si="53"/>
        <v>8505592</v>
      </c>
      <c r="B3450" s="188" t="s">
        <v>14044</v>
      </c>
      <c r="C3450" s="188" t="s">
        <v>14045</v>
      </c>
      <c r="D3450" t="s">
        <v>13411</v>
      </c>
    </row>
    <row r="3451" spans="1:4" x14ac:dyDescent="0.25">
      <c r="A3451" s="180">
        <f t="shared" si="53"/>
        <v>8505593</v>
      </c>
      <c r="B3451" s="188" t="s">
        <v>15097</v>
      </c>
      <c r="C3451" s="188" t="s">
        <v>15098</v>
      </c>
      <c r="D3451" t="s">
        <v>13411</v>
      </c>
    </row>
    <row r="3452" spans="1:4" x14ac:dyDescent="0.25">
      <c r="A3452" s="180">
        <f t="shared" si="53"/>
        <v>8505594</v>
      </c>
      <c r="B3452" s="188" t="s">
        <v>15099</v>
      </c>
      <c r="C3452" s="188" t="s">
        <v>15100</v>
      </c>
      <c r="D3452" t="s">
        <v>13411</v>
      </c>
    </row>
    <row r="3453" spans="1:4" x14ac:dyDescent="0.25">
      <c r="A3453" s="180">
        <f t="shared" si="53"/>
        <v>8505595</v>
      </c>
      <c r="B3453" s="188" t="s">
        <v>15101</v>
      </c>
      <c r="C3453" s="188" t="s">
        <v>15102</v>
      </c>
      <c r="D3453" t="s">
        <v>13411</v>
      </c>
    </row>
    <row r="3454" spans="1:4" x14ac:dyDescent="0.25">
      <c r="A3454" s="180">
        <f t="shared" si="53"/>
        <v>8505596</v>
      </c>
      <c r="B3454" s="188" t="s">
        <v>15103</v>
      </c>
      <c r="C3454" s="188" t="s">
        <v>15104</v>
      </c>
      <c r="D3454" t="s">
        <v>13411</v>
      </c>
    </row>
    <row r="3455" spans="1:4" x14ac:dyDescent="0.25">
      <c r="A3455" s="180">
        <f t="shared" ref="A3455:A3518" si="54">IFERROR(B3455*1,"")</f>
        <v>8505597</v>
      </c>
      <c r="B3455" s="188" t="s">
        <v>15105</v>
      </c>
      <c r="C3455" s="188" t="s">
        <v>15106</v>
      </c>
      <c r="D3455" t="s">
        <v>13411</v>
      </c>
    </row>
    <row r="3456" spans="1:4" x14ac:dyDescent="0.25">
      <c r="A3456" s="180">
        <f t="shared" si="54"/>
        <v>8505600</v>
      </c>
      <c r="B3456" s="188" t="s">
        <v>4849</v>
      </c>
      <c r="C3456" s="188" t="s">
        <v>4850</v>
      </c>
    </row>
    <row r="3457" spans="1:4" x14ac:dyDescent="0.25">
      <c r="A3457" s="180">
        <f t="shared" si="54"/>
        <v>8505601</v>
      </c>
      <c r="B3457" s="188" t="s">
        <v>4851</v>
      </c>
      <c r="C3457" s="188" t="s">
        <v>4852</v>
      </c>
      <c r="D3457" t="s">
        <v>13411</v>
      </c>
    </row>
    <row r="3458" spans="1:4" x14ac:dyDescent="0.25">
      <c r="A3458" s="180">
        <f t="shared" si="54"/>
        <v>8505602</v>
      </c>
      <c r="B3458" s="188" t="s">
        <v>4853</v>
      </c>
      <c r="C3458" s="188" t="s">
        <v>4854</v>
      </c>
      <c r="D3458" t="s">
        <v>13411</v>
      </c>
    </row>
    <row r="3459" spans="1:4" x14ac:dyDescent="0.25">
      <c r="A3459" s="180">
        <f t="shared" si="54"/>
        <v>8505603</v>
      </c>
      <c r="B3459" s="188" t="s">
        <v>4855</v>
      </c>
      <c r="C3459" s="188" t="s">
        <v>4856</v>
      </c>
      <c r="D3459" t="s">
        <v>13411</v>
      </c>
    </row>
    <row r="3460" spans="1:4" x14ac:dyDescent="0.25">
      <c r="A3460" s="180">
        <f t="shared" si="54"/>
        <v>8505604</v>
      </c>
      <c r="B3460" s="188" t="s">
        <v>4857</v>
      </c>
      <c r="C3460" s="188" t="s">
        <v>4858</v>
      </c>
      <c r="D3460" t="s">
        <v>13411</v>
      </c>
    </row>
    <row r="3461" spans="1:4" x14ac:dyDescent="0.25">
      <c r="A3461" s="180">
        <f t="shared" si="54"/>
        <v>8505605</v>
      </c>
      <c r="B3461" s="188" t="s">
        <v>4859</v>
      </c>
      <c r="C3461" s="188" t="s">
        <v>4860</v>
      </c>
      <c r="D3461" t="s">
        <v>13411</v>
      </c>
    </row>
    <row r="3462" spans="1:4" x14ac:dyDescent="0.25">
      <c r="A3462" s="180">
        <f t="shared" si="54"/>
        <v>8505606</v>
      </c>
      <c r="B3462" s="188" t="s">
        <v>4861</v>
      </c>
      <c r="C3462" s="188" t="s">
        <v>4862</v>
      </c>
      <c r="D3462" t="s">
        <v>13411</v>
      </c>
    </row>
    <row r="3463" spans="1:4" x14ac:dyDescent="0.25">
      <c r="A3463" s="180">
        <f t="shared" si="54"/>
        <v>8505607</v>
      </c>
      <c r="B3463" s="188" t="s">
        <v>4863</v>
      </c>
      <c r="C3463" s="188" t="s">
        <v>4864</v>
      </c>
      <c r="D3463" t="s">
        <v>13411</v>
      </c>
    </row>
    <row r="3464" spans="1:4" x14ac:dyDescent="0.25">
      <c r="A3464" s="180">
        <f t="shared" si="54"/>
        <v>8505650</v>
      </c>
      <c r="B3464" s="188" t="s">
        <v>7019</v>
      </c>
      <c r="C3464" s="188" t="s">
        <v>7020</v>
      </c>
      <c r="D3464" t="s">
        <v>13412</v>
      </c>
    </row>
    <row r="3465" spans="1:4" x14ac:dyDescent="0.25">
      <c r="A3465" s="180">
        <f t="shared" si="54"/>
        <v>8505688</v>
      </c>
      <c r="B3465" s="188" t="s">
        <v>4865</v>
      </c>
      <c r="C3465" s="188" t="s">
        <v>4866</v>
      </c>
      <c r="D3465" t="s">
        <v>13411</v>
      </c>
    </row>
    <row r="3466" spans="1:4" x14ac:dyDescent="0.25">
      <c r="A3466" s="180">
        <f t="shared" si="54"/>
        <v>8505689</v>
      </c>
      <c r="B3466" s="188" t="s">
        <v>4867</v>
      </c>
      <c r="C3466" s="188" t="s">
        <v>4868</v>
      </c>
      <c r="D3466" t="s">
        <v>13411</v>
      </c>
    </row>
    <row r="3467" spans="1:4" x14ac:dyDescent="0.25">
      <c r="A3467" s="180">
        <f t="shared" si="54"/>
        <v>8505690</v>
      </c>
      <c r="B3467" s="188" t="s">
        <v>4869</v>
      </c>
      <c r="C3467" s="188" t="s">
        <v>4870</v>
      </c>
      <c r="D3467" t="s">
        <v>13411</v>
      </c>
    </row>
    <row r="3468" spans="1:4" x14ac:dyDescent="0.25">
      <c r="A3468" s="180">
        <f t="shared" si="54"/>
        <v>8505691</v>
      </c>
      <c r="B3468" s="188" t="s">
        <v>4871</v>
      </c>
      <c r="C3468" s="188" t="s">
        <v>4872</v>
      </c>
      <c r="D3468" t="s">
        <v>13411</v>
      </c>
    </row>
    <row r="3469" spans="1:4" x14ac:dyDescent="0.25">
      <c r="A3469" s="180">
        <f t="shared" si="54"/>
        <v>8505692</v>
      </c>
      <c r="B3469" s="188" t="s">
        <v>4873</v>
      </c>
      <c r="C3469" s="188" t="s">
        <v>4874</v>
      </c>
      <c r="D3469" t="s">
        <v>13411</v>
      </c>
    </row>
    <row r="3470" spans="1:4" x14ac:dyDescent="0.25">
      <c r="A3470" s="180">
        <f t="shared" si="54"/>
        <v>8505693</v>
      </c>
      <c r="B3470" s="188" t="s">
        <v>4875</v>
      </c>
      <c r="C3470" s="188" t="s">
        <v>4876</v>
      </c>
      <c r="D3470" t="s">
        <v>13411</v>
      </c>
    </row>
    <row r="3471" spans="1:4" x14ac:dyDescent="0.25">
      <c r="A3471" s="180">
        <f t="shared" si="54"/>
        <v>8505694</v>
      </c>
      <c r="B3471" s="188" t="s">
        <v>14531</v>
      </c>
      <c r="C3471" s="188" t="s">
        <v>14532</v>
      </c>
      <c r="D3471" t="s">
        <v>13411</v>
      </c>
    </row>
    <row r="3472" spans="1:4" x14ac:dyDescent="0.25">
      <c r="A3472" s="180">
        <f t="shared" si="54"/>
        <v>8505701</v>
      </c>
      <c r="B3472" s="188" t="s">
        <v>4877</v>
      </c>
      <c r="C3472" s="188" t="s">
        <v>4878</v>
      </c>
      <c r="D3472" t="s">
        <v>13411</v>
      </c>
    </row>
    <row r="3473" spans="1:4" x14ac:dyDescent="0.25">
      <c r="A3473" s="180">
        <f t="shared" si="54"/>
        <v>8505702</v>
      </c>
      <c r="B3473" s="188" t="s">
        <v>4879</v>
      </c>
      <c r="C3473" s="188" t="s">
        <v>4880</v>
      </c>
    </row>
    <row r="3474" spans="1:4" x14ac:dyDescent="0.25">
      <c r="A3474" s="180">
        <f t="shared" si="54"/>
        <v>8505703</v>
      </c>
      <c r="B3474" s="188" t="s">
        <v>4881</v>
      </c>
      <c r="C3474" s="188" t="s">
        <v>4882</v>
      </c>
      <c r="D3474" t="s">
        <v>13411</v>
      </c>
    </row>
    <row r="3475" spans="1:4" x14ac:dyDescent="0.25">
      <c r="A3475" s="180">
        <f t="shared" si="54"/>
        <v>8505704</v>
      </c>
      <c r="B3475" s="188" t="s">
        <v>4883</v>
      </c>
      <c r="C3475" s="188" t="s">
        <v>4884</v>
      </c>
      <c r="D3475" t="s">
        <v>13411</v>
      </c>
    </row>
    <row r="3476" spans="1:4" x14ac:dyDescent="0.25">
      <c r="A3476" s="180">
        <f t="shared" si="54"/>
        <v>8505705</v>
      </c>
      <c r="B3476" s="188" t="s">
        <v>4885</v>
      </c>
      <c r="C3476" s="188" t="s">
        <v>4886</v>
      </c>
      <c r="D3476" t="s">
        <v>13411</v>
      </c>
    </row>
    <row r="3477" spans="1:4" x14ac:dyDescent="0.25">
      <c r="A3477" s="180">
        <f t="shared" si="54"/>
        <v>8505706</v>
      </c>
      <c r="B3477" s="188" t="s">
        <v>4887</v>
      </c>
      <c r="C3477" s="188" t="s">
        <v>4888</v>
      </c>
      <c r="D3477" t="s">
        <v>13411</v>
      </c>
    </row>
    <row r="3478" spans="1:4" x14ac:dyDescent="0.25">
      <c r="A3478" s="180">
        <f t="shared" si="54"/>
        <v>8505707</v>
      </c>
      <c r="B3478" s="188" t="s">
        <v>4889</v>
      </c>
      <c r="C3478" s="188" t="s">
        <v>4890</v>
      </c>
      <c r="D3478" t="s">
        <v>13411</v>
      </c>
    </row>
    <row r="3479" spans="1:4" x14ac:dyDescent="0.25">
      <c r="A3479" s="180">
        <f t="shared" si="54"/>
        <v>8505708</v>
      </c>
      <c r="B3479" s="188" t="s">
        <v>4891</v>
      </c>
      <c r="C3479" s="188" t="s">
        <v>4892</v>
      </c>
      <c r="D3479" t="s">
        <v>13411</v>
      </c>
    </row>
    <row r="3480" spans="1:4" x14ac:dyDescent="0.25">
      <c r="A3480" s="180">
        <f t="shared" si="54"/>
        <v>8505709</v>
      </c>
      <c r="B3480" s="188" t="s">
        <v>4893</v>
      </c>
      <c r="C3480" s="188" t="s">
        <v>4894</v>
      </c>
      <c r="D3480" t="s">
        <v>13411</v>
      </c>
    </row>
    <row r="3481" spans="1:4" x14ac:dyDescent="0.25">
      <c r="A3481" s="180">
        <f t="shared" si="54"/>
        <v>8505710</v>
      </c>
      <c r="B3481" s="188" t="s">
        <v>4895</v>
      </c>
      <c r="C3481" s="188" t="s">
        <v>4896</v>
      </c>
    </row>
    <row r="3482" spans="1:4" x14ac:dyDescent="0.25">
      <c r="A3482" s="180">
        <f t="shared" si="54"/>
        <v>8505711</v>
      </c>
      <c r="B3482" s="188" t="s">
        <v>4897</v>
      </c>
      <c r="C3482" s="188" t="s">
        <v>4898</v>
      </c>
    </row>
    <row r="3483" spans="1:4" x14ac:dyDescent="0.25">
      <c r="A3483" s="180">
        <f t="shared" si="54"/>
        <v>8505712</v>
      </c>
      <c r="B3483" s="188" t="s">
        <v>4899</v>
      </c>
      <c r="C3483" s="188" t="s">
        <v>4900</v>
      </c>
      <c r="D3483" t="s">
        <v>13411</v>
      </c>
    </row>
    <row r="3484" spans="1:4" x14ac:dyDescent="0.25">
      <c r="A3484" s="180">
        <f t="shared" si="54"/>
        <v>8505713</v>
      </c>
      <c r="B3484" s="188" t="s">
        <v>4901</v>
      </c>
      <c r="C3484" s="188" t="s">
        <v>4902</v>
      </c>
    </row>
    <row r="3485" spans="1:4" x14ac:dyDescent="0.25">
      <c r="A3485" s="180">
        <f t="shared" si="54"/>
        <v>8505714</v>
      </c>
      <c r="B3485" s="188" t="s">
        <v>4903</v>
      </c>
      <c r="C3485" s="188" t="s">
        <v>4904</v>
      </c>
    </row>
    <row r="3486" spans="1:4" x14ac:dyDescent="0.25">
      <c r="A3486" s="180">
        <f t="shared" si="54"/>
        <v>8505750</v>
      </c>
      <c r="B3486" s="188" t="s">
        <v>14046</v>
      </c>
      <c r="C3486" s="188" t="s">
        <v>14047</v>
      </c>
      <c r="D3486" t="s">
        <v>13411</v>
      </c>
    </row>
    <row r="3487" spans="1:4" x14ac:dyDescent="0.25">
      <c r="A3487" s="180">
        <f t="shared" si="54"/>
        <v>8505789</v>
      </c>
      <c r="B3487" s="188" t="s">
        <v>4905</v>
      </c>
      <c r="C3487" s="188" t="s">
        <v>4906</v>
      </c>
      <c r="D3487" t="s">
        <v>13411</v>
      </c>
    </row>
    <row r="3488" spans="1:4" x14ac:dyDescent="0.25">
      <c r="A3488" s="180">
        <f t="shared" si="54"/>
        <v>8505800</v>
      </c>
      <c r="B3488" s="188" t="s">
        <v>12914</v>
      </c>
      <c r="C3488" s="188" t="s">
        <v>12915</v>
      </c>
      <c r="D3488" t="s">
        <v>13411</v>
      </c>
    </row>
    <row r="3489" spans="1:4" x14ac:dyDescent="0.25">
      <c r="A3489" s="180">
        <f t="shared" si="54"/>
        <v>8505801</v>
      </c>
      <c r="B3489" s="188" t="s">
        <v>12916</v>
      </c>
      <c r="C3489" s="188" t="s">
        <v>12917</v>
      </c>
      <c r="D3489" t="s">
        <v>13411</v>
      </c>
    </row>
    <row r="3490" spans="1:4" x14ac:dyDescent="0.25">
      <c r="A3490" s="180">
        <f t="shared" si="54"/>
        <v>8505809</v>
      </c>
      <c r="B3490" s="188" t="s">
        <v>4907</v>
      </c>
      <c r="C3490" s="188" t="s">
        <v>4908</v>
      </c>
    </row>
    <row r="3491" spans="1:4" x14ac:dyDescent="0.25">
      <c r="A3491" s="180">
        <f t="shared" si="54"/>
        <v>8505810</v>
      </c>
      <c r="B3491" s="188" t="s">
        <v>4909</v>
      </c>
      <c r="C3491" s="188" t="s">
        <v>4910</v>
      </c>
    </row>
    <row r="3492" spans="1:4" x14ac:dyDescent="0.25">
      <c r="A3492" s="180">
        <f t="shared" si="54"/>
        <v>8505820</v>
      </c>
      <c r="B3492" s="188" t="s">
        <v>4911</v>
      </c>
      <c r="C3492" s="188" t="s">
        <v>4912</v>
      </c>
      <c r="D3492" t="s">
        <v>13411</v>
      </c>
    </row>
    <row r="3493" spans="1:4" x14ac:dyDescent="0.25">
      <c r="A3493" s="180">
        <f t="shared" si="54"/>
        <v>8505821</v>
      </c>
      <c r="B3493" s="188" t="s">
        <v>4913</v>
      </c>
      <c r="C3493" s="188" t="s">
        <v>4914</v>
      </c>
      <c r="D3493" t="s">
        <v>13411</v>
      </c>
    </row>
    <row r="3494" spans="1:4" x14ac:dyDescent="0.25">
      <c r="A3494" s="180">
        <f t="shared" si="54"/>
        <v>8505822</v>
      </c>
      <c r="B3494" s="188" t="s">
        <v>4915</v>
      </c>
      <c r="C3494" s="188" t="s">
        <v>4916</v>
      </c>
      <c r="D3494" t="s">
        <v>13411</v>
      </c>
    </row>
    <row r="3495" spans="1:4" x14ac:dyDescent="0.25">
      <c r="A3495" s="180">
        <f t="shared" si="54"/>
        <v>8505823</v>
      </c>
      <c r="B3495" s="188" t="s">
        <v>4917</v>
      </c>
      <c r="C3495" s="188" t="s">
        <v>4918</v>
      </c>
      <c r="D3495" t="s">
        <v>13411</v>
      </c>
    </row>
    <row r="3496" spans="1:4" x14ac:dyDescent="0.25">
      <c r="A3496" s="180">
        <f t="shared" si="54"/>
        <v>8505824</v>
      </c>
      <c r="B3496" s="188" t="s">
        <v>4919</v>
      </c>
      <c r="C3496" s="188" t="s">
        <v>4920</v>
      </c>
      <c r="D3496" t="s">
        <v>13411</v>
      </c>
    </row>
    <row r="3497" spans="1:4" x14ac:dyDescent="0.25">
      <c r="A3497" s="180">
        <f t="shared" si="54"/>
        <v>8505825</v>
      </c>
      <c r="B3497" s="188" t="s">
        <v>4921</v>
      </c>
      <c r="C3497" s="188" t="s">
        <v>4922</v>
      </c>
      <c r="D3497" t="s">
        <v>13412</v>
      </c>
    </row>
    <row r="3498" spans="1:4" x14ac:dyDescent="0.25">
      <c r="A3498" s="180">
        <f t="shared" si="54"/>
        <v>8505826</v>
      </c>
      <c r="B3498" s="188" t="s">
        <v>4923</v>
      </c>
      <c r="C3498" s="188" t="s">
        <v>4924</v>
      </c>
      <c r="D3498" t="s">
        <v>13412</v>
      </c>
    </row>
    <row r="3499" spans="1:4" x14ac:dyDescent="0.25">
      <c r="A3499" s="180">
        <f t="shared" si="54"/>
        <v>8505827</v>
      </c>
      <c r="B3499" s="188" t="s">
        <v>4925</v>
      </c>
      <c r="C3499" s="188" t="s">
        <v>4926</v>
      </c>
      <c r="D3499" t="s">
        <v>13412</v>
      </c>
    </row>
    <row r="3500" spans="1:4" x14ac:dyDescent="0.25">
      <c r="A3500" s="180">
        <f t="shared" si="54"/>
        <v>8505838</v>
      </c>
      <c r="B3500" s="188" t="s">
        <v>4927</v>
      </c>
      <c r="C3500" s="188" t="s">
        <v>4928</v>
      </c>
    </row>
    <row r="3501" spans="1:4" x14ac:dyDescent="0.25">
      <c r="A3501" s="180">
        <f t="shared" si="54"/>
        <v>8507002</v>
      </c>
      <c r="B3501" s="188" t="s">
        <v>4929</v>
      </c>
      <c r="C3501" s="188" t="s">
        <v>4930</v>
      </c>
      <c r="D3501" t="s">
        <v>13412</v>
      </c>
    </row>
    <row r="3502" spans="1:4" x14ac:dyDescent="0.25">
      <c r="A3502" s="180">
        <f t="shared" si="54"/>
        <v>8508065</v>
      </c>
      <c r="B3502" s="188" t="s">
        <v>4931</v>
      </c>
      <c r="C3502" s="188" t="s">
        <v>4932</v>
      </c>
    </row>
    <row r="3503" spans="1:4" x14ac:dyDescent="0.25">
      <c r="A3503" s="180">
        <f t="shared" si="54"/>
        <v>8508121</v>
      </c>
      <c r="B3503" s="188" t="s">
        <v>4933</v>
      </c>
      <c r="C3503" s="188" t="s">
        <v>4934</v>
      </c>
    </row>
    <row r="3504" spans="1:4" x14ac:dyDescent="0.25">
      <c r="A3504" s="180">
        <f t="shared" si="54"/>
        <v>850812160</v>
      </c>
      <c r="B3504" s="188" t="s">
        <v>4935</v>
      </c>
      <c r="C3504" s="188" t="s">
        <v>4934</v>
      </c>
    </row>
    <row r="3505" spans="1:4" x14ac:dyDescent="0.25">
      <c r="A3505" s="180">
        <f t="shared" si="54"/>
        <v>8508132</v>
      </c>
      <c r="B3505" s="188" t="s">
        <v>4936</v>
      </c>
      <c r="C3505" s="188" t="s">
        <v>4937</v>
      </c>
      <c r="D3505" t="s">
        <v>13412</v>
      </c>
    </row>
    <row r="3506" spans="1:4" x14ac:dyDescent="0.25">
      <c r="A3506" s="180">
        <f t="shared" si="54"/>
        <v>850814110</v>
      </c>
      <c r="B3506" s="188" t="s">
        <v>4938</v>
      </c>
      <c r="C3506" s="188" t="s">
        <v>4939</v>
      </c>
    </row>
    <row r="3507" spans="1:4" x14ac:dyDescent="0.25">
      <c r="A3507" s="180">
        <f t="shared" si="54"/>
        <v>850822000</v>
      </c>
      <c r="B3507" s="188" t="s">
        <v>4940</v>
      </c>
      <c r="C3507" s="188" t="s">
        <v>4941</v>
      </c>
    </row>
    <row r="3508" spans="1:4" x14ac:dyDescent="0.25">
      <c r="A3508" s="180">
        <f t="shared" si="54"/>
        <v>8508507</v>
      </c>
      <c r="B3508" s="188" t="s">
        <v>4942</v>
      </c>
      <c r="C3508" s="188" t="s">
        <v>4943</v>
      </c>
      <c r="D3508" t="s">
        <v>13412</v>
      </c>
    </row>
    <row r="3509" spans="1:4" x14ac:dyDescent="0.25">
      <c r="A3509" s="180">
        <f t="shared" si="54"/>
        <v>850850712</v>
      </c>
      <c r="B3509" s="188" t="s">
        <v>4944</v>
      </c>
      <c r="C3509" s="188" t="s">
        <v>4944</v>
      </c>
    </row>
    <row r="3510" spans="1:4" x14ac:dyDescent="0.25">
      <c r="A3510" s="180">
        <f t="shared" si="54"/>
        <v>8509729</v>
      </c>
      <c r="B3510" s="188" t="s">
        <v>4945</v>
      </c>
      <c r="C3510" s="188" t="s">
        <v>4946</v>
      </c>
      <c r="D3510" t="s">
        <v>13411</v>
      </c>
    </row>
    <row r="3511" spans="1:4" x14ac:dyDescent="0.25">
      <c r="A3511" s="180">
        <f t="shared" si="54"/>
        <v>8511115</v>
      </c>
      <c r="B3511" s="188" t="s">
        <v>4947</v>
      </c>
      <c r="C3511" s="188" t="s">
        <v>4948</v>
      </c>
      <c r="D3511" t="s">
        <v>13411</v>
      </c>
    </row>
    <row r="3512" spans="1:4" x14ac:dyDescent="0.25">
      <c r="A3512" s="180">
        <f t="shared" si="54"/>
        <v>8511421</v>
      </c>
      <c r="B3512" s="188" t="s">
        <v>4949</v>
      </c>
      <c r="C3512" s="188" t="s">
        <v>4950</v>
      </c>
      <c r="D3512" t="s">
        <v>13412</v>
      </c>
    </row>
    <row r="3513" spans="1:4" x14ac:dyDescent="0.25">
      <c r="A3513" s="180">
        <f t="shared" si="54"/>
        <v>8511446</v>
      </c>
      <c r="B3513" s="188" t="s">
        <v>4951</v>
      </c>
      <c r="C3513" s="188" t="s">
        <v>4952</v>
      </c>
      <c r="D3513" t="s">
        <v>13412</v>
      </c>
    </row>
    <row r="3514" spans="1:4" x14ac:dyDescent="0.25">
      <c r="A3514" s="180">
        <f t="shared" si="54"/>
        <v>8511522</v>
      </c>
      <c r="B3514" s="188" t="s">
        <v>4953</v>
      </c>
      <c r="C3514" s="188" t="s">
        <v>4954</v>
      </c>
      <c r="D3514" t="s">
        <v>13412</v>
      </c>
    </row>
    <row r="3515" spans="1:4" x14ac:dyDescent="0.25">
      <c r="A3515" s="180">
        <f t="shared" si="54"/>
        <v>8511744</v>
      </c>
      <c r="B3515" s="188" t="s">
        <v>4955</v>
      </c>
      <c r="C3515" s="188" t="s">
        <v>4956</v>
      </c>
      <c r="D3515" t="s">
        <v>13412</v>
      </c>
    </row>
    <row r="3516" spans="1:4" x14ac:dyDescent="0.25">
      <c r="A3516" s="180">
        <f t="shared" si="54"/>
        <v>8513001</v>
      </c>
      <c r="B3516" s="188" t="s">
        <v>4957</v>
      </c>
      <c r="C3516" s="188" t="s">
        <v>4958</v>
      </c>
      <c r="D3516" t="s">
        <v>13412</v>
      </c>
    </row>
    <row r="3517" spans="1:4" x14ac:dyDescent="0.25">
      <c r="A3517" s="180">
        <f t="shared" si="54"/>
        <v>8513012</v>
      </c>
      <c r="B3517" s="188" t="s">
        <v>4959</v>
      </c>
      <c r="C3517" s="188" t="s">
        <v>4960</v>
      </c>
      <c r="D3517" t="s">
        <v>13412</v>
      </c>
    </row>
    <row r="3518" spans="1:4" x14ac:dyDescent="0.25">
      <c r="A3518" s="180">
        <f t="shared" si="54"/>
        <v>8513160</v>
      </c>
      <c r="B3518" s="188" t="s">
        <v>4961</v>
      </c>
      <c r="C3518" s="188" t="s">
        <v>4962</v>
      </c>
      <c r="D3518" t="s">
        <v>13412</v>
      </c>
    </row>
    <row r="3519" spans="1:4" x14ac:dyDescent="0.25">
      <c r="A3519" s="180">
        <f t="shared" ref="A3519:A3582" si="55">IFERROR(B3519*1,"")</f>
        <v>8513173</v>
      </c>
      <c r="B3519" s="188" t="s">
        <v>4963</v>
      </c>
      <c r="C3519" s="188" t="s">
        <v>12918</v>
      </c>
      <c r="D3519" t="s">
        <v>13412</v>
      </c>
    </row>
    <row r="3520" spans="1:4" x14ac:dyDescent="0.25">
      <c r="A3520" s="180">
        <f t="shared" si="55"/>
        <v>8513174</v>
      </c>
      <c r="B3520" s="188" t="s">
        <v>4964</v>
      </c>
      <c r="C3520" s="188" t="s">
        <v>4965</v>
      </c>
      <c r="D3520" t="s">
        <v>13412</v>
      </c>
    </row>
    <row r="3521" spans="1:4" x14ac:dyDescent="0.25">
      <c r="A3521" s="180">
        <f t="shared" si="55"/>
        <v>8513175</v>
      </c>
      <c r="B3521" s="188" t="s">
        <v>4966</v>
      </c>
      <c r="C3521" s="188" t="s">
        <v>4967</v>
      </c>
      <c r="D3521" t="s">
        <v>13412</v>
      </c>
    </row>
    <row r="3522" spans="1:4" x14ac:dyDescent="0.25">
      <c r="A3522" s="180">
        <f t="shared" si="55"/>
        <v>8513202</v>
      </c>
      <c r="B3522" s="188" t="s">
        <v>13936</v>
      </c>
      <c r="C3522" s="188" t="s">
        <v>13937</v>
      </c>
      <c r="D3522" t="s">
        <v>13412</v>
      </c>
    </row>
    <row r="3523" spans="1:4" x14ac:dyDescent="0.25">
      <c r="A3523" s="180">
        <f t="shared" si="55"/>
        <v>8513224</v>
      </c>
      <c r="B3523" s="188" t="s">
        <v>4968</v>
      </c>
      <c r="C3523" s="188" t="s">
        <v>4969</v>
      </c>
      <c r="D3523" t="s">
        <v>13412</v>
      </c>
    </row>
    <row r="3524" spans="1:4" x14ac:dyDescent="0.25">
      <c r="A3524" s="180">
        <f t="shared" si="55"/>
        <v>8513243</v>
      </c>
      <c r="B3524" s="188" t="s">
        <v>4970</v>
      </c>
      <c r="C3524" s="188" t="s">
        <v>4971</v>
      </c>
    </row>
    <row r="3525" spans="1:4" x14ac:dyDescent="0.25">
      <c r="A3525" s="180">
        <f t="shared" si="55"/>
        <v>8513244</v>
      </c>
      <c r="B3525" s="188" t="s">
        <v>4972</v>
      </c>
      <c r="C3525" s="188" t="s">
        <v>4973</v>
      </c>
      <c r="D3525" t="s">
        <v>13412</v>
      </c>
    </row>
    <row r="3526" spans="1:4" x14ac:dyDescent="0.25">
      <c r="A3526" s="180">
        <f t="shared" si="55"/>
        <v>8513245</v>
      </c>
      <c r="B3526" s="188" t="s">
        <v>4974</v>
      </c>
      <c r="C3526" s="188" t="s">
        <v>4975</v>
      </c>
    </row>
    <row r="3527" spans="1:4" x14ac:dyDescent="0.25">
      <c r="A3527" s="180">
        <f t="shared" si="55"/>
        <v>8513303</v>
      </c>
      <c r="B3527" s="188" t="s">
        <v>4976</v>
      </c>
      <c r="C3527" s="188" t="s">
        <v>4977</v>
      </c>
      <c r="D3527" t="s">
        <v>13412</v>
      </c>
    </row>
    <row r="3528" spans="1:4" x14ac:dyDescent="0.25">
      <c r="A3528" s="180">
        <f t="shared" si="55"/>
        <v>8513405</v>
      </c>
      <c r="B3528" s="188" t="s">
        <v>4978</v>
      </c>
      <c r="C3528" s="188" t="s">
        <v>4979</v>
      </c>
      <c r="D3528" t="s">
        <v>13412</v>
      </c>
    </row>
    <row r="3529" spans="1:4" x14ac:dyDescent="0.25">
      <c r="A3529" s="180">
        <f t="shared" si="55"/>
        <v>8513505</v>
      </c>
      <c r="B3529" s="188" t="s">
        <v>14048</v>
      </c>
      <c r="C3529" s="188" t="s">
        <v>14049</v>
      </c>
      <c r="D3529" t="s">
        <v>13412</v>
      </c>
    </row>
    <row r="3530" spans="1:4" x14ac:dyDescent="0.25">
      <c r="A3530" s="180">
        <f t="shared" si="55"/>
        <v>8515001</v>
      </c>
      <c r="B3530" s="188" t="s">
        <v>4980</v>
      </c>
      <c r="C3530" s="188" t="s">
        <v>4981</v>
      </c>
    </row>
    <row r="3531" spans="1:4" x14ac:dyDescent="0.25">
      <c r="A3531" s="180">
        <f t="shared" si="55"/>
        <v>8515004</v>
      </c>
      <c r="B3531" s="188" t="s">
        <v>4982</v>
      </c>
      <c r="C3531" s="188" t="s">
        <v>4983</v>
      </c>
    </row>
    <row r="3532" spans="1:4" x14ac:dyDescent="0.25">
      <c r="A3532" s="180">
        <f t="shared" si="55"/>
        <v>8515180</v>
      </c>
      <c r="B3532" s="188" t="s">
        <v>4984</v>
      </c>
      <c r="C3532" s="188" t="s">
        <v>4985</v>
      </c>
    </row>
    <row r="3533" spans="1:4" x14ac:dyDescent="0.25">
      <c r="A3533" s="180">
        <f t="shared" si="55"/>
        <v>8515181</v>
      </c>
      <c r="B3533" s="188" t="s">
        <v>4986</v>
      </c>
      <c r="C3533" s="188" t="s">
        <v>4987</v>
      </c>
      <c r="D3533" t="s">
        <v>13412</v>
      </c>
    </row>
    <row r="3534" spans="1:4" x14ac:dyDescent="0.25">
      <c r="A3534" s="180">
        <f t="shared" si="55"/>
        <v>8515740</v>
      </c>
      <c r="B3534" s="188" t="s">
        <v>12919</v>
      </c>
      <c r="C3534" s="188" t="s">
        <v>12920</v>
      </c>
      <c r="D3534" t="s">
        <v>13411</v>
      </c>
    </row>
    <row r="3535" spans="1:4" x14ac:dyDescent="0.25">
      <c r="A3535" s="180">
        <f t="shared" si="55"/>
        <v>8515741</v>
      </c>
      <c r="B3535" s="188" t="s">
        <v>15107</v>
      </c>
      <c r="C3535" s="188" t="s">
        <v>15108</v>
      </c>
      <c r="D3535" t="s">
        <v>13411</v>
      </c>
    </row>
    <row r="3536" spans="1:4" x14ac:dyDescent="0.25">
      <c r="A3536" s="180">
        <f t="shared" si="55"/>
        <v>8515742</v>
      </c>
      <c r="B3536" s="188" t="s">
        <v>15109</v>
      </c>
      <c r="C3536" s="188" t="s">
        <v>15110</v>
      </c>
      <c r="D3536" t="s">
        <v>13411</v>
      </c>
    </row>
    <row r="3537" spans="1:4" x14ac:dyDescent="0.25">
      <c r="A3537" s="180">
        <f t="shared" si="55"/>
        <v>8515743</v>
      </c>
      <c r="B3537" s="188" t="s">
        <v>15111</v>
      </c>
      <c r="C3537" s="188" t="s">
        <v>15112</v>
      </c>
      <c r="D3537" t="s">
        <v>13411</v>
      </c>
    </row>
    <row r="3538" spans="1:4" x14ac:dyDescent="0.25">
      <c r="A3538" s="180">
        <f t="shared" si="55"/>
        <v>8515744</v>
      </c>
      <c r="B3538" s="188" t="s">
        <v>15113</v>
      </c>
      <c r="C3538" s="188" t="s">
        <v>15114</v>
      </c>
      <c r="D3538" t="s">
        <v>13411</v>
      </c>
    </row>
    <row r="3539" spans="1:4" x14ac:dyDescent="0.25">
      <c r="A3539" s="180">
        <f t="shared" si="55"/>
        <v>8515746</v>
      </c>
      <c r="B3539" s="188" t="s">
        <v>4988</v>
      </c>
      <c r="C3539" s="188" t="s">
        <v>4989</v>
      </c>
      <c r="D3539" t="s">
        <v>13411</v>
      </c>
    </row>
    <row r="3540" spans="1:4" x14ac:dyDescent="0.25">
      <c r="A3540" s="180">
        <f t="shared" si="55"/>
        <v>8515747</v>
      </c>
      <c r="B3540" s="188" t="s">
        <v>4990</v>
      </c>
      <c r="C3540" s="188" t="s">
        <v>4991</v>
      </c>
      <c r="D3540" t="s">
        <v>13411</v>
      </c>
    </row>
    <row r="3541" spans="1:4" x14ac:dyDescent="0.25">
      <c r="A3541" s="180">
        <f t="shared" si="55"/>
        <v>8515748</v>
      </c>
      <c r="B3541" s="188" t="s">
        <v>4992</v>
      </c>
      <c r="C3541" s="188" t="s">
        <v>4993</v>
      </c>
      <c r="D3541" t="s">
        <v>13411</v>
      </c>
    </row>
    <row r="3542" spans="1:4" x14ac:dyDescent="0.25">
      <c r="A3542" s="180">
        <f t="shared" si="55"/>
        <v>8515749</v>
      </c>
      <c r="B3542" s="188" t="s">
        <v>4994</v>
      </c>
      <c r="C3542" s="188" t="s">
        <v>4995</v>
      </c>
    </row>
    <row r="3543" spans="1:4" x14ac:dyDescent="0.25">
      <c r="A3543" s="180">
        <f t="shared" si="55"/>
        <v>8515750</v>
      </c>
      <c r="B3543" s="188" t="s">
        <v>13354</v>
      </c>
      <c r="C3543" s="188" t="s">
        <v>13355</v>
      </c>
      <c r="D3543" t="s">
        <v>13411</v>
      </c>
    </row>
    <row r="3544" spans="1:4" x14ac:dyDescent="0.25">
      <c r="A3544" s="180">
        <f t="shared" si="55"/>
        <v>8515751</v>
      </c>
      <c r="B3544" s="188" t="s">
        <v>13530</v>
      </c>
      <c r="C3544" s="188" t="s">
        <v>13531</v>
      </c>
      <c r="D3544" t="s">
        <v>13411</v>
      </c>
    </row>
    <row r="3545" spans="1:4" x14ac:dyDescent="0.25">
      <c r="A3545" s="180">
        <f t="shared" si="55"/>
        <v>8515760</v>
      </c>
      <c r="B3545" s="188" t="s">
        <v>4996</v>
      </c>
      <c r="C3545" s="188" t="s">
        <v>4997</v>
      </c>
      <c r="D3545" t="s">
        <v>13411</v>
      </c>
    </row>
    <row r="3546" spans="1:4" x14ac:dyDescent="0.25">
      <c r="A3546" s="180">
        <f t="shared" si="55"/>
        <v>8515770</v>
      </c>
      <c r="B3546" s="188" t="s">
        <v>13356</v>
      </c>
      <c r="C3546" s="188" t="s">
        <v>13357</v>
      </c>
    </row>
    <row r="3547" spans="1:4" x14ac:dyDescent="0.25">
      <c r="A3547" s="180">
        <f t="shared" si="55"/>
        <v>8516000</v>
      </c>
      <c r="B3547" s="188" t="s">
        <v>4998</v>
      </c>
      <c r="C3547" s="188" t="s">
        <v>4999</v>
      </c>
      <c r="D3547" t="s">
        <v>13411</v>
      </c>
    </row>
    <row r="3548" spans="1:4" x14ac:dyDescent="0.25">
      <c r="A3548" s="180">
        <f t="shared" si="55"/>
        <v>8517000</v>
      </c>
      <c r="B3548" s="188" t="s">
        <v>5000</v>
      </c>
      <c r="C3548" s="188" t="s">
        <v>5001</v>
      </c>
      <c r="D3548" t="s">
        <v>13412</v>
      </c>
    </row>
    <row r="3549" spans="1:4" x14ac:dyDescent="0.25">
      <c r="A3549" s="180">
        <f t="shared" si="55"/>
        <v>8517001</v>
      </c>
      <c r="B3549" s="188" t="s">
        <v>5002</v>
      </c>
      <c r="C3549" s="188" t="s">
        <v>5003</v>
      </c>
    </row>
    <row r="3550" spans="1:4" x14ac:dyDescent="0.25">
      <c r="A3550" s="180">
        <f t="shared" si="55"/>
        <v>8517004</v>
      </c>
      <c r="B3550" s="188" t="s">
        <v>5005</v>
      </c>
      <c r="C3550" s="188" t="s">
        <v>5006</v>
      </c>
      <c r="D3550" t="s">
        <v>13412</v>
      </c>
    </row>
    <row r="3551" spans="1:4" x14ac:dyDescent="0.25">
      <c r="A3551" s="180">
        <f t="shared" si="55"/>
        <v>8517035</v>
      </c>
      <c r="B3551" s="188" t="s">
        <v>5007</v>
      </c>
      <c r="C3551" s="188" t="s">
        <v>5008</v>
      </c>
    </row>
    <row r="3552" spans="1:4" x14ac:dyDescent="0.25">
      <c r="A3552" s="180">
        <f t="shared" si="55"/>
        <v>8517050</v>
      </c>
      <c r="B3552" s="188" t="s">
        <v>5009</v>
      </c>
      <c r="C3552" s="188" t="s">
        <v>5010</v>
      </c>
      <c r="D3552" t="s">
        <v>13412</v>
      </c>
    </row>
    <row r="3553" spans="1:4" x14ac:dyDescent="0.25">
      <c r="A3553" s="180">
        <f t="shared" si="55"/>
        <v>8517051</v>
      </c>
      <c r="B3553" s="188" t="s">
        <v>5011</v>
      </c>
      <c r="C3553" s="188" t="s">
        <v>5012</v>
      </c>
      <c r="D3553" t="s">
        <v>13412</v>
      </c>
    </row>
    <row r="3554" spans="1:4" x14ac:dyDescent="0.25">
      <c r="A3554" s="180">
        <f t="shared" si="55"/>
        <v>8517103</v>
      </c>
      <c r="B3554" s="188" t="s">
        <v>5013</v>
      </c>
      <c r="C3554" s="188" t="s">
        <v>5014</v>
      </c>
      <c r="D3554" t="s">
        <v>13411</v>
      </c>
    </row>
    <row r="3555" spans="1:4" x14ac:dyDescent="0.25">
      <c r="A3555" s="180">
        <f t="shared" si="55"/>
        <v>851710307</v>
      </c>
      <c r="B3555" s="188" t="s">
        <v>5015</v>
      </c>
      <c r="C3555" s="188" t="s">
        <v>5016</v>
      </c>
    </row>
    <row r="3556" spans="1:4" x14ac:dyDescent="0.25">
      <c r="A3556" s="180">
        <f t="shared" si="55"/>
        <v>851710308</v>
      </c>
      <c r="B3556" s="188" t="s">
        <v>5017</v>
      </c>
      <c r="C3556" s="188" t="s">
        <v>5018</v>
      </c>
    </row>
    <row r="3557" spans="1:4" x14ac:dyDescent="0.25">
      <c r="A3557" s="180">
        <f t="shared" si="55"/>
        <v>851710309</v>
      </c>
      <c r="B3557" s="188" t="s">
        <v>5019</v>
      </c>
      <c r="C3557" s="188" t="s">
        <v>5020</v>
      </c>
    </row>
    <row r="3558" spans="1:4" x14ac:dyDescent="0.25">
      <c r="A3558" s="180">
        <f t="shared" si="55"/>
        <v>851710310</v>
      </c>
      <c r="B3558" s="188" t="s">
        <v>5021</v>
      </c>
      <c r="C3558" s="188" t="s">
        <v>5022</v>
      </c>
    </row>
    <row r="3559" spans="1:4" x14ac:dyDescent="0.25">
      <c r="A3559" s="180">
        <f t="shared" si="55"/>
        <v>851710375</v>
      </c>
      <c r="B3559" s="188" t="s">
        <v>5023</v>
      </c>
      <c r="C3559" s="188" t="s">
        <v>5024</v>
      </c>
    </row>
    <row r="3560" spans="1:4" x14ac:dyDescent="0.25">
      <c r="A3560" s="180">
        <f t="shared" si="55"/>
        <v>851710385</v>
      </c>
      <c r="B3560" s="188" t="s">
        <v>5025</v>
      </c>
      <c r="C3560" s="188" t="s">
        <v>5026</v>
      </c>
    </row>
    <row r="3561" spans="1:4" x14ac:dyDescent="0.25">
      <c r="A3561" s="180">
        <f t="shared" si="55"/>
        <v>851710395</v>
      </c>
      <c r="B3561" s="188" t="s">
        <v>5027</v>
      </c>
      <c r="C3561" s="188" t="s">
        <v>5028</v>
      </c>
    </row>
    <row r="3562" spans="1:4" x14ac:dyDescent="0.25">
      <c r="A3562" s="180">
        <f t="shared" si="55"/>
        <v>8517104</v>
      </c>
      <c r="B3562" s="188" t="s">
        <v>5029</v>
      </c>
      <c r="C3562" s="188" t="s">
        <v>5030</v>
      </c>
    </row>
    <row r="3563" spans="1:4" x14ac:dyDescent="0.25">
      <c r="A3563" s="180">
        <f t="shared" si="55"/>
        <v>8517110</v>
      </c>
      <c r="B3563" s="188" t="s">
        <v>5031</v>
      </c>
      <c r="C3563" s="188" t="s">
        <v>5032</v>
      </c>
      <c r="D3563" t="s">
        <v>13412</v>
      </c>
    </row>
    <row r="3564" spans="1:4" x14ac:dyDescent="0.25">
      <c r="A3564" s="180">
        <f t="shared" si="55"/>
        <v>8517235</v>
      </c>
      <c r="B3564" s="188" t="s">
        <v>5033</v>
      </c>
      <c r="C3564" s="188" t="s">
        <v>5034</v>
      </c>
      <c r="D3564" t="s">
        <v>13412</v>
      </c>
    </row>
    <row r="3565" spans="1:4" x14ac:dyDescent="0.25">
      <c r="A3565" s="180">
        <f t="shared" si="55"/>
        <v>8517300</v>
      </c>
      <c r="B3565" s="188" t="s">
        <v>5035</v>
      </c>
      <c r="C3565" s="188" t="s">
        <v>5036</v>
      </c>
      <c r="D3565" t="s">
        <v>13411</v>
      </c>
    </row>
    <row r="3566" spans="1:4" x14ac:dyDescent="0.25">
      <c r="A3566" s="180">
        <f t="shared" si="55"/>
        <v>8517408</v>
      </c>
      <c r="B3566" s="188" t="s">
        <v>5037</v>
      </c>
      <c r="C3566" s="188" t="s">
        <v>5038</v>
      </c>
    </row>
    <row r="3567" spans="1:4" x14ac:dyDescent="0.25">
      <c r="A3567" s="180">
        <f t="shared" si="55"/>
        <v>8517900</v>
      </c>
      <c r="B3567" s="188" t="s">
        <v>5039</v>
      </c>
      <c r="C3567" s="188" t="s">
        <v>14050</v>
      </c>
      <c r="D3567" t="s">
        <v>13412</v>
      </c>
    </row>
    <row r="3568" spans="1:4" x14ac:dyDescent="0.25">
      <c r="A3568" s="180">
        <f t="shared" si="55"/>
        <v>8517901</v>
      </c>
      <c r="B3568" s="188" t="s">
        <v>5040</v>
      </c>
      <c r="C3568" s="188" t="s">
        <v>7021</v>
      </c>
      <c r="D3568" t="s">
        <v>13412</v>
      </c>
    </row>
    <row r="3569" spans="1:4" x14ac:dyDescent="0.25">
      <c r="A3569" s="180">
        <f t="shared" si="55"/>
        <v>8517902</v>
      </c>
      <c r="B3569" s="188" t="s">
        <v>5041</v>
      </c>
      <c r="C3569" s="188" t="s">
        <v>14051</v>
      </c>
      <c r="D3569" t="s">
        <v>13412</v>
      </c>
    </row>
    <row r="3570" spans="1:4" x14ac:dyDescent="0.25">
      <c r="A3570" s="180">
        <f t="shared" si="55"/>
        <v>8517903</v>
      </c>
      <c r="B3570" s="188" t="s">
        <v>12921</v>
      </c>
      <c r="C3570" s="188" t="s">
        <v>14052</v>
      </c>
      <c r="D3570" t="s">
        <v>13412</v>
      </c>
    </row>
    <row r="3571" spans="1:4" x14ac:dyDescent="0.25">
      <c r="A3571" s="180">
        <f t="shared" si="55"/>
        <v>8517904</v>
      </c>
      <c r="B3571" s="188" t="s">
        <v>5042</v>
      </c>
      <c r="C3571" s="188" t="s">
        <v>14053</v>
      </c>
      <c r="D3571" t="s">
        <v>13412</v>
      </c>
    </row>
    <row r="3572" spans="1:4" x14ac:dyDescent="0.25">
      <c r="A3572" s="180">
        <f t="shared" si="55"/>
        <v>8517905</v>
      </c>
      <c r="B3572" s="188" t="s">
        <v>5043</v>
      </c>
      <c r="C3572" s="188" t="s">
        <v>14054</v>
      </c>
      <c r="D3572" t="s">
        <v>13412</v>
      </c>
    </row>
    <row r="3573" spans="1:4" x14ac:dyDescent="0.25">
      <c r="A3573" s="180">
        <f t="shared" si="55"/>
        <v>8517906</v>
      </c>
      <c r="B3573" s="188" t="s">
        <v>7022</v>
      </c>
      <c r="C3573" s="188" t="s">
        <v>14055</v>
      </c>
      <c r="D3573" t="s">
        <v>13412</v>
      </c>
    </row>
    <row r="3574" spans="1:4" x14ac:dyDescent="0.25">
      <c r="A3574" s="180">
        <f t="shared" si="55"/>
        <v>8517907</v>
      </c>
      <c r="B3574" s="188" t="s">
        <v>5044</v>
      </c>
      <c r="C3574" s="188" t="s">
        <v>5045</v>
      </c>
    </row>
    <row r="3575" spans="1:4" x14ac:dyDescent="0.25">
      <c r="A3575" s="180">
        <f t="shared" si="55"/>
        <v>8518000</v>
      </c>
      <c r="B3575" s="188" t="s">
        <v>5046</v>
      </c>
      <c r="C3575" s="188" t="s">
        <v>5047</v>
      </c>
    </row>
    <row r="3576" spans="1:4" x14ac:dyDescent="0.25">
      <c r="A3576" s="180">
        <f t="shared" si="55"/>
        <v>8518011</v>
      </c>
      <c r="B3576" s="188" t="s">
        <v>5048</v>
      </c>
      <c r="C3576" s="188" t="s">
        <v>5049</v>
      </c>
      <c r="D3576" t="s">
        <v>13412</v>
      </c>
    </row>
    <row r="3577" spans="1:4" x14ac:dyDescent="0.25">
      <c r="A3577" s="180">
        <f t="shared" si="55"/>
        <v>8518012</v>
      </c>
      <c r="B3577" s="188" t="s">
        <v>5050</v>
      </c>
      <c r="C3577" s="188" t="s">
        <v>5051</v>
      </c>
    </row>
    <row r="3578" spans="1:4" x14ac:dyDescent="0.25">
      <c r="A3578" s="180">
        <f t="shared" si="55"/>
        <v>8518013</v>
      </c>
      <c r="B3578" s="188" t="s">
        <v>5052</v>
      </c>
      <c r="C3578" s="188" t="s">
        <v>5053</v>
      </c>
      <c r="D3578" t="s">
        <v>13412</v>
      </c>
    </row>
    <row r="3579" spans="1:4" x14ac:dyDescent="0.25">
      <c r="A3579" s="180">
        <f t="shared" si="55"/>
        <v>8518014</v>
      </c>
      <c r="B3579" s="188" t="s">
        <v>5054</v>
      </c>
      <c r="C3579" s="188" t="s">
        <v>5055</v>
      </c>
      <c r="D3579" t="s">
        <v>13412</v>
      </c>
    </row>
    <row r="3580" spans="1:4" x14ac:dyDescent="0.25">
      <c r="A3580" s="180">
        <f t="shared" si="55"/>
        <v>8518015</v>
      </c>
      <c r="B3580" s="188" t="s">
        <v>5056</v>
      </c>
      <c r="C3580" s="188" t="s">
        <v>5057</v>
      </c>
    </row>
    <row r="3581" spans="1:4" x14ac:dyDescent="0.25">
      <c r="A3581" s="180">
        <f t="shared" si="55"/>
        <v>8518016</v>
      </c>
      <c r="B3581" s="188" t="s">
        <v>5058</v>
      </c>
      <c r="C3581" s="188" t="s">
        <v>5059</v>
      </c>
    </row>
    <row r="3582" spans="1:4" x14ac:dyDescent="0.25">
      <c r="A3582" s="180">
        <f t="shared" si="55"/>
        <v>8518017</v>
      </c>
      <c r="B3582" s="188" t="s">
        <v>5060</v>
      </c>
      <c r="C3582" s="188" t="s">
        <v>5061</v>
      </c>
    </row>
    <row r="3583" spans="1:4" x14ac:dyDescent="0.25">
      <c r="A3583" s="180">
        <f t="shared" ref="A3583:A3646" si="56">IFERROR(B3583*1,"")</f>
        <v>8518018</v>
      </c>
      <c r="B3583" s="188" t="s">
        <v>5062</v>
      </c>
      <c r="C3583" s="188" t="s">
        <v>5063</v>
      </c>
    </row>
    <row r="3584" spans="1:4" x14ac:dyDescent="0.25">
      <c r="A3584" s="180">
        <f t="shared" si="56"/>
        <v>8518019</v>
      </c>
      <c r="B3584" s="188" t="s">
        <v>5064</v>
      </c>
      <c r="C3584" s="188" t="s">
        <v>5065</v>
      </c>
    </row>
    <row r="3585" spans="1:4" x14ac:dyDescent="0.25">
      <c r="A3585" s="180">
        <f t="shared" si="56"/>
        <v>8518159</v>
      </c>
      <c r="B3585" s="188" t="s">
        <v>5066</v>
      </c>
      <c r="C3585" s="188" t="s">
        <v>5067</v>
      </c>
      <c r="D3585" t="s">
        <v>13412</v>
      </c>
    </row>
    <row r="3586" spans="1:4" x14ac:dyDescent="0.25">
      <c r="A3586" s="180">
        <f t="shared" si="56"/>
        <v>8518300</v>
      </c>
      <c r="B3586" s="188" t="s">
        <v>5068</v>
      </c>
      <c r="C3586" s="188" t="s">
        <v>5069</v>
      </c>
      <c r="D3586" t="s">
        <v>13412</v>
      </c>
    </row>
    <row r="3587" spans="1:4" x14ac:dyDescent="0.25">
      <c r="A3587" s="180">
        <f t="shared" si="56"/>
        <v>8518500</v>
      </c>
      <c r="B3587" s="188" t="s">
        <v>13972</v>
      </c>
      <c r="C3587" s="188" t="s">
        <v>13973</v>
      </c>
      <c r="D3587" t="s">
        <v>13411</v>
      </c>
    </row>
    <row r="3588" spans="1:4" x14ac:dyDescent="0.25">
      <c r="A3588" s="180">
        <f t="shared" si="56"/>
        <v>8518543</v>
      </c>
      <c r="B3588" s="188" t="s">
        <v>14281</v>
      </c>
      <c r="C3588" s="188" t="s">
        <v>14282</v>
      </c>
      <c r="D3588" t="s">
        <v>13412</v>
      </c>
    </row>
    <row r="3589" spans="1:4" x14ac:dyDescent="0.25">
      <c r="A3589" s="180">
        <f t="shared" si="56"/>
        <v>8518753</v>
      </c>
      <c r="B3589" s="188" t="s">
        <v>5070</v>
      </c>
      <c r="C3589" s="188" t="s">
        <v>5071</v>
      </c>
      <c r="D3589" t="s">
        <v>13412</v>
      </c>
    </row>
    <row r="3590" spans="1:4" x14ac:dyDescent="0.25">
      <c r="A3590" s="180">
        <f t="shared" si="56"/>
        <v>8518789</v>
      </c>
      <c r="B3590" s="188" t="s">
        <v>5072</v>
      </c>
      <c r="C3590" s="188" t="s">
        <v>5073</v>
      </c>
      <c r="D3590" t="s">
        <v>13412</v>
      </c>
    </row>
    <row r="3591" spans="1:4" x14ac:dyDescent="0.25">
      <c r="A3591" s="180">
        <f t="shared" si="56"/>
        <v>8519021</v>
      </c>
      <c r="B3591" s="188" t="s">
        <v>5074</v>
      </c>
      <c r="C3591" s="188" t="s">
        <v>5075</v>
      </c>
    </row>
    <row r="3592" spans="1:4" x14ac:dyDescent="0.25">
      <c r="A3592" s="180">
        <f t="shared" si="56"/>
        <v>8519040</v>
      </c>
      <c r="B3592" s="188" t="s">
        <v>5076</v>
      </c>
      <c r="C3592" s="188" t="s">
        <v>5077</v>
      </c>
    </row>
    <row r="3593" spans="1:4" x14ac:dyDescent="0.25">
      <c r="A3593" s="180">
        <f t="shared" si="56"/>
        <v>8519041</v>
      </c>
      <c r="B3593" s="188" t="s">
        <v>5078</v>
      </c>
      <c r="C3593" s="188" t="s">
        <v>5079</v>
      </c>
      <c r="D3593" t="s">
        <v>13412</v>
      </c>
    </row>
    <row r="3594" spans="1:4" x14ac:dyDescent="0.25">
      <c r="A3594" s="180">
        <f t="shared" si="56"/>
        <v>8519042</v>
      </c>
      <c r="B3594" s="188" t="s">
        <v>5080</v>
      </c>
      <c r="C3594" s="188" t="s">
        <v>13938</v>
      </c>
      <c r="D3594" t="s">
        <v>13412</v>
      </c>
    </row>
    <row r="3595" spans="1:4" x14ac:dyDescent="0.25">
      <c r="A3595" s="180">
        <f t="shared" si="56"/>
        <v>8519043</v>
      </c>
      <c r="B3595" s="188" t="s">
        <v>5081</v>
      </c>
      <c r="C3595" s="188" t="s">
        <v>5082</v>
      </c>
    </row>
    <row r="3596" spans="1:4" x14ac:dyDescent="0.25">
      <c r="A3596" s="180">
        <f t="shared" si="56"/>
        <v>8519044</v>
      </c>
      <c r="B3596" s="188" t="s">
        <v>5083</v>
      </c>
      <c r="C3596" s="188" t="s">
        <v>5084</v>
      </c>
      <c r="D3596" t="s">
        <v>13412</v>
      </c>
    </row>
    <row r="3597" spans="1:4" x14ac:dyDescent="0.25">
      <c r="A3597" s="180">
        <f t="shared" si="56"/>
        <v>8519500</v>
      </c>
      <c r="B3597" s="188" t="s">
        <v>5085</v>
      </c>
      <c r="C3597" s="188" t="s">
        <v>5086</v>
      </c>
      <c r="D3597" t="s">
        <v>13412</v>
      </c>
    </row>
    <row r="3598" spans="1:4" x14ac:dyDescent="0.25">
      <c r="A3598" s="180">
        <f t="shared" si="56"/>
        <v>851950099</v>
      </c>
      <c r="B3598" s="188" t="s">
        <v>5087</v>
      </c>
      <c r="C3598" s="189" t="s">
        <v>5088</v>
      </c>
    </row>
    <row r="3599" spans="1:4" x14ac:dyDescent="0.25">
      <c r="A3599" s="180">
        <f t="shared" si="56"/>
        <v>8519502</v>
      </c>
      <c r="B3599" s="188" t="s">
        <v>5089</v>
      </c>
      <c r="C3599" s="188" t="s">
        <v>5090</v>
      </c>
    </row>
    <row r="3600" spans="1:4" x14ac:dyDescent="0.25">
      <c r="A3600" s="180">
        <f t="shared" si="56"/>
        <v>8520000</v>
      </c>
      <c r="B3600" s="188" t="s">
        <v>5091</v>
      </c>
      <c r="C3600" s="188" t="s">
        <v>7023</v>
      </c>
      <c r="D3600" t="s">
        <v>13412</v>
      </c>
    </row>
    <row r="3601" spans="1:4" x14ac:dyDescent="0.25">
      <c r="A3601" s="180">
        <f t="shared" si="56"/>
        <v>8520001</v>
      </c>
      <c r="B3601" s="188" t="s">
        <v>5092</v>
      </c>
      <c r="C3601" s="188" t="s">
        <v>5093</v>
      </c>
    </row>
    <row r="3602" spans="1:4" x14ac:dyDescent="0.25">
      <c r="A3602" s="180">
        <f t="shared" si="56"/>
        <v>8520003</v>
      </c>
      <c r="B3602" s="188" t="s">
        <v>5094</v>
      </c>
      <c r="C3602" s="188" t="s">
        <v>5095</v>
      </c>
      <c r="D3602" t="s">
        <v>13412</v>
      </c>
    </row>
    <row r="3603" spans="1:4" x14ac:dyDescent="0.25">
      <c r="A3603" s="180">
        <f t="shared" si="56"/>
        <v>85200038</v>
      </c>
      <c r="B3603" s="188" t="s">
        <v>5096</v>
      </c>
      <c r="C3603" s="188" t="s">
        <v>5097</v>
      </c>
    </row>
    <row r="3604" spans="1:4" x14ac:dyDescent="0.25">
      <c r="A3604" s="180">
        <f t="shared" si="56"/>
        <v>8520004</v>
      </c>
      <c r="B3604" s="188" t="s">
        <v>5098</v>
      </c>
      <c r="C3604" s="188" t="s">
        <v>5099</v>
      </c>
      <c r="D3604" t="s">
        <v>13412</v>
      </c>
    </row>
    <row r="3605" spans="1:4" x14ac:dyDescent="0.25">
      <c r="A3605" s="180">
        <f t="shared" si="56"/>
        <v>8520005</v>
      </c>
      <c r="B3605" s="188" t="s">
        <v>5100</v>
      </c>
      <c r="C3605" s="188" t="s">
        <v>5101</v>
      </c>
      <c r="D3605" t="s">
        <v>13412</v>
      </c>
    </row>
    <row r="3606" spans="1:4" x14ac:dyDescent="0.25">
      <c r="A3606" s="180">
        <f t="shared" si="56"/>
        <v>8520006</v>
      </c>
      <c r="B3606" s="188" t="s">
        <v>5102</v>
      </c>
      <c r="C3606" s="188" t="s">
        <v>5103</v>
      </c>
    </row>
    <row r="3607" spans="1:4" x14ac:dyDescent="0.25">
      <c r="A3607" s="180">
        <f t="shared" si="56"/>
        <v>8520007</v>
      </c>
      <c r="B3607" s="188" t="s">
        <v>5104</v>
      </c>
      <c r="C3607" s="188" t="s">
        <v>5105</v>
      </c>
      <c r="D3607" t="s">
        <v>13412</v>
      </c>
    </row>
    <row r="3608" spans="1:4" x14ac:dyDescent="0.25">
      <c r="A3608" s="180">
        <f t="shared" si="56"/>
        <v>8520008</v>
      </c>
      <c r="B3608" s="188" t="s">
        <v>5106</v>
      </c>
      <c r="C3608" s="188" t="s">
        <v>5107</v>
      </c>
    </row>
    <row r="3609" spans="1:4" x14ac:dyDescent="0.25">
      <c r="A3609" s="180">
        <f t="shared" si="56"/>
        <v>8520009</v>
      </c>
      <c r="B3609" s="188" t="s">
        <v>5108</v>
      </c>
      <c r="C3609" s="188" t="s">
        <v>5109</v>
      </c>
      <c r="D3609" t="s">
        <v>13412</v>
      </c>
    </row>
    <row r="3610" spans="1:4" x14ac:dyDescent="0.25">
      <c r="A3610" s="180">
        <f t="shared" si="56"/>
        <v>8520010</v>
      </c>
      <c r="B3610" s="188" t="s">
        <v>5110</v>
      </c>
      <c r="C3610" s="188" t="s">
        <v>5111</v>
      </c>
      <c r="D3610" t="s">
        <v>13412</v>
      </c>
    </row>
    <row r="3611" spans="1:4" x14ac:dyDescent="0.25">
      <c r="A3611" s="180">
        <f t="shared" si="56"/>
        <v>8520011</v>
      </c>
      <c r="B3611" s="188" t="s">
        <v>5112</v>
      </c>
      <c r="C3611" s="188" t="s">
        <v>5113</v>
      </c>
      <c r="D3611" t="s">
        <v>13412</v>
      </c>
    </row>
    <row r="3612" spans="1:4" x14ac:dyDescent="0.25">
      <c r="A3612" s="180">
        <f t="shared" si="56"/>
        <v>8520012</v>
      </c>
      <c r="B3612" s="188" t="s">
        <v>5114</v>
      </c>
      <c r="C3612" s="188" t="s">
        <v>5115</v>
      </c>
    </row>
    <row r="3613" spans="1:4" x14ac:dyDescent="0.25">
      <c r="A3613" s="180">
        <f t="shared" si="56"/>
        <v>8520013</v>
      </c>
      <c r="B3613" s="188" t="s">
        <v>5116</v>
      </c>
      <c r="C3613" s="188" t="s">
        <v>5117</v>
      </c>
    </row>
    <row r="3614" spans="1:4" x14ac:dyDescent="0.25">
      <c r="A3614" s="180">
        <f t="shared" si="56"/>
        <v>8520014</v>
      </c>
      <c r="B3614" s="188" t="s">
        <v>5118</v>
      </c>
      <c r="C3614" s="188" t="s">
        <v>12699</v>
      </c>
      <c r="D3614" t="s">
        <v>13412</v>
      </c>
    </row>
    <row r="3615" spans="1:4" x14ac:dyDescent="0.25">
      <c r="A3615" s="180">
        <f t="shared" si="56"/>
        <v>8520015</v>
      </c>
      <c r="B3615" s="188" t="s">
        <v>5119</v>
      </c>
      <c r="C3615" s="188" t="s">
        <v>5120</v>
      </c>
      <c r="D3615" t="s">
        <v>13412</v>
      </c>
    </row>
    <row r="3616" spans="1:4" x14ac:dyDescent="0.25">
      <c r="A3616" s="180">
        <f t="shared" si="56"/>
        <v>8520016</v>
      </c>
      <c r="B3616" s="188" t="s">
        <v>5121</v>
      </c>
      <c r="C3616" s="188" t="s">
        <v>5122</v>
      </c>
      <c r="D3616" t="s">
        <v>13412</v>
      </c>
    </row>
    <row r="3617" spans="1:4" x14ac:dyDescent="0.25">
      <c r="A3617" s="180">
        <f t="shared" si="56"/>
        <v>8520017</v>
      </c>
      <c r="B3617" s="188" t="s">
        <v>5123</v>
      </c>
      <c r="C3617" s="188" t="s">
        <v>14056</v>
      </c>
      <c r="D3617" t="s">
        <v>13412</v>
      </c>
    </row>
    <row r="3618" spans="1:4" x14ac:dyDescent="0.25">
      <c r="A3618" s="180">
        <f t="shared" si="56"/>
        <v>8520018</v>
      </c>
      <c r="B3618" s="188" t="s">
        <v>5124</v>
      </c>
      <c r="C3618" s="188" t="s">
        <v>5125</v>
      </c>
    </row>
    <row r="3619" spans="1:4" x14ac:dyDescent="0.25">
      <c r="A3619" s="180">
        <f t="shared" si="56"/>
        <v>8520019</v>
      </c>
      <c r="B3619" s="188" t="s">
        <v>5126</v>
      </c>
      <c r="C3619" s="188" t="s">
        <v>5127</v>
      </c>
    </row>
    <row r="3620" spans="1:4" x14ac:dyDescent="0.25">
      <c r="A3620" s="180">
        <f t="shared" si="56"/>
        <v>8520020</v>
      </c>
      <c r="B3620" s="188" t="s">
        <v>5128</v>
      </c>
      <c r="C3620" s="188" t="s">
        <v>5129</v>
      </c>
    </row>
    <row r="3621" spans="1:4" x14ac:dyDescent="0.25">
      <c r="A3621" s="180">
        <f t="shared" si="56"/>
        <v>8520021</v>
      </c>
      <c r="B3621" s="188" t="s">
        <v>5130</v>
      </c>
      <c r="C3621" s="188" t="s">
        <v>5129</v>
      </c>
    </row>
    <row r="3622" spans="1:4" x14ac:dyDescent="0.25">
      <c r="A3622" s="180">
        <f t="shared" si="56"/>
        <v>8520022</v>
      </c>
      <c r="B3622" s="188" t="s">
        <v>5131</v>
      </c>
      <c r="C3622" s="188" t="s">
        <v>5132</v>
      </c>
    </row>
    <row r="3623" spans="1:4" x14ac:dyDescent="0.25">
      <c r="A3623" s="180">
        <f t="shared" si="56"/>
        <v>8520023</v>
      </c>
      <c r="B3623" s="188" t="s">
        <v>5133</v>
      </c>
      <c r="C3623" s="188" t="s">
        <v>5134</v>
      </c>
    </row>
    <row r="3624" spans="1:4" x14ac:dyDescent="0.25">
      <c r="A3624" s="180">
        <f t="shared" si="56"/>
        <v>8520024</v>
      </c>
      <c r="B3624" s="188" t="s">
        <v>5135</v>
      </c>
      <c r="C3624" s="188" t="s">
        <v>5136</v>
      </c>
    </row>
    <row r="3625" spans="1:4" x14ac:dyDescent="0.25">
      <c r="A3625" s="180">
        <f t="shared" si="56"/>
        <v>8520025</v>
      </c>
      <c r="B3625" s="188" t="s">
        <v>5137</v>
      </c>
      <c r="C3625" s="188" t="s">
        <v>5138</v>
      </c>
      <c r="D3625" t="s">
        <v>13412</v>
      </c>
    </row>
    <row r="3626" spans="1:4" x14ac:dyDescent="0.25">
      <c r="A3626" s="180">
        <f t="shared" si="56"/>
        <v>8520026</v>
      </c>
      <c r="B3626" s="188" t="s">
        <v>5139</v>
      </c>
      <c r="C3626" s="188" t="s">
        <v>5140</v>
      </c>
      <c r="D3626" t="s">
        <v>13412</v>
      </c>
    </row>
    <row r="3627" spans="1:4" x14ac:dyDescent="0.25">
      <c r="A3627" s="180">
        <f t="shared" si="56"/>
        <v>8520027</v>
      </c>
      <c r="B3627" s="188" t="s">
        <v>5141</v>
      </c>
      <c r="C3627" s="188" t="s">
        <v>5142</v>
      </c>
    </row>
    <row r="3628" spans="1:4" x14ac:dyDescent="0.25">
      <c r="A3628" s="180">
        <f t="shared" si="56"/>
        <v>8520028</v>
      </c>
      <c r="B3628" s="188" t="s">
        <v>5143</v>
      </c>
      <c r="C3628" s="188" t="s">
        <v>5144</v>
      </c>
    </row>
    <row r="3629" spans="1:4" x14ac:dyDescent="0.25">
      <c r="A3629" s="180">
        <f t="shared" si="56"/>
        <v>8520029</v>
      </c>
      <c r="B3629" s="188" t="s">
        <v>5145</v>
      </c>
      <c r="C3629" s="188" t="s">
        <v>5146</v>
      </c>
    </row>
    <row r="3630" spans="1:4" x14ac:dyDescent="0.25">
      <c r="A3630" s="180">
        <f t="shared" si="56"/>
        <v>8520030</v>
      </c>
      <c r="B3630" s="188" t="s">
        <v>5147</v>
      </c>
      <c r="C3630" s="188" t="s">
        <v>5148</v>
      </c>
      <c r="D3630" t="s">
        <v>13412</v>
      </c>
    </row>
    <row r="3631" spans="1:4" x14ac:dyDescent="0.25">
      <c r="A3631" s="180">
        <f t="shared" si="56"/>
        <v>8520031</v>
      </c>
      <c r="B3631" s="188" t="s">
        <v>5149</v>
      </c>
      <c r="C3631" s="188" t="s">
        <v>5150</v>
      </c>
    </row>
    <row r="3632" spans="1:4" x14ac:dyDescent="0.25">
      <c r="A3632" s="180">
        <f t="shared" si="56"/>
        <v>8520032</v>
      </c>
      <c r="B3632" s="188" t="s">
        <v>5151</v>
      </c>
      <c r="C3632" s="188" t="s">
        <v>5152</v>
      </c>
    </row>
    <row r="3633" spans="1:4" x14ac:dyDescent="0.25">
      <c r="A3633" s="180">
        <f t="shared" si="56"/>
        <v>8520033</v>
      </c>
      <c r="B3633" s="188" t="s">
        <v>5153</v>
      </c>
      <c r="C3633" s="188" t="s">
        <v>5154</v>
      </c>
    </row>
    <row r="3634" spans="1:4" x14ac:dyDescent="0.25">
      <c r="A3634" s="180">
        <f t="shared" si="56"/>
        <v>8520034</v>
      </c>
      <c r="B3634" s="188" t="s">
        <v>5155</v>
      </c>
      <c r="C3634" s="188" t="s">
        <v>5156</v>
      </c>
      <c r="D3634" t="s">
        <v>13412</v>
      </c>
    </row>
    <row r="3635" spans="1:4" x14ac:dyDescent="0.25">
      <c r="A3635" s="180">
        <f t="shared" si="56"/>
        <v>8520035</v>
      </c>
      <c r="B3635" s="188" t="s">
        <v>5157</v>
      </c>
      <c r="C3635" s="188" t="s">
        <v>5158</v>
      </c>
    </row>
    <row r="3636" spans="1:4" x14ac:dyDescent="0.25">
      <c r="A3636" s="180">
        <f t="shared" si="56"/>
        <v>8520036</v>
      </c>
      <c r="B3636" s="188" t="s">
        <v>5159</v>
      </c>
      <c r="C3636" s="188" t="s">
        <v>5160</v>
      </c>
    </row>
    <row r="3637" spans="1:4" x14ac:dyDescent="0.25">
      <c r="A3637" s="180">
        <f t="shared" si="56"/>
        <v>8520037</v>
      </c>
      <c r="B3637" s="188" t="s">
        <v>5161</v>
      </c>
      <c r="C3637" s="188" t="s">
        <v>5162</v>
      </c>
    </row>
    <row r="3638" spans="1:4" x14ac:dyDescent="0.25">
      <c r="A3638" s="180">
        <f t="shared" si="56"/>
        <v>8520040</v>
      </c>
      <c r="B3638" s="188" t="s">
        <v>5163</v>
      </c>
      <c r="C3638" s="188" t="s">
        <v>5164</v>
      </c>
      <c r="D3638" t="s">
        <v>13412</v>
      </c>
    </row>
    <row r="3639" spans="1:4" x14ac:dyDescent="0.25">
      <c r="A3639" s="180">
        <f t="shared" si="56"/>
        <v>8520042</v>
      </c>
      <c r="B3639" s="188" t="s">
        <v>5165</v>
      </c>
      <c r="C3639" s="188" t="s">
        <v>13532</v>
      </c>
      <c r="D3639" t="s">
        <v>13412</v>
      </c>
    </row>
    <row r="3640" spans="1:4" x14ac:dyDescent="0.25">
      <c r="A3640" s="180" t="str">
        <f t="shared" si="56"/>
        <v/>
      </c>
      <c r="B3640" s="188" t="s">
        <v>13131</v>
      </c>
      <c r="C3640" s="188"/>
    </row>
    <row r="3641" spans="1:4" x14ac:dyDescent="0.25">
      <c r="A3641" s="180">
        <f t="shared" si="56"/>
        <v>8520045</v>
      </c>
      <c r="B3641" s="188" t="s">
        <v>5166</v>
      </c>
      <c r="C3641" s="188" t="s">
        <v>5167</v>
      </c>
      <c r="D3641" t="s">
        <v>13412</v>
      </c>
    </row>
    <row r="3642" spans="1:4" x14ac:dyDescent="0.25">
      <c r="A3642" s="180">
        <f t="shared" si="56"/>
        <v>8520050</v>
      </c>
      <c r="B3642" s="188" t="s">
        <v>5168</v>
      </c>
      <c r="C3642" s="188" t="s">
        <v>5169</v>
      </c>
    </row>
    <row r="3643" spans="1:4" x14ac:dyDescent="0.25">
      <c r="A3643" s="180">
        <f t="shared" si="56"/>
        <v>8520051</v>
      </c>
      <c r="B3643" s="188" t="s">
        <v>5170</v>
      </c>
      <c r="C3643" s="188" t="s">
        <v>5171</v>
      </c>
      <c r="D3643" t="s">
        <v>13412</v>
      </c>
    </row>
    <row r="3644" spans="1:4" x14ac:dyDescent="0.25">
      <c r="A3644" s="180">
        <f t="shared" si="56"/>
        <v>8520052</v>
      </c>
      <c r="B3644" s="188" t="s">
        <v>5172</v>
      </c>
      <c r="C3644" s="188" t="s">
        <v>5173</v>
      </c>
      <c r="D3644" t="s">
        <v>13412</v>
      </c>
    </row>
    <row r="3645" spans="1:4" x14ac:dyDescent="0.25">
      <c r="A3645" s="180">
        <f t="shared" si="56"/>
        <v>8520059</v>
      </c>
      <c r="B3645" s="188" t="s">
        <v>5174</v>
      </c>
      <c r="C3645" s="188" t="s">
        <v>5175</v>
      </c>
    </row>
    <row r="3646" spans="1:4" x14ac:dyDescent="0.25">
      <c r="A3646" s="180">
        <f t="shared" si="56"/>
        <v>8520060</v>
      </c>
      <c r="B3646" s="188" t="s">
        <v>5176</v>
      </c>
      <c r="C3646" s="188" t="s">
        <v>5177</v>
      </c>
      <c r="D3646" t="s">
        <v>13412</v>
      </c>
    </row>
    <row r="3647" spans="1:4" x14ac:dyDescent="0.25">
      <c r="A3647" s="180">
        <f t="shared" ref="A3647:A3710" si="57">IFERROR(B3647*1,"")</f>
        <v>8520064</v>
      </c>
      <c r="B3647" s="188" t="s">
        <v>5178</v>
      </c>
      <c r="C3647" s="188" t="s">
        <v>5179</v>
      </c>
      <c r="D3647" t="s">
        <v>13412</v>
      </c>
    </row>
    <row r="3648" spans="1:4" x14ac:dyDescent="0.25">
      <c r="A3648" s="180">
        <f t="shared" si="57"/>
        <v>8520065</v>
      </c>
      <c r="B3648" s="188" t="s">
        <v>5180</v>
      </c>
      <c r="C3648" s="188" t="s">
        <v>5181</v>
      </c>
    </row>
    <row r="3649" spans="1:4" x14ac:dyDescent="0.25">
      <c r="A3649" s="180">
        <f t="shared" si="57"/>
        <v>8520066</v>
      </c>
      <c r="B3649" s="188" t="s">
        <v>5182</v>
      </c>
      <c r="C3649" s="188" t="s">
        <v>5183</v>
      </c>
    </row>
    <row r="3650" spans="1:4" x14ac:dyDescent="0.25">
      <c r="A3650" s="180">
        <f t="shared" si="57"/>
        <v>8520067</v>
      </c>
      <c r="B3650" s="188" t="s">
        <v>5184</v>
      </c>
      <c r="C3650" s="188" t="s">
        <v>5185</v>
      </c>
      <c r="D3650" t="s">
        <v>13412</v>
      </c>
    </row>
    <row r="3651" spans="1:4" x14ac:dyDescent="0.25">
      <c r="A3651" s="180">
        <f t="shared" si="57"/>
        <v>8520068</v>
      </c>
      <c r="B3651" s="188" t="s">
        <v>5186</v>
      </c>
      <c r="C3651" s="188" t="s">
        <v>5187</v>
      </c>
    </row>
    <row r="3652" spans="1:4" x14ac:dyDescent="0.25">
      <c r="A3652" s="180">
        <f t="shared" si="57"/>
        <v>8520070</v>
      </c>
      <c r="B3652" s="188" t="s">
        <v>5188</v>
      </c>
      <c r="C3652" s="188" t="s">
        <v>5189</v>
      </c>
    </row>
    <row r="3653" spans="1:4" x14ac:dyDescent="0.25">
      <c r="A3653" s="180">
        <f t="shared" si="57"/>
        <v>8520100</v>
      </c>
      <c r="B3653" s="188" t="s">
        <v>5190</v>
      </c>
      <c r="C3653" s="188" t="s">
        <v>5191</v>
      </c>
      <c r="D3653" t="s">
        <v>13412</v>
      </c>
    </row>
    <row r="3654" spans="1:4" x14ac:dyDescent="0.25">
      <c r="A3654" s="180">
        <f t="shared" si="57"/>
        <v>8520101</v>
      </c>
      <c r="B3654" s="188" t="s">
        <v>5192</v>
      </c>
      <c r="C3654" s="188" t="s">
        <v>12700</v>
      </c>
      <c r="D3654" t="s">
        <v>13412</v>
      </c>
    </row>
    <row r="3655" spans="1:4" x14ac:dyDescent="0.25">
      <c r="A3655" s="180">
        <f t="shared" si="57"/>
        <v>8520102</v>
      </c>
      <c r="B3655" s="188" t="s">
        <v>5193</v>
      </c>
      <c r="C3655" s="188" t="s">
        <v>5194</v>
      </c>
      <c r="D3655" t="s">
        <v>13412</v>
      </c>
    </row>
    <row r="3656" spans="1:4" x14ac:dyDescent="0.25">
      <c r="A3656" s="180">
        <f t="shared" si="57"/>
        <v>8520103</v>
      </c>
      <c r="B3656" s="188" t="s">
        <v>5195</v>
      </c>
      <c r="C3656" s="188" t="s">
        <v>5196</v>
      </c>
    </row>
    <row r="3657" spans="1:4" x14ac:dyDescent="0.25">
      <c r="A3657" s="180">
        <f t="shared" si="57"/>
        <v>8520104</v>
      </c>
      <c r="B3657" s="188" t="s">
        <v>5197</v>
      </c>
      <c r="C3657" s="188" t="s">
        <v>5198</v>
      </c>
    </row>
    <row r="3658" spans="1:4" x14ac:dyDescent="0.25">
      <c r="A3658" s="180">
        <f t="shared" si="57"/>
        <v>8520105</v>
      </c>
      <c r="B3658" s="188" t="s">
        <v>5199</v>
      </c>
      <c r="C3658" s="188" t="s">
        <v>5200</v>
      </c>
    </row>
    <row r="3659" spans="1:4" x14ac:dyDescent="0.25">
      <c r="A3659" s="180">
        <f t="shared" si="57"/>
        <v>8520106</v>
      </c>
      <c r="B3659" s="188" t="s">
        <v>5201</v>
      </c>
      <c r="C3659" s="188" t="s">
        <v>5202</v>
      </c>
    </row>
    <row r="3660" spans="1:4" x14ac:dyDescent="0.25">
      <c r="A3660" s="180">
        <f t="shared" si="57"/>
        <v>8520110</v>
      </c>
      <c r="B3660" s="188" t="s">
        <v>5203</v>
      </c>
      <c r="C3660" s="188" t="s">
        <v>5204</v>
      </c>
      <c r="D3660" t="s">
        <v>13412</v>
      </c>
    </row>
    <row r="3661" spans="1:4" x14ac:dyDescent="0.25">
      <c r="A3661" s="180">
        <f t="shared" si="57"/>
        <v>85201100</v>
      </c>
      <c r="B3661" s="188" t="s">
        <v>5205</v>
      </c>
      <c r="C3661" s="188" t="s">
        <v>5206</v>
      </c>
    </row>
    <row r="3662" spans="1:4" x14ac:dyDescent="0.25">
      <c r="A3662" s="180">
        <f t="shared" si="57"/>
        <v>8520111</v>
      </c>
      <c r="B3662" s="188" t="s">
        <v>5207</v>
      </c>
      <c r="C3662" s="188" t="s">
        <v>5208</v>
      </c>
      <c r="D3662" t="s">
        <v>13412</v>
      </c>
    </row>
    <row r="3663" spans="1:4" x14ac:dyDescent="0.25">
      <c r="A3663" s="180">
        <f t="shared" si="57"/>
        <v>8520116</v>
      </c>
      <c r="B3663" s="188" t="s">
        <v>5209</v>
      </c>
      <c r="C3663" s="188" t="s">
        <v>5210</v>
      </c>
      <c r="D3663" t="s">
        <v>13412</v>
      </c>
    </row>
    <row r="3664" spans="1:4" x14ac:dyDescent="0.25">
      <c r="A3664" s="180">
        <f t="shared" si="57"/>
        <v>8520118</v>
      </c>
      <c r="B3664" s="188" t="s">
        <v>5212</v>
      </c>
      <c r="C3664" s="188" t="s">
        <v>5213</v>
      </c>
      <c r="D3664" t="s">
        <v>13412</v>
      </c>
    </row>
    <row r="3665" spans="1:4" x14ac:dyDescent="0.25">
      <c r="A3665" s="180">
        <f t="shared" si="57"/>
        <v>8520119</v>
      </c>
      <c r="B3665" s="188" t="s">
        <v>5214</v>
      </c>
      <c r="C3665" s="188" t="s">
        <v>5215</v>
      </c>
    </row>
    <row r="3666" spans="1:4" x14ac:dyDescent="0.25">
      <c r="A3666" s="180">
        <f t="shared" si="57"/>
        <v>8520120</v>
      </c>
      <c r="B3666" s="188" t="s">
        <v>5216</v>
      </c>
      <c r="C3666" s="188" t="s">
        <v>5217</v>
      </c>
    </row>
    <row r="3667" spans="1:4" x14ac:dyDescent="0.25">
      <c r="A3667" s="180">
        <f t="shared" si="57"/>
        <v>8520121</v>
      </c>
      <c r="B3667" s="188" t="s">
        <v>5218</v>
      </c>
      <c r="C3667" s="188" t="s">
        <v>5219</v>
      </c>
    </row>
    <row r="3668" spans="1:4" x14ac:dyDescent="0.25">
      <c r="A3668" s="180">
        <f t="shared" si="57"/>
        <v>8520122</v>
      </c>
      <c r="B3668" s="188" t="s">
        <v>5220</v>
      </c>
      <c r="C3668" s="188" t="s">
        <v>5221</v>
      </c>
    </row>
    <row r="3669" spans="1:4" x14ac:dyDescent="0.25">
      <c r="A3669" s="180">
        <f t="shared" si="57"/>
        <v>8520123</v>
      </c>
      <c r="B3669" s="188" t="s">
        <v>5222</v>
      </c>
      <c r="C3669" s="188" t="s">
        <v>5223</v>
      </c>
    </row>
    <row r="3670" spans="1:4" x14ac:dyDescent="0.25">
      <c r="A3670" s="180">
        <f t="shared" si="57"/>
        <v>8520124</v>
      </c>
      <c r="B3670" s="188" t="s">
        <v>5224</v>
      </c>
      <c r="C3670" s="188" t="s">
        <v>13358</v>
      </c>
      <c r="D3670" t="s">
        <v>13412</v>
      </c>
    </row>
    <row r="3671" spans="1:4" x14ac:dyDescent="0.25">
      <c r="A3671" s="180">
        <f t="shared" si="57"/>
        <v>8520125</v>
      </c>
      <c r="B3671" s="188" t="s">
        <v>5225</v>
      </c>
      <c r="C3671" s="188" t="s">
        <v>5226</v>
      </c>
      <c r="D3671" t="s">
        <v>13412</v>
      </c>
    </row>
    <row r="3672" spans="1:4" x14ac:dyDescent="0.25">
      <c r="A3672" s="180">
        <f t="shared" si="57"/>
        <v>8520126</v>
      </c>
      <c r="B3672" s="188" t="s">
        <v>5227</v>
      </c>
      <c r="C3672" s="188" t="s">
        <v>5228</v>
      </c>
    </row>
    <row r="3673" spans="1:4" x14ac:dyDescent="0.25">
      <c r="A3673" s="180">
        <f t="shared" si="57"/>
        <v>8520127</v>
      </c>
      <c r="B3673" s="188" t="s">
        <v>5229</v>
      </c>
      <c r="C3673" s="188" t="s">
        <v>5230</v>
      </c>
    </row>
    <row r="3674" spans="1:4" x14ac:dyDescent="0.25">
      <c r="A3674" s="180">
        <f t="shared" si="57"/>
        <v>8520130</v>
      </c>
      <c r="B3674" s="188" t="s">
        <v>5231</v>
      </c>
      <c r="C3674" s="188" t="s">
        <v>5232</v>
      </c>
    </row>
    <row r="3675" spans="1:4" x14ac:dyDescent="0.25">
      <c r="A3675" s="180">
        <f t="shared" si="57"/>
        <v>8520141</v>
      </c>
      <c r="B3675" s="188" t="s">
        <v>5233</v>
      </c>
      <c r="C3675" s="188" t="s">
        <v>5234</v>
      </c>
      <c r="D3675" t="s">
        <v>13412</v>
      </c>
    </row>
    <row r="3676" spans="1:4" x14ac:dyDescent="0.25">
      <c r="A3676" s="180">
        <f t="shared" si="57"/>
        <v>8520142</v>
      </c>
      <c r="B3676" s="188" t="s">
        <v>5235</v>
      </c>
      <c r="C3676" s="188" t="s">
        <v>5236</v>
      </c>
    </row>
    <row r="3677" spans="1:4" x14ac:dyDescent="0.25">
      <c r="A3677" s="180">
        <f t="shared" si="57"/>
        <v>8520143</v>
      </c>
      <c r="B3677" s="188" t="s">
        <v>5237</v>
      </c>
      <c r="C3677" s="188" t="s">
        <v>5238</v>
      </c>
    </row>
    <row r="3678" spans="1:4" x14ac:dyDescent="0.25">
      <c r="A3678" s="180">
        <f t="shared" si="57"/>
        <v>8520144</v>
      </c>
      <c r="B3678" s="188" t="s">
        <v>5239</v>
      </c>
      <c r="C3678" s="188" t="s">
        <v>5240</v>
      </c>
    </row>
    <row r="3679" spans="1:4" x14ac:dyDescent="0.25">
      <c r="A3679" s="180">
        <f t="shared" si="57"/>
        <v>8520155</v>
      </c>
      <c r="B3679" s="188" t="s">
        <v>5241</v>
      </c>
      <c r="C3679" s="188" t="s">
        <v>5242</v>
      </c>
    </row>
    <row r="3680" spans="1:4" x14ac:dyDescent="0.25">
      <c r="A3680" s="180">
        <f t="shared" si="57"/>
        <v>8520162</v>
      </c>
      <c r="B3680" s="188" t="s">
        <v>5243</v>
      </c>
      <c r="C3680" s="188" t="s">
        <v>5244</v>
      </c>
      <c r="D3680" t="s">
        <v>13412</v>
      </c>
    </row>
    <row r="3681" spans="1:4" x14ac:dyDescent="0.25">
      <c r="A3681" s="180">
        <f t="shared" si="57"/>
        <v>8520165</v>
      </c>
      <c r="B3681" s="188" t="s">
        <v>5245</v>
      </c>
      <c r="C3681" s="188" t="s">
        <v>12701</v>
      </c>
      <c r="D3681" t="s">
        <v>13412</v>
      </c>
    </row>
    <row r="3682" spans="1:4" x14ac:dyDescent="0.25">
      <c r="A3682" s="180">
        <f t="shared" si="57"/>
        <v>8520166</v>
      </c>
      <c r="B3682" s="188" t="s">
        <v>5246</v>
      </c>
      <c r="C3682" s="188" t="s">
        <v>5247</v>
      </c>
      <c r="D3682" t="s">
        <v>13412</v>
      </c>
    </row>
    <row r="3683" spans="1:4" x14ac:dyDescent="0.25">
      <c r="A3683" s="180">
        <f t="shared" si="57"/>
        <v>8520167</v>
      </c>
      <c r="B3683" s="188" t="s">
        <v>14533</v>
      </c>
      <c r="C3683" s="188" t="s">
        <v>14534</v>
      </c>
      <c r="D3683" t="s">
        <v>13412</v>
      </c>
    </row>
    <row r="3684" spans="1:4" x14ac:dyDescent="0.25">
      <c r="A3684" s="180">
        <f t="shared" si="57"/>
        <v>8520175</v>
      </c>
      <c r="B3684" s="188" t="s">
        <v>5248</v>
      </c>
      <c r="C3684" s="188" t="s">
        <v>5249</v>
      </c>
    </row>
    <row r="3685" spans="1:4" x14ac:dyDescent="0.25">
      <c r="A3685" s="180">
        <f t="shared" si="57"/>
        <v>8520190</v>
      </c>
      <c r="B3685" s="188" t="s">
        <v>5250</v>
      </c>
      <c r="C3685" s="188" t="s">
        <v>5251</v>
      </c>
    </row>
    <row r="3686" spans="1:4" x14ac:dyDescent="0.25">
      <c r="A3686" s="180">
        <f t="shared" si="57"/>
        <v>8520209</v>
      </c>
      <c r="B3686" s="188" t="s">
        <v>5252</v>
      </c>
      <c r="C3686" s="188" t="s">
        <v>5253</v>
      </c>
      <c r="D3686" t="s">
        <v>13412</v>
      </c>
    </row>
    <row r="3687" spans="1:4" x14ac:dyDescent="0.25">
      <c r="A3687" s="180">
        <f t="shared" si="57"/>
        <v>8520220</v>
      </c>
      <c r="B3687" s="188" t="s">
        <v>5254</v>
      </c>
      <c r="C3687" s="188" t="s">
        <v>7024</v>
      </c>
      <c r="D3687" t="s">
        <v>13412</v>
      </c>
    </row>
    <row r="3688" spans="1:4" x14ac:dyDescent="0.25">
      <c r="A3688" s="180">
        <f t="shared" si="57"/>
        <v>8520222</v>
      </c>
      <c r="B3688" s="188" t="s">
        <v>5255</v>
      </c>
      <c r="C3688" s="188" t="s">
        <v>5256</v>
      </c>
    </row>
    <row r="3689" spans="1:4" x14ac:dyDescent="0.25">
      <c r="A3689" s="180">
        <f t="shared" si="57"/>
        <v>8520227</v>
      </c>
      <c r="B3689" s="188" t="s">
        <v>14057</v>
      </c>
      <c r="C3689" s="188" t="s">
        <v>14058</v>
      </c>
      <c r="D3689" t="s">
        <v>13412</v>
      </c>
    </row>
    <row r="3690" spans="1:4" x14ac:dyDescent="0.25">
      <c r="A3690" s="180">
        <f t="shared" si="57"/>
        <v>8520230</v>
      </c>
      <c r="B3690" s="188" t="s">
        <v>5257</v>
      </c>
      <c r="C3690" s="188" t="s">
        <v>5258</v>
      </c>
      <c r="D3690" t="s">
        <v>13412</v>
      </c>
    </row>
    <row r="3691" spans="1:4" x14ac:dyDescent="0.25">
      <c r="A3691" s="180">
        <f t="shared" si="57"/>
        <v>8520235</v>
      </c>
      <c r="B3691" s="188" t="s">
        <v>13533</v>
      </c>
      <c r="C3691" s="188" t="s">
        <v>13534</v>
      </c>
      <c r="D3691" t="s">
        <v>13412</v>
      </c>
    </row>
    <row r="3692" spans="1:4" x14ac:dyDescent="0.25">
      <c r="A3692" s="180">
        <f t="shared" si="57"/>
        <v>8520264</v>
      </c>
      <c r="B3692" s="188" t="s">
        <v>5259</v>
      </c>
      <c r="C3692" s="188" t="s">
        <v>5260</v>
      </c>
    </row>
    <row r="3693" spans="1:4" x14ac:dyDescent="0.25">
      <c r="A3693" s="180">
        <f t="shared" si="57"/>
        <v>8520265</v>
      </c>
      <c r="B3693" s="188" t="s">
        <v>5261</v>
      </c>
      <c r="C3693" s="188" t="s">
        <v>5262</v>
      </c>
      <c r="D3693" t="s">
        <v>13412</v>
      </c>
    </row>
    <row r="3694" spans="1:4" x14ac:dyDescent="0.25">
      <c r="A3694" s="180">
        <f t="shared" si="57"/>
        <v>8520271</v>
      </c>
      <c r="B3694" s="188" t="s">
        <v>5263</v>
      </c>
      <c r="C3694" s="188" t="s">
        <v>5264</v>
      </c>
    </row>
    <row r="3695" spans="1:4" x14ac:dyDescent="0.25">
      <c r="A3695" s="180">
        <f t="shared" si="57"/>
        <v>8520282</v>
      </c>
      <c r="B3695" s="188" t="s">
        <v>5265</v>
      </c>
      <c r="C3695" s="188" t="s">
        <v>5266</v>
      </c>
      <c r="D3695" t="s">
        <v>13412</v>
      </c>
    </row>
    <row r="3696" spans="1:4" x14ac:dyDescent="0.25">
      <c r="A3696" s="180">
        <f t="shared" si="57"/>
        <v>8520283</v>
      </c>
      <c r="B3696" s="188" t="s">
        <v>13535</v>
      </c>
      <c r="C3696" s="188" t="s">
        <v>13536</v>
      </c>
      <c r="D3696" t="s">
        <v>13412</v>
      </c>
    </row>
    <row r="3697" spans="1:4" x14ac:dyDescent="0.25">
      <c r="A3697" s="180">
        <f t="shared" si="57"/>
        <v>8520290</v>
      </c>
      <c r="B3697" s="188" t="s">
        <v>5267</v>
      </c>
      <c r="C3697" s="188" t="s">
        <v>5268</v>
      </c>
      <c r="D3697" t="s">
        <v>13412</v>
      </c>
    </row>
    <row r="3698" spans="1:4" x14ac:dyDescent="0.25">
      <c r="A3698" s="180">
        <f t="shared" si="57"/>
        <v>8520306</v>
      </c>
      <c r="B3698" s="188" t="s">
        <v>5269</v>
      </c>
      <c r="C3698" s="188" t="s">
        <v>5270</v>
      </c>
      <c r="D3698" t="s">
        <v>13412</v>
      </c>
    </row>
    <row r="3699" spans="1:4" x14ac:dyDescent="0.25">
      <c r="A3699" s="180">
        <f t="shared" si="57"/>
        <v>8520372</v>
      </c>
      <c r="B3699" s="188" t="s">
        <v>5271</v>
      </c>
      <c r="C3699" s="188" t="s">
        <v>5272</v>
      </c>
      <c r="D3699" t="s">
        <v>13412</v>
      </c>
    </row>
    <row r="3700" spans="1:4" x14ac:dyDescent="0.25">
      <c r="A3700" s="180">
        <f t="shared" si="57"/>
        <v>8520398</v>
      </c>
      <c r="B3700" s="188" t="s">
        <v>5273</v>
      </c>
      <c r="C3700" s="188" t="s">
        <v>5274</v>
      </c>
      <c r="D3700" t="s">
        <v>13412</v>
      </c>
    </row>
    <row r="3701" spans="1:4" x14ac:dyDescent="0.25">
      <c r="A3701" s="180">
        <f t="shared" si="57"/>
        <v>8520407</v>
      </c>
      <c r="B3701" s="188" t="s">
        <v>5275</v>
      </c>
      <c r="C3701" s="188" t="s">
        <v>5276</v>
      </c>
      <c r="D3701" t="s">
        <v>13412</v>
      </c>
    </row>
    <row r="3702" spans="1:4" x14ac:dyDescent="0.25">
      <c r="A3702" s="180">
        <f t="shared" si="57"/>
        <v>8520458</v>
      </c>
      <c r="B3702" s="188" t="s">
        <v>5277</v>
      </c>
      <c r="C3702" s="188" t="s">
        <v>12702</v>
      </c>
      <c r="D3702" t="s">
        <v>13412</v>
      </c>
    </row>
    <row r="3703" spans="1:4" x14ac:dyDescent="0.25">
      <c r="A3703" s="180">
        <f t="shared" si="57"/>
        <v>8520506</v>
      </c>
      <c r="B3703" s="188" t="s">
        <v>5278</v>
      </c>
      <c r="C3703" s="188" t="s">
        <v>5279</v>
      </c>
      <c r="D3703" t="s">
        <v>13412</v>
      </c>
    </row>
    <row r="3704" spans="1:4" x14ac:dyDescent="0.25">
      <c r="A3704" s="180">
        <f t="shared" si="57"/>
        <v>8520507</v>
      </c>
      <c r="B3704" s="188" t="s">
        <v>5280</v>
      </c>
      <c r="C3704" s="188" t="s">
        <v>5281</v>
      </c>
    </row>
    <row r="3705" spans="1:4" x14ac:dyDescent="0.25">
      <c r="A3705" s="180">
        <f t="shared" si="57"/>
        <v>8520508</v>
      </c>
      <c r="B3705" s="188" t="s">
        <v>5282</v>
      </c>
      <c r="C3705" s="188" t="s">
        <v>5283</v>
      </c>
    </row>
    <row r="3706" spans="1:4" x14ac:dyDescent="0.25">
      <c r="A3706" s="180">
        <f t="shared" si="57"/>
        <v>8520509</v>
      </c>
      <c r="B3706" s="188" t="s">
        <v>5284</v>
      </c>
      <c r="C3706" s="188" t="s">
        <v>5285</v>
      </c>
    </row>
    <row r="3707" spans="1:4" x14ac:dyDescent="0.25">
      <c r="A3707" s="180">
        <f t="shared" si="57"/>
        <v>8520510</v>
      </c>
      <c r="B3707" s="188" t="s">
        <v>5286</v>
      </c>
      <c r="C3707" s="188" t="s">
        <v>5287</v>
      </c>
    </row>
    <row r="3708" spans="1:4" x14ac:dyDescent="0.25">
      <c r="A3708" s="180">
        <f t="shared" si="57"/>
        <v>8520511</v>
      </c>
      <c r="B3708" s="188" t="s">
        <v>5288</v>
      </c>
      <c r="C3708" s="188" t="s">
        <v>12703</v>
      </c>
      <c r="D3708" t="s">
        <v>13412</v>
      </c>
    </row>
    <row r="3709" spans="1:4" x14ac:dyDescent="0.25">
      <c r="A3709" s="180">
        <f t="shared" si="57"/>
        <v>8520512</v>
      </c>
      <c r="B3709" s="188" t="s">
        <v>5289</v>
      </c>
      <c r="C3709" s="188" t="s">
        <v>5290</v>
      </c>
    </row>
    <row r="3710" spans="1:4" x14ac:dyDescent="0.25">
      <c r="A3710" s="180">
        <f t="shared" si="57"/>
        <v>8520513</v>
      </c>
      <c r="B3710" s="188" t="s">
        <v>5291</v>
      </c>
      <c r="C3710" s="188" t="s">
        <v>5292</v>
      </c>
      <c r="D3710" t="s">
        <v>13412</v>
      </c>
    </row>
    <row r="3711" spans="1:4" x14ac:dyDescent="0.25">
      <c r="A3711" s="180">
        <f t="shared" ref="A3711:A3774" si="58">IFERROR(B3711*1,"")</f>
        <v>8520517</v>
      </c>
      <c r="B3711" s="188" t="s">
        <v>5293</v>
      </c>
      <c r="C3711" s="188" t="s">
        <v>5294</v>
      </c>
      <c r="D3711" t="s">
        <v>13412</v>
      </c>
    </row>
    <row r="3712" spans="1:4" x14ac:dyDescent="0.25">
      <c r="A3712" s="180">
        <f t="shared" si="58"/>
        <v>8520535</v>
      </c>
      <c r="B3712" s="188" t="s">
        <v>14059</v>
      </c>
      <c r="C3712" s="188" t="s">
        <v>14060</v>
      </c>
      <c r="D3712" t="s">
        <v>13412</v>
      </c>
    </row>
    <row r="3713" spans="1:4" x14ac:dyDescent="0.25">
      <c r="A3713" s="180">
        <f t="shared" si="58"/>
        <v>8520546</v>
      </c>
      <c r="B3713" s="188" t="s">
        <v>5295</v>
      </c>
      <c r="C3713" s="188" t="s">
        <v>5296</v>
      </c>
      <c r="D3713" t="s">
        <v>13412</v>
      </c>
    </row>
    <row r="3714" spans="1:4" x14ac:dyDescent="0.25">
      <c r="A3714" s="180">
        <f t="shared" si="58"/>
        <v>8520556</v>
      </c>
      <c r="B3714" s="188" t="s">
        <v>5297</v>
      </c>
      <c r="C3714" s="188" t="s">
        <v>5298</v>
      </c>
    </row>
    <row r="3715" spans="1:4" x14ac:dyDescent="0.25">
      <c r="A3715" s="180">
        <f t="shared" si="58"/>
        <v>8520620</v>
      </c>
      <c r="B3715" s="188" t="s">
        <v>5299</v>
      </c>
      <c r="C3715" s="188" t="s">
        <v>5300</v>
      </c>
      <c r="D3715" t="s">
        <v>13412</v>
      </c>
    </row>
    <row r="3716" spans="1:4" x14ac:dyDescent="0.25">
      <c r="A3716" s="180">
        <f t="shared" si="58"/>
        <v>8520623</v>
      </c>
      <c r="B3716" s="188" t="s">
        <v>5301</v>
      </c>
      <c r="C3716" s="188" t="s">
        <v>5302</v>
      </c>
      <c r="D3716" t="s">
        <v>13412</v>
      </c>
    </row>
    <row r="3717" spans="1:4" x14ac:dyDescent="0.25">
      <c r="A3717" s="180">
        <f t="shared" si="58"/>
        <v>8520624</v>
      </c>
      <c r="B3717" s="188" t="s">
        <v>5303</v>
      </c>
      <c r="C3717" s="188" t="s">
        <v>5304</v>
      </c>
      <c r="D3717" t="s">
        <v>13412</v>
      </c>
    </row>
    <row r="3718" spans="1:4" x14ac:dyDescent="0.25">
      <c r="A3718" s="180">
        <f t="shared" si="58"/>
        <v>8520625</v>
      </c>
      <c r="B3718" s="188" t="s">
        <v>5305</v>
      </c>
      <c r="C3718" s="188" t="s">
        <v>5306</v>
      </c>
    </row>
    <row r="3719" spans="1:4" x14ac:dyDescent="0.25">
      <c r="A3719" s="180">
        <f t="shared" si="58"/>
        <v>8520626</v>
      </c>
      <c r="B3719" s="188" t="s">
        <v>5307</v>
      </c>
      <c r="C3719" s="188" t="s">
        <v>5308</v>
      </c>
      <c r="D3719" t="s">
        <v>13412</v>
      </c>
    </row>
    <row r="3720" spans="1:4" x14ac:dyDescent="0.25">
      <c r="A3720" s="180">
        <f t="shared" si="58"/>
        <v>8520629</v>
      </c>
      <c r="B3720" s="188" t="s">
        <v>5309</v>
      </c>
      <c r="C3720" s="188" t="s">
        <v>5310</v>
      </c>
      <c r="D3720" t="s">
        <v>13412</v>
      </c>
    </row>
    <row r="3721" spans="1:4" x14ac:dyDescent="0.25">
      <c r="A3721" s="180">
        <f t="shared" si="58"/>
        <v>8520690</v>
      </c>
      <c r="B3721" s="188" t="s">
        <v>5311</v>
      </c>
      <c r="C3721" s="188" t="s">
        <v>14283</v>
      </c>
      <c r="D3721" t="s">
        <v>13412</v>
      </c>
    </row>
    <row r="3722" spans="1:4" x14ac:dyDescent="0.25">
      <c r="A3722" s="180">
        <f t="shared" si="58"/>
        <v>8520691</v>
      </c>
      <c r="B3722" s="188" t="s">
        <v>5312</v>
      </c>
      <c r="C3722" s="188" t="s">
        <v>5313</v>
      </c>
      <c r="D3722" t="s">
        <v>13412</v>
      </c>
    </row>
    <row r="3723" spans="1:4" x14ac:dyDescent="0.25">
      <c r="A3723" s="180">
        <f t="shared" si="58"/>
        <v>8520710</v>
      </c>
      <c r="B3723" s="188" t="s">
        <v>5314</v>
      </c>
      <c r="C3723" s="188" t="s">
        <v>12704</v>
      </c>
      <c r="D3723" t="s">
        <v>13412</v>
      </c>
    </row>
    <row r="3724" spans="1:4" x14ac:dyDescent="0.25">
      <c r="A3724" s="180">
        <f t="shared" si="58"/>
        <v>8520726</v>
      </c>
      <c r="B3724" s="188" t="s">
        <v>5315</v>
      </c>
      <c r="C3724" s="188" t="s">
        <v>5316</v>
      </c>
      <c r="D3724" t="s">
        <v>13412</v>
      </c>
    </row>
    <row r="3725" spans="1:4" x14ac:dyDescent="0.25">
      <c r="A3725" s="180">
        <f t="shared" si="58"/>
        <v>8520728</v>
      </c>
      <c r="B3725" s="188" t="s">
        <v>5317</v>
      </c>
      <c r="C3725" s="188" t="s">
        <v>5318</v>
      </c>
    </row>
    <row r="3726" spans="1:4" x14ac:dyDescent="0.25">
      <c r="A3726" s="180">
        <f t="shared" si="58"/>
        <v>8520729</v>
      </c>
      <c r="B3726" s="188" t="s">
        <v>5319</v>
      </c>
      <c r="C3726" s="188" t="s">
        <v>5320</v>
      </c>
      <c r="D3726" t="s">
        <v>13412</v>
      </c>
    </row>
    <row r="3727" spans="1:4" x14ac:dyDescent="0.25">
      <c r="A3727" s="180">
        <f t="shared" si="58"/>
        <v>8520733</v>
      </c>
      <c r="B3727" s="188" t="s">
        <v>5321</v>
      </c>
      <c r="C3727" s="188" t="s">
        <v>5322</v>
      </c>
      <c r="D3727" t="s">
        <v>13412</v>
      </c>
    </row>
    <row r="3728" spans="1:4" x14ac:dyDescent="0.25">
      <c r="A3728" s="180">
        <f t="shared" si="58"/>
        <v>8520738</v>
      </c>
      <c r="B3728" s="188" t="s">
        <v>5323</v>
      </c>
      <c r="C3728" s="188" t="s">
        <v>7025</v>
      </c>
      <c r="D3728" t="s">
        <v>13412</v>
      </c>
    </row>
    <row r="3729" spans="1:4" x14ac:dyDescent="0.25">
      <c r="A3729" s="180">
        <f t="shared" si="58"/>
        <v>8520745</v>
      </c>
      <c r="B3729" s="188" t="s">
        <v>5324</v>
      </c>
      <c r="C3729" s="188" t="s">
        <v>5325</v>
      </c>
      <c r="D3729" t="s">
        <v>13412</v>
      </c>
    </row>
    <row r="3730" spans="1:4" x14ac:dyDescent="0.25">
      <c r="A3730" s="180">
        <f t="shared" si="58"/>
        <v>8520746</v>
      </c>
      <c r="B3730" s="188" t="s">
        <v>5326</v>
      </c>
      <c r="C3730" s="188" t="s">
        <v>5327</v>
      </c>
    </row>
    <row r="3731" spans="1:4" x14ac:dyDescent="0.25">
      <c r="A3731" s="180">
        <f t="shared" si="58"/>
        <v>8520750</v>
      </c>
      <c r="B3731" s="188" t="s">
        <v>5328</v>
      </c>
      <c r="C3731" s="188" t="s">
        <v>7026</v>
      </c>
      <c r="D3731" t="s">
        <v>13412</v>
      </c>
    </row>
    <row r="3732" spans="1:4" x14ac:dyDescent="0.25">
      <c r="A3732" s="180">
        <f t="shared" si="58"/>
        <v>8520751</v>
      </c>
      <c r="B3732" s="188" t="s">
        <v>5329</v>
      </c>
      <c r="C3732" s="188" t="s">
        <v>5330</v>
      </c>
    </row>
    <row r="3733" spans="1:4" x14ac:dyDescent="0.25">
      <c r="A3733" s="180">
        <f t="shared" si="58"/>
        <v>8520776</v>
      </c>
      <c r="B3733" s="188" t="s">
        <v>5331</v>
      </c>
      <c r="C3733" s="188" t="s">
        <v>5158</v>
      </c>
    </row>
    <row r="3734" spans="1:4" x14ac:dyDescent="0.25">
      <c r="A3734" s="180">
        <f t="shared" si="58"/>
        <v>8520779</v>
      </c>
      <c r="B3734" s="188" t="s">
        <v>5332</v>
      </c>
      <c r="C3734" s="188" t="s">
        <v>5333</v>
      </c>
    </row>
    <row r="3735" spans="1:4" x14ac:dyDescent="0.25">
      <c r="A3735" s="180">
        <f t="shared" si="58"/>
        <v>8520781</v>
      </c>
      <c r="B3735" s="188" t="s">
        <v>5334</v>
      </c>
      <c r="C3735" s="188" t="s">
        <v>5335</v>
      </c>
      <c r="D3735" t="s">
        <v>13412</v>
      </c>
    </row>
    <row r="3736" spans="1:4" x14ac:dyDescent="0.25">
      <c r="A3736" s="180">
        <f t="shared" si="58"/>
        <v>8520802</v>
      </c>
      <c r="B3736" s="188" t="s">
        <v>5336</v>
      </c>
      <c r="C3736" s="188" t="s">
        <v>12705</v>
      </c>
      <c r="D3736" t="s">
        <v>13412</v>
      </c>
    </row>
    <row r="3737" spans="1:4" x14ac:dyDescent="0.25">
      <c r="A3737" s="180">
        <f t="shared" si="58"/>
        <v>8520804</v>
      </c>
      <c r="B3737" s="188" t="s">
        <v>5337</v>
      </c>
      <c r="C3737" s="188" t="s">
        <v>5338</v>
      </c>
      <c r="D3737" t="s">
        <v>13412</v>
      </c>
    </row>
    <row r="3738" spans="1:4" x14ac:dyDescent="0.25">
      <c r="A3738" s="180">
        <f t="shared" si="58"/>
        <v>8520813</v>
      </c>
      <c r="B3738" s="188" t="s">
        <v>5339</v>
      </c>
      <c r="C3738" s="188" t="s">
        <v>5340</v>
      </c>
      <c r="D3738" t="s">
        <v>13412</v>
      </c>
    </row>
    <row r="3739" spans="1:4" x14ac:dyDescent="0.25">
      <c r="A3739" s="180">
        <f t="shared" si="58"/>
        <v>8520814</v>
      </c>
      <c r="B3739" s="188" t="s">
        <v>5341</v>
      </c>
      <c r="C3739" s="188" t="s">
        <v>12922</v>
      </c>
      <c r="D3739" t="s">
        <v>13412</v>
      </c>
    </row>
    <row r="3740" spans="1:4" x14ac:dyDescent="0.25">
      <c r="A3740" s="180">
        <f t="shared" si="58"/>
        <v>8520817</v>
      </c>
      <c r="B3740" s="188" t="s">
        <v>5342</v>
      </c>
      <c r="C3740" s="188" t="s">
        <v>5343</v>
      </c>
      <c r="D3740" t="s">
        <v>13412</v>
      </c>
    </row>
    <row r="3741" spans="1:4" x14ac:dyDescent="0.25">
      <c r="A3741" s="180">
        <f t="shared" si="58"/>
        <v>8520821</v>
      </c>
      <c r="B3741" s="188" t="s">
        <v>5344</v>
      </c>
      <c r="C3741" s="188" t="s">
        <v>5345</v>
      </c>
    </row>
    <row r="3742" spans="1:4" x14ac:dyDescent="0.25">
      <c r="A3742" s="180">
        <f t="shared" si="58"/>
        <v>8520824</v>
      </c>
      <c r="B3742" s="188" t="s">
        <v>5346</v>
      </c>
      <c r="C3742" s="188" t="s">
        <v>5347</v>
      </c>
      <c r="D3742" t="s">
        <v>13412</v>
      </c>
    </row>
    <row r="3743" spans="1:4" x14ac:dyDescent="0.25">
      <c r="A3743" s="180">
        <f t="shared" si="58"/>
        <v>8520866</v>
      </c>
      <c r="B3743" s="188" t="s">
        <v>5348</v>
      </c>
      <c r="C3743" s="188" t="s">
        <v>5349</v>
      </c>
      <c r="D3743" t="s">
        <v>13412</v>
      </c>
    </row>
    <row r="3744" spans="1:4" x14ac:dyDescent="0.25">
      <c r="A3744" s="180">
        <f t="shared" si="58"/>
        <v>8520925</v>
      </c>
      <c r="B3744" s="188" t="s">
        <v>5350</v>
      </c>
      <c r="C3744" s="188" t="s">
        <v>5351</v>
      </c>
    </row>
    <row r="3745" spans="1:4" x14ac:dyDescent="0.25">
      <c r="A3745" s="180">
        <f t="shared" si="58"/>
        <v>8520932</v>
      </c>
      <c r="B3745" s="188" t="s">
        <v>5352</v>
      </c>
      <c r="C3745" s="188" t="s">
        <v>5353</v>
      </c>
      <c r="D3745" t="s">
        <v>13412</v>
      </c>
    </row>
    <row r="3746" spans="1:4" x14ac:dyDescent="0.25">
      <c r="A3746" s="180">
        <f t="shared" si="58"/>
        <v>8520936</v>
      </c>
      <c r="B3746" s="188" t="s">
        <v>5354</v>
      </c>
      <c r="C3746" s="188" t="s">
        <v>5355</v>
      </c>
      <c r="D3746" t="s">
        <v>13412</v>
      </c>
    </row>
    <row r="3747" spans="1:4" x14ac:dyDescent="0.25">
      <c r="A3747" s="180">
        <f t="shared" si="58"/>
        <v>8520941</v>
      </c>
      <c r="B3747" s="188" t="s">
        <v>5356</v>
      </c>
      <c r="C3747" s="188" t="s">
        <v>5357</v>
      </c>
      <c r="D3747" t="s">
        <v>13412</v>
      </c>
    </row>
    <row r="3748" spans="1:4" x14ac:dyDescent="0.25">
      <c r="A3748" s="180">
        <f t="shared" si="58"/>
        <v>8520942</v>
      </c>
      <c r="B3748" s="188" t="s">
        <v>5358</v>
      </c>
      <c r="C3748" s="188" t="s">
        <v>5359</v>
      </c>
    </row>
    <row r="3749" spans="1:4" x14ac:dyDescent="0.25">
      <c r="A3749" s="180">
        <f t="shared" si="58"/>
        <v>8520945</v>
      </c>
      <c r="B3749" s="188" t="s">
        <v>5360</v>
      </c>
      <c r="C3749" s="188" t="s">
        <v>5361</v>
      </c>
    </row>
    <row r="3750" spans="1:4" x14ac:dyDescent="0.25">
      <c r="A3750" s="180">
        <f t="shared" si="58"/>
        <v>8520946</v>
      </c>
      <c r="B3750" s="188" t="s">
        <v>5362</v>
      </c>
      <c r="C3750" s="188" t="s">
        <v>7027</v>
      </c>
      <c r="D3750" t="s">
        <v>13412</v>
      </c>
    </row>
    <row r="3751" spans="1:4" x14ac:dyDescent="0.25">
      <c r="A3751" s="180">
        <f t="shared" si="58"/>
        <v>8520947</v>
      </c>
      <c r="B3751" s="188" t="s">
        <v>5363</v>
      </c>
      <c r="C3751" s="188" t="s">
        <v>5364</v>
      </c>
      <c r="D3751" t="s">
        <v>13412</v>
      </c>
    </row>
    <row r="3752" spans="1:4" x14ac:dyDescent="0.25">
      <c r="A3752" s="180">
        <f t="shared" si="58"/>
        <v>8520948</v>
      </c>
      <c r="B3752" s="188" t="s">
        <v>5365</v>
      </c>
      <c r="C3752" s="188" t="s">
        <v>5366</v>
      </c>
    </row>
    <row r="3753" spans="1:4" x14ac:dyDescent="0.25">
      <c r="A3753" s="180">
        <f t="shared" si="58"/>
        <v>8520953</v>
      </c>
      <c r="B3753" s="188" t="s">
        <v>5367</v>
      </c>
      <c r="C3753" s="188" t="s">
        <v>5368</v>
      </c>
    </row>
    <row r="3754" spans="1:4" x14ac:dyDescent="0.25">
      <c r="A3754" s="180">
        <f t="shared" si="58"/>
        <v>8520986</v>
      </c>
      <c r="B3754" s="188" t="s">
        <v>12706</v>
      </c>
      <c r="C3754" s="188" t="s">
        <v>12707</v>
      </c>
      <c r="D3754" t="s">
        <v>13412</v>
      </c>
    </row>
    <row r="3755" spans="1:4" x14ac:dyDescent="0.25">
      <c r="A3755" s="180">
        <f t="shared" si="58"/>
        <v>8520994</v>
      </c>
      <c r="B3755" s="188" t="s">
        <v>5369</v>
      </c>
      <c r="C3755" s="188" t="s">
        <v>5370</v>
      </c>
    </row>
    <row r="3756" spans="1:4" x14ac:dyDescent="0.25">
      <c r="A3756" s="180">
        <f t="shared" si="58"/>
        <v>8520999</v>
      </c>
      <c r="B3756" s="188" t="s">
        <v>5371</v>
      </c>
      <c r="C3756" s="188" t="s">
        <v>5372</v>
      </c>
      <c r="D3756" t="s">
        <v>13412</v>
      </c>
    </row>
    <row r="3757" spans="1:4" x14ac:dyDescent="0.25">
      <c r="A3757" s="180">
        <f t="shared" si="58"/>
        <v>8521001</v>
      </c>
      <c r="B3757" s="188" t="s">
        <v>5373</v>
      </c>
      <c r="C3757" s="188" t="s">
        <v>5374</v>
      </c>
    </row>
    <row r="3758" spans="1:4" x14ac:dyDescent="0.25">
      <c r="A3758" s="180">
        <f t="shared" si="58"/>
        <v>8521002</v>
      </c>
      <c r="B3758" s="188" t="s">
        <v>5375</v>
      </c>
      <c r="C3758" s="188" t="s">
        <v>5376</v>
      </c>
      <c r="D3758" t="s">
        <v>13412</v>
      </c>
    </row>
    <row r="3759" spans="1:4" x14ac:dyDescent="0.25">
      <c r="A3759" s="180">
        <f t="shared" si="58"/>
        <v>8521013</v>
      </c>
      <c r="B3759" s="188" t="s">
        <v>5377</v>
      </c>
      <c r="C3759" s="188" t="s">
        <v>5378</v>
      </c>
      <c r="D3759" t="s">
        <v>13412</v>
      </c>
    </row>
    <row r="3760" spans="1:4" x14ac:dyDescent="0.25">
      <c r="A3760" s="180">
        <f t="shared" si="58"/>
        <v>8521014</v>
      </c>
      <c r="B3760" s="188" t="s">
        <v>5379</v>
      </c>
      <c r="C3760" s="188" t="s">
        <v>5380</v>
      </c>
      <c r="D3760" t="s">
        <v>13412</v>
      </c>
    </row>
    <row r="3761" spans="1:4" x14ac:dyDescent="0.25">
      <c r="A3761" s="180">
        <f t="shared" si="58"/>
        <v>8521015</v>
      </c>
      <c r="B3761" s="188" t="s">
        <v>5381</v>
      </c>
      <c r="C3761" s="188" t="s">
        <v>5382</v>
      </c>
      <c r="D3761" t="s">
        <v>13412</v>
      </c>
    </row>
    <row r="3762" spans="1:4" x14ac:dyDescent="0.25">
      <c r="A3762" s="180">
        <f t="shared" si="58"/>
        <v>8521021</v>
      </c>
      <c r="B3762" s="188" t="s">
        <v>5383</v>
      </c>
      <c r="C3762" s="188" t="s">
        <v>5384</v>
      </c>
    </row>
    <row r="3763" spans="1:4" x14ac:dyDescent="0.25">
      <c r="A3763" s="180">
        <f t="shared" si="58"/>
        <v>8521024</v>
      </c>
      <c r="B3763" s="188" t="s">
        <v>5385</v>
      </c>
      <c r="C3763" s="188" t="s">
        <v>12923</v>
      </c>
      <c r="D3763" t="s">
        <v>13412</v>
      </c>
    </row>
    <row r="3764" spans="1:4" x14ac:dyDescent="0.25">
      <c r="A3764" s="180">
        <f t="shared" si="58"/>
        <v>8521029</v>
      </c>
      <c r="B3764" s="188" t="s">
        <v>5386</v>
      </c>
      <c r="C3764" s="188" t="s">
        <v>5387</v>
      </c>
    </row>
    <row r="3765" spans="1:4" x14ac:dyDescent="0.25">
      <c r="A3765" s="180">
        <f t="shared" si="58"/>
        <v>8521030</v>
      </c>
      <c r="B3765" s="188" t="s">
        <v>5388</v>
      </c>
      <c r="C3765" s="188" t="s">
        <v>5389</v>
      </c>
    </row>
    <row r="3766" spans="1:4" x14ac:dyDescent="0.25">
      <c r="A3766" s="180">
        <f t="shared" si="58"/>
        <v>8521031</v>
      </c>
      <c r="B3766" s="188" t="s">
        <v>5390</v>
      </c>
      <c r="C3766" s="188" t="s">
        <v>5391</v>
      </c>
    </row>
    <row r="3767" spans="1:4" x14ac:dyDescent="0.25">
      <c r="A3767" s="180">
        <f t="shared" si="58"/>
        <v>8521032</v>
      </c>
      <c r="B3767" s="188" t="s">
        <v>5392</v>
      </c>
      <c r="C3767" s="188" t="s">
        <v>5393</v>
      </c>
    </row>
    <row r="3768" spans="1:4" x14ac:dyDescent="0.25">
      <c r="A3768" s="180">
        <f t="shared" si="58"/>
        <v>8521033</v>
      </c>
      <c r="B3768" s="188" t="s">
        <v>5394</v>
      </c>
      <c r="C3768" s="188" t="s">
        <v>5395</v>
      </c>
    </row>
    <row r="3769" spans="1:4" x14ac:dyDescent="0.25">
      <c r="A3769" s="180">
        <f t="shared" si="58"/>
        <v>8521034</v>
      </c>
      <c r="B3769" s="188" t="s">
        <v>5396</v>
      </c>
      <c r="C3769" s="188" t="s">
        <v>5397</v>
      </c>
      <c r="D3769" t="s">
        <v>13412</v>
      </c>
    </row>
    <row r="3770" spans="1:4" x14ac:dyDescent="0.25">
      <c r="A3770" s="180">
        <f t="shared" si="58"/>
        <v>8521036</v>
      </c>
      <c r="B3770" s="188" t="s">
        <v>5398</v>
      </c>
      <c r="C3770" s="188" t="s">
        <v>5399</v>
      </c>
      <c r="D3770" t="s">
        <v>13412</v>
      </c>
    </row>
    <row r="3771" spans="1:4" x14ac:dyDescent="0.25">
      <c r="A3771" s="180">
        <f t="shared" si="58"/>
        <v>8521040</v>
      </c>
      <c r="B3771" s="188" t="s">
        <v>5400</v>
      </c>
      <c r="C3771" s="188" t="s">
        <v>12708</v>
      </c>
      <c r="D3771" t="s">
        <v>13412</v>
      </c>
    </row>
    <row r="3772" spans="1:4" x14ac:dyDescent="0.25">
      <c r="A3772" s="180">
        <f t="shared" si="58"/>
        <v>8521042</v>
      </c>
      <c r="B3772" s="188" t="s">
        <v>5401</v>
      </c>
      <c r="C3772" s="188" t="s">
        <v>5402</v>
      </c>
    </row>
    <row r="3773" spans="1:4" x14ac:dyDescent="0.25">
      <c r="A3773" s="180">
        <f t="shared" si="58"/>
        <v>8521043</v>
      </c>
      <c r="B3773" s="188" t="s">
        <v>5403</v>
      </c>
      <c r="C3773" s="188" t="s">
        <v>5404</v>
      </c>
    </row>
    <row r="3774" spans="1:4" x14ac:dyDescent="0.25">
      <c r="A3774" s="180">
        <f t="shared" si="58"/>
        <v>8521045</v>
      </c>
      <c r="B3774" s="188" t="s">
        <v>5405</v>
      </c>
      <c r="C3774" s="188" t="s">
        <v>5406</v>
      </c>
    </row>
    <row r="3775" spans="1:4" x14ac:dyDescent="0.25">
      <c r="A3775" s="180">
        <f t="shared" ref="A3775:A3838" si="59">IFERROR(B3775*1,"")</f>
        <v>8521046</v>
      </c>
      <c r="B3775" s="188" t="s">
        <v>5407</v>
      </c>
      <c r="C3775" s="188" t="s">
        <v>5408</v>
      </c>
    </row>
    <row r="3776" spans="1:4" x14ac:dyDescent="0.25">
      <c r="A3776" s="180">
        <f t="shared" si="59"/>
        <v>8521050</v>
      </c>
      <c r="B3776" s="188" t="s">
        <v>5409</v>
      </c>
      <c r="C3776" s="188" t="s">
        <v>5410</v>
      </c>
      <c r="D3776" t="s">
        <v>13412</v>
      </c>
    </row>
    <row r="3777" spans="1:4" x14ac:dyDescent="0.25">
      <c r="A3777" s="180">
        <f t="shared" si="59"/>
        <v>8521060</v>
      </c>
      <c r="B3777" s="188" t="s">
        <v>5411</v>
      </c>
      <c r="C3777" s="188" t="s">
        <v>5412</v>
      </c>
    </row>
    <row r="3778" spans="1:4" x14ac:dyDescent="0.25">
      <c r="A3778" s="180">
        <f t="shared" si="59"/>
        <v>8521061</v>
      </c>
      <c r="B3778" s="188" t="s">
        <v>5413</v>
      </c>
      <c r="C3778" s="188" t="s">
        <v>5414</v>
      </c>
    </row>
    <row r="3779" spans="1:4" x14ac:dyDescent="0.25">
      <c r="A3779" s="180">
        <f t="shared" si="59"/>
        <v>8521062</v>
      </c>
      <c r="B3779" s="188" t="s">
        <v>5415</v>
      </c>
      <c r="C3779" s="188" t="s">
        <v>5416</v>
      </c>
    </row>
    <row r="3780" spans="1:4" x14ac:dyDescent="0.25">
      <c r="A3780" s="180">
        <f t="shared" si="59"/>
        <v>8521063</v>
      </c>
      <c r="B3780" s="188" t="s">
        <v>5417</v>
      </c>
      <c r="C3780" s="188" t="s">
        <v>5418</v>
      </c>
      <c r="D3780" t="s">
        <v>13412</v>
      </c>
    </row>
    <row r="3781" spans="1:4" x14ac:dyDescent="0.25">
      <c r="A3781" s="180">
        <f t="shared" si="59"/>
        <v>8521064</v>
      </c>
      <c r="B3781" s="188" t="s">
        <v>5419</v>
      </c>
      <c r="C3781" s="188" t="s">
        <v>5420</v>
      </c>
    </row>
    <row r="3782" spans="1:4" x14ac:dyDescent="0.25">
      <c r="A3782" s="180">
        <f t="shared" si="59"/>
        <v>8521100</v>
      </c>
      <c r="B3782" s="188" t="s">
        <v>5421</v>
      </c>
      <c r="C3782" s="188" t="s">
        <v>5422</v>
      </c>
      <c r="D3782" t="s">
        <v>13412</v>
      </c>
    </row>
    <row r="3783" spans="1:4" x14ac:dyDescent="0.25">
      <c r="A3783" s="180">
        <f t="shared" si="59"/>
        <v>8521101</v>
      </c>
      <c r="B3783" s="188" t="s">
        <v>5423</v>
      </c>
      <c r="C3783" s="188" t="s">
        <v>5424</v>
      </c>
    </row>
    <row r="3784" spans="1:4" x14ac:dyDescent="0.25">
      <c r="A3784" s="180">
        <f t="shared" si="59"/>
        <v>8521102</v>
      </c>
      <c r="B3784" s="188" t="s">
        <v>5425</v>
      </c>
      <c r="C3784" s="188" t="s">
        <v>13359</v>
      </c>
      <c r="D3784" t="s">
        <v>13412</v>
      </c>
    </row>
    <row r="3785" spans="1:4" x14ac:dyDescent="0.25">
      <c r="A3785" s="180">
        <f t="shared" si="59"/>
        <v>8521120</v>
      </c>
      <c r="B3785" s="188" t="s">
        <v>5426</v>
      </c>
      <c r="C3785" s="188" t="s">
        <v>5427</v>
      </c>
      <c r="D3785" t="s">
        <v>13412</v>
      </c>
    </row>
    <row r="3786" spans="1:4" x14ac:dyDescent="0.25">
      <c r="A3786" s="180">
        <f t="shared" si="59"/>
        <v>8521129</v>
      </c>
      <c r="B3786" s="188" t="s">
        <v>5428</v>
      </c>
      <c r="C3786" s="188" t="s">
        <v>5429</v>
      </c>
    </row>
    <row r="3787" spans="1:4" x14ac:dyDescent="0.25">
      <c r="A3787" s="180">
        <f t="shared" si="59"/>
        <v>8521160</v>
      </c>
      <c r="B3787" s="188" t="s">
        <v>5430</v>
      </c>
      <c r="C3787" s="188" t="s">
        <v>5431</v>
      </c>
    </row>
    <row r="3788" spans="1:4" x14ac:dyDescent="0.25">
      <c r="A3788" s="180">
        <f t="shared" si="59"/>
        <v>8521290</v>
      </c>
      <c r="B3788" s="188" t="s">
        <v>5432</v>
      </c>
      <c r="C3788" s="188" t="s">
        <v>5433</v>
      </c>
    </row>
    <row r="3789" spans="1:4" x14ac:dyDescent="0.25">
      <c r="A3789" s="180">
        <f t="shared" si="59"/>
        <v>8521300</v>
      </c>
      <c r="B3789" s="188" t="s">
        <v>5434</v>
      </c>
      <c r="C3789" s="188" t="s">
        <v>5435</v>
      </c>
      <c r="D3789" t="s">
        <v>13412</v>
      </c>
    </row>
    <row r="3790" spans="1:4" x14ac:dyDescent="0.25">
      <c r="A3790" s="180">
        <f t="shared" si="59"/>
        <v>8521301</v>
      </c>
      <c r="B3790" s="188" t="s">
        <v>5436</v>
      </c>
      <c r="C3790" s="188" t="s">
        <v>5437</v>
      </c>
      <c r="D3790" t="s">
        <v>13412</v>
      </c>
    </row>
    <row r="3791" spans="1:4" x14ac:dyDescent="0.25">
      <c r="A3791" s="180">
        <f t="shared" si="59"/>
        <v>8521302</v>
      </c>
      <c r="B3791" s="188" t="s">
        <v>5438</v>
      </c>
      <c r="C3791" s="188" t="s">
        <v>5439</v>
      </c>
      <c r="D3791" t="s">
        <v>13412</v>
      </c>
    </row>
    <row r="3792" spans="1:4" x14ac:dyDescent="0.25">
      <c r="A3792" s="180">
        <f t="shared" si="59"/>
        <v>8521303</v>
      </c>
      <c r="B3792" s="188" t="s">
        <v>5440</v>
      </c>
      <c r="C3792" s="188" t="s">
        <v>12709</v>
      </c>
      <c r="D3792" t="s">
        <v>13412</v>
      </c>
    </row>
    <row r="3793" spans="1:4" x14ac:dyDescent="0.25">
      <c r="A3793" s="180">
        <f t="shared" si="59"/>
        <v>8521304</v>
      </c>
      <c r="B3793" s="188" t="s">
        <v>5441</v>
      </c>
      <c r="C3793" s="188" t="s">
        <v>5442</v>
      </c>
      <c r="D3793" t="s">
        <v>13412</v>
      </c>
    </row>
    <row r="3794" spans="1:4" x14ac:dyDescent="0.25">
      <c r="A3794" s="180">
        <f t="shared" si="59"/>
        <v>8521305</v>
      </c>
      <c r="B3794" s="188" t="s">
        <v>5443</v>
      </c>
      <c r="C3794" s="188" t="s">
        <v>5444</v>
      </c>
      <c r="D3794" t="s">
        <v>13412</v>
      </c>
    </row>
    <row r="3795" spans="1:4" x14ac:dyDescent="0.25">
      <c r="A3795" s="180">
        <f t="shared" si="59"/>
        <v>8521306</v>
      </c>
      <c r="B3795" s="188" t="s">
        <v>5445</v>
      </c>
      <c r="C3795" s="188" t="s">
        <v>5446</v>
      </c>
      <c r="D3795" t="s">
        <v>13412</v>
      </c>
    </row>
    <row r="3796" spans="1:4" x14ac:dyDescent="0.25">
      <c r="A3796" s="180">
        <f t="shared" si="59"/>
        <v>8521307</v>
      </c>
      <c r="B3796" s="188" t="s">
        <v>12710</v>
      </c>
      <c r="C3796" s="188" t="s">
        <v>12711</v>
      </c>
      <c r="D3796" t="s">
        <v>13412</v>
      </c>
    </row>
    <row r="3797" spans="1:4" x14ac:dyDescent="0.25">
      <c r="A3797" s="180">
        <f t="shared" si="59"/>
        <v>8521374</v>
      </c>
      <c r="B3797" s="188" t="s">
        <v>5447</v>
      </c>
      <c r="C3797" s="188" t="s">
        <v>13537</v>
      </c>
      <c r="D3797" t="s">
        <v>13412</v>
      </c>
    </row>
    <row r="3798" spans="1:4" x14ac:dyDescent="0.25">
      <c r="A3798" s="180">
        <f t="shared" si="59"/>
        <v>8521443</v>
      </c>
      <c r="B3798" s="188" t="s">
        <v>5448</v>
      </c>
      <c r="C3798" s="188" t="s">
        <v>5449</v>
      </c>
      <c r="D3798" t="s">
        <v>13412</v>
      </c>
    </row>
    <row r="3799" spans="1:4" x14ac:dyDescent="0.25">
      <c r="A3799" s="180">
        <f t="shared" si="59"/>
        <v>8521455</v>
      </c>
      <c r="B3799" s="188" t="s">
        <v>5450</v>
      </c>
      <c r="C3799" s="188" t="s">
        <v>5451</v>
      </c>
    </row>
    <row r="3800" spans="1:4" x14ac:dyDescent="0.25">
      <c r="A3800" s="180">
        <f t="shared" si="59"/>
        <v>8521458</v>
      </c>
      <c r="B3800" s="188" t="s">
        <v>5452</v>
      </c>
      <c r="C3800" s="188" t="s">
        <v>5453</v>
      </c>
      <c r="D3800" t="s">
        <v>13412</v>
      </c>
    </row>
    <row r="3801" spans="1:4" x14ac:dyDescent="0.25">
      <c r="A3801" s="180">
        <f t="shared" si="59"/>
        <v>8521467</v>
      </c>
      <c r="B3801" s="188" t="s">
        <v>5454</v>
      </c>
      <c r="C3801" s="188" t="s">
        <v>5455</v>
      </c>
    </row>
    <row r="3802" spans="1:4" x14ac:dyDescent="0.25">
      <c r="A3802" s="180">
        <f t="shared" si="59"/>
        <v>8521472</v>
      </c>
      <c r="B3802" s="188" t="s">
        <v>5456</v>
      </c>
      <c r="C3802" s="188" t="s">
        <v>5457</v>
      </c>
      <c r="D3802" t="s">
        <v>13412</v>
      </c>
    </row>
    <row r="3803" spans="1:4" x14ac:dyDescent="0.25">
      <c r="A3803" s="180">
        <f t="shared" si="59"/>
        <v>8521498</v>
      </c>
      <c r="B3803" s="188" t="s">
        <v>5458</v>
      </c>
      <c r="C3803" s="188" t="s">
        <v>5459</v>
      </c>
    </row>
    <row r="3804" spans="1:4" x14ac:dyDescent="0.25">
      <c r="A3804" s="180">
        <f t="shared" si="59"/>
        <v>8521499</v>
      </c>
      <c r="B3804" s="188" t="s">
        <v>5460</v>
      </c>
      <c r="C3804" s="188" t="s">
        <v>13538</v>
      </c>
      <c r="D3804" t="s">
        <v>13412</v>
      </c>
    </row>
    <row r="3805" spans="1:4" x14ac:dyDescent="0.25">
      <c r="A3805" s="180">
        <f t="shared" si="59"/>
        <v>8521529</v>
      </c>
      <c r="B3805" s="188" t="s">
        <v>14061</v>
      </c>
      <c r="C3805" s="188" t="s">
        <v>14062</v>
      </c>
      <c r="D3805" t="s">
        <v>13412</v>
      </c>
    </row>
    <row r="3806" spans="1:4" x14ac:dyDescent="0.25">
      <c r="A3806" s="180">
        <f t="shared" si="59"/>
        <v>8521551</v>
      </c>
      <c r="B3806" s="188" t="s">
        <v>5461</v>
      </c>
      <c r="C3806" s="188" t="s">
        <v>5462</v>
      </c>
      <c r="D3806" t="s">
        <v>13412</v>
      </c>
    </row>
    <row r="3807" spans="1:4" x14ac:dyDescent="0.25">
      <c r="A3807" s="180">
        <f t="shared" si="59"/>
        <v>8521572</v>
      </c>
      <c r="B3807" s="188" t="s">
        <v>5463</v>
      </c>
      <c r="C3807" s="188" t="s">
        <v>5464</v>
      </c>
    </row>
    <row r="3808" spans="1:4" x14ac:dyDescent="0.25">
      <c r="A3808" s="180">
        <f t="shared" si="59"/>
        <v>8521580</v>
      </c>
      <c r="B3808" s="188" t="s">
        <v>5465</v>
      </c>
      <c r="C3808" s="188" t="s">
        <v>5466</v>
      </c>
      <c r="D3808" t="s">
        <v>13412</v>
      </c>
    </row>
    <row r="3809" spans="1:4" x14ac:dyDescent="0.25">
      <c r="A3809" s="180">
        <f t="shared" si="59"/>
        <v>8521593</v>
      </c>
      <c r="B3809" s="188" t="s">
        <v>5467</v>
      </c>
      <c r="C3809" s="188" t="s">
        <v>5468</v>
      </c>
    </row>
    <row r="3810" spans="1:4" x14ac:dyDescent="0.25">
      <c r="A3810" s="180" t="str">
        <f t="shared" si="59"/>
        <v/>
      </c>
      <c r="B3810" s="188" t="s">
        <v>13132</v>
      </c>
      <c r="C3810" s="188"/>
    </row>
    <row r="3811" spans="1:4" x14ac:dyDescent="0.25">
      <c r="A3811" s="180">
        <f t="shared" si="59"/>
        <v>8521660</v>
      </c>
      <c r="B3811" s="188" t="s">
        <v>5469</v>
      </c>
      <c r="C3811" s="188" t="s">
        <v>5470</v>
      </c>
    </row>
    <row r="3812" spans="1:4" x14ac:dyDescent="0.25">
      <c r="A3812" s="180">
        <f t="shared" si="59"/>
        <v>8521674</v>
      </c>
      <c r="B3812" s="188" t="s">
        <v>5471</v>
      </c>
      <c r="C3812" s="188" t="s">
        <v>5472</v>
      </c>
    </row>
    <row r="3813" spans="1:4" x14ac:dyDescent="0.25">
      <c r="A3813" s="180">
        <f t="shared" si="59"/>
        <v>8521903</v>
      </c>
      <c r="B3813" s="188" t="s">
        <v>5473</v>
      </c>
      <c r="C3813" s="188" t="s">
        <v>5474</v>
      </c>
    </row>
    <row r="3814" spans="1:4" x14ac:dyDescent="0.25">
      <c r="A3814" s="180">
        <f t="shared" si="59"/>
        <v>8522001</v>
      </c>
      <c r="B3814" s="188" t="s">
        <v>5475</v>
      </c>
      <c r="C3814" s="188" t="s">
        <v>5476</v>
      </c>
    </row>
    <row r="3815" spans="1:4" x14ac:dyDescent="0.25">
      <c r="A3815" s="180">
        <f t="shared" si="59"/>
        <v>8522011</v>
      </c>
      <c r="B3815" s="188" t="s">
        <v>5477</v>
      </c>
      <c r="C3815" s="188" t="s">
        <v>13539</v>
      </c>
      <c r="D3815" t="s">
        <v>13412</v>
      </c>
    </row>
    <row r="3816" spans="1:4" x14ac:dyDescent="0.25">
      <c r="A3816" s="180">
        <f t="shared" si="59"/>
        <v>8522012</v>
      </c>
      <c r="B3816" s="188" t="s">
        <v>5478</v>
      </c>
      <c r="C3816" s="188" t="s">
        <v>5479</v>
      </c>
      <c r="D3816" t="s">
        <v>13412</v>
      </c>
    </row>
    <row r="3817" spans="1:4" x14ac:dyDescent="0.25">
      <c r="A3817" s="180">
        <f t="shared" si="59"/>
        <v>8522030</v>
      </c>
      <c r="B3817" s="188" t="s">
        <v>5480</v>
      </c>
      <c r="C3817" s="188" t="s">
        <v>5481</v>
      </c>
      <c r="D3817" t="s">
        <v>13412</v>
      </c>
    </row>
    <row r="3818" spans="1:4" x14ac:dyDescent="0.25">
      <c r="A3818" s="180">
        <f t="shared" si="59"/>
        <v>8522101</v>
      </c>
      <c r="B3818" s="188" t="s">
        <v>5482</v>
      </c>
      <c r="C3818" s="188" t="s">
        <v>5483</v>
      </c>
      <c r="D3818" t="s">
        <v>13412</v>
      </c>
    </row>
    <row r="3819" spans="1:4" x14ac:dyDescent="0.25">
      <c r="A3819" s="180">
        <f t="shared" si="59"/>
        <v>8522102</v>
      </c>
      <c r="B3819" s="188" t="s">
        <v>14063</v>
      </c>
      <c r="C3819" s="188" t="s">
        <v>14064</v>
      </c>
      <c r="D3819" t="s">
        <v>13412</v>
      </c>
    </row>
    <row r="3820" spans="1:4" x14ac:dyDescent="0.25">
      <c r="A3820" s="180">
        <f t="shared" si="59"/>
        <v>8522999</v>
      </c>
      <c r="B3820" s="188" t="s">
        <v>5484</v>
      </c>
      <c r="C3820" s="188" t="s">
        <v>5485</v>
      </c>
      <c r="D3820" t="s">
        <v>13412</v>
      </c>
    </row>
    <row r="3821" spans="1:4" x14ac:dyDescent="0.25">
      <c r="A3821" s="180">
        <f t="shared" si="59"/>
        <v>8523071</v>
      </c>
      <c r="B3821" s="188" t="s">
        <v>5486</v>
      </c>
      <c r="C3821" s="188" t="s">
        <v>14065</v>
      </c>
      <c r="D3821" t="s">
        <v>13412</v>
      </c>
    </row>
    <row r="3822" spans="1:4" x14ac:dyDescent="0.25">
      <c r="A3822" s="180">
        <f t="shared" si="59"/>
        <v>8523072</v>
      </c>
      <c r="B3822" s="188" t="s">
        <v>5487</v>
      </c>
      <c r="C3822" s="188" t="s">
        <v>5488</v>
      </c>
    </row>
    <row r="3823" spans="1:4" x14ac:dyDescent="0.25">
      <c r="A3823" s="180">
        <f t="shared" si="59"/>
        <v>8523073</v>
      </c>
      <c r="B3823" s="188" t="s">
        <v>5489</v>
      </c>
      <c r="C3823" s="188" t="s">
        <v>14066</v>
      </c>
      <c r="D3823" t="s">
        <v>13412</v>
      </c>
    </row>
    <row r="3824" spans="1:4" x14ac:dyDescent="0.25">
      <c r="A3824" s="180">
        <f t="shared" si="59"/>
        <v>8525001</v>
      </c>
      <c r="B3824" s="188" t="s">
        <v>5490</v>
      </c>
      <c r="C3824" s="188" t="s">
        <v>5491</v>
      </c>
      <c r="D3824" t="s">
        <v>13412</v>
      </c>
    </row>
    <row r="3825" spans="1:4" x14ac:dyDescent="0.25">
      <c r="A3825" s="180">
        <f t="shared" si="59"/>
        <v>8525576</v>
      </c>
      <c r="B3825" s="188" t="s">
        <v>5492</v>
      </c>
      <c r="C3825" s="188" t="s">
        <v>5493</v>
      </c>
      <c r="D3825" t="s">
        <v>13412</v>
      </c>
    </row>
    <row r="3826" spans="1:4" x14ac:dyDescent="0.25">
      <c r="A3826" s="180">
        <f t="shared" si="59"/>
        <v>8525999</v>
      </c>
      <c r="B3826" s="188" t="s">
        <v>5494</v>
      </c>
      <c r="C3826" s="188" t="s">
        <v>5495</v>
      </c>
      <c r="D3826" t="s">
        <v>13412</v>
      </c>
    </row>
    <row r="3827" spans="1:4" x14ac:dyDescent="0.25">
      <c r="A3827" s="180">
        <f t="shared" si="59"/>
        <v>8601008</v>
      </c>
      <c r="B3827" s="188" t="s">
        <v>5496</v>
      </c>
      <c r="C3827" s="188" t="s">
        <v>5211</v>
      </c>
    </row>
    <row r="3828" spans="1:4" x14ac:dyDescent="0.25">
      <c r="A3828" s="180">
        <f t="shared" si="59"/>
        <v>8601050</v>
      </c>
      <c r="B3828" s="188" t="s">
        <v>12924</v>
      </c>
      <c r="C3828" s="188" t="s">
        <v>12925</v>
      </c>
      <c r="D3828" t="s">
        <v>13412</v>
      </c>
    </row>
    <row r="3829" spans="1:4" x14ac:dyDescent="0.25">
      <c r="A3829" s="180">
        <f t="shared" si="59"/>
        <v>8612002</v>
      </c>
      <c r="B3829" s="188" t="s">
        <v>5497</v>
      </c>
      <c r="C3829" s="188" t="s">
        <v>5498</v>
      </c>
      <c r="D3829" t="s">
        <v>14957</v>
      </c>
    </row>
    <row r="3830" spans="1:4" x14ac:dyDescent="0.25">
      <c r="A3830" s="180">
        <f t="shared" si="59"/>
        <v>8612006</v>
      </c>
      <c r="B3830" s="188" t="s">
        <v>5499</v>
      </c>
      <c r="C3830" s="188" t="s">
        <v>5500</v>
      </c>
      <c r="D3830" t="s">
        <v>13411</v>
      </c>
    </row>
    <row r="3831" spans="1:4" x14ac:dyDescent="0.25">
      <c r="A3831" s="180">
        <f t="shared" si="59"/>
        <v>8612009</v>
      </c>
      <c r="B3831" s="188" t="s">
        <v>5501</v>
      </c>
      <c r="C3831" s="188" t="s">
        <v>5211</v>
      </c>
    </row>
    <row r="3832" spans="1:4" x14ac:dyDescent="0.25">
      <c r="A3832" s="180">
        <f t="shared" si="59"/>
        <v>8612052</v>
      </c>
      <c r="B3832" s="188" t="s">
        <v>5502</v>
      </c>
      <c r="C3832" s="188" t="s">
        <v>5503</v>
      </c>
      <c r="D3832" t="s">
        <v>14989</v>
      </c>
    </row>
    <row r="3833" spans="1:4" x14ac:dyDescent="0.25">
      <c r="A3833" s="180">
        <f t="shared" si="59"/>
        <v>8612055</v>
      </c>
      <c r="B3833" s="188" t="s">
        <v>5504</v>
      </c>
      <c r="C3833" s="188" t="s">
        <v>7028</v>
      </c>
      <c r="D3833" t="s">
        <v>14989</v>
      </c>
    </row>
    <row r="3834" spans="1:4" x14ac:dyDescent="0.25">
      <c r="A3834" s="180">
        <f t="shared" si="59"/>
        <v>8612056</v>
      </c>
      <c r="B3834" s="188" t="s">
        <v>5505</v>
      </c>
      <c r="C3834" s="188" t="s">
        <v>12712</v>
      </c>
      <c r="D3834" t="s">
        <v>14989</v>
      </c>
    </row>
    <row r="3835" spans="1:4" x14ac:dyDescent="0.25">
      <c r="A3835" s="180">
        <f t="shared" si="59"/>
        <v>8612057</v>
      </c>
      <c r="B3835" s="188" t="s">
        <v>5506</v>
      </c>
      <c r="C3835" s="188" t="s">
        <v>12713</v>
      </c>
      <c r="D3835" t="s">
        <v>14989</v>
      </c>
    </row>
    <row r="3836" spans="1:4" x14ac:dyDescent="0.25">
      <c r="A3836" s="180">
        <f t="shared" si="59"/>
        <v>8612058</v>
      </c>
      <c r="B3836" s="188" t="s">
        <v>5507</v>
      </c>
      <c r="C3836" s="188" t="s">
        <v>12714</v>
      </c>
      <c r="D3836" t="s">
        <v>14989</v>
      </c>
    </row>
    <row r="3837" spans="1:4" x14ac:dyDescent="0.25">
      <c r="A3837" s="180">
        <f t="shared" si="59"/>
        <v>8612059</v>
      </c>
      <c r="B3837" s="188" t="s">
        <v>5508</v>
      </c>
      <c r="C3837" s="188" t="s">
        <v>5509</v>
      </c>
    </row>
    <row r="3838" spans="1:4" x14ac:dyDescent="0.25">
      <c r="A3838" s="180">
        <f t="shared" si="59"/>
        <v>8612080</v>
      </c>
      <c r="B3838" s="188" t="s">
        <v>5510</v>
      </c>
      <c r="C3838" s="188" t="s">
        <v>5511</v>
      </c>
      <c r="D3838" t="s">
        <v>14957</v>
      </c>
    </row>
    <row r="3839" spans="1:4" x14ac:dyDescent="0.25">
      <c r="A3839" s="180">
        <f t="shared" ref="A3839:A3902" si="60">IFERROR(B3839*1,"")</f>
        <v>8612093</v>
      </c>
      <c r="B3839" s="188" t="s">
        <v>5512</v>
      </c>
      <c r="C3839" s="188" t="s">
        <v>5513</v>
      </c>
      <c r="D3839" t="s">
        <v>14957</v>
      </c>
    </row>
    <row r="3840" spans="1:4" x14ac:dyDescent="0.25">
      <c r="A3840" s="180">
        <f t="shared" si="60"/>
        <v>8612095</v>
      </c>
      <c r="B3840" s="188" t="s">
        <v>14535</v>
      </c>
      <c r="C3840" s="188" t="s">
        <v>14536</v>
      </c>
      <c r="D3840" t="s">
        <v>13412</v>
      </c>
    </row>
    <row r="3841" spans="1:4" x14ac:dyDescent="0.25">
      <c r="A3841" s="180">
        <f t="shared" si="60"/>
        <v>8612101</v>
      </c>
      <c r="B3841" s="188" t="s">
        <v>5514</v>
      </c>
      <c r="C3841" s="188" t="s">
        <v>5515</v>
      </c>
      <c r="D3841" t="s">
        <v>13412</v>
      </c>
    </row>
    <row r="3842" spans="1:4" x14ac:dyDescent="0.25">
      <c r="A3842" s="180">
        <f t="shared" si="60"/>
        <v>8612102</v>
      </c>
      <c r="B3842" s="188" t="s">
        <v>5516</v>
      </c>
      <c r="C3842" s="188" t="s">
        <v>5517</v>
      </c>
    </row>
    <row r="3843" spans="1:4" x14ac:dyDescent="0.25">
      <c r="A3843" s="180">
        <f t="shared" si="60"/>
        <v>8612112</v>
      </c>
      <c r="B3843" s="188" t="s">
        <v>7029</v>
      </c>
      <c r="C3843" s="188" t="s">
        <v>7030</v>
      </c>
      <c r="D3843" t="s">
        <v>13412</v>
      </c>
    </row>
    <row r="3844" spans="1:4" x14ac:dyDescent="0.25">
      <c r="A3844" s="180">
        <f t="shared" si="60"/>
        <v>8612122</v>
      </c>
      <c r="B3844" s="188" t="s">
        <v>12715</v>
      </c>
      <c r="C3844" s="188" t="s">
        <v>12716</v>
      </c>
      <c r="D3844" t="s">
        <v>14957</v>
      </c>
    </row>
    <row r="3845" spans="1:4" x14ac:dyDescent="0.25">
      <c r="A3845" s="180">
        <f t="shared" si="60"/>
        <v>8612151</v>
      </c>
      <c r="B3845" s="188" t="s">
        <v>5518</v>
      </c>
      <c r="C3845" s="188" t="s">
        <v>5519</v>
      </c>
      <c r="D3845" t="s">
        <v>13412</v>
      </c>
    </row>
    <row r="3846" spans="1:4" x14ac:dyDescent="0.25">
      <c r="A3846" s="180">
        <f t="shared" si="60"/>
        <v>8612200</v>
      </c>
      <c r="B3846" s="188" t="s">
        <v>5520</v>
      </c>
      <c r="C3846" s="188" t="s">
        <v>5521</v>
      </c>
      <c r="D3846" t="s">
        <v>14957</v>
      </c>
    </row>
    <row r="3847" spans="1:4" x14ac:dyDescent="0.25">
      <c r="A3847" s="180">
        <f t="shared" si="60"/>
        <v>8612201</v>
      </c>
      <c r="B3847" s="188" t="s">
        <v>5522</v>
      </c>
      <c r="C3847" s="188" t="s">
        <v>5523</v>
      </c>
      <c r="D3847" t="s">
        <v>13412</v>
      </c>
    </row>
    <row r="3848" spans="1:4" x14ac:dyDescent="0.25">
      <c r="A3848" s="180">
        <f t="shared" si="60"/>
        <v>8612203</v>
      </c>
      <c r="B3848" s="188" t="s">
        <v>7031</v>
      </c>
      <c r="C3848" s="188" t="s">
        <v>7032</v>
      </c>
      <c r="D3848" t="s">
        <v>13411</v>
      </c>
    </row>
    <row r="3849" spans="1:4" x14ac:dyDescent="0.25">
      <c r="A3849" s="180">
        <f t="shared" si="60"/>
        <v>8612300</v>
      </c>
      <c r="B3849" s="188" t="s">
        <v>5524</v>
      </c>
      <c r="C3849" s="188" t="s">
        <v>5525</v>
      </c>
      <c r="D3849" t="s">
        <v>13412</v>
      </c>
    </row>
    <row r="3850" spans="1:4" x14ac:dyDescent="0.25">
      <c r="A3850" s="180">
        <f t="shared" si="60"/>
        <v>8612416</v>
      </c>
      <c r="B3850" s="188" t="s">
        <v>5526</v>
      </c>
      <c r="C3850" s="188" t="s">
        <v>5527</v>
      </c>
      <c r="D3850" t="s">
        <v>13412</v>
      </c>
    </row>
    <row r="3851" spans="1:4" x14ac:dyDescent="0.25">
      <c r="A3851" s="180">
        <f t="shared" si="60"/>
        <v>8612417</v>
      </c>
      <c r="B3851" s="188" t="s">
        <v>13974</v>
      </c>
      <c r="C3851" s="188" t="s">
        <v>13975</v>
      </c>
    </row>
    <row r="3852" spans="1:4" x14ac:dyDescent="0.25">
      <c r="A3852" s="180">
        <f t="shared" si="60"/>
        <v>8612418</v>
      </c>
      <c r="B3852" s="188" t="s">
        <v>5528</v>
      </c>
      <c r="C3852" s="188" t="s">
        <v>5529</v>
      </c>
      <c r="D3852" t="s">
        <v>13412</v>
      </c>
    </row>
    <row r="3853" spans="1:4" x14ac:dyDescent="0.25">
      <c r="A3853" s="180">
        <f t="shared" si="60"/>
        <v>8612420</v>
      </c>
      <c r="B3853" s="188" t="s">
        <v>5530</v>
      </c>
      <c r="C3853" s="188" t="s">
        <v>5531</v>
      </c>
    </row>
    <row r="3854" spans="1:4" x14ac:dyDescent="0.25">
      <c r="A3854" s="180">
        <f t="shared" si="60"/>
        <v>8612468</v>
      </c>
      <c r="B3854" s="188" t="s">
        <v>5532</v>
      </c>
      <c r="C3854" s="188" t="s">
        <v>5533</v>
      </c>
      <c r="D3854" t="s">
        <v>14989</v>
      </c>
    </row>
    <row r="3855" spans="1:4" x14ac:dyDescent="0.25">
      <c r="A3855" s="180">
        <f t="shared" si="60"/>
        <v>8612500</v>
      </c>
      <c r="B3855" s="188" t="s">
        <v>5534</v>
      </c>
      <c r="C3855" s="188" t="s">
        <v>5535</v>
      </c>
      <c r="D3855" t="s">
        <v>13412</v>
      </c>
    </row>
    <row r="3856" spans="1:4" x14ac:dyDescent="0.25">
      <c r="A3856" s="180">
        <f t="shared" si="60"/>
        <v>8612523</v>
      </c>
      <c r="B3856" s="188" t="s">
        <v>5536</v>
      </c>
      <c r="C3856" s="189" t="s">
        <v>5537</v>
      </c>
      <c r="D3856" t="s">
        <v>14989</v>
      </c>
    </row>
    <row r="3857" spans="1:4" x14ac:dyDescent="0.25">
      <c r="A3857" s="180">
        <f t="shared" si="60"/>
        <v>8612600</v>
      </c>
      <c r="B3857" s="188" t="s">
        <v>5538</v>
      </c>
      <c r="C3857" s="188" t="s">
        <v>5539</v>
      </c>
      <c r="D3857" t="s">
        <v>14989</v>
      </c>
    </row>
    <row r="3858" spans="1:4" x14ac:dyDescent="0.25">
      <c r="A3858" s="180">
        <f t="shared" si="60"/>
        <v>8612601</v>
      </c>
      <c r="B3858" s="188" t="s">
        <v>5540</v>
      </c>
      <c r="C3858" s="188" t="s">
        <v>5541</v>
      </c>
    </row>
    <row r="3859" spans="1:4" x14ac:dyDescent="0.25">
      <c r="A3859" s="180">
        <f t="shared" si="60"/>
        <v>8612697</v>
      </c>
      <c r="B3859" s="188" t="s">
        <v>5542</v>
      </c>
      <c r="C3859" s="188" t="s">
        <v>5543</v>
      </c>
    </row>
    <row r="3860" spans="1:4" x14ac:dyDescent="0.25">
      <c r="A3860" s="180">
        <f t="shared" si="60"/>
        <v>8612709</v>
      </c>
      <c r="B3860" s="188" t="s">
        <v>14537</v>
      </c>
      <c r="C3860" s="188" t="s">
        <v>14538</v>
      </c>
    </row>
    <row r="3861" spans="1:4" x14ac:dyDescent="0.25">
      <c r="A3861" s="180">
        <f t="shared" si="60"/>
        <v>8614014</v>
      </c>
      <c r="B3861" s="188" t="s">
        <v>5544</v>
      </c>
      <c r="C3861" s="188" t="s">
        <v>5545</v>
      </c>
      <c r="D3861" t="s">
        <v>13412</v>
      </c>
    </row>
    <row r="3862" spans="1:4" x14ac:dyDescent="0.25">
      <c r="A3862" s="180">
        <f t="shared" si="60"/>
        <v>8614015</v>
      </c>
      <c r="B3862" s="188" t="s">
        <v>5546</v>
      </c>
      <c r="C3862" s="188" t="s">
        <v>12717</v>
      </c>
      <c r="D3862" t="s">
        <v>14989</v>
      </c>
    </row>
    <row r="3863" spans="1:4" x14ac:dyDescent="0.25">
      <c r="A3863" s="180">
        <f t="shared" si="60"/>
        <v>8614016</v>
      </c>
      <c r="B3863" s="188" t="s">
        <v>12718</v>
      </c>
      <c r="C3863" s="188" t="s">
        <v>12719</v>
      </c>
      <c r="D3863" t="s">
        <v>14989</v>
      </c>
    </row>
    <row r="3864" spans="1:4" x14ac:dyDescent="0.25">
      <c r="A3864" s="180">
        <f t="shared" si="60"/>
        <v>8660019</v>
      </c>
      <c r="B3864" s="188" t="s">
        <v>5547</v>
      </c>
      <c r="C3864" s="188" t="s">
        <v>5548</v>
      </c>
    </row>
    <row r="3865" spans="1:4" x14ac:dyDescent="0.25">
      <c r="A3865" s="180">
        <f t="shared" si="60"/>
        <v>8676004</v>
      </c>
      <c r="B3865" s="188" t="s">
        <v>5549</v>
      </c>
      <c r="C3865" s="188" t="s">
        <v>5550</v>
      </c>
      <c r="D3865" t="s">
        <v>13412</v>
      </c>
    </row>
    <row r="3866" spans="1:4" x14ac:dyDescent="0.25">
      <c r="A3866" s="180">
        <f t="shared" si="60"/>
        <v>8686003</v>
      </c>
      <c r="B3866" s="188" t="s">
        <v>5551</v>
      </c>
      <c r="C3866" s="188" t="s">
        <v>5552</v>
      </c>
      <c r="D3866" t="s">
        <v>13412</v>
      </c>
    </row>
    <row r="3867" spans="1:4" x14ac:dyDescent="0.25">
      <c r="A3867" s="180">
        <f t="shared" si="60"/>
        <v>8686004</v>
      </c>
      <c r="B3867" s="188" t="s">
        <v>5553</v>
      </c>
      <c r="C3867" s="188" t="s">
        <v>5554</v>
      </c>
    </row>
    <row r="3868" spans="1:4" x14ac:dyDescent="0.25">
      <c r="A3868" s="180">
        <f t="shared" si="60"/>
        <v>8686010</v>
      </c>
      <c r="B3868" s="188" t="s">
        <v>5555</v>
      </c>
      <c r="C3868" s="188" t="s">
        <v>5556</v>
      </c>
      <c r="D3868" t="s">
        <v>13412</v>
      </c>
    </row>
    <row r="3869" spans="1:4" x14ac:dyDescent="0.25">
      <c r="A3869" s="180">
        <f t="shared" si="60"/>
        <v>8686070</v>
      </c>
      <c r="B3869" s="188" t="s">
        <v>5557</v>
      </c>
      <c r="C3869" s="188" t="s">
        <v>5558</v>
      </c>
      <c r="D3869" t="s">
        <v>13412</v>
      </c>
    </row>
    <row r="3870" spans="1:4" x14ac:dyDescent="0.25">
      <c r="A3870" s="180">
        <f t="shared" si="60"/>
        <v>8687002</v>
      </c>
      <c r="B3870" s="188" t="s">
        <v>5559</v>
      </c>
      <c r="C3870" s="188" t="s">
        <v>5560</v>
      </c>
      <c r="D3870" t="s">
        <v>13412</v>
      </c>
    </row>
    <row r="3871" spans="1:4" x14ac:dyDescent="0.25">
      <c r="A3871" s="180">
        <f t="shared" si="60"/>
        <v>8691016</v>
      </c>
      <c r="B3871" s="188" t="s">
        <v>5561</v>
      </c>
      <c r="C3871" s="188" t="s">
        <v>5562</v>
      </c>
    </row>
    <row r="3872" spans="1:4" x14ac:dyDescent="0.25">
      <c r="A3872" s="180">
        <f t="shared" si="60"/>
        <v>8691508</v>
      </c>
      <c r="B3872" s="188" t="s">
        <v>5563</v>
      </c>
      <c r="C3872" s="188" t="s">
        <v>5564</v>
      </c>
    </row>
    <row r="3873" spans="1:4" x14ac:dyDescent="0.25">
      <c r="A3873" s="180">
        <f t="shared" si="60"/>
        <v>8692010</v>
      </c>
      <c r="B3873" s="188" t="s">
        <v>5565</v>
      </c>
      <c r="C3873" s="188" t="s">
        <v>12720</v>
      </c>
      <c r="D3873" t="s">
        <v>14989</v>
      </c>
    </row>
    <row r="3874" spans="1:4" x14ac:dyDescent="0.25">
      <c r="A3874" s="180">
        <f t="shared" si="60"/>
        <v>8692011</v>
      </c>
      <c r="B3874" s="188" t="s">
        <v>5567</v>
      </c>
      <c r="C3874" s="188" t="s">
        <v>12721</v>
      </c>
      <c r="D3874" t="s">
        <v>14989</v>
      </c>
    </row>
    <row r="3875" spans="1:4" x14ac:dyDescent="0.25">
      <c r="A3875" s="180">
        <f t="shared" si="60"/>
        <v>8692150</v>
      </c>
      <c r="B3875" s="188" t="s">
        <v>5569</v>
      </c>
      <c r="C3875" s="188" t="s">
        <v>5570</v>
      </c>
      <c r="D3875" t="s">
        <v>14989</v>
      </c>
    </row>
    <row r="3876" spans="1:4" x14ac:dyDescent="0.25">
      <c r="A3876" s="180">
        <f t="shared" si="60"/>
        <v>8692210</v>
      </c>
      <c r="B3876" s="188" t="s">
        <v>5571</v>
      </c>
      <c r="C3876" s="188" t="s">
        <v>5572</v>
      </c>
      <c r="D3876" t="s">
        <v>14989</v>
      </c>
    </row>
    <row r="3877" spans="1:4" x14ac:dyDescent="0.25">
      <c r="A3877" s="180">
        <f t="shared" si="60"/>
        <v>8692230</v>
      </c>
      <c r="B3877" s="188" t="s">
        <v>5573</v>
      </c>
      <c r="C3877" s="188" t="s">
        <v>12722</v>
      </c>
      <c r="D3877" t="s">
        <v>14957</v>
      </c>
    </row>
    <row r="3878" spans="1:4" x14ac:dyDescent="0.25">
      <c r="A3878" s="180">
        <f t="shared" si="60"/>
        <v>8692231</v>
      </c>
      <c r="B3878" s="188" t="s">
        <v>12723</v>
      </c>
      <c r="C3878" s="188" t="s">
        <v>12724</v>
      </c>
      <c r="D3878" t="s">
        <v>14957</v>
      </c>
    </row>
    <row r="3879" spans="1:4" x14ac:dyDescent="0.25">
      <c r="A3879" s="180">
        <f t="shared" si="60"/>
        <v>8692232</v>
      </c>
      <c r="B3879" s="188" t="s">
        <v>12725</v>
      </c>
      <c r="C3879" s="188" t="s">
        <v>12726</v>
      </c>
      <c r="D3879" t="s">
        <v>14957</v>
      </c>
    </row>
    <row r="3880" spans="1:4" x14ac:dyDescent="0.25">
      <c r="A3880" s="180">
        <f t="shared" si="60"/>
        <v>8692233</v>
      </c>
      <c r="B3880" s="188" t="s">
        <v>12727</v>
      </c>
      <c r="C3880" s="188" t="s">
        <v>12728</v>
      </c>
      <c r="D3880" t="s">
        <v>14957</v>
      </c>
    </row>
    <row r="3881" spans="1:4" x14ac:dyDescent="0.25">
      <c r="A3881" s="180">
        <f t="shared" si="60"/>
        <v>8692240</v>
      </c>
      <c r="B3881" s="188" t="s">
        <v>5574</v>
      </c>
      <c r="C3881" s="188" t="s">
        <v>5575</v>
      </c>
      <c r="D3881" t="s">
        <v>14989</v>
      </c>
    </row>
    <row r="3882" spans="1:4" x14ac:dyDescent="0.25">
      <c r="A3882" s="180">
        <f t="shared" si="60"/>
        <v>8692502</v>
      </c>
      <c r="B3882" s="188" t="s">
        <v>5576</v>
      </c>
      <c r="C3882" s="188" t="s">
        <v>5577</v>
      </c>
    </row>
    <row r="3883" spans="1:4" x14ac:dyDescent="0.25">
      <c r="A3883" s="180">
        <f t="shared" si="60"/>
        <v>8692503</v>
      </c>
      <c r="B3883" s="188" t="s">
        <v>5578</v>
      </c>
      <c r="C3883" s="188" t="s">
        <v>5579</v>
      </c>
    </row>
    <row r="3884" spans="1:4" x14ac:dyDescent="0.25">
      <c r="A3884" s="180">
        <f t="shared" si="60"/>
        <v>8692504</v>
      </c>
      <c r="B3884" s="188" t="s">
        <v>5580</v>
      </c>
      <c r="C3884" s="188" t="s">
        <v>5581</v>
      </c>
    </row>
    <row r="3885" spans="1:4" x14ac:dyDescent="0.25">
      <c r="A3885" s="180">
        <f t="shared" si="60"/>
        <v>8692505</v>
      </c>
      <c r="B3885" s="188" t="s">
        <v>5582</v>
      </c>
      <c r="C3885" s="188" t="s">
        <v>5583</v>
      </c>
    </row>
    <row r="3886" spans="1:4" x14ac:dyDescent="0.25">
      <c r="A3886" s="180">
        <f t="shared" si="60"/>
        <v>8692507</v>
      </c>
      <c r="B3886" s="188" t="s">
        <v>5584</v>
      </c>
      <c r="C3886" s="188" t="s">
        <v>5585</v>
      </c>
    </row>
    <row r="3887" spans="1:4" x14ac:dyDescent="0.25">
      <c r="A3887" s="180">
        <f t="shared" si="60"/>
        <v>8692508</v>
      </c>
      <c r="B3887" s="188" t="s">
        <v>5586</v>
      </c>
      <c r="C3887" s="188" t="s">
        <v>5564</v>
      </c>
    </row>
    <row r="3888" spans="1:4" x14ac:dyDescent="0.25">
      <c r="A3888" s="180">
        <f t="shared" si="60"/>
        <v>8692544</v>
      </c>
      <c r="B3888" s="188" t="s">
        <v>14284</v>
      </c>
      <c r="C3888" s="188" t="s">
        <v>14285</v>
      </c>
    </row>
    <row r="3889" spans="1:4" x14ac:dyDescent="0.25">
      <c r="A3889" s="180">
        <f t="shared" si="60"/>
        <v>8692851</v>
      </c>
      <c r="B3889" s="188" t="s">
        <v>5587</v>
      </c>
      <c r="C3889" s="188" t="s">
        <v>5588</v>
      </c>
    </row>
    <row r="3890" spans="1:4" x14ac:dyDescent="0.25">
      <c r="A3890" s="180">
        <f t="shared" si="60"/>
        <v>8693012</v>
      </c>
      <c r="B3890" s="188" t="s">
        <v>5589</v>
      </c>
      <c r="C3890" s="188" t="s">
        <v>5590</v>
      </c>
    </row>
    <row r="3891" spans="1:4" x14ac:dyDescent="0.25">
      <c r="A3891" s="180">
        <f t="shared" si="60"/>
        <v>8694014</v>
      </c>
      <c r="B3891" s="188" t="s">
        <v>5591</v>
      </c>
      <c r="C3891" s="188" t="s">
        <v>5590</v>
      </c>
    </row>
    <row r="3892" spans="1:4" x14ac:dyDescent="0.25">
      <c r="A3892" s="180">
        <f t="shared" si="60"/>
        <v>8695001</v>
      </c>
      <c r="B3892" s="188" t="s">
        <v>5592</v>
      </c>
      <c r="C3892" s="188" t="s">
        <v>5593</v>
      </c>
    </row>
    <row r="3893" spans="1:4" x14ac:dyDescent="0.25">
      <c r="A3893" s="180">
        <f t="shared" si="60"/>
        <v>8697004</v>
      </c>
      <c r="B3893" s="188" t="s">
        <v>5594</v>
      </c>
      <c r="C3893" s="188" t="s">
        <v>5211</v>
      </c>
    </row>
    <row r="3894" spans="1:4" x14ac:dyDescent="0.25">
      <c r="A3894" s="180">
        <f t="shared" si="60"/>
        <v>8701000</v>
      </c>
      <c r="B3894" s="188" t="s">
        <v>5596</v>
      </c>
      <c r="C3894" s="188" t="s">
        <v>5597</v>
      </c>
      <c r="D3894" t="s">
        <v>13412</v>
      </c>
    </row>
    <row r="3895" spans="1:4" x14ac:dyDescent="0.25">
      <c r="A3895" s="180">
        <f t="shared" si="60"/>
        <v>8701001</v>
      </c>
      <c r="B3895" s="188" t="s">
        <v>5598</v>
      </c>
      <c r="C3895" s="188" t="s">
        <v>5599</v>
      </c>
      <c r="D3895" t="s">
        <v>13412</v>
      </c>
    </row>
    <row r="3896" spans="1:4" x14ac:dyDescent="0.25">
      <c r="A3896" s="180">
        <f t="shared" si="60"/>
        <v>8701002</v>
      </c>
      <c r="B3896" s="188" t="s">
        <v>5600</v>
      </c>
      <c r="C3896" s="188" t="s">
        <v>5601</v>
      </c>
    </row>
    <row r="3897" spans="1:4" x14ac:dyDescent="0.25">
      <c r="A3897" s="180">
        <f t="shared" si="60"/>
        <v>8701003</v>
      </c>
      <c r="B3897" s="188" t="s">
        <v>5602</v>
      </c>
      <c r="C3897" s="188" t="s">
        <v>5603</v>
      </c>
    </row>
    <row r="3898" spans="1:4" x14ac:dyDescent="0.25">
      <c r="A3898" s="180">
        <f t="shared" si="60"/>
        <v>8701005</v>
      </c>
      <c r="B3898" s="188" t="s">
        <v>5604</v>
      </c>
      <c r="C3898" s="188" t="s">
        <v>5605</v>
      </c>
      <c r="D3898" t="s">
        <v>13412</v>
      </c>
    </row>
    <row r="3899" spans="1:4" x14ac:dyDescent="0.25">
      <c r="A3899" s="180">
        <f t="shared" si="60"/>
        <v>8701006</v>
      </c>
      <c r="B3899" s="188" t="s">
        <v>15115</v>
      </c>
      <c r="C3899" s="188" t="s">
        <v>15116</v>
      </c>
      <c r="D3899" t="s">
        <v>13412</v>
      </c>
    </row>
    <row r="3900" spans="1:4" x14ac:dyDescent="0.25">
      <c r="A3900" s="180">
        <f t="shared" si="60"/>
        <v>8701007</v>
      </c>
      <c r="B3900" s="188" t="s">
        <v>15117</v>
      </c>
      <c r="C3900" s="188" t="s">
        <v>15118</v>
      </c>
      <c r="D3900" t="s">
        <v>13412</v>
      </c>
    </row>
    <row r="3901" spans="1:4" x14ac:dyDescent="0.25">
      <c r="A3901" s="180">
        <f t="shared" si="60"/>
        <v>8701010</v>
      </c>
      <c r="B3901" s="188" t="s">
        <v>13360</v>
      </c>
      <c r="C3901" s="188" t="s">
        <v>13361</v>
      </c>
      <c r="D3901" t="s">
        <v>13412</v>
      </c>
    </row>
    <row r="3902" spans="1:4" x14ac:dyDescent="0.25">
      <c r="A3902" s="180">
        <f t="shared" si="60"/>
        <v>8701015</v>
      </c>
      <c r="B3902" s="188" t="s">
        <v>13540</v>
      </c>
      <c r="C3902" s="188" t="s">
        <v>13541</v>
      </c>
      <c r="D3902" t="s">
        <v>13412</v>
      </c>
    </row>
    <row r="3903" spans="1:4" x14ac:dyDescent="0.25">
      <c r="A3903" s="180">
        <f t="shared" ref="A3903:A3966" si="61">IFERROR(B3903*1,"")</f>
        <v>8701020</v>
      </c>
      <c r="B3903" s="188" t="s">
        <v>5606</v>
      </c>
      <c r="C3903" s="188" t="s">
        <v>5607</v>
      </c>
      <c r="D3903" t="s">
        <v>13412</v>
      </c>
    </row>
    <row r="3904" spans="1:4" x14ac:dyDescent="0.25">
      <c r="A3904" s="180">
        <f t="shared" si="61"/>
        <v>8701032</v>
      </c>
      <c r="B3904" s="188" t="s">
        <v>5608</v>
      </c>
      <c r="C3904" s="188" t="s">
        <v>5609</v>
      </c>
      <c r="D3904" t="s">
        <v>13411</v>
      </c>
    </row>
    <row r="3905" spans="1:4" x14ac:dyDescent="0.25">
      <c r="A3905" s="180">
        <f t="shared" si="61"/>
        <v>8701033</v>
      </c>
      <c r="B3905" s="188" t="s">
        <v>5610</v>
      </c>
      <c r="C3905" s="188" t="s">
        <v>5611</v>
      </c>
      <c r="D3905" t="s">
        <v>13412</v>
      </c>
    </row>
    <row r="3906" spans="1:4" x14ac:dyDescent="0.25">
      <c r="A3906" s="180">
        <f t="shared" si="61"/>
        <v>8701038</v>
      </c>
      <c r="B3906" s="188" t="s">
        <v>5612</v>
      </c>
      <c r="C3906" s="188" t="s">
        <v>5613</v>
      </c>
      <c r="D3906" t="s">
        <v>13412</v>
      </c>
    </row>
    <row r="3907" spans="1:4" x14ac:dyDescent="0.25">
      <c r="A3907" s="180">
        <f t="shared" si="61"/>
        <v>8701060</v>
      </c>
      <c r="B3907" s="188" t="s">
        <v>5614</v>
      </c>
      <c r="C3907" s="188" t="s">
        <v>5615</v>
      </c>
    </row>
    <row r="3908" spans="1:4" x14ac:dyDescent="0.25">
      <c r="A3908" s="180">
        <f t="shared" si="61"/>
        <v>8701090</v>
      </c>
      <c r="B3908" s="188" t="s">
        <v>5616</v>
      </c>
      <c r="C3908" s="188" t="s">
        <v>5617</v>
      </c>
      <c r="D3908" t="s">
        <v>13412</v>
      </c>
    </row>
    <row r="3909" spans="1:4" x14ac:dyDescent="0.25">
      <c r="A3909" s="180">
        <f t="shared" si="61"/>
        <v>8701092</v>
      </c>
      <c r="B3909" s="188" t="s">
        <v>5618</v>
      </c>
      <c r="C3909" s="188" t="s">
        <v>5619</v>
      </c>
      <c r="D3909" t="s">
        <v>13412</v>
      </c>
    </row>
    <row r="3910" spans="1:4" x14ac:dyDescent="0.25">
      <c r="A3910" s="180">
        <f t="shared" si="61"/>
        <v>8701093</v>
      </c>
      <c r="B3910" s="188" t="s">
        <v>5620</v>
      </c>
      <c r="C3910" s="188" t="s">
        <v>5621</v>
      </c>
      <c r="D3910" t="s">
        <v>13412</v>
      </c>
    </row>
    <row r="3911" spans="1:4" x14ac:dyDescent="0.25">
      <c r="A3911" s="180">
        <f t="shared" si="61"/>
        <v>8701100</v>
      </c>
      <c r="B3911" s="188" t="s">
        <v>5622</v>
      </c>
      <c r="C3911" s="188" t="s">
        <v>5623</v>
      </c>
    </row>
    <row r="3912" spans="1:4" x14ac:dyDescent="0.25">
      <c r="A3912" s="180">
        <f t="shared" si="61"/>
        <v>8701120</v>
      </c>
      <c r="B3912" s="188" t="s">
        <v>5624</v>
      </c>
      <c r="C3912" s="188" t="s">
        <v>5625</v>
      </c>
      <c r="D3912" t="s">
        <v>13412</v>
      </c>
    </row>
    <row r="3913" spans="1:4" x14ac:dyDescent="0.25">
      <c r="A3913" s="180">
        <f t="shared" si="61"/>
        <v>8701134</v>
      </c>
      <c r="B3913" s="188" t="s">
        <v>14067</v>
      </c>
      <c r="C3913" s="188" t="s">
        <v>14068</v>
      </c>
      <c r="D3913" t="s">
        <v>13412</v>
      </c>
    </row>
    <row r="3914" spans="1:4" x14ac:dyDescent="0.25">
      <c r="A3914" s="180">
        <f t="shared" si="61"/>
        <v>8701158</v>
      </c>
      <c r="B3914" s="188" t="s">
        <v>5626</v>
      </c>
      <c r="C3914" s="188" t="s">
        <v>5627</v>
      </c>
    </row>
    <row r="3915" spans="1:4" x14ac:dyDescent="0.25">
      <c r="A3915" s="180">
        <f t="shared" si="61"/>
        <v>8701162</v>
      </c>
      <c r="B3915" s="188" t="s">
        <v>5628</v>
      </c>
      <c r="C3915" s="188" t="s">
        <v>5629</v>
      </c>
      <c r="D3915" t="s">
        <v>13412</v>
      </c>
    </row>
    <row r="3916" spans="1:4" x14ac:dyDescent="0.25">
      <c r="A3916" s="180">
        <f t="shared" si="61"/>
        <v>8701200</v>
      </c>
      <c r="B3916" s="188" t="s">
        <v>5630</v>
      </c>
      <c r="C3916" s="188" t="s">
        <v>5631</v>
      </c>
      <c r="D3916" t="s">
        <v>13411</v>
      </c>
    </row>
    <row r="3917" spans="1:4" x14ac:dyDescent="0.25">
      <c r="A3917" s="180">
        <f t="shared" si="61"/>
        <v>8701214</v>
      </c>
      <c r="B3917" s="188" t="s">
        <v>5632</v>
      </c>
      <c r="C3917" s="188" t="s">
        <v>5633</v>
      </c>
      <c r="D3917" t="s">
        <v>13412</v>
      </c>
    </row>
    <row r="3918" spans="1:4" x14ac:dyDescent="0.25">
      <c r="A3918" s="180">
        <f t="shared" si="61"/>
        <v>8701215</v>
      </c>
      <c r="B3918" s="188" t="s">
        <v>5634</v>
      </c>
      <c r="C3918" s="188" t="s">
        <v>5635</v>
      </c>
      <c r="D3918" t="s">
        <v>13412</v>
      </c>
    </row>
    <row r="3919" spans="1:4" x14ac:dyDescent="0.25">
      <c r="A3919" s="180">
        <f t="shared" si="61"/>
        <v>8701216</v>
      </c>
      <c r="B3919" s="188" t="s">
        <v>5636</v>
      </c>
      <c r="C3919" s="188" t="s">
        <v>5637</v>
      </c>
      <c r="D3919" t="s">
        <v>13412</v>
      </c>
    </row>
    <row r="3920" spans="1:4" x14ac:dyDescent="0.25">
      <c r="A3920" s="180">
        <f t="shared" si="61"/>
        <v>8701230</v>
      </c>
      <c r="B3920" s="188" t="s">
        <v>14069</v>
      </c>
      <c r="C3920" s="188" t="s">
        <v>14070</v>
      </c>
      <c r="D3920" t="s">
        <v>13412</v>
      </c>
    </row>
    <row r="3921" spans="1:4" x14ac:dyDescent="0.25">
      <c r="A3921" s="180">
        <f t="shared" si="61"/>
        <v>8701253</v>
      </c>
      <c r="B3921" s="188" t="s">
        <v>12926</v>
      </c>
      <c r="C3921" s="188" t="s">
        <v>12927</v>
      </c>
      <c r="D3921" t="s">
        <v>13412</v>
      </c>
    </row>
    <row r="3922" spans="1:4" x14ac:dyDescent="0.25">
      <c r="A3922" s="180">
        <f t="shared" si="61"/>
        <v>8701255</v>
      </c>
      <c r="B3922" s="188" t="s">
        <v>12928</v>
      </c>
      <c r="C3922" s="188" t="s">
        <v>12929</v>
      </c>
      <c r="D3922" t="s">
        <v>13412</v>
      </c>
    </row>
    <row r="3923" spans="1:4" x14ac:dyDescent="0.25">
      <c r="A3923" s="180">
        <f t="shared" si="61"/>
        <v>8701325</v>
      </c>
      <c r="B3923" s="188" t="s">
        <v>12930</v>
      </c>
      <c r="C3923" s="188" t="s">
        <v>12931</v>
      </c>
      <c r="D3923" t="s">
        <v>13412</v>
      </c>
    </row>
    <row r="3924" spans="1:4" x14ac:dyDescent="0.25">
      <c r="A3924" s="180">
        <f t="shared" si="61"/>
        <v>8701326</v>
      </c>
      <c r="B3924" s="188" t="s">
        <v>5638</v>
      </c>
      <c r="C3924" s="188" t="s">
        <v>5639</v>
      </c>
    </row>
    <row r="3925" spans="1:4" x14ac:dyDescent="0.25">
      <c r="A3925" s="180">
        <f t="shared" si="61"/>
        <v>8701350</v>
      </c>
      <c r="B3925" s="188" t="s">
        <v>5640</v>
      </c>
      <c r="C3925" s="188" t="s">
        <v>7033</v>
      </c>
      <c r="D3925" t="s">
        <v>13412</v>
      </c>
    </row>
    <row r="3926" spans="1:4" x14ac:dyDescent="0.25">
      <c r="A3926" s="180">
        <f t="shared" si="61"/>
        <v>8701351</v>
      </c>
      <c r="B3926" s="188" t="s">
        <v>5641</v>
      </c>
      <c r="C3926" s="188" t="s">
        <v>5642</v>
      </c>
    </row>
    <row r="3927" spans="1:4" x14ac:dyDescent="0.25">
      <c r="A3927" s="180">
        <f t="shared" si="61"/>
        <v>8701458</v>
      </c>
      <c r="B3927" s="188" t="s">
        <v>5643</v>
      </c>
      <c r="C3927" s="188" t="s">
        <v>5644</v>
      </c>
      <c r="D3927" t="s">
        <v>13412</v>
      </c>
    </row>
    <row r="3928" spans="1:4" x14ac:dyDescent="0.25">
      <c r="A3928" s="180">
        <f t="shared" si="61"/>
        <v>8701494</v>
      </c>
      <c r="B3928" s="188" t="s">
        <v>5645</v>
      </c>
      <c r="C3928" s="188" t="s">
        <v>5646</v>
      </c>
      <c r="D3928" t="s">
        <v>13412</v>
      </c>
    </row>
    <row r="3929" spans="1:4" x14ac:dyDescent="0.25">
      <c r="A3929" s="180">
        <f t="shared" si="61"/>
        <v>8701495</v>
      </c>
      <c r="B3929" s="188" t="s">
        <v>5647</v>
      </c>
      <c r="C3929" s="188" t="s">
        <v>5648</v>
      </c>
      <c r="D3929" t="s">
        <v>13412</v>
      </c>
    </row>
    <row r="3930" spans="1:4" x14ac:dyDescent="0.25">
      <c r="A3930" s="180">
        <f t="shared" si="61"/>
        <v>8701500</v>
      </c>
      <c r="B3930" s="188" t="s">
        <v>5649</v>
      </c>
      <c r="C3930" s="188" t="s">
        <v>5650</v>
      </c>
      <c r="D3930" t="s">
        <v>13412</v>
      </c>
    </row>
    <row r="3931" spans="1:4" x14ac:dyDescent="0.25">
      <c r="A3931" s="180">
        <f t="shared" si="61"/>
        <v>8701540</v>
      </c>
      <c r="B3931" s="188" t="s">
        <v>14997</v>
      </c>
      <c r="C3931" s="188" t="s">
        <v>14998</v>
      </c>
      <c r="D3931" t="s">
        <v>13412</v>
      </c>
    </row>
    <row r="3932" spans="1:4" x14ac:dyDescent="0.25">
      <c r="A3932" s="180">
        <f t="shared" si="61"/>
        <v>8701541</v>
      </c>
      <c r="B3932" s="188" t="s">
        <v>5651</v>
      </c>
      <c r="C3932" s="188" t="s">
        <v>5652</v>
      </c>
      <c r="D3932" t="s">
        <v>13412</v>
      </c>
    </row>
    <row r="3933" spans="1:4" x14ac:dyDescent="0.25">
      <c r="A3933" s="180">
        <f t="shared" si="61"/>
        <v>8701542</v>
      </c>
      <c r="B3933" s="188" t="s">
        <v>5653</v>
      </c>
      <c r="C3933" s="188" t="s">
        <v>5654</v>
      </c>
      <c r="D3933" t="s">
        <v>13412</v>
      </c>
    </row>
    <row r="3934" spans="1:4" x14ac:dyDescent="0.25">
      <c r="A3934" s="180">
        <f t="shared" si="61"/>
        <v>8701543</v>
      </c>
      <c r="B3934" s="188" t="s">
        <v>14071</v>
      </c>
      <c r="C3934" s="188" t="s">
        <v>14072</v>
      </c>
      <c r="D3934" t="s">
        <v>13412</v>
      </c>
    </row>
    <row r="3935" spans="1:4" x14ac:dyDescent="0.25">
      <c r="A3935" s="180">
        <f t="shared" si="61"/>
        <v>8701552</v>
      </c>
      <c r="B3935" s="188" t="s">
        <v>5655</v>
      </c>
      <c r="C3935" s="188" t="s">
        <v>5656</v>
      </c>
    </row>
    <row r="3936" spans="1:4" x14ac:dyDescent="0.25">
      <c r="A3936" s="180">
        <f t="shared" si="61"/>
        <v>8701575</v>
      </c>
      <c r="B3936" s="188" t="s">
        <v>5657</v>
      </c>
      <c r="C3936" s="188" t="s">
        <v>5658</v>
      </c>
      <c r="D3936" t="s">
        <v>13412</v>
      </c>
    </row>
    <row r="3937" spans="1:4" x14ac:dyDescent="0.25">
      <c r="A3937" s="180">
        <f t="shared" si="61"/>
        <v>8701576</v>
      </c>
      <c r="B3937" s="188" t="s">
        <v>5659</v>
      </c>
      <c r="C3937" s="188" t="s">
        <v>13362</v>
      </c>
      <c r="D3937" t="s">
        <v>13412</v>
      </c>
    </row>
    <row r="3938" spans="1:4" x14ac:dyDescent="0.25">
      <c r="A3938" s="180">
        <f t="shared" si="61"/>
        <v>8701651</v>
      </c>
      <c r="B3938" s="188" t="s">
        <v>14073</v>
      </c>
      <c r="C3938" s="188" t="s">
        <v>14074</v>
      </c>
      <c r="D3938" t="s">
        <v>13412</v>
      </c>
    </row>
    <row r="3939" spans="1:4" x14ac:dyDescent="0.25">
      <c r="A3939" s="180">
        <f t="shared" si="61"/>
        <v>8701652</v>
      </c>
      <c r="B3939" s="188" t="s">
        <v>5660</v>
      </c>
      <c r="C3939" s="188" t="s">
        <v>5661</v>
      </c>
      <c r="D3939" t="s">
        <v>13412</v>
      </c>
    </row>
    <row r="3940" spans="1:4" x14ac:dyDescent="0.25">
      <c r="A3940" s="180">
        <f t="shared" si="61"/>
        <v>8701653</v>
      </c>
      <c r="B3940" s="188" t="s">
        <v>5662</v>
      </c>
      <c r="C3940" s="188" t="s">
        <v>5663</v>
      </c>
      <c r="D3940" t="s">
        <v>13412</v>
      </c>
    </row>
    <row r="3941" spans="1:4" x14ac:dyDescent="0.25">
      <c r="A3941" s="180">
        <f t="shared" si="61"/>
        <v>8701654</v>
      </c>
      <c r="B3941" s="188" t="s">
        <v>5664</v>
      </c>
      <c r="C3941" s="188" t="s">
        <v>5665</v>
      </c>
      <c r="D3941" t="s">
        <v>13412</v>
      </c>
    </row>
    <row r="3942" spans="1:4" x14ac:dyDescent="0.25">
      <c r="A3942" s="180">
        <f t="shared" si="61"/>
        <v>8701655</v>
      </c>
      <c r="B3942" s="188" t="s">
        <v>5666</v>
      </c>
      <c r="C3942" s="188" t="s">
        <v>5667</v>
      </c>
      <c r="D3942" t="s">
        <v>13412</v>
      </c>
    </row>
    <row r="3943" spans="1:4" x14ac:dyDescent="0.25">
      <c r="A3943" s="180">
        <f t="shared" si="61"/>
        <v>8701656</v>
      </c>
      <c r="B3943" s="188" t="s">
        <v>5668</v>
      </c>
      <c r="C3943" s="188" t="s">
        <v>5669</v>
      </c>
    </row>
    <row r="3944" spans="1:4" x14ac:dyDescent="0.25">
      <c r="A3944" s="180">
        <f t="shared" si="61"/>
        <v>8701657</v>
      </c>
      <c r="B3944" s="188" t="s">
        <v>5670</v>
      </c>
      <c r="C3944" s="188" t="s">
        <v>5671</v>
      </c>
      <c r="D3944" t="s">
        <v>13412</v>
      </c>
    </row>
    <row r="3945" spans="1:4" x14ac:dyDescent="0.25">
      <c r="A3945" s="180">
        <f t="shared" si="61"/>
        <v>8701658</v>
      </c>
      <c r="B3945" s="188" t="s">
        <v>5672</v>
      </c>
      <c r="C3945" s="188" t="s">
        <v>5673</v>
      </c>
    </row>
    <row r="3946" spans="1:4" x14ac:dyDescent="0.25">
      <c r="A3946" s="180">
        <f t="shared" si="61"/>
        <v>8701735</v>
      </c>
      <c r="B3946" s="188" t="s">
        <v>5674</v>
      </c>
      <c r="C3946" s="188" t="s">
        <v>15016</v>
      </c>
      <c r="D3946" t="s">
        <v>13412</v>
      </c>
    </row>
    <row r="3947" spans="1:4" x14ac:dyDescent="0.25">
      <c r="A3947" s="180">
        <f t="shared" si="61"/>
        <v>8701736</v>
      </c>
      <c r="B3947" s="188" t="s">
        <v>5675</v>
      </c>
      <c r="C3947" s="188" t="s">
        <v>5676</v>
      </c>
    </row>
    <row r="3948" spans="1:4" x14ac:dyDescent="0.25">
      <c r="A3948" s="180">
        <f t="shared" si="61"/>
        <v>8701741</v>
      </c>
      <c r="B3948" s="188" t="s">
        <v>5677</v>
      </c>
      <c r="C3948" s="188" t="s">
        <v>14286</v>
      </c>
      <c r="D3948" t="s">
        <v>13411</v>
      </c>
    </row>
    <row r="3949" spans="1:4" x14ac:dyDescent="0.25">
      <c r="A3949" s="180">
        <f t="shared" si="61"/>
        <v>8701742</v>
      </c>
      <c r="B3949" s="188" t="s">
        <v>5678</v>
      </c>
      <c r="C3949" s="188" t="s">
        <v>14287</v>
      </c>
      <c r="D3949" t="s">
        <v>13411</v>
      </c>
    </row>
    <row r="3950" spans="1:4" x14ac:dyDescent="0.25">
      <c r="A3950" s="180">
        <f t="shared" si="61"/>
        <v>8701745</v>
      </c>
      <c r="B3950" s="188" t="s">
        <v>5679</v>
      </c>
      <c r="C3950" s="188" t="s">
        <v>5680</v>
      </c>
    </row>
    <row r="3951" spans="1:4" x14ac:dyDescent="0.25">
      <c r="A3951" s="180">
        <f t="shared" si="61"/>
        <v>8701750</v>
      </c>
      <c r="B3951" s="188" t="s">
        <v>5681</v>
      </c>
      <c r="C3951" s="188" t="s">
        <v>5682</v>
      </c>
      <c r="D3951" t="s">
        <v>13412</v>
      </c>
    </row>
    <row r="3952" spans="1:4" x14ac:dyDescent="0.25">
      <c r="A3952" s="180">
        <f t="shared" si="61"/>
        <v>8701800</v>
      </c>
      <c r="B3952" s="188" t="s">
        <v>5683</v>
      </c>
      <c r="C3952" s="188" t="s">
        <v>5684</v>
      </c>
      <c r="D3952" t="s">
        <v>13412</v>
      </c>
    </row>
    <row r="3953" spans="1:4" x14ac:dyDescent="0.25">
      <c r="A3953" s="180">
        <f t="shared" si="61"/>
        <v>8701856</v>
      </c>
      <c r="B3953" s="188" t="s">
        <v>5685</v>
      </c>
      <c r="C3953" s="188" t="s">
        <v>5686</v>
      </c>
      <c r="D3953" t="s">
        <v>13412</v>
      </c>
    </row>
    <row r="3954" spans="1:4" x14ac:dyDescent="0.25">
      <c r="A3954" s="180">
        <f t="shared" si="61"/>
        <v>8701900</v>
      </c>
      <c r="B3954" s="188" t="s">
        <v>5687</v>
      </c>
      <c r="C3954" s="188" t="s">
        <v>13363</v>
      </c>
      <c r="D3954" t="s">
        <v>13411</v>
      </c>
    </row>
    <row r="3955" spans="1:4" x14ac:dyDescent="0.25">
      <c r="A3955" s="180">
        <f t="shared" si="61"/>
        <v>8701999</v>
      </c>
      <c r="B3955" s="188" t="s">
        <v>5688</v>
      </c>
      <c r="C3955" s="188" t="s">
        <v>5689</v>
      </c>
      <c r="D3955" t="s">
        <v>13412</v>
      </c>
    </row>
    <row r="3956" spans="1:4" x14ac:dyDescent="0.25">
      <c r="A3956" s="180">
        <f t="shared" si="61"/>
        <v>8702073</v>
      </c>
      <c r="B3956" s="188" t="s">
        <v>5690</v>
      </c>
      <c r="C3956" s="188" t="s">
        <v>5691</v>
      </c>
    </row>
    <row r="3957" spans="1:4" x14ac:dyDescent="0.25">
      <c r="A3957" s="180">
        <f t="shared" si="61"/>
        <v>8702228</v>
      </c>
      <c r="B3957" s="188" t="s">
        <v>5692</v>
      </c>
      <c r="C3957" s="188" t="s">
        <v>5693</v>
      </c>
    </row>
    <row r="3958" spans="1:4" x14ac:dyDescent="0.25">
      <c r="A3958" s="180">
        <f t="shared" si="61"/>
        <v>8702557</v>
      </c>
      <c r="B3958" s="188" t="s">
        <v>5694</v>
      </c>
      <c r="C3958" s="188" t="s">
        <v>5695</v>
      </c>
      <c r="D3958" t="s">
        <v>13412</v>
      </c>
    </row>
    <row r="3959" spans="1:4" x14ac:dyDescent="0.25">
      <c r="A3959" s="180">
        <f t="shared" si="61"/>
        <v>8702660</v>
      </c>
      <c r="B3959" s="188" t="s">
        <v>5696</v>
      </c>
      <c r="C3959" s="188" t="s">
        <v>5697</v>
      </c>
      <c r="D3959" t="s">
        <v>13412</v>
      </c>
    </row>
    <row r="3960" spans="1:4" x14ac:dyDescent="0.25">
      <c r="A3960" s="180">
        <f t="shared" si="61"/>
        <v>8702661</v>
      </c>
      <c r="B3960" s="188" t="s">
        <v>5698</v>
      </c>
      <c r="C3960" s="188" t="s">
        <v>5699</v>
      </c>
      <c r="D3960" t="s">
        <v>13412</v>
      </c>
    </row>
    <row r="3961" spans="1:4" x14ac:dyDescent="0.25">
      <c r="A3961" s="180">
        <f t="shared" si="61"/>
        <v>8702668</v>
      </c>
      <c r="B3961" s="188" t="s">
        <v>5700</v>
      </c>
      <c r="C3961" s="188" t="s">
        <v>5701</v>
      </c>
    </row>
    <row r="3962" spans="1:4" x14ac:dyDescent="0.25">
      <c r="A3962" s="180">
        <f t="shared" si="61"/>
        <v>8703000</v>
      </c>
      <c r="B3962" s="188" t="s">
        <v>5702</v>
      </c>
      <c r="C3962" s="188" t="s">
        <v>5703</v>
      </c>
    </row>
    <row r="3963" spans="1:4" x14ac:dyDescent="0.25">
      <c r="A3963" s="180">
        <f t="shared" si="61"/>
        <v>8703001</v>
      </c>
      <c r="B3963" s="188" t="s">
        <v>5704</v>
      </c>
      <c r="C3963" s="188" t="s">
        <v>5705</v>
      </c>
      <c r="D3963" t="s">
        <v>13412</v>
      </c>
    </row>
    <row r="3964" spans="1:4" x14ac:dyDescent="0.25">
      <c r="A3964" s="180">
        <f t="shared" si="61"/>
        <v>8703002</v>
      </c>
      <c r="B3964" s="188" t="s">
        <v>5706</v>
      </c>
      <c r="C3964" s="188" t="s">
        <v>5707</v>
      </c>
    </row>
    <row r="3965" spans="1:4" x14ac:dyDescent="0.25">
      <c r="A3965" s="180">
        <f t="shared" si="61"/>
        <v>8703004</v>
      </c>
      <c r="B3965" s="188" t="s">
        <v>5708</v>
      </c>
      <c r="C3965" s="188" t="s">
        <v>5709</v>
      </c>
      <c r="D3965" t="s">
        <v>13412</v>
      </c>
    </row>
    <row r="3966" spans="1:4" x14ac:dyDescent="0.25">
      <c r="A3966" s="180">
        <f t="shared" si="61"/>
        <v>8703005</v>
      </c>
      <c r="B3966" s="188" t="s">
        <v>5710</v>
      </c>
      <c r="C3966" s="188" t="s">
        <v>5711</v>
      </c>
      <c r="D3966" t="s">
        <v>13412</v>
      </c>
    </row>
    <row r="3967" spans="1:4" x14ac:dyDescent="0.25">
      <c r="A3967" s="180">
        <f t="shared" ref="A3967:A4030" si="62">IFERROR(B3967*1,"")</f>
        <v>8703011</v>
      </c>
      <c r="B3967" s="188" t="s">
        <v>5712</v>
      </c>
      <c r="C3967" s="188" t="s">
        <v>5713</v>
      </c>
    </row>
    <row r="3968" spans="1:4" x14ac:dyDescent="0.25">
      <c r="A3968" s="180">
        <f t="shared" si="62"/>
        <v>8703012</v>
      </c>
      <c r="B3968" s="188" t="s">
        <v>5714</v>
      </c>
      <c r="C3968" s="188" t="s">
        <v>5715</v>
      </c>
      <c r="D3968" t="s">
        <v>13412</v>
      </c>
    </row>
    <row r="3969" spans="1:4" x14ac:dyDescent="0.25">
      <c r="A3969" s="180">
        <f t="shared" si="62"/>
        <v>8703017</v>
      </c>
      <c r="B3969" s="188" t="s">
        <v>5716</v>
      </c>
      <c r="C3969" s="188" t="s">
        <v>12932</v>
      </c>
      <c r="D3969" t="s">
        <v>13412</v>
      </c>
    </row>
    <row r="3970" spans="1:4" x14ac:dyDescent="0.25">
      <c r="A3970" s="180">
        <f t="shared" si="62"/>
        <v>8703018</v>
      </c>
      <c r="B3970" s="188" t="s">
        <v>5717</v>
      </c>
      <c r="C3970" s="188" t="s">
        <v>5718</v>
      </c>
      <c r="D3970" t="s">
        <v>13412</v>
      </c>
    </row>
    <row r="3971" spans="1:4" x14ac:dyDescent="0.25">
      <c r="A3971" s="180">
        <f t="shared" si="62"/>
        <v>8703020</v>
      </c>
      <c r="B3971" s="188" t="s">
        <v>5719</v>
      </c>
      <c r="C3971" s="188" t="s">
        <v>5720</v>
      </c>
      <c r="D3971" t="s">
        <v>13412</v>
      </c>
    </row>
    <row r="3972" spans="1:4" x14ac:dyDescent="0.25">
      <c r="A3972" s="180">
        <f t="shared" si="62"/>
        <v>8703021</v>
      </c>
      <c r="B3972" s="188" t="s">
        <v>5721</v>
      </c>
      <c r="C3972" s="188" t="s">
        <v>5722</v>
      </c>
    </row>
    <row r="3973" spans="1:4" x14ac:dyDescent="0.25">
      <c r="A3973" s="180">
        <f t="shared" si="62"/>
        <v>8703024</v>
      </c>
      <c r="B3973" s="188" t="s">
        <v>14075</v>
      </c>
      <c r="C3973" s="188" t="s">
        <v>14076</v>
      </c>
      <c r="D3973" t="s">
        <v>13412</v>
      </c>
    </row>
    <row r="3974" spans="1:4" x14ac:dyDescent="0.25">
      <c r="A3974" s="180">
        <f t="shared" si="62"/>
        <v>8703028</v>
      </c>
      <c r="B3974" s="188" t="s">
        <v>5723</v>
      </c>
      <c r="C3974" s="188" t="s">
        <v>13542</v>
      </c>
      <c r="D3974" t="s">
        <v>13412</v>
      </c>
    </row>
    <row r="3975" spans="1:4" x14ac:dyDescent="0.25">
      <c r="A3975" s="180">
        <f t="shared" si="62"/>
        <v>8703034</v>
      </c>
      <c r="B3975" s="188" t="s">
        <v>5724</v>
      </c>
      <c r="C3975" s="188" t="s">
        <v>5725</v>
      </c>
      <c r="D3975" t="s">
        <v>13412</v>
      </c>
    </row>
    <row r="3976" spans="1:4" x14ac:dyDescent="0.25">
      <c r="A3976" s="180">
        <f t="shared" si="62"/>
        <v>8703035</v>
      </c>
      <c r="B3976" s="188" t="s">
        <v>5726</v>
      </c>
      <c r="C3976" s="188" t="s">
        <v>5727</v>
      </c>
      <c r="D3976" t="s">
        <v>13412</v>
      </c>
    </row>
    <row r="3977" spans="1:4" x14ac:dyDescent="0.25">
      <c r="A3977" s="180">
        <f t="shared" si="62"/>
        <v>8703036</v>
      </c>
      <c r="B3977" s="188" t="s">
        <v>5728</v>
      </c>
      <c r="C3977" s="188" t="s">
        <v>5729</v>
      </c>
      <c r="D3977" t="s">
        <v>13412</v>
      </c>
    </row>
    <row r="3978" spans="1:4" x14ac:dyDescent="0.25">
      <c r="A3978" s="180">
        <f t="shared" si="62"/>
        <v>870303601</v>
      </c>
      <c r="B3978" s="188" t="s">
        <v>5730</v>
      </c>
      <c r="C3978" s="188" t="s">
        <v>5731</v>
      </c>
    </row>
    <row r="3979" spans="1:4" x14ac:dyDescent="0.25">
      <c r="A3979" s="180">
        <f t="shared" si="62"/>
        <v>870303602</v>
      </c>
      <c r="B3979" s="188" t="s">
        <v>5732</v>
      </c>
      <c r="C3979" s="188" t="s">
        <v>5733</v>
      </c>
    </row>
    <row r="3980" spans="1:4" x14ac:dyDescent="0.25">
      <c r="A3980" s="180">
        <f t="shared" si="62"/>
        <v>8703037</v>
      </c>
      <c r="B3980" s="188" t="s">
        <v>5734</v>
      </c>
      <c r="C3980" s="188" t="s">
        <v>5735</v>
      </c>
      <c r="D3980" t="s">
        <v>13412</v>
      </c>
    </row>
    <row r="3981" spans="1:4" x14ac:dyDescent="0.25">
      <c r="A3981" s="180">
        <f t="shared" si="62"/>
        <v>8703038</v>
      </c>
      <c r="B3981" s="188" t="s">
        <v>5736</v>
      </c>
      <c r="C3981" s="188" t="s">
        <v>5737</v>
      </c>
      <c r="D3981" t="s">
        <v>13412</v>
      </c>
    </row>
    <row r="3982" spans="1:4" x14ac:dyDescent="0.25">
      <c r="A3982" s="180">
        <f t="shared" si="62"/>
        <v>870303800</v>
      </c>
      <c r="B3982" s="188" t="s">
        <v>5738</v>
      </c>
      <c r="C3982" s="188" t="s">
        <v>5739</v>
      </c>
    </row>
    <row r="3983" spans="1:4" x14ac:dyDescent="0.25">
      <c r="A3983" s="180">
        <f t="shared" si="62"/>
        <v>870303801</v>
      </c>
      <c r="B3983" s="188" t="s">
        <v>5740</v>
      </c>
      <c r="C3983" s="188" t="s">
        <v>5741</v>
      </c>
    </row>
    <row r="3984" spans="1:4" x14ac:dyDescent="0.25">
      <c r="A3984" s="180">
        <f t="shared" si="62"/>
        <v>870303802</v>
      </c>
      <c r="B3984" s="188" t="s">
        <v>5742</v>
      </c>
      <c r="C3984" s="188" t="s">
        <v>5743</v>
      </c>
    </row>
    <row r="3985" spans="1:4" x14ac:dyDescent="0.25">
      <c r="A3985" s="180">
        <f t="shared" si="62"/>
        <v>870303803</v>
      </c>
      <c r="B3985" s="188" t="s">
        <v>5744</v>
      </c>
      <c r="C3985" s="188" t="s">
        <v>5745</v>
      </c>
    </row>
    <row r="3986" spans="1:4" x14ac:dyDescent="0.25">
      <c r="A3986" s="180">
        <f t="shared" si="62"/>
        <v>8703039</v>
      </c>
      <c r="B3986" s="188" t="s">
        <v>5746</v>
      </c>
      <c r="C3986" s="188" t="s">
        <v>5747</v>
      </c>
    </row>
    <row r="3987" spans="1:4" x14ac:dyDescent="0.25">
      <c r="A3987" s="180">
        <f t="shared" si="62"/>
        <v>8703040</v>
      </c>
      <c r="B3987" s="188" t="s">
        <v>5748</v>
      </c>
      <c r="C3987" s="188" t="s">
        <v>5749</v>
      </c>
      <c r="D3987" t="s">
        <v>13412</v>
      </c>
    </row>
    <row r="3988" spans="1:4" x14ac:dyDescent="0.25">
      <c r="A3988" s="180">
        <f t="shared" si="62"/>
        <v>8703041</v>
      </c>
      <c r="B3988" s="188" t="s">
        <v>5750</v>
      </c>
      <c r="C3988" s="188" t="s">
        <v>5751</v>
      </c>
      <c r="D3988" t="s">
        <v>13412</v>
      </c>
    </row>
    <row r="3989" spans="1:4" x14ac:dyDescent="0.25">
      <c r="A3989" s="180">
        <f t="shared" si="62"/>
        <v>870304101</v>
      </c>
      <c r="B3989" s="188" t="s">
        <v>5752</v>
      </c>
      <c r="C3989" s="188" t="s">
        <v>5753</v>
      </c>
    </row>
    <row r="3990" spans="1:4" x14ac:dyDescent="0.25">
      <c r="A3990" s="180">
        <f t="shared" si="62"/>
        <v>870304102</v>
      </c>
      <c r="B3990" s="188" t="s">
        <v>5754</v>
      </c>
      <c r="C3990" s="188" t="s">
        <v>5755</v>
      </c>
    </row>
    <row r="3991" spans="1:4" x14ac:dyDescent="0.25">
      <c r="A3991" s="180">
        <f t="shared" si="62"/>
        <v>8703042</v>
      </c>
      <c r="B3991" s="188" t="s">
        <v>5756</v>
      </c>
      <c r="C3991" s="188" t="s">
        <v>5757</v>
      </c>
      <c r="D3991" t="s">
        <v>13412</v>
      </c>
    </row>
    <row r="3992" spans="1:4" x14ac:dyDescent="0.25">
      <c r="A3992" s="180">
        <f t="shared" si="62"/>
        <v>8703045</v>
      </c>
      <c r="B3992" s="188" t="s">
        <v>5758</v>
      </c>
      <c r="C3992" s="188" t="s">
        <v>5759</v>
      </c>
      <c r="D3992" t="s">
        <v>13412</v>
      </c>
    </row>
    <row r="3993" spans="1:4" x14ac:dyDescent="0.25">
      <c r="A3993" s="180">
        <f t="shared" si="62"/>
        <v>8703046</v>
      </c>
      <c r="B3993" s="188" t="s">
        <v>5760</v>
      </c>
      <c r="C3993" s="188" t="s">
        <v>5761</v>
      </c>
      <c r="D3993" t="s">
        <v>13412</v>
      </c>
    </row>
    <row r="3994" spans="1:4" x14ac:dyDescent="0.25">
      <c r="A3994" s="180">
        <f t="shared" si="62"/>
        <v>8703047</v>
      </c>
      <c r="B3994" s="188" t="s">
        <v>5762</v>
      </c>
      <c r="C3994" s="188" t="s">
        <v>12933</v>
      </c>
      <c r="D3994" t="s">
        <v>13411</v>
      </c>
    </row>
    <row r="3995" spans="1:4" x14ac:dyDescent="0.25">
      <c r="A3995" s="180">
        <f t="shared" si="62"/>
        <v>8703051</v>
      </c>
      <c r="B3995" s="188" t="s">
        <v>5763</v>
      </c>
      <c r="C3995" s="188" t="s">
        <v>5764</v>
      </c>
      <c r="D3995" t="s">
        <v>13412</v>
      </c>
    </row>
    <row r="3996" spans="1:4" x14ac:dyDescent="0.25">
      <c r="A3996" s="180">
        <f t="shared" si="62"/>
        <v>8703052</v>
      </c>
      <c r="B3996" s="188" t="s">
        <v>5765</v>
      </c>
      <c r="C3996" s="188" t="s">
        <v>5766</v>
      </c>
    </row>
    <row r="3997" spans="1:4" x14ac:dyDescent="0.25">
      <c r="A3997" s="180">
        <f t="shared" si="62"/>
        <v>8703053</v>
      </c>
      <c r="B3997" s="188" t="s">
        <v>5767</v>
      </c>
      <c r="C3997" s="188" t="s">
        <v>5768</v>
      </c>
      <c r="D3997" t="s">
        <v>13412</v>
      </c>
    </row>
    <row r="3998" spans="1:4" x14ac:dyDescent="0.25">
      <c r="A3998" s="180">
        <f t="shared" si="62"/>
        <v>8703062</v>
      </c>
      <c r="B3998" s="188" t="s">
        <v>5769</v>
      </c>
      <c r="C3998" s="188" t="s">
        <v>5770</v>
      </c>
    </row>
    <row r="3999" spans="1:4" x14ac:dyDescent="0.25">
      <c r="A3999" s="180">
        <f t="shared" si="62"/>
        <v>8703076</v>
      </c>
      <c r="B3999" s="188" t="s">
        <v>14903</v>
      </c>
      <c r="C3999" s="188" t="s">
        <v>14904</v>
      </c>
    </row>
    <row r="4000" spans="1:4" x14ac:dyDescent="0.25">
      <c r="A4000" s="180">
        <f t="shared" si="62"/>
        <v>8703090</v>
      </c>
      <c r="B4000" s="188" t="s">
        <v>5771</v>
      </c>
      <c r="C4000" s="188" t="s">
        <v>5772</v>
      </c>
    </row>
    <row r="4001" spans="1:4" x14ac:dyDescent="0.25">
      <c r="A4001" s="180">
        <f t="shared" si="62"/>
        <v>8703094</v>
      </c>
      <c r="B4001" s="188" t="s">
        <v>5773</v>
      </c>
      <c r="C4001" s="188" t="s">
        <v>5774</v>
      </c>
    </row>
    <row r="4002" spans="1:4" x14ac:dyDescent="0.25">
      <c r="A4002" s="180">
        <f t="shared" si="62"/>
        <v>8703097</v>
      </c>
      <c r="B4002" s="188" t="s">
        <v>5775</v>
      </c>
      <c r="C4002" s="188" t="s">
        <v>5776</v>
      </c>
      <c r="D4002" t="s">
        <v>13412</v>
      </c>
    </row>
    <row r="4003" spans="1:4" x14ac:dyDescent="0.25">
      <c r="A4003" s="180">
        <f t="shared" si="62"/>
        <v>8703099</v>
      </c>
      <c r="B4003" s="188" t="s">
        <v>5777</v>
      </c>
      <c r="C4003" s="188" t="s">
        <v>5778</v>
      </c>
      <c r="D4003" t="s">
        <v>13411</v>
      </c>
    </row>
    <row r="4004" spans="1:4" x14ac:dyDescent="0.25">
      <c r="A4004" s="180">
        <f t="shared" si="62"/>
        <v>8703100</v>
      </c>
      <c r="B4004" s="188" t="s">
        <v>5779</v>
      </c>
      <c r="C4004" s="188" t="s">
        <v>5780</v>
      </c>
    </row>
    <row r="4005" spans="1:4" x14ac:dyDescent="0.25">
      <c r="A4005" s="180">
        <f t="shared" si="62"/>
        <v>8703101</v>
      </c>
      <c r="B4005" s="188" t="s">
        <v>5781</v>
      </c>
      <c r="C4005" s="188" t="s">
        <v>5782</v>
      </c>
      <c r="D4005" t="s">
        <v>13412</v>
      </c>
    </row>
    <row r="4006" spans="1:4" x14ac:dyDescent="0.25">
      <c r="A4006" s="180">
        <f t="shared" si="62"/>
        <v>8703102</v>
      </c>
      <c r="B4006" s="188" t="s">
        <v>5783</v>
      </c>
      <c r="C4006" s="188" t="s">
        <v>12934</v>
      </c>
      <c r="D4006" t="s">
        <v>13411</v>
      </c>
    </row>
    <row r="4007" spans="1:4" x14ac:dyDescent="0.25">
      <c r="A4007" s="180">
        <f t="shared" si="62"/>
        <v>8703103</v>
      </c>
      <c r="B4007" s="188" t="s">
        <v>5784</v>
      </c>
      <c r="C4007" s="188" t="s">
        <v>5785</v>
      </c>
      <c r="D4007" t="s">
        <v>13412</v>
      </c>
    </row>
    <row r="4008" spans="1:4" x14ac:dyDescent="0.25">
      <c r="A4008" s="180">
        <f t="shared" si="62"/>
        <v>8703104</v>
      </c>
      <c r="B4008" s="188" t="s">
        <v>5786</v>
      </c>
      <c r="C4008" s="188" t="s">
        <v>5787</v>
      </c>
      <c r="D4008" t="s">
        <v>13412</v>
      </c>
    </row>
    <row r="4009" spans="1:4" x14ac:dyDescent="0.25">
      <c r="A4009" s="180">
        <f t="shared" si="62"/>
        <v>8703105</v>
      </c>
      <c r="B4009" s="188" t="s">
        <v>5788</v>
      </c>
      <c r="C4009" s="188" t="s">
        <v>5789</v>
      </c>
      <c r="D4009" t="s">
        <v>13412</v>
      </c>
    </row>
    <row r="4010" spans="1:4" x14ac:dyDescent="0.25">
      <c r="A4010" s="180">
        <f t="shared" si="62"/>
        <v>8703106</v>
      </c>
      <c r="B4010" s="188" t="s">
        <v>5790</v>
      </c>
      <c r="C4010" s="188" t="s">
        <v>5791</v>
      </c>
      <c r="D4010" t="s">
        <v>13412</v>
      </c>
    </row>
    <row r="4011" spans="1:4" x14ac:dyDescent="0.25">
      <c r="A4011" s="180">
        <f t="shared" si="62"/>
        <v>8703107</v>
      </c>
      <c r="B4011" s="188" t="s">
        <v>5792</v>
      </c>
      <c r="C4011" s="188" t="s">
        <v>5793</v>
      </c>
      <c r="D4011" t="s">
        <v>13412</v>
      </c>
    </row>
    <row r="4012" spans="1:4" x14ac:dyDescent="0.25">
      <c r="A4012" s="180">
        <f t="shared" si="62"/>
        <v>8703108</v>
      </c>
      <c r="B4012" s="188" t="s">
        <v>5794</v>
      </c>
      <c r="C4012" s="188" t="s">
        <v>5795</v>
      </c>
      <c r="D4012" t="s">
        <v>13412</v>
      </c>
    </row>
    <row r="4013" spans="1:4" x14ac:dyDescent="0.25">
      <c r="A4013" s="180">
        <f t="shared" si="62"/>
        <v>8703109</v>
      </c>
      <c r="B4013" s="188" t="s">
        <v>5796</v>
      </c>
      <c r="C4013" s="188" t="s">
        <v>5797</v>
      </c>
      <c r="D4013" t="s">
        <v>13412</v>
      </c>
    </row>
    <row r="4014" spans="1:4" x14ac:dyDescent="0.25">
      <c r="A4014" s="180">
        <f t="shared" si="62"/>
        <v>8703110</v>
      </c>
      <c r="B4014" s="188" t="s">
        <v>5798</v>
      </c>
      <c r="C4014" s="188" t="s">
        <v>5799</v>
      </c>
      <c r="D4014" t="s">
        <v>13412</v>
      </c>
    </row>
    <row r="4015" spans="1:4" x14ac:dyDescent="0.25">
      <c r="A4015" s="180">
        <f t="shared" si="62"/>
        <v>8703111</v>
      </c>
      <c r="B4015" s="188" t="s">
        <v>5800</v>
      </c>
      <c r="C4015" s="188" t="s">
        <v>5801</v>
      </c>
      <c r="D4015" t="s">
        <v>13412</v>
      </c>
    </row>
    <row r="4016" spans="1:4" x14ac:dyDescent="0.25">
      <c r="A4016" s="180">
        <f t="shared" si="62"/>
        <v>8703112</v>
      </c>
      <c r="B4016" s="188" t="s">
        <v>5802</v>
      </c>
      <c r="C4016" s="188" t="s">
        <v>5803</v>
      </c>
      <c r="D4016" t="s">
        <v>13412</v>
      </c>
    </row>
    <row r="4017" spans="1:4" x14ac:dyDescent="0.25">
      <c r="A4017" s="180">
        <f t="shared" si="62"/>
        <v>8703113</v>
      </c>
      <c r="B4017" s="188" t="s">
        <v>5804</v>
      </c>
      <c r="C4017" s="188" t="s">
        <v>5805</v>
      </c>
      <c r="D4017" t="s">
        <v>13412</v>
      </c>
    </row>
    <row r="4018" spans="1:4" x14ac:dyDescent="0.25">
      <c r="A4018" s="180">
        <f t="shared" si="62"/>
        <v>8703114</v>
      </c>
      <c r="B4018" s="188" t="s">
        <v>5806</v>
      </c>
      <c r="C4018" s="188" t="s">
        <v>5807</v>
      </c>
    </row>
    <row r="4019" spans="1:4" x14ac:dyDescent="0.25">
      <c r="A4019" s="180">
        <f t="shared" si="62"/>
        <v>8703115</v>
      </c>
      <c r="B4019" s="188" t="s">
        <v>5808</v>
      </c>
      <c r="C4019" s="188" t="s">
        <v>5809</v>
      </c>
      <c r="D4019" t="s">
        <v>13412</v>
      </c>
    </row>
    <row r="4020" spans="1:4" x14ac:dyDescent="0.25">
      <c r="A4020" s="180">
        <f t="shared" si="62"/>
        <v>8703116</v>
      </c>
      <c r="B4020" s="188" t="s">
        <v>5810</v>
      </c>
      <c r="C4020" s="188" t="s">
        <v>5811</v>
      </c>
      <c r="D4020" t="s">
        <v>13412</v>
      </c>
    </row>
    <row r="4021" spans="1:4" x14ac:dyDescent="0.25">
      <c r="A4021" s="180">
        <f t="shared" si="62"/>
        <v>8703117</v>
      </c>
      <c r="B4021" s="188" t="s">
        <v>5812</v>
      </c>
      <c r="C4021" s="188" t="s">
        <v>5813</v>
      </c>
      <c r="D4021" t="s">
        <v>13412</v>
      </c>
    </row>
    <row r="4022" spans="1:4" x14ac:dyDescent="0.25">
      <c r="A4022" s="180">
        <f t="shared" si="62"/>
        <v>8703118</v>
      </c>
      <c r="B4022" s="188" t="s">
        <v>5814</v>
      </c>
      <c r="C4022" s="188" t="s">
        <v>5815</v>
      </c>
      <c r="D4022" t="s">
        <v>13412</v>
      </c>
    </row>
    <row r="4023" spans="1:4" x14ac:dyDescent="0.25">
      <c r="A4023" s="180">
        <f t="shared" si="62"/>
        <v>8703119</v>
      </c>
      <c r="B4023" s="188" t="s">
        <v>5816</v>
      </c>
      <c r="C4023" s="188" t="s">
        <v>5817</v>
      </c>
      <c r="D4023" t="s">
        <v>13412</v>
      </c>
    </row>
    <row r="4024" spans="1:4" x14ac:dyDescent="0.25">
      <c r="A4024" s="180">
        <f t="shared" si="62"/>
        <v>8703120</v>
      </c>
      <c r="B4024" s="188" t="s">
        <v>5818</v>
      </c>
      <c r="C4024" s="188" t="s">
        <v>5819</v>
      </c>
      <c r="D4024" t="s">
        <v>13412</v>
      </c>
    </row>
    <row r="4025" spans="1:4" x14ac:dyDescent="0.25">
      <c r="A4025" s="180">
        <f t="shared" si="62"/>
        <v>8703122</v>
      </c>
      <c r="B4025" s="188" t="s">
        <v>5820</v>
      </c>
      <c r="C4025" s="188" t="s">
        <v>5821</v>
      </c>
      <c r="D4025" t="s">
        <v>13412</v>
      </c>
    </row>
    <row r="4026" spans="1:4" x14ac:dyDescent="0.25">
      <c r="A4026" s="180">
        <f t="shared" si="62"/>
        <v>8703128</v>
      </c>
      <c r="B4026" s="188" t="s">
        <v>5822</v>
      </c>
      <c r="C4026" s="188" t="s">
        <v>5823</v>
      </c>
      <c r="D4026" t="s">
        <v>13412</v>
      </c>
    </row>
    <row r="4027" spans="1:4" x14ac:dyDescent="0.25">
      <c r="A4027" s="180">
        <f t="shared" si="62"/>
        <v>8703135</v>
      </c>
      <c r="B4027" s="188" t="s">
        <v>5824</v>
      </c>
      <c r="C4027" s="188" t="s">
        <v>5825</v>
      </c>
    </row>
    <row r="4028" spans="1:4" x14ac:dyDescent="0.25">
      <c r="A4028" s="180">
        <f t="shared" si="62"/>
        <v>8703138</v>
      </c>
      <c r="B4028" s="188" t="s">
        <v>5826</v>
      </c>
      <c r="C4028" s="188" t="s">
        <v>5827</v>
      </c>
    </row>
    <row r="4029" spans="1:4" x14ac:dyDescent="0.25">
      <c r="A4029" s="180">
        <f t="shared" si="62"/>
        <v>8703150</v>
      </c>
      <c r="B4029" s="188" t="s">
        <v>5828</v>
      </c>
      <c r="C4029" s="188" t="s">
        <v>12935</v>
      </c>
      <c r="D4029" t="s">
        <v>13411</v>
      </c>
    </row>
    <row r="4030" spans="1:4" x14ac:dyDescent="0.25">
      <c r="A4030" s="180">
        <f t="shared" si="62"/>
        <v>8703151</v>
      </c>
      <c r="B4030" s="188" t="s">
        <v>5829</v>
      </c>
      <c r="C4030" s="188" t="s">
        <v>13364</v>
      </c>
      <c r="D4030" t="s">
        <v>13412</v>
      </c>
    </row>
    <row r="4031" spans="1:4" x14ac:dyDescent="0.25">
      <c r="A4031" s="180">
        <f t="shared" ref="A4031:A4094" si="63">IFERROR(B4031*1,"")</f>
        <v>8703152</v>
      </c>
      <c r="B4031" s="188" t="s">
        <v>5830</v>
      </c>
      <c r="C4031" s="188" t="s">
        <v>13365</v>
      </c>
      <c r="D4031" t="s">
        <v>13412</v>
      </c>
    </row>
    <row r="4032" spans="1:4" x14ac:dyDescent="0.25">
      <c r="A4032" s="180">
        <f t="shared" si="63"/>
        <v>8703153</v>
      </c>
      <c r="B4032" s="188" t="s">
        <v>5831</v>
      </c>
      <c r="C4032" s="188" t="s">
        <v>12936</v>
      </c>
      <c r="D4032" t="s">
        <v>13411</v>
      </c>
    </row>
    <row r="4033" spans="1:4" x14ac:dyDescent="0.25">
      <c r="A4033" s="180">
        <f t="shared" si="63"/>
        <v>8703155</v>
      </c>
      <c r="B4033" s="188" t="s">
        <v>5832</v>
      </c>
      <c r="C4033" s="188" t="s">
        <v>5833</v>
      </c>
      <c r="D4033" t="s">
        <v>13412</v>
      </c>
    </row>
    <row r="4034" spans="1:4" x14ac:dyDescent="0.25">
      <c r="A4034" s="180">
        <f t="shared" si="63"/>
        <v>8703157</v>
      </c>
      <c r="B4034" s="188" t="s">
        <v>5834</v>
      </c>
      <c r="C4034" s="188" t="s">
        <v>5835</v>
      </c>
      <c r="D4034" t="s">
        <v>13412</v>
      </c>
    </row>
    <row r="4035" spans="1:4" x14ac:dyDescent="0.25">
      <c r="A4035" s="180">
        <f t="shared" si="63"/>
        <v>8703158</v>
      </c>
      <c r="B4035" s="188" t="s">
        <v>5836</v>
      </c>
      <c r="C4035" s="188" t="s">
        <v>5837</v>
      </c>
    </row>
    <row r="4036" spans="1:4" x14ac:dyDescent="0.25">
      <c r="A4036" s="180">
        <f t="shared" si="63"/>
        <v>8703162</v>
      </c>
      <c r="B4036" s="188" t="s">
        <v>5838</v>
      </c>
      <c r="C4036" s="188" t="s">
        <v>5839</v>
      </c>
      <c r="D4036" t="s">
        <v>13412</v>
      </c>
    </row>
    <row r="4037" spans="1:4" x14ac:dyDescent="0.25">
      <c r="A4037" s="180">
        <f t="shared" si="63"/>
        <v>8703163</v>
      </c>
      <c r="B4037" s="188" t="s">
        <v>7034</v>
      </c>
      <c r="C4037" s="188" t="s">
        <v>7035</v>
      </c>
      <c r="D4037" t="s">
        <v>13412</v>
      </c>
    </row>
    <row r="4038" spans="1:4" x14ac:dyDescent="0.25">
      <c r="A4038" s="180">
        <f t="shared" si="63"/>
        <v>8703197</v>
      </c>
      <c r="B4038" s="188" t="s">
        <v>5840</v>
      </c>
      <c r="C4038" s="188" t="s">
        <v>5841</v>
      </c>
      <c r="D4038" t="s">
        <v>13412</v>
      </c>
    </row>
    <row r="4039" spans="1:4" x14ac:dyDescent="0.25">
      <c r="A4039" s="180">
        <f t="shared" si="63"/>
        <v>8703200</v>
      </c>
      <c r="B4039" s="188" t="s">
        <v>5842</v>
      </c>
      <c r="C4039" s="188" t="s">
        <v>7036</v>
      </c>
      <c r="D4039" t="s">
        <v>13412</v>
      </c>
    </row>
    <row r="4040" spans="1:4" x14ac:dyDescent="0.25">
      <c r="A4040" s="180">
        <f t="shared" si="63"/>
        <v>8703201</v>
      </c>
      <c r="B4040" s="188" t="s">
        <v>5843</v>
      </c>
      <c r="C4040" s="188" t="s">
        <v>5844</v>
      </c>
    </row>
    <row r="4041" spans="1:4" x14ac:dyDescent="0.25">
      <c r="A4041" s="180">
        <f t="shared" si="63"/>
        <v>8703203</v>
      </c>
      <c r="B4041" s="188" t="s">
        <v>5845</v>
      </c>
      <c r="C4041" s="188" t="s">
        <v>5846</v>
      </c>
      <c r="D4041" t="s">
        <v>13412</v>
      </c>
    </row>
    <row r="4042" spans="1:4" x14ac:dyDescent="0.25">
      <c r="A4042" s="180">
        <f t="shared" si="63"/>
        <v>8703205</v>
      </c>
      <c r="B4042" s="188" t="s">
        <v>5847</v>
      </c>
      <c r="C4042" s="188" t="s">
        <v>5848</v>
      </c>
      <c r="D4042" t="s">
        <v>13412</v>
      </c>
    </row>
    <row r="4043" spans="1:4" x14ac:dyDescent="0.25">
      <c r="A4043" s="180">
        <f t="shared" si="63"/>
        <v>8703206</v>
      </c>
      <c r="B4043" s="188" t="s">
        <v>5849</v>
      </c>
      <c r="C4043" s="188" t="s">
        <v>5850</v>
      </c>
      <c r="D4043" t="s">
        <v>13412</v>
      </c>
    </row>
    <row r="4044" spans="1:4" x14ac:dyDescent="0.25">
      <c r="A4044" s="180">
        <f t="shared" si="63"/>
        <v>8703207</v>
      </c>
      <c r="B4044" s="188" t="s">
        <v>5851</v>
      </c>
      <c r="C4044" s="188" t="s">
        <v>5852</v>
      </c>
      <c r="D4044" t="s">
        <v>13412</v>
      </c>
    </row>
    <row r="4045" spans="1:4" x14ac:dyDescent="0.25">
      <c r="A4045" s="180">
        <f t="shared" si="63"/>
        <v>8703208</v>
      </c>
      <c r="B4045" s="188" t="s">
        <v>5853</v>
      </c>
      <c r="C4045" s="188" t="s">
        <v>5854</v>
      </c>
      <c r="D4045" t="s">
        <v>13412</v>
      </c>
    </row>
    <row r="4046" spans="1:4" x14ac:dyDescent="0.25">
      <c r="A4046" s="180">
        <f t="shared" si="63"/>
        <v>8703237</v>
      </c>
      <c r="B4046" s="188" t="s">
        <v>5855</v>
      </c>
      <c r="C4046" s="188" t="s">
        <v>5856</v>
      </c>
    </row>
    <row r="4047" spans="1:4" x14ac:dyDescent="0.25">
      <c r="A4047" s="180">
        <f t="shared" si="63"/>
        <v>8703238</v>
      </c>
      <c r="B4047" s="188" t="s">
        <v>5857</v>
      </c>
      <c r="C4047" s="188" t="s">
        <v>5858</v>
      </c>
      <c r="D4047" t="s">
        <v>13412</v>
      </c>
    </row>
    <row r="4048" spans="1:4" x14ac:dyDescent="0.25">
      <c r="A4048" s="180">
        <f t="shared" si="63"/>
        <v>8703239</v>
      </c>
      <c r="B4048" s="188" t="s">
        <v>13366</v>
      </c>
      <c r="C4048" s="188" t="s">
        <v>13367</v>
      </c>
      <c r="D4048" t="s">
        <v>13412</v>
      </c>
    </row>
    <row r="4049" spans="1:4" x14ac:dyDescent="0.25">
      <c r="A4049" s="180">
        <f t="shared" si="63"/>
        <v>8703240</v>
      </c>
      <c r="B4049" s="188" t="s">
        <v>5859</v>
      </c>
      <c r="C4049" s="188" t="s">
        <v>5860</v>
      </c>
      <c r="D4049" t="s">
        <v>13412</v>
      </c>
    </row>
    <row r="4050" spans="1:4" x14ac:dyDescent="0.25">
      <c r="A4050" s="180">
        <f t="shared" si="63"/>
        <v>8703241</v>
      </c>
      <c r="B4050" s="188" t="s">
        <v>5861</v>
      </c>
      <c r="C4050" s="188" t="s">
        <v>5862</v>
      </c>
      <c r="D4050" t="s">
        <v>13412</v>
      </c>
    </row>
    <row r="4051" spans="1:4" x14ac:dyDescent="0.25">
      <c r="A4051" s="180">
        <f t="shared" si="63"/>
        <v>8703242</v>
      </c>
      <c r="B4051" s="188" t="s">
        <v>13543</v>
      </c>
      <c r="C4051" s="188" t="s">
        <v>13544</v>
      </c>
      <c r="D4051" t="s">
        <v>13412</v>
      </c>
    </row>
    <row r="4052" spans="1:4" x14ac:dyDescent="0.25">
      <c r="A4052" s="180">
        <f t="shared" si="63"/>
        <v>8703243</v>
      </c>
      <c r="B4052" s="188" t="s">
        <v>13545</v>
      </c>
      <c r="C4052" s="188" t="s">
        <v>13546</v>
      </c>
    </row>
    <row r="4053" spans="1:4" x14ac:dyDescent="0.25">
      <c r="A4053" s="180">
        <f t="shared" si="63"/>
        <v>8703244</v>
      </c>
      <c r="B4053" s="188" t="s">
        <v>5863</v>
      </c>
      <c r="C4053" s="188" t="s">
        <v>5864</v>
      </c>
      <c r="D4053" t="s">
        <v>13412</v>
      </c>
    </row>
    <row r="4054" spans="1:4" x14ac:dyDescent="0.25">
      <c r="A4054" s="180">
        <f t="shared" si="63"/>
        <v>8703245</v>
      </c>
      <c r="B4054" s="188" t="s">
        <v>5865</v>
      </c>
      <c r="C4054" s="188" t="s">
        <v>5866</v>
      </c>
      <c r="D4054" t="s">
        <v>13412</v>
      </c>
    </row>
    <row r="4055" spans="1:4" x14ac:dyDescent="0.25">
      <c r="A4055" s="180">
        <f t="shared" si="63"/>
        <v>8703246</v>
      </c>
      <c r="B4055" s="188" t="s">
        <v>13547</v>
      </c>
      <c r="C4055" s="188" t="s">
        <v>13548</v>
      </c>
      <c r="D4055" t="s">
        <v>13412</v>
      </c>
    </row>
    <row r="4056" spans="1:4" x14ac:dyDescent="0.25">
      <c r="A4056" s="180">
        <f t="shared" si="63"/>
        <v>8703247</v>
      </c>
      <c r="B4056" s="188" t="s">
        <v>5867</v>
      </c>
      <c r="C4056" s="188" t="s">
        <v>5868</v>
      </c>
      <c r="D4056" t="s">
        <v>13412</v>
      </c>
    </row>
    <row r="4057" spans="1:4" x14ac:dyDescent="0.25">
      <c r="A4057" s="180">
        <f t="shared" si="63"/>
        <v>8703248</v>
      </c>
      <c r="B4057" s="188" t="s">
        <v>13549</v>
      </c>
      <c r="C4057" s="188" t="s">
        <v>13550</v>
      </c>
      <c r="D4057" t="s">
        <v>13412</v>
      </c>
    </row>
    <row r="4058" spans="1:4" x14ac:dyDescent="0.25">
      <c r="A4058" s="180">
        <f t="shared" si="63"/>
        <v>8703249</v>
      </c>
      <c r="B4058" s="188" t="s">
        <v>5869</v>
      </c>
      <c r="C4058" s="188" t="s">
        <v>5870</v>
      </c>
      <c r="D4058" t="s">
        <v>13412</v>
      </c>
    </row>
    <row r="4059" spans="1:4" x14ac:dyDescent="0.25">
      <c r="A4059" s="180">
        <f t="shared" si="63"/>
        <v>8703250</v>
      </c>
      <c r="B4059" s="188" t="s">
        <v>5871</v>
      </c>
      <c r="C4059" s="188" t="s">
        <v>5872</v>
      </c>
      <c r="D4059" t="s">
        <v>13412</v>
      </c>
    </row>
    <row r="4060" spans="1:4" x14ac:dyDescent="0.25">
      <c r="A4060" s="180">
        <f t="shared" si="63"/>
        <v>8703251</v>
      </c>
      <c r="B4060" s="188" t="s">
        <v>5873</v>
      </c>
      <c r="C4060" s="188" t="s">
        <v>5874</v>
      </c>
    </row>
    <row r="4061" spans="1:4" x14ac:dyDescent="0.25">
      <c r="A4061" s="180">
        <f t="shared" si="63"/>
        <v>8703252</v>
      </c>
      <c r="B4061" s="188" t="s">
        <v>5875</v>
      </c>
      <c r="C4061" s="188" t="s">
        <v>5876</v>
      </c>
      <c r="D4061" t="s">
        <v>13412</v>
      </c>
    </row>
    <row r="4062" spans="1:4" x14ac:dyDescent="0.25">
      <c r="A4062" s="180">
        <f t="shared" si="63"/>
        <v>8703253</v>
      </c>
      <c r="B4062" s="188" t="s">
        <v>13551</v>
      </c>
      <c r="C4062" s="188" t="s">
        <v>13552</v>
      </c>
    </row>
    <row r="4063" spans="1:4" x14ac:dyDescent="0.25">
      <c r="A4063" s="180">
        <f t="shared" si="63"/>
        <v>8703257</v>
      </c>
      <c r="B4063" s="188" t="s">
        <v>12937</v>
      </c>
      <c r="C4063" s="188" t="s">
        <v>12938</v>
      </c>
      <c r="D4063" t="s">
        <v>13411</v>
      </c>
    </row>
    <row r="4064" spans="1:4" x14ac:dyDescent="0.25">
      <c r="A4064" s="180">
        <f t="shared" si="63"/>
        <v>8703291</v>
      </c>
      <c r="B4064" s="188" t="s">
        <v>5877</v>
      </c>
      <c r="C4064" s="188" t="s">
        <v>5878</v>
      </c>
    </row>
    <row r="4065" spans="1:4" x14ac:dyDescent="0.25">
      <c r="A4065" s="180">
        <f t="shared" si="63"/>
        <v>8703300</v>
      </c>
      <c r="B4065" s="188" t="s">
        <v>5879</v>
      </c>
      <c r="C4065" s="188" t="s">
        <v>5880</v>
      </c>
      <c r="D4065" t="s">
        <v>13412</v>
      </c>
    </row>
    <row r="4066" spans="1:4" x14ac:dyDescent="0.25">
      <c r="A4066" s="180">
        <f t="shared" si="63"/>
        <v>8703325</v>
      </c>
      <c r="B4066" s="188" t="s">
        <v>12939</v>
      </c>
      <c r="C4066" s="188" t="s">
        <v>12940</v>
      </c>
      <c r="D4066" t="s">
        <v>13411</v>
      </c>
    </row>
    <row r="4067" spans="1:4" x14ac:dyDescent="0.25">
      <c r="A4067" s="180">
        <f t="shared" si="63"/>
        <v>8703338</v>
      </c>
      <c r="B4067" s="188" t="s">
        <v>7037</v>
      </c>
      <c r="C4067" s="188" t="s">
        <v>7038</v>
      </c>
      <c r="D4067" t="s">
        <v>13412</v>
      </c>
    </row>
    <row r="4068" spans="1:4" x14ac:dyDescent="0.25">
      <c r="A4068" s="180">
        <f t="shared" si="63"/>
        <v>8703349</v>
      </c>
      <c r="B4068" s="188" t="s">
        <v>5881</v>
      </c>
      <c r="C4068" s="188" t="s">
        <v>5882</v>
      </c>
    </row>
    <row r="4069" spans="1:4" x14ac:dyDescent="0.25">
      <c r="A4069" s="180" t="str">
        <f t="shared" si="63"/>
        <v/>
      </c>
      <c r="B4069" s="188" t="s">
        <v>13133</v>
      </c>
      <c r="C4069" s="188"/>
    </row>
    <row r="4070" spans="1:4" x14ac:dyDescent="0.25">
      <c r="A4070" s="180">
        <f t="shared" si="63"/>
        <v>8703350</v>
      </c>
      <c r="B4070" s="188" t="s">
        <v>5883</v>
      </c>
      <c r="C4070" s="188" t="s">
        <v>14999</v>
      </c>
      <c r="D4070" t="s">
        <v>13412</v>
      </c>
    </row>
    <row r="4071" spans="1:4" x14ac:dyDescent="0.25">
      <c r="A4071" s="180">
        <f t="shared" si="63"/>
        <v>8703351</v>
      </c>
      <c r="B4071" s="188" t="s">
        <v>5884</v>
      </c>
      <c r="C4071" s="188" t="s">
        <v>5885</v>
      </c>
      <c r="D4071" t="s">
        <v>13412</v>
      </c>
    </row>
    <row r="4072" spans="1:4" x14ac:dyDescent="0.25">
      <c r="A4072" s="180">
        <f t="shared" si="63"/>
        <v>8703352</v>
      </c>
      <c r="B4072" s="188" t="s">
        <v>5886</v>
      </c>
      <c r="C4072" s="188" t="s">
        <v>15000</v>
      </c>
      <c r="D4072" t="s">
        <v>13412</v>
      </c>
    </row>
    <row r="4073" spans="1:4" x14ac:dyDescent="0.25">
      <c r="A4073" s="180">
        <f t="shared" si="63"/>
        <v>8703376</v>
      </c>
      <c r="B4073" s="188" t="s">
        <v>5887</v>
      </c>
      <c r="C4073" s="188" t="s">
        <v>5888</v>
      </c>
      <c r="D4073" t="s">
        <v>13412</v>
      </c>
    </row>
    <row r="4074" spans="1:4" x14ac:dyDescent="0.25">
      <c r="A4074" s="180">
        <f t="shared" si="63"/>
        <v>8703391</v>
      </c>
      <c r="B4074" s="188" t="s">
        <v>5889</v>
      </c>
      <c r="C4074" s="188" t="s">
        <v>5890</v>
      </c>
      <c r="D4074" t="s">
        <v>13412</v>
      </c>
    </row>
    <row r="4075" spans="1:4" x14ac:dyDescent="0.25">
      <c r="A4075" s="180">
        <f t="shared" si="63"/>
        <v>8703400</v>
      </c>
      <c r="B4075" s="188" t="s">
        <v>5891</v>
      </c>
      <c r="C4075" s="188" t="s">
        <v>5892</v>
      </c>
      <c r="D4075" t="s">
        <v>13412</v>
      </c>
    </row>
    <row r="4076" spans="1:4" x14ac:dyDescent="0.25">
      <c r="A4076" s="180">
        <f t="shared" si="63"/>
        <v>8703405</v>
      </c>
      <c r="B4076" s="188" t="s">
        <v>5893</v>
      </c>
      <c r="C4076" s="188" t="s">
        <v>5894</v>
      </c>
      <c r="D4076" t="s">
        <v>13412</v>
      </c>
    </row>
    <row r="4077" spans="1:4" x14ac:dyDescent="0.25">
      <c r="A4077" s="180">
        <f t="shared" si="63"/>
        <v>8703500</v>
      </c>
      <c r="B4077" s="188" t="s">
        <v>5895</v>
      </c>
      <c r="C4077" s="188" t="s">
        <v>5896</v>
      </c>
      <c r="D4077" t="s">
        <v>13412</v>
      </c>
    </row>
    <row r="4078" spans="1:4" x14ac:dyDescent="0.25">
      <c r="A4078" s="180">
        <f t="shared" si="63"/>
        <v>8703501</v>
      </c>
      <c r="B4078" s="188" t="s">
        <v>5897</v>
      </c>
      <c r="C4078" s="188" t="s">
        <v>5898</v>
      </c>
      <c r="D4078" t="s">
        <v>13412</v>
      </c>
    </row>
    <row r="4079" spans="1:4" x14ac:dyDescent="0.25">
      <c r="A4079" s="180">
        <f t="shared" si="63"/>
        <v>8703503</v>
      </c>
      <c r="B4079" s="188" t="s">
        <v>5899</v>
      </c>
      <c r="C4079" s="188" t="s">
        <v>5900</v>
      </c>
      <c r="D4079" t="s">
        <v>13412</v>
      </c>
    </row>
    <row r="4080" spans="1:4" x14ac:dyDescent="0.25">
      <c r="A4080" s="180">
        <f t="shared" si="63"/>
        <v>8703504</v>
      </c>
      <c r="B4080" s="188" t="s">
        <v>5901</v>
      </c>
      <c r="C4080" s="188" t="s">
        <v>5902</v>
      </c>
      <c r="D4080" t="s">
        <v>13412</v>
      </c>
    </row>
    <row r="4081" spans="1:4" x14ac:dyDescent="0.25">
      <c r="A4081" s="180">
        <f t="shared" si="63"/>
        <v>8703505</v>
      </c>
      <c r="B4081" s="188" t="s">
        <v>5903</v>
      </c>
      <c r="C4081" s="188" t="s">
        <v>12941</v>
      </c>
      <c r="D4081" t="s">
        <v>13412</v>
      </c>
    </row>
    <row r="4082" spans="1:4" x14ac:dyDescent="0.25">
      <c r="A4082" s="180">
        <f t="shared" si="63"/>
        <v>8703506</v>
      </c>
      <c r="B4082" s="188" t="s">
        <v>5904</v>
      </c>
      <c r="C4082" s="188" t="s">
        <v>5905</v>
      </c>
      <c r="D4082" t="s">
        <v>13412</v>
      </c>
    </row>
    <row r="4083" spans="1:4" x14ac:dyDescent="0.25">
      <c r="A4083" s="180">
        <f t="shared" si="63"/>
        <v>8703507</v>
      </c>
      <c r="B4083" s="188" t="s">
        <v>5906</v>
      </c>
      <c r="C4083" s="188" t="s">
        <v>5907</v>
      </c>
      <c r="D4083" t="s">
        <v>13412</v>
      </c>
    </row>
    <row r="4084" spans="1:4" x14ac:dyDescent="0.25">
      <c r="A4084" s="180">
        <f t="shared" si="63"/>
        <v>8703508</v>
      </c>
      <c r="B4084" s="188" t="s">
        <v>5908</v>
      </c>
      <c r="C4084" s="188" t="s">
        <v>5909</v>
      </c>
      <c r="D4084" t="s">
        <v>13412</v>
      </c>
    </row>
    <row r="4085" spans="1:4" x14ac:dyDescent="0.25">
      <c r="A4085" s="180">
        <f t="shared" si="63"/>
        <v>8703509</v>
      </c>
      <c r="B4085" s="188" t="s">
        <v>5910</v>
      </c>
      <c r="C4085" s="188" t="s">
        <v>5911</v>
      </c>
      <c r="D4085" t="s">
        <v>13412</v>
      </c>
    </row>
    <row r="4086" spans="1:4" x14ac:dyDescent="0.25">
      <c r="A4086" s="180">
        <f t="shared" si="63"/>
        <v>8703510</v>
      </c>
      <c r="B4086" s="188" t="s">
        <v>5912</v>
      </c>
      <c r="C4086" s="188" t="s">
        <v>5913</v>
      </c>
    </row>
    <row r="4087" spans="1:4" x14ac:dyDescent="0.25">
      <c r="A4087" s="180">
        <f t="shared" si="63"/>
        <v>8703513</v>
      </c>
      <c r="B4087" s="188" t="s">
        <v>5914</v>
      </c>
      <c r="C4087" s="188" t="s">
        <v>5915</v>
      </c>
      <c r="D4087" t="s">
        <v>13412</v>
      </c>
    </row>
    <row r="4088" spans="1:4" x14ac:dyDescent="0.25">
      <c r="A4088" s="180">
        <f t="shared" si="63"/>
        <v>8703517</v>
      </c>
      <c r="B4088" s="188" t="s">
        <v>5916</v>
      </c>
      <c r="C4088" s="188" t="s">
        <v>5917</v>
      </c>
      <c r="D4088" t="s">
        <v>13412</v>
      </c>
    </row>
    <row r="4089" spans="1:4" x14ac:dyDescent="0.25">
      <c r="A4089" s="180">
        <f t="shared" si="63"/>
        <v>8703519</v>
      </c>
      <c r="B4089" s="188" t="s">
        <v>14136</v>
      </c>
      <c r="C4089" s="188" t="s">
        <v>14137</v>
      </c>
    </row>
    <row r="4090" spans="1:4" x14ac:dyDescent="0.25">
      <c r="A4090" s="180">
        <f t="shared" si="63"/>
        <v>8703531</v>
      </c>
      <c r="B4090" s="188" t="s">
        <v>13555</v>
      </c>
      <c r="C4090" s="188" t="s">
        <v>13556</v>
      </c>
      <c r="D4090" t="s">
        <v>13412</v>
      </c>
    </row>
    <row r="4091" spans="1:4" x14ac:dyDescent="0.25">
      <c r="A4091" s="180">
        <f t="shared" si="63"/>
        <v>8703550</v>
      </c>
      <c r="B4091" s="188" t="s">
        <v>5918</v>
      </c>
      <c r="C4091" s="188" t="s">
        <v>5919</v>
      </c>
      <c r="D4091" t="s">
        <v>13412</v>
      </c>
    </row>
    <row r="4092" spans="1:4" x14ac:dyDescent="0.25">
      <c r="A4092" s="180">
        <f t="shared" si="63"/>
        <v>8703551</v>
      </c>
      <c r="B4092" s="188" t="s">
        <v>5920</v>
      </c>
      <c r="C4092" s="188" t="s">
        <v>12942</v>
      </c>
      <c r="D4092" t="s">
        <v>13412</v>
      </c>
    </row>
    <row r="4093" spans="1:4" x14ac:dyDescent="0.25">
      <c r="A4093" s="180">
        <f t="shared" si="63"/>
        <v>8703552</v>
      </c>
      <c r="B4093" s="188" t="s">
        <v>5921</v>
      </c>
      <c r="C4093" s="188" t="s">
        <v>5922</v>
      </c>
    </row>
    <row r="4094" spans="1:4" x14ac:dyDescent="0.25">
      <c r="A4094" s="180">
        <f t="shared" si="63"/>
        <v>8703553</v>
      </c>
      <c r="B4094" s="188" t="s">
        <v>5923</v>
      </c>
      <c r="C4094" s="188" t="s">
        <v>5924</v>
      </c>
    </row>
    <row r="4095" spans="1:4" x14ac:dyDescent="0.25">
      <c r="A4095" s="180">
        <f t="shared" ref="A4095:A4158" si="64">IFERROR(B4095*1,"")</f>
        <v>8703555</v>
      </c>
      <c r="B4095" s="188" t="s">
        <v>5925</v>
      </c>
      <c r="C4095" s="188" t="s">
        <v>5926</v>
      </c>
      <c r="D4095" t="s">
        <v>13412</v>
      </c>
    </row>
    <row r="4096" spans="1:4" x14ac:dyDescent="0.25">
      <c r="A4096" s="180">
        <f t="shared" si="64"/>
        <v>8703557</v>
      </c>
      <c r="B4096" s="188" t="s">
        <v>5927</v>
      </c>
      <c r="C4096" s="188" t="s">
        <v>5928</v>
      </c>
      <c r="D4096" t="s">
        <v>13412</v>
      </c>
    </row>
    <row r="4097" spans="1:4" x14ac:dyDescent="0.25">
      <c r="A4097" s="180">
        <f t="shared" si="64"/>
        <v>8703570</v>
      </c>
      <c r="B4097" s="188" t="s">
        <v>5929</v>
      </c>
      <c r="C4097" s="188" t="s">
        <v>5930</v>
      </c>
      <c r="D4097" t="s">
        <v>13412</v>
      </c>
    </row>
    <row r="4098" spans="1:4" x14ac:dyDescent="0.25">
      <c r="A4098" s="180">
        <f t="shared" si="64"/>
        <v>8703573</v>
      </c>
      <c r="B4098" s="188" t="s">
        <v>5931</v>
      </c>
      <c r="C4098" s="188" t="s">
        <v>5932</v>
      </c>
      <c r="D4098" t="s">
        <v>13412</v>
      </c>
    </row>
    <row r="4099" spans="1:4" x14ac:dyDescent="0.25">
      <c r="A4099" s="180">
        <f t="shared" si="64"/>
        <v>8703599</v>
      </c>
      <c r="B4099" s="188" t="s">
        <v>5933</v>
      </c>
      <c r="C4099" s="188" t="s">
        <v>12943</v>
      </c>
      <c r="D4099" t="s">
        <v>13412</v>
      </c>
    </row>
    <row r="4100" spans="1:4" x14ac:dyDescent="0.25">
      <c r="A4100" s="180">
        <f t="shared" si="64"/>
        <v>8703600</v>
      </c>
      <c r="B4100" s="188" t="s">
        <v>5934</v>
      </c>
      <c r="C4100" s="188" t="s">
        <v>5935</v>
      </c>
      <c r="D4100" t="s">
        <v>13412</v>
      </c>
    </row>
    <row r="4101" spans="1:4" x14ac:dyDescent="0.25">
      <c r="A4101" s="180">
        <f t="shared" si="64"/>
        <v>8703601</v>
      </c>
      <c r="B4101" s="188" t="s">
        <v>5936</v>
      </c>
      <c r="C4101" s="188" t="s">
        <v>5937</v>
      </c>
      <c r="D4101" t="s">
        <v>13412</v>
      </c>
    </row>
    <row r="4102" spans="1:4" x14ac:dyDescent="0.25">
      <c r="A4102" s="180">
        <f t="shared" si="64"/>
        <v>8703604</v>
      </c>
      <c r="B4102" s="188" t="s">
        <v>5938</v>
      </c>
      <c r="C4102" s="188" t="s">
        <v>12944</v>
      </c>
      <c r="D4102" t="s">
        <v>13412</v>
      </c>
    </row>
    <row r="4103" spans="1:4" x14ac:dyDescent="0.25">
      <c r="A4103" s="180">
        <f t="shared" si="64"/>
        <v>8703607</v>
      </c>
      <c r="B4103" s="188" t="s">
        <v>5939</v>
      </c>
      <c r="C4103" s="188" t="s">
        <v>5940</v>
      </c>
      <c r="D4103" t="s">
        <v>13412</v>
      </c>
    </row>
    <row r="4104" spans="1:4" x14ac:dyDescent="0.25">
      <c r="A4104" s="180">
        <f t="shared" si="64"/>
        <v>8703608</v>
      </c>
      <c r="B4104" s="188" t="s">
        <v>5941</v>
      </c>
      <c r="C4104" s="188" t="s">
        <v>5942</v>
      </c>
      <c r="D4104" t="s">
        <v>13412</v>
      </c>
    </row>
    <row r="4105" spans="1:4" x14ac:dyDescent="0.25">
      <c r="A4105" s="180">
        <f t="shared" si="64"/>
        <v>8703611</v>
      </c>
      <c r="B4105" s="188" t="s">
        <v>5943</v>
      </c>
      <c r="C4105" s="188" t="s">
        <v>5944</v>
      </c>
    </row>
    <row r="4106" spans="1:4" x14ac:dyDescent="0.25">
      <c r="A4106" s="180">
        <f t="shared" si="64"/>
        <v>8703612</v>
      </c>
      <c r="B4106" s="188" t="s">
        <v>5945</v>
      </c>
      <c r="C4106" s="188" t="s">
        <v>5946</v>
      </c>
      <c r="D4106" t="s">
        <v>13412</v>
      </c>
    </row>
    <row r="4107" spans="1:4" x14ac:dyDescent="0.25">
      <c r="A4107" s="180">
        <f t="shared" si="64"/>
        <v>8703613</v>
      </c>
      <c r="B4107" s="188" t="s">
        <v>5947</v>
      </c>
      <c r="C4107" s="188" t="s">
        <v>5948</v>
      </c>
      <c r="D4107" t="s">
        <v>13412</v>
      </c>
    </row>
    <row r="4108" spans="1:4" x14ac:dyDescent="0.25">
      <c r="A4108" s="180">
        <f t="shared" si="64"/>
        <v>8703615</v>
      </c>
      <c r="B4108" s="188" t="s">
        <v>5949</v>
      </c>
      <c r="C4108" s="188" t="s">
        <v>5950</v>
      </c>
      <c r="D4108" t="s">
        <v>13412</v>
      </c>
    </row>
    <row r="4109" spans="1:4" x14ac:dyDescent="0.25">
      <c r="A4109" s="180">
        <f t="shared" si="64"/>
        <v>8703616</v>
      </c>
      <c r="B4109" s="188" t="s">
        <v>5951</v>
      </c>
      <c r="C4109" s="188" t="s">
        <v>5952</v>
      </c>
      <c r="D4109" t="s">
        <v>13412</v>
      </c>
    </row>
    <row r="4110" spans="1:4" x14ac:dyDescent="0.25">
      <c r="A4110" s="180">
        <f t="shared" si="64"/>
        <v>8703617</v>
      </c>
      <c r="B4110" s="188" t="s">
        <v>5953</v>
      </c>
      <c r="C4110" s="188" t="s">
        <v>5954</v>
      </c>
      <c r="D4110" t="s">
        <v>13412</v>
      </c>
    </row>
    <row r="4111" spans="1:4" x14ac:dyDescent="0.25">
      <c r="A4111" s="180">
        <f t="shared" si="64"/>
        <v>8703619</v>
      </c>
      <c r="B4111" s="188" t="s">
        <v>5955</v>
      </c>
      <c r="C4111" s="188" t="s">
        <v>5956</v>
      </c>
      <c r="D4111" t="s">
        <v>13412</v>
      </c>
    </row>
    <row r="4112" spans="1:4" x14ac:dyDescent="0.25">
      <c r="A4112" s="180">
        <f t="shared" si="64"/>
        <v>8703620</v>
      </c>
      <c r="B4112" s="188" t="s">
        <v>5957</v>
      </c>
      <c r="C4112" s="188" t="s">
        <v>5958</v>
      </c>
      <c r="D4112" t="s">
        <v>13412</v>
      </c>
    </row>
    <row r="4113" spans="1:4" x14ac:dyDescent="0.25">
      <c r="A4113" s="180">
        <f t="shared" si="64"/>
        <v>8703621</v>
      </c>
      <c r="B4113" s="188" t="s">
        <v>5959</v>
      </c>
      <c r="C4113" s="188" t="s">
        <v>5960</v>
      </c>
      <c r="D4113" t="s">
        <v>13412</v>
      </c>
    </row>
    <row r="4114" spans="1:4" x14ac:dyDescent="0.25">
      <c r="A4114" s="180">
        <f t="shared" si="64"/>
        <v>8703630</v>
      </c>
      <c r="B4114" s="188" t="s">
        <v>5961</v>
      </c>
      <c r="C4114" s="188" t="s">
        <v>5962</v>
      </c>
      <c r="D4114" t="s">
        <v>13412</v>
      </c>
    </row>
    <row r="4115" spans="1:4" x14ac:dyDescent="0.25">
      <c r="A4115" s="180">
        <f t="shared" si="64"/>
        <v>8703641</v>
      </c>
      <c r="B4115" s="188" t="s">
        <v>5963</v>
      </c>
      <c r="C4115" s="188" t="s">
        <v>5964</v>
      </c>
      <c r="D4115" t="s">
        <v>13412</v>
      </c>
    </row>
    <row r="4116" spans="1:4" x14ac:dyDescent="0.25">
      <c r="A4116" s="180">
        <f t="shared" si="64"/>
        <v>8703656</v>
      </c>
      <c r="B4116" s="188" t="s">
        <v>5965</v>
      </c>
      <c r="C4116" s="188" t="s">
        <v>5966</v>
      </c>
      <c r="D4116" t="s">
        <v>13412</v>
      </c>
    </row>
    <row r="4117" spans="1:4" x14ac:dyDescent="0.25">
      <c r="A4117" s="180">
        <f t="shared" si="64"/>
        <v>8703658</v>
      </c>
      <c r="B4117" s="188" t="s">
        <v>5967</v>
      </c>
      <c r="C4117" s="188" t="s">
        <v>5968</v>
      </c>
      <c r="D4117" t="s">
        <v>13412</v>
      </c>
    </row>
    <row r="4118" spans="1:4" x14ac:dyDescent="0.25">
      <c r="A4118" s="180">
        <f t="shared" si="64"/>
        <v>8703660</v>
      </c>
      <c r="B4118" s="188" t="s">
        <v>5969</v>
      </c>
      <c r="C4118" s="188" t="s">
        <v>5970</v>
      </c>
      <c r="D4118" t="s">
        <v>13412</v>
      </c>
    </row>
    <row r="4119" spans="1:4" x14ac:dyDescent="0.25">
      <c r="A4119" s="180">
        <f t="shared" si="64"/>
        <v>8703662</v>
      </c>
      <c r="B4119" s="188" t="s">
        <v>5971</v>
      </c>
      <c r="C4119" s="188" t="s">
        <v>5972</v>
      </c>
      <c r="D4119" t="s">
        <v>13412</v>
      </c>
    </row>
    <row r="4120" spans="1:4" x14ac:dyDescent="0.25">
      <c r="A4120" s="180">
        <f t="shared" si="64"/>
        <v>8703665</v>
      </c>
      <c r="B4120" s="188" t="s">
        <v>5973</v>
      </c>
      <c r="C4120" s="188" t="s">
        <v>5974</v>
      </c>
      <c r="D4120" t="s">
        <v>13412</v>
      </c>
    </row>
    <row r="4121" spans="1:4" x14ac:dyDescent="0.25">
      <c r="A4121" s="180">
        <f t="shared" si="64"/>
        <v>8703667</v>
      </c>
      <c r="B4121" s="188" t="s">
        <v>5975</v>
      </c>
      <c r="C4121" s="188" t="s">
        <v>5976</v>
      </c>
      <c r="D4121" t="s">
        <v>13412</v>
      </c>
    </row>
    <row r="4122" spans="1:4" x14ac:dyDescent="0.25">
      <c r="A4122" s="180">
        <f t="shared" si="64"/>
        <v>8703669</v>
      </c>
      <c r="B4122" s="188" t="s">
        <v>5977</v>
      </c>
      <c r="C4122" s="188" t="s">
        <v>5978</v>
      </c>
      <c r="D4122" t="s">
        <v>13412</v>
      </c>
    </row>
    <row r="4123" spans="1:4" x14ac:dyDescent="0.25">
      <c r="A4123" s="180">
        <f t="shared" si="64"/>
        <v>8703670</v>
      </c>
      <c r="B4123" s="188" t="s">
        <v>5979</v>
      </c>
      <c r="C4123" s="188" t="s">
        <v>7039</v>
      </c>
      <c r="D4123" t="s">
        <v>13412</v>
      </c>
    </row>
    <row r="4124" spans="1:4" x14ac:dyDescent="0.25">
      <c r="A4124" s="180">
        <f t="shared" si="64"/>
        <v>8703671</v>
      </c>
      <c r="B4124" s="188" t="s">
        <v>5980</v>
      </c>
      <c r="C4124" s="188" t="s">
        <v>5981</v>
      </c>
      <c r="D4124" t="s">
        <v>13412</v>
      </c>
    </row>
    <row r="4125" spans="1:4" x14ac:dyDescent="0.25">
      <c r="A4125" s="180">
        <f t="shared" si="64"/>
        <v>8703674</v>
      </c>
      <c r="B4125" s="188" t="s">
        <v>5982</v>
      </c>
      <c r="C4125" s="188" t="s">
        <v>5983</v>
      </c>
    </row>
    <row r="4126" spans="1:4" x14ac:dyDescent="0.25">
      <c r="A4126" s="180">
        <f t="shared" si="64"/>
        <v>8703677</v>
      </c>
      <c r="B4126" s="188" t="s">
        <v>5984</v>
      </c>
      <c r="C4126" s="188" t="s">
        <v>5985</v>
      </c>
    </row>
    <row r="4127" spans="1:4" x14ac:dyDescent="0.25">
      <c r="A4127" s="180">
        <f t="shared" si="64"/>
        <v>8703679</v>
      </c>
      <c r="B4127" s="188" t="s">
        <v>5986</v>
      </c>
      <c r="C4127" s="188" t="s">
        <v>5987</v>
      </c>
      <c r="D4127" t="s">
        <v>13412</v>
      </c>
    </row>
    <row r="4128" spans="1:4" x14ac:dyDescent="0.25">
      <c r="A4128" s="180">
        <f t="shared" si="64"/>
        <v>8703699</v>
      </c>
      <c r="B4128" s="188" t="s">
        <v>5988</v>
      </c>
      <c r="C4128" s="188" t="s">
        <v>5989</v>
      </c>
      <c r="D4128" t="s">
        <v>13412</v>
      </c>
    </row>
    <row r="4129" spans="1:4" x14ac:dyDescent="0.25">
      <c r="A4129" s="180">
        <f t="shared" si="64"/>
        <v>8703700</v>
      </c>
      <c r="B4129" s="188" t="s">
        <v>5990</v>
      </c>
      <c r="C4129" s="188" t="s">
        <v>5991</v>
      </c>
      <c r="D4129" t="s">
        <v>13412</v>
      </c>
    </row>
    <row r="4130" spans="1:4" x14ac:dyDescent="0.25">
      <c r="A4130" s="180">
        <f t="shared" si="64"/>
        <v>8703702</v>
      </c>
      <c r="B4130" s="188" t="s">
        <v>5992</v>
      </c>
      <c r="C4130" s="188" t="s">
        <v>5993</v>
      </c>
      <c r="D4130" t="s">
        <v>13412</v>
      </c>
    </row>
    <row r="4131" spans="1:4" x14ac:dyDescent="0.25">
      <c r="A4131" s="180">
        <f t="shared" si="64"/>
        <v>8703703</v>
      </c>
      <c r="B4131" s="188" t="s">
        <v>5994</v>
      </c>
      <c r="C4131" s="188" t="s">
        <v>5995</v>
      </c>
      <c r="D4131" t="s">
        <v>13412</v>
      </c>
    </row>
    <row r="4132" spans="1:4" x14ac:dyDescent="0.25">
      <c r="A4132" s="180">
        <f t="shared" si="64"/>
        <v>8703704</v>
      </c>
      <c r="B4132" s="188" t="s">
        <v>5996</v>
      </c>
      <c r="C4132" s="188" t="s">
        <v>5997</v>
      </c>
    </row>
    <row r="4133" spans="1:4" x14ac:dyDescent="0.25">
      <c r="A4133" s="180">
        <f t="shared" si="64"/>
        <v>8703705</v>
      </c>
      <c r="B4133" s="188" t="s">
        <v>5998</v>
      </c>
      <c r="C4133" s="188" t="s">
        <v>5999</v>
      </c>
      <c r="D4133" t="s">
        <v>13412</v>
      </c>
    </row>
    <row r="4134" spans="1:4" x14ac:dyDescent="0.25">
      <c r="A4134" s="180">
        <f t="shared" si="64"/>
        <v>8703706</v>
      </c>
      <c r="B4134" s="188" t="s">
        <v>6000</v>
      </c>
      <c r="C4134" s="188" t="s">
        <v>6001</v>
      </c>
      <c r="D4134" t="s">
        <v>13412</v>
      </c>
    </row>
    <row r="4135" spans="1:4" x14ac:dyDescent="0.25">
      <c r="A4135" s="180">
        <f t="shared" si="64"/>
        <v>8703707</v>
      </c>
      <c r="B4135" s="188" t="s">
        <v>6002</v>
      </c>
      <c r="C4135" s="188" t="s">
        <v>6003</v>
      </c>
    </row>
    <row r="4136" spans="1:4" x14ac:dyDescent="0.25">
      <c r="A4136" s="180">
        <f t="shared" si="64"/>
        <v>8703741</v>
      </c>
      <c r="B4136" s="188" t="s">
        <v>6004</v>
      </c>
      <c r="C4136" s="188" t="s">
        <v>6005</v>
      </c>
      <c r="D4136" t="s">
        <v>13412</v>
      </c>
    </row>
    <row r="4137" spans="1:4" x14ac:dyDescent="0.25">
      <c r="A4137" s="180">
        <f t="shared" si="64"/>
        <v>8703742</v>
      </c>
      <c r="B4137" s="188" t="s">
        <v>6006</v>
      </c>
      <c r="C4137" s="188" t="s">
        <v>6007</v>
      </c>
      <c r="D4137" t="s">
        <v>13412</v>
      </c>
    </row>
    <row r="4138" spans="1:4" x14ac:dyDescent="0.25">
      <c r="A4138" s="180">
        <f t="shared" si="64"/>
        <v>8703743</v>
      </c>
      <c r="B4138" s="188" t="s">
        <v>6008</v>
      </c>
      <c r="C4138" s="188" t="s">
        <v>6009</v>
      </c>
      <c r="D4138" t="s">
        <v>13412</v>
      </c>
    </row>
    <row r="4139" spans="1:4" x14ac:dyDescent="0.25">
      <c r="A4139" s="180">
        <f t="shared" si="64"/>
        <v>8703744</v>
      </c>
      <c r="B4139" s="188" t="s">
        <v>13557</v>
      </c>
      <c r="C4139" s="188" t="s">
        <v>13558</v>
      </c>
      <c r="D4139" t="s">
        <v>13412</v>
      </c>
    </row>
    <row r="4140" spans="1:4" x14ac:dyDescent="0.25">
      <c r="A4140" s="180">
        <f t="shared" si="64"/>
        <v>8703750</v>
      </c>
      <c r="B4140" s="188" t="s">
        <v>6010</v>
      </c>
      <c r="C4140" s="188" t="s">
        <v>6011</v>
      </c>
      <c r="D4140" t="s">
        <v>13412</v>
      </c>
    </row>
    <row r="4141" spans="1:4" x14ac:dyDescent="0.25">
      <c r="A4141" s="180">
        <f t="shared" si="64"/>
        <v>8703751</v>
      </c>
      <c r="B4141" s="188" t="s">
        <v>14539</v>
      </c>
      <c r="C4141" s="188" t="s">
        <v>14540</v>
      </c>
      <c r="D4141" t="s">
        <v>13412</v>
      </c>
    </row>
    <row r="4142" spans="1:4" x14ac:dyDescent="0.25">
      <c r="A4142" s="180">
        <f t="shared" si="64"/>
        <v>8703779</v>
      </c>
      <c r="B4142" s="188" t="s">
        <v>7040</v>
      </c>
      <c r="C4142" s="188" t="s">
        <v>7041</v>
      </c>
      <c r="D4142" t="s">
        <v>13412</v>
      </c>
    </row>
    <row r="4143" spans="1:4" x14ac:dyDescent="0.25">
      <c r="A4143" s="180">
        <f t="shared" si="64"/>
        <v>8703800</v>
      </c>
      <c r="B4143" s="188" t="s">
        <v>6012</v>
      </c>
      <c r="C4143" s="188" t="s">
        <v>6013</v>
      </c>
      <c r="D4143" t="s">
        <v>13412</v>
      </c>
    </row>
    <row r="4144" spans="1:4" x14ac:dyDescent="0.25">
      <c r="A4144" s="180">
        <f t="shared" si="64"/>
        <v>8703803</v>
      </c>
      <c r="B4144" s="188" t="s">
        <v>6014</v>
      </c>
      <c r="C4144" s="188" t="s">
        <v>6015</v>
      </c>
      <c r="D4144" t="s">
        <v>13412</v>
      </c>
    </row>
    <row r="4145" spans="1:4" x14ac:dyDescent="0.25">
      <c r="A4145" s="180">
        <f t="shared" si="64"/>
        <v>8703810</v>
      </c>
      <c r="B4145" s="188" t="s">
        <v>6016</v>
      </c>
      <c r="C4145" s="188" t="s">
        <v>6017</v>
      </c>
      <c r="D4145" t="s">
        <v>13412</v>
      </c>
    </row>
    <row r="4146" spans="1:4" x14ac:dyDescent="0.25">
      <c r="A4146" s="180">
        <f t="shared" si="64"/>
        <v>8703811</v>
      </c>
      <c r="B4146" s="188" t="s">
        <v>6018</v>
      </c>
      <c r="C4146" s="188" t="s">
        <v>6019</v>
      </c>
      <c r="D4146" t="s">
        <v>13412</v>
      </c>
    </row>
    <row r="4147" spans="1:4" x14ac:dyDescent="0.25">
      <c r="A4147" s="180">
        <f t="shared" si="64"/>
        <v>8703812</v>
      </c>
      <c r="B4147" s="188" t="s">
        <v>6020</v>
      </c>
      <c r="C4147" s="188" t="s">
        <v>6021</v>
      </c>
      <c r="D4147" t="s">
        <v>13412</v>
      </c>
    </row>
    <row r="4148" spans="1:4" x14ac:dyDescent="0.25">
      <c r="A4148" s="180">
        <f t="shared" si="64"/>
        <v>8703841</v>
      </c>
      <c r="B4148" s="188" t="s">
        <v>6022</v>
      </c>
      <c r="C4148" s="188" t="s">
        <v>6023</v>
      </c>
      <c r="D4148" t="s">
        <v>13412</v>
      </c>
    </row>
    <row r="4149" spans="1:4" x14ac:dyDescent="0.25">
      <c r="A4149" s="180">
        <f t="shared" si="64"/>
        <v>8703842</v>
      </c>
      <c r="B4149" s="188" t="s">
        <v>6024</v>
      </c>
      <c r="C4149" s="188" t="s">
        <v>6025</v>
      </c>
      <c r="D4149" t="s">
        <v>13412</v>
      </c>
    </row>
    <row r="4150" spans="1:4" x14ac:dyDescent="0.25">
      <c r="A4150" s="180">
        <f t="shared" si="64"/>
        <v>8703843</v>
      </c>
      <c r="B4150" s="188" t="s">
        <v>6026</v>
      </c>
      <c r="C4150" s="188" t="s">
        <v>6027</v>
      </c>
      <c r="D4150" t="s">
        <v>13412</v>
      </c>
    </row>
    <row r="4151" spans="1:4" x14ac:dyDescent="0.25">
      <c r="A4151" s="180">
        <f t="shared" si="64"/>
        <v>8703861</v>
      </c>
      <c r="B4151" s="188" t="s">
        <v>6028</v>
      </c>
      <c r="C4151" s="188" t="s">
        <v>6029</v>
      </c>
    </row>
    <row r="4152" spans="1:4" x14ac:dyDescent="0.25">
      <c r="A4152" s="180">
        <f t="shared" si="64"/>
        <v>8703900</v>
      </c>
      <c r="B4152" s="188" t="s">
        <v>6030</v>
      </c>
      <c r="C4152" s="188" t="s">
        <v>6031</v>
      </c>
      <c r="D4152" t="s">
        <v>13412</v>
      </c>
    </row>
    <row r="4153" spans="1:4" x14ac:dyDescent="0.25">
      <c r="A4153" s="180">
        <f t="shared" si="64"/>
        <v>8703901</v>
      </c>
      <c r="B4153" s="188" t="s">
        <v>6032</v>
      </c>
      <c r="C4153" s="188" t="s">
        <v>6033</v>
      </c>
      <c r="D4153" t="s">
        <v>13412</v>
      </c>
    </row>
    <row r="4154" spans="1:4" x14ac:dyDescent="0.25">
      <c r="A4154" s="180">
        <f t="shared" si="64"/>
        <v>8703902</v>
      </c>
      <c r="B4154" s="188" t="s">
        <v>6034</v>
      </c>
      <c r="C4154" s="188" t="s">
        <v>6035</v>
      </c>
    </row>
    <row r="4155" spans="1:4" x14ac:dyDescent="0.25">
      <c r="A4155" s="180">
        <f t="shared" si="64"/>
        <v>8703905</v>
      </c>
      <c r="B4155" s="188" t="s">
        <v>6036</v>
      </c>
      <c r="C4155" s="188" t="s">
        <v>6037</v>
      </c>
      <c r="D4155" t="s">
        <v>13412</v>
      </c>
    </row>
    <row r="4156" spans="1:4" x14ac:dyDescent="0.25">
      <c r="A4156" s="180">
        <f t="shared" si="64"/>
        <v>8703925</v>
      </c>
      <c r="B4156" s="188" t="s">
        <v>6038</v>
      </c>
      <c r="C4156" s="188" t="s">
        <v>6039</v>
      </c>
      <c r="D4156" t="s">
        <v>13412</v>
      </c>
    </row>
    <row r="4157" spans="1:4" x14ac:dyDescent="0.25">
      <c r="A4157" s="180">
        <f t="shared" si="64"/>
        <v>8703926</v>
      </c>
      <c r="B4157" s="188" t="s">
        <v>6040</v>
      </c>
      <c r="C4157" s="188" t="s">
        <v>6041</v>
      </c>
      <c r="D4157" t="s">
        <v>13412</v>
      </c>
    </row>
    <row r="4158" spans="1:4" x14ac:dyDescent="0.25">
      <c r="A4158" s="180">
        <f t="shared" si="64"/>
        <v>8703950</v>
      </c>
      <c r="B4158" s="188" t="s">
        <v>6042</v>
      </c>
      <c r="C4158" s="188" t="s">
        <v>6043</v>
      </c>
      <c r="D4158" t="s">
        <v>13412</v>
      </c>
    </row>
    <row r="4159" spans="1:4" x14ac:dyDescent="0.25">
      <c r="A4159" s="180">
        <f t="shared" ref="A4159:A4222" si="65">IFERROR(B4159*1,"")</f>
        <v>8703952</v>
      </c>
      <c r="B4159" s="188" t="s">
        <v>6044</v>
      </c>
      <c r="C4159" s="188" t="s">
        <v>6045</v>
      </c>
      <c r="D4159" t="s">
        <v>13412</v>
      </c>
    </row>
    <row r="4160" spans="1:4" x14ac:dyDescent="0.25">
      <c r="A4160" s="180">
        <f t="shared" si="65"/>
        <v>8703955</v>
      </c>
      <c r="B4160" s="188" t="s">
        <v>6046</v>
      </c>
      <c r="C4160" s="188" t="s">
        <v>6047</v>
      </c>
      <c r="D4160" t="s">
        <v>13412</v>
      </c>
    </row>
    <row r="4161" spans="1:4" x14ac:dyDescent="0.25">
      <c r="A4161" s="180">
        <f t="shared" si="65"/>
        <v>8703956</v>
      </c>
      <c r="B4161" s="188" t="s">
        <v>6048</v>
      </c>
      <c r="C4161" s="188" t="s">
        <v>6049</v>
      </c>
      <c r="D4161" t="s">
        <v>13412</v>
      </c>
    </row>
    <row r="4162" spans="1:4" x14ac:dyDescent="0.25">
      <c r="A4162" s="180">
        <f t="shared" si="65"/>
        <v>8703958</v>
      </c>
      <c r="B4162" s="188" t="s">
        <v>6050</v>
      </c>
      <c r="C4162" s="188" t="s">
        <v>14077</v>
      </c>
      <c r="D4162" t="s">
        <v>13412</v>
      </c>
    </row>
    <row r="4163" spans="1:4" x14ac:dyDescent="0.25">
      <c r="A4163" s="180">
        <f t="shared" si="65"/>
        <v>8703959</v>
      </c>
      <c r="B4163" s="188" t="s">
        <v>6051</v>
      </c>
      <c r="C4163" s="188" t="s">
        <v>6052</v>
      </c>
      <c r="D4163" t="s">
        <v>13412</v>
      </c>
    </row>
    <row r="4164" spans="1:4" x14ac:dyDescent="0.25">
      <c r="A4164" s="180">
        <f t="shared" si="65"/>
        <v>8703960</v>
      </c>
      <c r="B4164" s="188" t="s">
        <v>6053</v>
      </c>
      <c r="C4164" s="188" t="s">
        <v>6054</v>
      </c>
      <c r="D4164" t="s">
        <v>13412</v>
      </c>
    </row>
    <row r="4165" spans="1:4" x14ac:dyDescent="0.25">
      <c r="A4165" s="180">
        <f t="shared" si="65"/>
        <v>8703961</v>
      </c>
      <c r="B4165" s="188" t="s">
        <v>6055</v>
      </c>
      <c r="C4165" s="188" t="s">
        <v>6056</v>
      </c>
    </row>
    <row r="4166" spans="1:4" x14ac:dyDescent="0.25">
      <c r="A4166" s="180">
        <f t="shared" si="65"/>
        <v>8703962</v>
      </c>
      <c r="B4166" s="188" t="s">
        <v>6057</v>
      </c>
      <c r="C4166" s="188" t="s">
        <v>6058</v>
      </c>
      <c r="D4166" t="s">
        <v>13412</v>
      </c>
    </row>
    <row r="4167" spans="1:4" x14ac:dyDescent="0.25">
      <c r="A4167" s="180">
        <f t="shared" si="65"/>
        <v>8703987</v>
      </c>
      <c r="B4167" s="188" t="s">
        <v>6059</v>
      </c>
      <c r="C4167" s="188" t="s">
        <v>6060</v>
      </c>
      <c r="D4167" t="s">
        <v>13412</v>
      </c>
    </row>
    <row r="4168" spans="1:4" x14ac:dyDescent="0.25">
      <c r="A4168" s="180">
        <f t="shared" si="65"/>
        <v>8705001</v>
      </c>
      <c r="B4168" s="188" t="s">
        <v>6061</v>
      </c>
      <c r="C4168" s="188" t="s">
        <v>6062</v>
      </c>
      <c r="D4168" t="s">
        <v>13412</v>
      </c>
    </row>
    <row r="4169" spans="1:4" x14ac:dyDescent="0.25">
      <c r="A4169" s="180">
        <f t="shared" si="65"/>
        <v>8705002</v>
      </c>
      <c r="B4169" s="188" t="s">
        <v>6063</v>
      </c>
      <c r="C4169" s="188" t="s">
        <v>6064</v>
      </c>
    </row>
    <row r="4170" spans="1:4" x14ac:dyDescent="0.25">
      <c r="A4170" s="180">
        <f t="shared" si="65"/>
        <v>8705003</v>
      </c>
      <c r="B4170" s="188" t="s">
        <v>6065</v>
      </c>
      <c r="C4170" s="188" t="s">
        <v>6066</v>
      </c>
      <c r="D4170" t="s">
        <v>13412</v>
      </c>
    </row>
    <row r="4171" spans="1:4" x14ac:dyDescent="0.25">
      <c r="A4171" s="180">
        <f t="shared" si="65"/>
        <v>8705004</v>
      </c>
      <c r="B4171" s="188" t="s">
        <v>6067</v>
      </c>
      <c r="C4171" s="188" t="s">
        <v>6068</v>
      </c>
    </row>
    <row r="4172" spans="1:4" x14ac:dyDescent="0.25">
      <c r="A4172" s="180">
        <f t="shared" si="65"/>
        <v>8705005</v>
      </c>
      <c r="B4172" s="188" t="s">
        <v>6069</v>
      </c>
      <c r="C4172" s="188" t="s">
        <v>6070</v>
      </c>
    </row>
    <row r="4173" spans="1:4" x14ac:dyDescent="0.25">
      <c r="A4173" s="180">
        <f t="shared" si="65"/>
        <v>8705006</v>
      </c>
      <c r="B4173" s="188" t="s">
        <v>6071</v>
      </c>
      <c r="C4173" s="188" t="s">
        <v>6072</v>
      </c>
    </row>
    <row r="4174" spans="1:4" x14ac:dyDescent="0.25">
      <c r="A4174" s="180">
        <f t="shared" si="65"/>
        <v>8705007</v>
      </c>
      <c r="B4174" s="188" t="s">
        <v>6073</v>
      </c>
      <c r="C4174" s="188" t="s">
        <v>6074</v>
      </c>
    </row>
    <row r="4175" spans="1:4" x14ac:dyDescent="0.25">
      <c r="A4175" s="180">
        <f t="shared" si="65"/>
        <v>8705008</v>
      </c>
      <c r="B4175" s="188" t="s">
        <v>6075</v>
      </c>
      <c r="C4175" s="188" t="s">
        <v>6076</v>
      </c>
      <c r="D4175" t="s">
        <v>13412</v>
      </c>
    </row>
    <row r="4176" spans="1:4" x14ac:dyDescent="0.25">
      <c r="A4176" s="180">
        <f t="shared" si="65"/>
        <v>8705009</v>
      </c>
      <c r="B4176" s="188" t="s">
        <v>6077</v>
      </c>
      <c r="C4176" s="188" t="s">
        <v>6078</v>
      </c>
    </row>
    <row r="4177" spans="1:4" x14ac:dyDescent="0.25">
      <c r="A4177" s="180">
        <f t="shared" si="65"/>
        <v>8705010</v>
      </c>
      <c r="B4177" s="188" t="s">
        <v>6079</v>
      </c>
      <c r="C4177" s="188" t="s">
        <v>6080</v>
      </c>
    </row>
    <row r="4178" spans="1:4" x14ac:dyDescent="0.25">
      <c r="A4178" s="180">
        <f t="shared" si="65"/>
        <v>8705011</v>
      </c>
      <c r="B4178" s="188" t="s">
        <v>6081</v>
      </c>
      <c r="C4178" s="188" t="s">
        <v>6082</v>
      </c>
      <c r="D4178" t="s">
        <v>13412</v>
      </c>
    </row>
    <row r="4179" spans="1:4" x14ac:dyDescent="0.25">
      <c r="A4179" s="180">
        <f t="shared" si="65"/>
        <v>8705012</v>
      </c>
      <c r="B4179" s="188" t="s">
        <v>6083</v>
      </c>
      <c r="C4179" s="188" t="s">
        <v>6084</v>
      </c>
    </row>
    <row r="4180" spans="1:4" x14ac:dyDescent="0.25">
      <c r="A4180" s="180">
        <f t="shared" si="65"/>
        <v>8705013</v>
      </c>
      <c r="B4180" s="188" t="s">
        <v>6085</v>
      </c>
      <c r="C4180" s="188" t="s">
        <v>7042</v>
      </c>
      <c r="D4180" t="s">
        <v>13412</v>
      </c>
    </row>
    <row r="4181" spans="1:4" x14ac:dyDescent="0.25">
      <c r="A4181" s="180">
        <f t="shared" si="65"/>
        <v>8705016</v>
      </c>
      <c r="B4181" s="188" t="s">
        <v>6086</v>
      </c>
      <c r="C4181" s="188" t="s">
        <v>6087</v>
      </c>
      <c r="D4181" t="s">
        <v>13412</v>
      </c>
    </row>
    <row r="4182" spans="1:4" x14ac:dyDescent="0.25">
      <c r="A4182" s="180">
        <f t="shared" si="65"/>
        <v>8705018</v>
      </c>
      <c r="B4182" s="188" t="s">
        <v>6088</v>
      </c>
      <c r="C4182" s="188" t="s">
        <v>6089</v>
      </c>
      <c r="D4182" t="s">
        <v>13412</v>
      </c>
    </row>
    <row r="4183" spans="1:4" x14ac:dyDescent="0.25">
      <c r="A4183" s="180">
        <f t="shared" si="65"/>
        <v>8705019</v>
      </c>
      <c r="B4183" s="188" t="s">
        <v>6090</v>
      </c>
      <c r="C4183" s="188" t="s">
        <v>6091</v>
      </c>
      <c r="D4183" t="s">
        <v>13412</v>
      </c>
    </row>
    <row r="4184" spans="1:4" x14ac:dyDescent="0.25">
      <c r="A4184" s="180">
        <f t="shared" si="65"/>
        <v>8705020</v>
      </c>
      <c r="B4184" s="188" t="s">
        <v>6092</v>
      </c>
      <c r="C4184" s="188" t="s">
        <v>6093</v>
      </c>
      <c r="D4184" t="s">
        <v>13412</v>
      </c>
    </row>
    <row r="4185" spans="1:4" x14ac:dyDescent="0.25">
      <c r="A4185" s="180">
        <f t="shared" si="65"/>
        <v>8705021</v>
      </c>
      <c r="B4185" s="188" t="s">
        <v>6094</v>
      </c>
      <c r="C4185" s="188" t="s">
        <v>6095</v>
      </c>
      <c r="D4185" t="s">
        <v>13412</v>
      </c>
    </row>
    <row r="4186" spans="1:4" x14ac:dyDescent="0.25">
      <c r="A4186" s="180">
        <f t="shared" si="65"/>
        <v>8705022</v>
      </c>
      <c r="B4186" s="188" t="s">
        <v>6096</v>
      </c>
      <c r="C4186" s="188" t="s">
        <v>6097</v>
      </c>
    </row>
    <row r="4187" spans="1:4" x14ac:dyDescent="0.25">
      <c r="A4187" s="180">
        <f t="shared" si="65"/>
        <v>8705023</v>
      </c>
      <c r="B4187" s="188" t="s">
        <v>6098</v>
      </c>
      <c r="C4187" s="188" t="s">
        <v>6099</v>
      </c>
      <c r="D4187" t="s">
        <v>13412</v>
      </c>
    </row>
    <row r="4188" spans="1:4" x14ac:dyDescent="0.25">
      <c r="A4188" s="180">
        <f t="shared" si="65"/>
        <v>8705036</v>
      </c>
      <c r="B4188" s="188" t="s">
        <v>6100</v>
      </c>
      <c r="C4188" s="188" t="s">
        <v>6101</v>
      </c>
    </row>
    <row r="4189" spans="1:4" x14ac:dyDescent="0.25">
      <c r="A4189" s="180">
        <f t="shared" si="65"/>
        <v>8705037</v>
      </c>
      <c r="B4189" s="188" t="s">
        <v>6102</v>
      </c>
      <c r="C4189" s="188" t="s">
        <v>12729</v>
      </c>
      <c r="D4189" t="s">
        <v>13412</v>
      </c>
    </row>
    <row r="4190" spans="1:4" x14ac:dyDescent="0.25">
      <c r="A4190" s="180">
        <f t="shared" si="65"/>
        <v>8705038</v>
      </c>
      <c r="B4190" s="188" t="s">
        <v>6103</v>
      </c>
      <c r="C4190" s="188" t="s">
        <v>6104</v>
      </c>
      <c r="D4190" t="s">
        <v>13412</v>
      </c>
    </row>
    <row r="4191" spans="1:4" x14ac:dyDescent="0.25">
      <c r="A4191" s="180">
        <f t="shared" si="65"/>
        <v>8705039</v>
      </c>
      <c r="B4191" s="188" t="s">
        <v>6105</v>
      </c>
      <c r="C4191" s="188" t="s">
        <v>6106</v>
      </c>
      <c r="D4191" t="s">
        <v>13412</v>
      </c>
    </row>
    <row r="4192" spans="1:4" x14ac:dyDescent="0.25">
      <c r="A4192" s="180">
        <f t="shared" si="65"/>
        <v>8705042</v>
      </c>
      <c r="B4192" s="188" t="s">
        <v>14541</v>
      </c>
      <c r="C4192" s="188" t="s">
        <v>14542</v>
      </c>
    </row>
    <row r="4193" spans="1:4" x14ac:dyDescent="0.25">
      <c r="A4193" s="180">
        <f t="shared" si="65"/>
        <v>8705072</v>
      </c>
      <c r="B4193" s="188" t="s">
        <v>6107</v>
      </c>
      <c r="C4193" s="188" t="s">
        <v>6108</v>
      </c>
      <c r="D4193" t="s">
        <v>13412</v>
      </c>
    </row>
    <row r="4194" spans="1:4" x14ac:dyDescent="0.25">
      <c r="A4194" s="180">
        <f t="shared" si="65"/>
        <v>8705075</v>
      </c>
      <c r="B4194" s="188" t="s">
        <v>6109</v>
      </c>
      <c r="C4194" s="188" t="s">
        <v>14543</v>
      </c>
      <c r="D4194" t="s">
        <v>13412</v>
      </c>
    </row>
    <row r="4195" spans="1:4" x14ac:dyDescent="0.25">
      <c r="A4195" s="180">
        <f t="shared" si="65"/>
        <v>8705088</v>
      </c>
      <c r="B4195" s="188" t="s">
        <v>13368</v>
      </c>
      <c r="C4195" s="188" t="s">
        <v>13369</v>
      </c>
      <c r="D4195" t="s">
        <v>13412</v>
      </c>
    </row>
    <row r="4196" spans="1:4" x14ac:dyDescent="0.25">
      <c r="A4196" s="180">
        <f t="shared" si="65"/>
        <v>8705089</v>
      </c>
      <c r="B4196" s="188" t="s">
        <v>13559</v>
      </c>
      <c r="C4196" s="188" t="s">
        <v>13560</v>
      </c>
      <c r="D4196" t="s">
        <v>13412</v>
      </c>
    </row>
    <row r="4197" spans="1:4" x14ac:dyDescent="0.25">
      <c r="A4197" s="180">
        <f t="shared" si="65"/>
        <v>8705100</v>
      </c>
      <c r="B4197" s="188" t="s">
        <v>6110</v>
      </c>
      <c r="C4197" s="188" t="s">
        <v>12730</v>
      </c>
      <c r="D4197" t="s">
        <v>13412</v>
      </c>
    </row>
    <row r="4198" spans="1:4" x14ac:dyDescent="0.25">
      <c r="A4198" s="180">
        <f t="shared" si="65"/>
        <v>8705113</v>
      </c>
      <c r="B4198" s="188" t="s">
        <v>6111</v>
      </c>
      <c r="C4198" s="188" t="s">
        <v>6112</v>
      </c>
      <c r="D4198" t="s">
        <v>13412</v>
      </c>
    </row>
    <row r="4199" spans="1:4" x14ac:dyDescent="0.25">
      <c r="A4199" s="180">
        <f t="shared" si="65"/>
        <v>8705114</v>
      </c>
      <c r="B4199" s="188" t="s">
        <v>13370</v>
      </c>
      <c r="C4199" s="188" t="s">
        <v>13371</v>
      </c>
      <c r="D4199" t="s">
        <v>13412</v>
      </c>
    </row>
    <row r="4200" spans="1:4" x14ac:dyDescent="0.25">
      <c r="A4200" s="180">
        <f t="shared" si="65"/>
        <v>8705115</v>
      </c>
      <c r="B4200" s="188" t="s">
        <v>13561</v>
      </c>
      <c r="C4200" s="188" t="s">
        <v>13562</v>
      </c>
      <c r="D4200" t="s">
        <v>13412</v>
      </c>
    </row>
    <row r="4201" spans="1:4" x14ac:dyDescent="0.25">
      <c r="A4201" s="180">
        <f t="shared" si="65"/>
        <v>8705116</v>
      </c>
      <c r="B4201" s="188" t="s">
        <v>13563</v>
      </c>
      <c r="C4201" s="188" t="s">
        <v>13939</v>
      </c>
      <c r="D4201" t="s">
        <v>13412</v>
      </c>
    </row>
    <row r="4202" spans="1:4" x14ac:dyDescent="0.25">
      <c r="A4202" s="180">
        <f t="shared" si="65"/>
        <v>8705117</v>
      </c>
      <c r="B4202" s="188" t="s">
        <v>13564</v>
      </c>
      <c r="C4202" s="188" t="s">
        <v>13565</v>
      </c>
      <c r="D4202" t="s">
        <v>13412</v>
      </c>
    </row>
    <row r="4203" spans="1:4" x14ac:dyDescent="0.25">
      <c r="A4203" s="180">
        <f t="shared" si="65"/>
        <v>8705118</v>
      </c>
      <c r="B4203" s="188" t="s">
        <v>6113</v>
      </c>
      <c r="C4203" s="188" t="s">
        <v>6114</v>
      </c>
    </row>
    <row r="4204" spans="1:4" x14ac:dyDescent="0.25">
      <c r="A4204" s="180">
        <f t="shared" si="65"/>
        <v>8705119</v>
      </c>
      <c r="B4204" s="188" t="s">
        <v>13566</v>
      </c>
      <c r="C4204" s="188" t="s">
        <v>13567</v>
      </c>
      <c r="D4204" t="s">
        <v>13412</v>
      </c>
    </row>
    <row r="4205" spans="1:4" x14ac:dyDescent="0.25">
      <c r="A4205" s="180">
        <f t="shared" si="65"/>
        <v>8705120</v>
      </c>
      <c r="B4205" s="188" t="s">
        <v>13568</v>
      </c>
      <c r="C4205" s="188" t="s">
        <v>13569</v>
      </c>
      <c r="D4205" t="s">
        <v>13412</v>
      </c>
    </row>
    <row r="4206" spans="1:4" x14ac:dyDescent="0.25">
      <c r="A4206" s="180">
        <f t="shared" si="65"/>
        <v>8705121</v>
      </c>
      <c r="B4206" s="188" t="s">
        <v>13940</v>
      </c>
      <c r="C4206" s="188" t="s">
        <v>13941</v>
      </c>
      <c r="D4206" t="s">
        <v>13412</v>
      </c>
    </row>
    <row r="4207" spans="1:4" x14ac:dyDescent="0.25">
      <c r="A4207" s="180">
        <f t="shared" si="65"/>
        <v>8705131</v>
      </c>
      <c r="B4207" s="188" t="s">
        <v>6115</v>
      </c>
      <c r="C4207" s="188" t="s">
        <v>6116</v>
      </c>
    </row>
    <row r="4208" spans="1:4" x14ac:dyDescent="0.25">
      <c r="A4208" s="180">
        <f t="shared" si="65"/>
        <v>8705200</v>
      </c>
      <c r="B4208" s="188" t="s">
        <v>6117</v>
      </c>
      <c r="C4208" s="188" t="s">
        <v>6118</v>
      </c>
      <c r="D4208" t="s">
        <v>13412</v>
      </c>
    </row>
    <row r="4209" spans="1:4" x14ac:dyDescent="0.25">
      <c r="A4209" s="180">
        <f t="shared" si="65"/>
        <v>8705201</v>
      </c>
      <c r="B4209" s="188" t="s">
        <v>6119</v>
      </c>
      <c r="C4209" s="188" t="s">
        <v>13570</v>
      </c>
      <c r="D4209" t="s">
        <v>13412</v>
      </c>
    </row>
    <row r="4210" spans="1:4" x14ac:dyDescent="0.25">
      <c r="A4210" s="180">
        <f t="shared" si="65"/>
        <v>8705214</v>
      </c>
      <c r="B4210" s="188" t="s">
        <v>6120</v>
      </c>
      <c r="C4210" s="188" t="s">
        <v>6121</v>
      </c>
    </row>
    <row r="4211" spans="1:4" x14ac:dyDescent="0.25">
      <c r="A4211" s="180">
        <f t="shared" si="65"/>
        <v>8705225</v>
      </c>
      <c r="B4211" s="188" t="s">
        <v>6122</v>
      </c>
      <c r="C4211" s="188" t="s">
        <v>6123</v>
      </c>
      <c r="D4211" t="s">
        <v>13412</v>
      </c>
    </row>
    <row r="4212" spans="1:4" x14ac:dyDescent="0.25">
      <c r="A4212" s="180">
        <f t="shared" si="65"/>
        <v>8705226</v>
      </c>
      <c r="B4212" s="188" t="s">
        <v>6124</v>
      </c>
      <c r="C4212" s="188" t="s">
        <v>6125</v>
      </c>
      <c r="D4212" t="s">
        <v>13412</v>
      </c>
    </row>
    <row r="4213" spans="1:4" x14ac:dyDescent="0.25">
      <c r="A4213" s="180">
        <f t="shared" si="65"/>
        <v>8705227</v>
      </c>
      <c r="B4213" s="188" t="s">
        <v>6126</v>
      </c>
      <c r="C4213" s="188" t="s">
        <v>6127</v>
      </c>
    </row>
    <row r="4214" spans="1:4" x14ac:dyDescent="0.25">
      <c r="A4214" s="180">
        <f t="shared" si="65"/>
        <v>8705228</v>
      </c>
      <c r="B4214" s="188" t="s">
        <v>6128</v>
      </c>
      <c r="C4214" s="188" t="s">
        <v>6129</v>
      </c>
    </row>
    <row r="4215" spans="1:4" x14ac:dyDescent="0.25">
      <c r="A4215" s="180">
        <f t="shared" si="65"/>
        <v>8705233</v>
      </c>
      <c r="B4215" s="188" t="s">
        <v>6130</v>
      </c>
      <c r="C4215" s="188" t="s">
        <v>6131</v>
      </c>
      <c r="D4215" t="s">
        <v>13412</v>
      </c>
    </row>
    <row r="4216" spans="1:4" x14ac:dyDescent="0.25">
      <c r="A4216" s="180">
        <f t="shared" si="65"/>
        <v>8705241</v>
      </c>
      <c r="B4216" s="188" t="s">
        <v>6132</v>
      </c>
      <c r="C4216" s="188" t="s">
        <v>6133</v>
      </c>
    </row>
    <row r="4217" spans="1:4" x14ac:dyDescent="0.25">
      <c r="A4217" s="180">
        <f t="shared" si="65"/>
        <v>8705256</v>
      </c>
      <c r="B4217" s="188" t="s">
        <v>6134</v>
      </c>
      <c r="C4217" s="188" t="s">
        <v>6135</v>
      </c>
      <c r="D4217" t="s">
        <v>13412</v>
      </c>
    </row>
    <row r="4218" spans="1:4" x14ac:dyDescent="0.25">
      <c r="A4218" s="180">
        <f t="shared" si="65"/>
        <v>8705300</v>
      </c>
      <c r="B4218" s="188" t="s">
        <v>6136</v>
      </c>
      <c r="C4218" s="188" t="s">
        <v>6137</v>
      </c>
      <c r="D4218" t="s">
        <v>13412</v>
      </c>
    </row>
    <row r="4219" spans="1:4" x14ac:dyDescent="0.25">
      <c r="A4219" s="180">
        <f t="shared" si="65"/>
        <v>8705370</v>
      </c>
      <c r="B4219" s="188" t="s">
        <v>6138</v>
      </c>
      <c r="C4219" s="188" t="s">
        <v>6139</v>
      </c>
      <c r="D4219" t="s">
        <v>13412</v>
      </c>
    </row>
    <row r="4220" spans="1:4" x14ac:dyDescent="0.25">
      <c r="A4220" s="180">
        <f t="shared" si="65"/>
        <v>8705444</v>
      </c>
      <c r="B4220" s="188" t="s">
        <v>14544</v>
      </c>
      <c r="C4220" s="188" t="s">
        <v>14545</v>
      </c>
    </row>
    <row r="4221" spans="1:4" x14ac:dyDescent="0.25">
      <c r="A4221" s="180">
        <f t="shared" si="65"/>
        <v>8705449</v>
      </c>
      <c r="B4221" s="188" t="s">
        <v>6140</v>
      </c>
      <c r="C4221" s="188" t="s">
        <v>12945</v>
      </c>
      <c r="D4221" t="s">
        <v>13412</v>
      </c>
    </row>
    <row r="4222" spans="1:4" x14ac:dyDescent="0.25">
      <c r="A4222" s="180">
        <f t="shared" si="65"/>
        <v>8705450</v>
      </c>
      <c r="B4222" s="188" t="s">
        <v>6141</v>
      </c>
      <c r="C4222" s="188" t="s">
        <v>6142</v>
      </c>
      <c r="D4222" t="s">
        <v>13412</v>
      </c>
    </row>
    <row r="4223" spans="1:4" x14ac:dyDescent="0.25">
      <c r="A4223" s="180">
        <f t="shared" ref="A4223:A4286" si="66">IFERROR(B4223*1,"")</f>
        <v>8705459</v>
      </c>
      <c r="B4223" s="188" t="s">
        <v>6143</v>
      </c>
      <c r="C4223" s="188" t="s">
        <v>6144</v>
      </c>
      <c r="D4223" t="s">
        <v>13412</v>
      </c>
    </row>
    <row r="4224" spans="1:4" x14ac:dyDescent="0.25">
      <c r="A4224" s="180">
        <f t="shared" si="66"/>
        <v>8705460</v>
      </c>
      <c r="B4224" s="188" t="s">
        <v>6145</v>
      </c>
      <c r="C4224" s="188" t="s">
        <v>6146</v>
      </c>
      <c r="D4224" t="s">
        <v>13412</v>
      </c>
    </row>
    <row r="4225" spans="1:4" x14ac:dyDescent="0.25">
      <c r="A4225" s="180">
        <f t="shared" si="66"/>
        <v>8705480</v>
      </c>
      <c r="B4225" s="188" t="s">
        <v>6147</v>
      </c>
      <c r="C4225" s="188" t="s">
        <v>12731</v>
      </c>
      <c r="D4225" t="s">
        <v>13412</v>
      </c>
    </row>
    <row r="4226" spans="1:4" x14ac:dyDescent="0.25">
      <c r="A4226" s="180">
        <f t="shared" si="66"/>
        <v>8705500</v>
      </c>
      <c r="B4226" s="188" t="s">
        <v>6148</v>
      </c>
      <c r="C4226" s="188" t="s">
        <v>6149</v>
      </c>
      <c r="D4226" t="s">
        <v>13412</v>
      </c>
    </row>
    <row r="4227" spans="1:4" x14ac:dyDescent="0.25">
      <c r="A4227" s="180">
        <f t="shared" si="66"/>
        <v>8705550</v>
      </c>
      <c r="B4227" s="188" t="s">
        <v>6150</v>
      </c>
      <c r="C4227" s="188" t="s">
        <v>6095</v>
      </c>
      <c r="D4227" t="s">
        <v>13412</v>
      </c>
    </row>
    <row r="4228" spans="1:4" x14ac:dyDescent="0.25">
      <c r="A4228" s="180">
        <f t="shared" si="66"/>
        <v>8705551</v>
      </c>
      <c r="B4228" s="188" t="s">
        <v>6151</v>
      </c>
      <c r="C4228" s="188" t="s">
        <v>6152</v>
      </c>
      <c r="D4228" t="s">
        <v>13412</v>
      </c>
    </row>
    <row r="4229" spans="1:4" x14ac:dyDescent="0.25">
      <c r="A4229" s="180">
        <f t="shared" si="66"/>
        <v>8705552</v>
      </c>
      <c r="B4229" s="188" t="s">
        <v>6153</v>
      </c>
      <c r="C4229" s="188" t="s">
        <v>14078</v>
      </c>
      <c r="D4229" t="s">
        <v>13412</v>
      </c>
    </row>
    <row r="4230" spans="1:4" x14ac:dyDescent="0.25">
      <c r="A4230" s="180">
        <f t="shared" si="66"/>
        <v>8705553</v>
      </c>
      <c r="B4230" s="188" t="s">
        <v>6154</v>
      </c>
      <c r="C4230" s="188" t="s">
        <v>6155</v>
      </c>
      <c r="D4230" t="s">
        <v>13412</v>
      </c>
    </row>
    <row r="4231" spans="1:4" x14ac:dyDescent="0.25">
      <c r="A4231" s="180">
        <f t="shared" si="66"/>
        <v>8705554</v>
      </c>
      <c r="B4231" s="188" t="s">
        <v>6156</v>
      </c>
      <c r="C4231" s="188" t="s">
        <v>6157</v>
      </c>
      <c r="D4231" t="s">
        <v>13412</v>
      </c>
    </row>
    <row r="4232" spans="1:4" x14ac:dyDescent="0.25">
      <c r="A4232" s="180">
        <f t="shared" si="66"/>
        <v>8705555</v>
      </c>
      <c r="B4232" s="188" t="s">
        <v>6158</v>
      </c>
      <c r="C4232" s="188" t="s">
        <v>6159</v>
      </c>
    </row>
    <row r="4233" spans="1:4" x14ac:dyDescent="0.25">
      <c r="A4233" s="180">
        <f t="shared" si="66"/>
        <v>8705556</v>
      </c>
      <c r="B4233" s="188" t="s">
        <v>6160</v>
      </c>
      <c r="C4233" s="188" t="s">
        <v>12946</v>
      </c>
      <c r="D4233" t="s">
        <v>13412</v>
      </c>
    </row>
    <row r="4234" spans="1:4" x14ac:dyDescent="0.25">
      <c r="A4234" s="180">
        <f t="shared" si="66"/>
        <v>8705557</v>
      </c>
      <c r="B4234" s="188" t="s">
        <v>6161</v>
      </c>
      <c r="C4234" s="188" t="s">
        <v>6162</v>
      </c>
    </row>
    <row r="4235" spans="1:4" x14ac:dyDescent="0.25">
      <c r="A4235" s="180">
        <f t="shared" si="66"/>
        <v>8705568</v>
      </c>
      <c r="B4235" s="188" t="s">
        <v>6163</v>
      </c>
      <c r="C4235" s="188" t="s">
        <v>6164</v>
      </c>
      <c r="D4235" t="s">
        <v>13412</v>
      </c>
    </row>
    <row r="4236" spans="1:4" x14ac:dyDescent="0.25">
      <c r="A4236" s="180">
        <f t="shared" si="66"/>
        <v>8705586</v>
      </c>
      <c r="B4236" s="188" t="s">
        <v>6165</v>
      </c>
      <c r="C4236" s="188" t="s">
        <v>6166</v>
      </c>
      <c r="D4236" t="s">
        <v>13412</v>
      </c>
    </row>
    <row r="4237" spans="1:4" x14ac:dyDescent="0.25">
      <c r="A4237" s="180">
        <f t="shared" si="66"/>
        <v>8705651</v>
      </c>
      <c r="B4237" s="188" t="s">
        <v>6167</v>
      </c>
      <c r="C4237" s="188" t="s">
        <v>6168</v>
      </c>
      <c r="D4237" t="s">
        <v>13412</v>
      </c>
    </row>
    <row r="4238" spans="1:4" x14ac:dyDescent="0.25">
      <c r="A4238" s="180">
        <f t="shared" si="66"/>
        <v>8705661</v>
      </c>
      <c r="B4238" s="188" t="s">
        <v>6169</v>
      </c>
      <c r="C4238" s="188" t="s">
        <v>6170</v>
      </c>
      <c r="D4238" t="s">
        <v>13412</v>
      </c>
    </row>
    <row r="4239" spans="1:4" x14ac:dyDescent="0.25">
      <c r="A4239" s="180">
        <f t="shared" si="66"/>
        <v>8705665</v>
      </c>
      <c r="B4239" s="188" t="s">
        <v>6171</v>
      </c>
      <c r="C4239" s="188" t="s">
        <v>6172</v>
      </c>
      <c r="D4239" t="s">
        <v>13412</v>
      </c>
    </row>
    <row r="4240" spans="1:4" x14ac:dyDescent="0.25">
      <c r="A4240" s="180">
        <f t="shared" si="66"/>
        <v>8705668</v>
      </c>
      <c r="B4240" s="188" t="s">
        <v>6173</v>
      </c>
      <c r="C4240" s="188" t="s">
        <v>6174</v>
      </c>
      <c r="D4240" t="s">
        <v>13412</v>
      </c>
    </row>
    <row r="4241" spans="1:4" x14ac:dyDescent="0.25">
      <c r="A4241" s="180">
        <f t="shared" si="66"/>
        <v>8705683</v>
      </c>
      <c r="B4241" s="188" t="s">
        <v>6175</v>
      </c>
      <c r="C4241" s="188" t="s">
        <v>6176</v>
      </c>
      <c r="D4241" t="s">
        <v>13412</v>
      </c>
    </row>
    <row r="4242" spans="1:4" x14ac:dyDescent="0.25">
      <c r="A4242" s="180">
        <f t="shared" si="66"/>
        <v>8705700</v>
      </c>
      <c r="B4242" s="188" t="s">
        <v>6177</v>
      </c>
      <c r="C4242" s="188" t="s">
        <v>6178</v>
      </c>
    </row>
    <row r="4243" spans="1:4" x14ac:dyDescent="0.25">
      <c r="A4243" s="180">
        <f t="shared" si="66"/>
        <v>8705749</v>
      </c>
      <c r="B4243" s="188" t="s">
        <v>6179</v>
      </c>
      <c r="C4243" s="188" t="s">
        <v>6180</v>
      </c>
      <c r="D4243" t="s">
        <v>13412</v>
      </c>
    </row>
    <row r="4244" spans="1:4" x14ac:dyDescent="0.25">
      <c r="A4244" s="180">
        <f t="shared" si="66"/>
        <v>8705750</v>
      </c>
      <c r="B4244" s="188" t="s">
        <v>6181</v>
      </c>
      <c r="C4244" s="189" t="s">
        <v>6182</v>
      </c>
      <c r="D4244" t="s">
        <v>13412</v>
      </c>
    </row>
    <row r="4245" spans="1:4" x14ac:dyDescent="0.25">
      <c r="A4245" s="180">
        <f t="shared" si="66"/>
        <v>8705802</v>
      </c>
      <c r="B4245" s="188" t="s">
        <v>6183</v>
      </c>
      <c r="C4245" s="188" t="s">
        <v>12947</v>
      </c>
      <c r="D4245" t="s">
        <v>13412</v>
      </c>
    </row>
    <row r="4246" spans="1:4" x14ac:dyDescent="0.25">
      <c r="A4246" s="180">
        <f t="shared" si="66"/>
        <v>8705861</v>
      </c>
      <c r="B4246" s="188" t="s">
        <v>6184</v>
      </c>
      <c r="C4246" s="188" t="s">
        <v>6185</v>
      </c>
      <c r="D4246" t="s">
        <v>13412</v>
      </c>
    </row>
    <row r="4247" spans="1:4" x14ac:dyDescent="0.25">
      <c r="A4247" s="180">
        <f t="shared" si="66"/>
        <v>8705910</v>
      </c>
      <c r="B4247" s="188" t="s">
        <v>6186</v>
      </c>
      <c r="C4247" s="188" t="s">
        <v>6187</v>
      </c>
      <c r="D4247" t="s">
        <v>13412</v>
      </c>
    </row>
    <row r="4248" spans="1:4" x14ac:dyDescent="0.25">
      <c r="A4248" s="180">
        <f t="shared" si="66"/>
        <v>8705913</v>
      </c>
      <c r="B4248" s="188" t="s">
        <v>6188</v>
      </c>
      <c r="C4248" s="188" t="s">
        <v>6189</v>
      </c>
      <c r="D4248" t="s">
        <v>13412</v>
      </c>
    </row>
    <row r="4249" spans="1:4" x14ac:dyDescent="0.25">
      <c r="A4249" s="180">
        <f t="shared" si="66"/>
        <v>8705914</v>
      </c>
      <c r="B4249" s="188" t="s">
        <v>6190</v>
      </c>
      <c r="C4249" s="188" t="s">
        <v>12948</v>
      </c>
      <c r="D4249" t="s">
        <v>13412</v>
      </c>
    </row>
    <row r="4250" spans="1:4" x14ac:dyDescent="0.25">
      <c r="A4250" s="180">
        <f t="shared" si="66"/>
        <v>8706002</v>
      </c>
      <c r="B4250" s="188" t="s">
        <v>6191</v>
      </c>
      <c r="C4250" s="188" t="s">
        <v>6192</v>
      </c>
      <c r="D4250" t="s">
        <v>13411</v>
      </c>
    </row>
    <row r="4251" spans="1:4" x14ac:dyDescent="0.25">
      <c r="A4251" s="180">
        <f t="shared" si="66"/>
        <v>8706012</v>
      </c>
      <c r="B4251" s="188" t="s">
        <v>6193</v>
      </c>
      <c r="C4251" s="188" t="s">
        <v>6194</v>
      </c>
      <c r="D4251" t="s">
        <v>13411</v>
      </c>
    </row>
    <row r="4252" spans="1:4" x14ac:dyDescent="0.25">
      <c r="A4252" s="180">
        <f t="shared" si="66"/>
        <v>8706500</v>
      </c>
      <c r="B4252" s="188" t="s">
        <v>6195</v>
      </c>
      <c r="C4252" s="188" t="s">
        <v>6196</v>
      </c>
      <c r="D4252" t="s">
        <v>13412</v>
      </c>
    </row>
    <row r="4253" spans="1:4" x14ac:dyDescent="0.25">
      <c r="A4253" s="180">
        <f t="shared" si="66"/>
        <v>8707000</v>
      </c>
      <c r="B4253" s="188" t="s">
        <v>6197</v>
      </c>
      <c r="C4253" s="188" t="s">
        <v>6198</v>
      </c>
      <c r="D4253" t="s">
        <v>13412</v>
      </c>
    </row>
    <row r="4254" spans="1:4" x14ac:dyDescent="0.25">
      <c r="A4254" s="180">
        <f t="shared" si="66"/>
        <v>8707002</v>
      </c>
      <c r="B4254" s="188" t="s">
        <v>6199</v>
      </c>
      <c r="C4254" s="188" t="s">
        <v>6200</v>
      </c>
      <c r="D4254" t="s">
        <v>13412</v>
      </c>
    </row>
    <row r="4255" spans="1:4" x14ac:dyDescent="0.25">
      <c r="A4255" s="180">
        <f t="shared" si="66"/>
        <v>8707003</v>
      </c>
      <c r="B4255" s="188" t="s">
        <v>6201</v>
      </c>
      <c r="C4255" s="188" t="s">
        <v>6202</v>
      </c>
    </row>
    <row r="4256" spans="1:4" x14ac:dyDescent="0.25">
      <c r="A4256" s="180">
        <f t="shared" si="66"/>
        <v>8707020</v>
      </c>
      <c r="B4256" s="188" t="s">
        <v>6203</v>
      </c>
      <c r="C4256" s="188" t="s">
        <v>6204</v>
      </c>
    </row>
    <row r="4257" spans="1:4" x14ac:dyDescent="0.25">
      <c r="A4257" s="180">
        <f t="shared" si="66"/>
        <v>8707021</v>
      </c>
      <c r="B4257" s="188" t="s">
        <v>6205</v>
      </c>
      <c r="C4257" s="188" t="s">
        <v>6206</v>
      </c>
      <c r="D4257" t="s">
        <v>13412</v>
      </c>
    </row>
    <row r="4258" spans="1:4" x14ac:dyDescent="0.25">
      <c r="A4258" s="180">
        <f t="shared" si="66"/>
        <v>8707023</v>
      </c>
      <c r="B4258" s="188" t="s">
        <v>6207</v>
      </c>
      <c r="C4258" s="188" t="s">
        <v>6208</v>
      </c>
      <c r="D4258" t="s">
        <v>13412</v>
      </c>
    </row>
    <row r="4259" spans="1:4" x14ac:dyDescent="0.25">
      <c r="A4259" s="180">
        <f t="shared" si="66"/>
        <v>8707024</v>
      </c>
      <c r="B4259" s="188" t="s">
        <v>6209</v>
      </c>
      <c r="C4259" s="188" t="s">
        <v>6210</v>
      </c>
      <c r="D4259" t="s">
        <v>13412</v>
      </c>
    </row>
    <row r="4260" spans="1:4" x14ac:dyDescent="0.25">
      <c r="A4260" s="180">
        <f t="shared" si="66"/>
        <v>8707025</v>
      </c>
      <c r="B4260" s="188" t="s">
        <v>6211</v>
      </c>
      <c r="C4260" s="188" t="s">
        <v>6212</v>
      </c>
    </row>
    <row r="4261" spans="1:4" x14ac:dyDescent="0.25">
      <c r="A4261" s="180">
        <f t="shared" si="66"/>
        <v>8707026</v>
      </c>
      <c r="B4261" s="188" t="s">
        <v>6213</v>
      </c>
      <c r="C4261" s="188" t="s">
        <v>6214</v>
      </c>
      <c r="D4261" t="s">
        <v>13412</v>
      </c>
    </row>
    <row r="4262" spans="1:4" x14ac:dyDescent="0.25">
      <c r="A4262" s="180">
        <f t="shared" si="66"/>
        <v>8707058</v>
      </c>
      <c r="B4262" s="188" t="s">
        <v>6215</v>
      </c>
      <c r="C4262" s="188" t="s">
        <v>6216</v>
      </c>
    </row>
    <row r="4263" spans="1:4" x14ac:dyDescent="0.25">
      <c r="A4263" s="180">
        <f t="shared" si="66"/>
        <v>8707113</v>
      </c>
      <c r="B4263" s="188" t="s">
        <v>6217</v>
      </c>
      <c r="C4263" s="188" t="s">
        <v>6218</v>
      </c>
      <c r="D4263" t="s">
        <v>13412</v>
      </c>
    </row>
    <row r="4264" spans="1:4" x14ac:dyDescent="0.25">
      <c r="A4264" s="180">
        <f t="shared" si="66"/>
        <v>8707117</v>
      </c>
      <c r="B4264" s="188" t="s">
        <v>6219</v>
      </c>
      <c r="C4264" s="188" t="s">
        <v>6220</v>
      </c>
      <c r="D4264" t="s">
        <v>13411</v>
      </c>
    </row>
    <row r="4265" spans="1:4" x14ac:dyDescent="0.25">
      <c r="A4265" s="180">
        <f t="shared" si="66"/>
        <v>8707206</v>
      </c>
      <c r="B4265" s="188" t="s">
        <v>6221</v>
      </c>
      <c r="C4265" s="188" t="s">
        <v>6222</v>
      </c>
    </row>
    <row r="4266" spans="1:4" x14ac:dyDescent="0.25">
      <c r="A4266" s="180">
        <f t="shared" si="66"/>
        <v>8707381</v>
      </c>
      <c r="B4266" s="188" t="s">
        <v>6223</v>
      </c>
      <c r="C4266" s="188" t="s">
        <v>6224</v>
      </c>
      <c r="D4266" t="s">
        <v>13411</v>
      </c>
    </row>
    <row r="4267" spans="1:4" x14ac:dyDescent="0.25">
      <c r="A4267" s="180">
        <f t="shared" si="66"/>
        <v>8707500</v>
      </c>
      <c r="B4267" s="188" t="s">
        <v>6225</v>
      </c>
      <c r="C4267" s="188" t="s">
        <v>6226</v>
      </c>
      <c r="D4267" t="s">
        <v>13412</v>
      </c>
    </row>
    <row r="4268" spans="1:4" x14ac:dyDescent="0.25">
      <c r="A4268" s="180">
        <f t="shared" si="66"/>
        <v>8707509</v>
      </c>
      <c r="B4268" s="188" t="s">
        <v>6227</v>
      </c>
      <c r="C4268" s="188" t="s">
        <v>6228</v>
      </c>
      <c r="D4268" t="s">
        <v>13412</v>
      </c>
    </row>
    <row r="4269" spans="1:4" x14ac:dyDescent="0.25">
      <c r="A4269" s="180">
        <f t="shared" si="66"/>
        <v>8707550</v>
      </c>
      <c r="B4269" s="188" t="s">
        <v>6229</v>
      </c>
      <c r="C4269" s="188" t="s">
        <v>6230</v>
      </c>
      <c r="D4269" t="s">
        <v>13412</v>
      </c>
    </row>
    <row r="4270" spans="1:4" x14ac:dyDescent="0.25">
      <c r="A4270" s="180">
        <f t="shared" si="66"/>
        <v>8707552</v>
      </c>
      <c r="B4270" s="188" t="s">
        <v>6231</v>
      </c>
      <c r="C4270" s="188" t="s">
        <v>6232</v>
      </c>
      <c r="D4270" t="s">
        <v>13412</v>
      </c>
    </row>
    <row r="4271" spans="1:4" x14ac:dyDescent="0.25">
      <c r="A4271" s="180">
        <f t="shared" si="66"/>
        <v>8707553</v>
      </c>
      <c r="B4271" s="188" t="s">
        <v>6233</v>
      </c>
      <c r="C4271" s="188" t="s">
        <v>6234</v>
      </c>
      <c r="D4271" t="s">
        <v>13412</v>
      </c>
    </row>
    <row r="4272" spans="1:4" x14ac:dyDescent="0.25">
      <c r="A4272" s="180">
        <f t="shared" si="66"/>
        <v>8707554</v>
      </c>
      <c r="B4272" s="188" t="s">
        <v>6235</v>
      </c>
      <c r="C4272" s="188" t="s">
        <v>12949</v>
      </c>
      <c r="D4272" t="s">
        <v>13412</v>
      </c>
    </row>
    <row r="4273" spans="1:4" x14ac:dyDescent="0.25">
      <c r="A4273" s="180">
        <f t="shared" si="66"/>
        <v>8707555</v>
      </c>
      <c r="B4273" s="188" t="s">
        <v>6236</v>
      </c>
      <c r="C4273" s="188" t="s">
        <v>6237</v>
      </c>
      <c r="D4273" t="s">
        <v>13412</v>
      </c>
    </row>
    <row r="4274" spans="1:4" x14ac:dyDescent="0.25">
      <c r="A4274" s="180">
        <f t="shared" si="66"/>
        <v>8707556</v>
      </c>
      <c r="B4274" s="188" t="s">
        <v>6238</v>
      </c>
      <c r="C4274" s="188" t="s">
        <v>6239</v>
      </c>
    </row>
    <row r="4275" spans="1:4" x14ac:dyDescent="0.25">
      <c r="A4275" s="180">
        <f t="shared" si="66"/>
        <v>8707657</v>
      </c>
      <c r="B4275" s="188" t="s">
        <v>6240</v>
      </c>
      <c r="C4275" s="188" t="s">
        <v>6241</v>
      </c>
      <c r="D4275" t="s">
        <v>13411</v>
      </c>
    </row>
    <row r="4276" spans="1:4" x14ac:dyDescent="0.25">
      <c r="A4276" s="180">
        <f t="shared" si="66"/>
        <v>8707658</v>
      </c>
      <c r="B4276" s="188" t="s">
        <v>6242</v>
      </c>
      <c r="C4276" s="188" t="s">
        <v>6243</v>
      </c>
    </row>
    <row r="4277" spans="1:4" x14ac:dyDescent="0.25">
      <c r="A4277" s="180">
        <f t="shared" si="66"/>
        <v>8707701</v>
      </c>
      <c r="B4277" s="188" t="s">
        <v>6244</v>
      </c>
      <c r="C4277" s="188" t="s">
        <v>6245</v>
      </c>
    </row>
    <row r="4278" spans="1:4" x14ac:dyDescent="0.25">
      <c r="A4278" s="180">
        <f t="shared" si="66"/>
        <v>8707702</v>
      </c>
      <c r="B4278" s="188" t="s">
        <v>6246</v>
      </c>
      <c r="C4278" s="188" t="s">
        <v>6247</v>
      </c>
      <c r="D4278" t="s">
        <v>13412</v>
      </c>
    </row>
    <row r="4279" spans="1:4" x14ac:dyDescent="0.25">
      <c r="A4279" s="180">
        <f t="shared" si="66"/>
        <v>8707721</v>
      </c>
      <c r="B4279" s="188" t="s">
        <v>6248</v>
      </c>
      <c r="C4279" s="188" t="s">
        <v>6249</v>
      </c>
      <c r="D4279" t="s">
        <v>13412</v>
      </c>
    </row>
    <row r="4280" spans="1:4" x14ac:dyDescent="0.25">
      <c r="A4280" s="180">
        <f t="shared" si="66"/>
        <v>8707750</v>
      </c>
      <c r="B4280" s="188" t="s">
        <v>6250</v>
      </c>
      <c r="C4280" s="188" t="s">
        <v>6251</v>
      </c>
      <c r="D4280" t="s">
        <v>13412</v>
      </c>
    </row>
    <row r="4281" spans="1:4" x14ac:dyDescent="0.25">
      <c r="A4281" s="180">
        <f t="shared" si="66"/>
        <v>8707964</v>
      </c>
      <c r="B4281" s="188" t="s">
        <v>6252</v>
      </c>
      <c r="C4281" s="188" t="s">
        <v>12732</v>
      </c>
      <c r="D4281" t="s">
        <v>13412</v>
      </c>
    </row>
    <row r="4282" spans="1:4" x14ac:dyDescent="0.25">
      <c r="A4282" s="180">
        <f t="shared" si="66"/>
        <v>8707965</v>
      </c>
      <c r="B4282" s="188" t="s">
        <v>6253</v>
      </c>
      <c r="C4282" s="188" t="s">
        <v>6254</v>
      </c>
    </row>
    <row r="4283" spans="1:4" x14ac:dyDescent="0.25">
      <c r="A4283" s="180">
        <f t="shared" si="66"/>
        <v>8707966</v>
      </c>
      <c r="B4283" s="188" t="s">
        <v>13372</v>
      </c>
      <c r="C4283" s="188" t="s">
        <v>13373</v>
      </c>
      <c r="D4283" t="s">
        <v>13412</v>
      </c>
    </row>
    <row r="4284" spans="1:4" x14ac:dyDescent="0.25">
      <c r="A4284" s="180">
        <f t="shared" si="66"/>
        <v>8707980</v>
      </c>
      <c r="B4284" s="188" t="s">
        <v>6255</v>
      </c>
      <c r="C4284" s="188" t="s">
        <v>6256</v>
      </c>
      <c r="D4284" t="s">
        <v>13412</v>
      </c>
    </row>
    <row r="4285" spans="1:4" x14ac:dyDescent="0.25">
      <c r="A4285" s="180">
        <f t="shared" si="66"/>
        <v>8707981</v>
      </c>
      <c r="B4285" s="188" t="s">
        <v>6257</v>
      </c>
      <c r="C4285" s="188" t="s">
        <v>6258</v>
      </c>
    </row>
    <row r="4286" spans="1:4" x14ac:dyDescent="0.25">
      <c r="A4286" s="180">
        <f t="shared" si="66"/>
        <v>8707982</v>
      </c>
      <c r="B4286" s="188" t="s">
        <v>6259</v>
      </c>
      <c r="C4286" s="188" t="s">
        <v>6260</v>
      </c>
      <c r="D4286" t="s">
        <v>13412</v>
      </c>
    </row>
    <row r="4287" spans="1:4" x14ac:dyDescent="0.25">
      <c r="A4287" s="180">
        <f t="shared" ref="A4287:A4350" si="67">IFERROR(B4287*1,"")</f>
        <v>8708001</v>
      </c>
      <c r="B4287" s="188" t="s">
        <v>6261</v>
      </c>
      <c r="C4287" s="188" t="s">
        <v>6262</v>
      </c>
      <c r="D4287" t="s">
        <v>13412</v>
      </c>
    </row>
    <row r="4288" spans="1:4" x14ac:dyDescent="0.25">
      <c r="A4288" s="180">
        <f t="shared" si="67"/>
        <v>8708002</v>
      </c>
      <c r="B4288" s="188" t="s">
        <v>6263</v>
      </c>
      <c r="C4288" s="188" t="s">
        <v>6264</v>
      </c>
    </row>
    <row r="4289" spans="1:4" x14ac:dyDescent="0.25">
      <c r="A4289" s="180">
        <f t="shared" si="67"/>
        <v>8708003</v>
      </c>
      <c r="B4289" s="188" t="s">
        <v>6265</v>
      </c>
      <c r="C4289" s="188" t="s">
        <v>6266</v>
      </c>
    </row>
    <row r="4290" spans="1:4" x14ac:dyDescent="0.25">
      <c r="A4290" s="180">
        <f t="shared" si="67"/>
        <v>8708004</v>
      </c>
      <c r="B4290" s="188" t="s">
        <v>6267</v>
      </c>
      <c r="C4290" s="188" t="s">
        <v>6268</v>
      </c>
    </row>
    <row r="4291" spans="1:4" x14ac:dyDescent="0.25">
      <c r="A4291" s="180">
        <f t="shared" si="67"/>
        <v>8708006</v>
      </c>
      <c r="B4291" s="188" t="s">
        <v>6269</v>
      </c>
      <c r="C4291" s="188" t="s">
        <v>6270</v>
      </c>
    </row>
    <row r="4292" spans="1:4" x14ac:dyDescent="0.25">
      <c r="A4292" s="180">
        <f t="shared" si="67"/>
        <v>8708007</v>
      </c>
      <c r="B4292" s="188" t="s">
        <v>6271</v>
      </c>
      <c r="C4292" s="188" t="s">
        <v>6272</v>
      </c>
    </row>
    <row r="4293" spans="1:4" x14ac:dyDescent="0.25">
      <c r="A4293" s="180">
        <f t="shared" si="67"/>
        <v>8708008</v>
      </c>
      <c r="B4293" s="188" t="s">
        <v>6273</v>
      </c>
      <c r="C4293" s="188" t="s">
        <v>6274</v>
      </c>
    </row>
    <row r="4294" spans="1:4" x14ac:dyDescent="0.25">
      <c r="A4294" s="180">
        <f t="shared" si="67"/>
        <v>8708009</v>
      </c>
      <c r="B4294" s="188" t="s">
        <v>6275</v>
      </c>
      <c r="C4294" s="188" t="s">
        <v>6276</v>
      </c>
    </row>
    <row r="4295" spans="1:4" x14ac:dyDescent="0.25">
      <c r="A4295" s="180">
        <f t="shared" si="67"/>
        <v>8708010</v>
      </c>
      <c r="B4295" s="188" t="s">
        <v>6277</v>
      </c>
      <c r="C4295" s="188" t="s">
        <v>6278</v>
      </c>
      <c r="D4295" t="s">
        <v>13412</v>
      </c>
    </row>
    <row r="4296" spans="1:4" x14ac:dyDescent="0.25">
      <c r="A4296" s="180">
        <f t="shared" si="67"/>
        <v>8708011</v>
      </c>
      <c r="B4296" s="188" t="s">
        <v>6279</v>
      </c>
      <c r="C4296" s="188" t="s">
        <v>12733</v>
      </c>
      <c r="D4296" t="s">
        <v>13412</v>
      </c>
    </row>
    <row r="4297" spans="1:4" x14ac:dyDescent="0.25">
      <c r="A4297" s="180">
        <f t="shared" si="67"/>
        <v>87080111</v>
      </c>
      <c r="B4297" s="188" t="s">
        <v>6280</v>
      </c>
      <c r="C4297" s="188" t="s">
        <v>6281</v>
      </c>
    </row>
    <row r="4298" spans="1:4" x14ac:dyDescent="0.25">
      <c r="A4298" s="180">
        <f t="shared" si="67"/>
        <v>8708012</v>
      </c>
      <c r="B4298" s="188" t="s">
        <v>6282</v>
      </c>
      <c r="C4298" s="188" t="s">
        <v>12734</v>
      </c>
      <c r="D4298" t="s">
        <v>13411</v>
      </c>
    </row>
    <row r="4299" spans="1:4" x14ac:dyDescent="0.25">
      <c r="A4299" s="180">
        <f t="shared" si="67"/>
        <v>8708014</v>
      </c>
      <c r="B4299" s="188" t="s">
        <v>6283</v>
      </c>
      <c r="C4299" s="188" t="s">
        <v>6284</v>
      </c>
      <c r="D4299" t="s">
        <v>13412</v>
      </c>
    </row>
    <row r="4300" spans="1:4" x14ac:dyDescent="0.25">
      <c r="A4300" s="180">
        <f t="shared" si="67"/>
        <v>8708015</v>
      </c>
      <c r="B4300" s="188" t="s">
        <v>6285</v>
      </c>
      <c r="C4300" s="188" t="s">
        <v>12950</v>
      </c>
      <c r="D4300" t="s">
        <v>13412</v>
      </c>
    </row>
    <row r="4301" spans="1:4" x14ac:dyDescent="0.25">
      <c r="A4301" s="180">
        <f t="shared" si="67"/>
        <v>8708020</v>
      </c>
      <c r="B4301" s="188" t="s">
        <v>6286</v>
      </c>
      <c r="C4301" s="188" t="s">
        <v>6287</v>
      </c>
      <c r="D4301" t="s">
        <v>13412</v>
      </c>
    </row>
    <row r="4302" spans="1:4" x14ac:dyDescent="0.25">
      <c r="A4302" s="180">
        <f t="shared" si="67"/>
        <v>8708024</v>
      </c>
      <c r="B4302" s="188" t="s">
        <v>6288</v>
      </c>
      <c r="C4302" s="188" t="s">
        <v>6289</v>
      </c>
      <c r="D4302" t="s">
        <v>13412</v>
      </c>
    </row>
    <row r="4303" spans="1:4" x14ac:dyDescent="0.25">
      <c r="A4303" s="180">
        <f t="shared" si="67"/>
        <v>8708025</v>
      </c>
      <c r="B4303" s="188" t="s">
        <v>6290</v>
      </c>
      <c r="C4303" s="188" t="s">
        <v>14546</v>
      </c>
      <c r="D4303" t="s">
        <v>13412</v>
      </c>
    </row>
    <row r="4304" spans="1:4" x14ac:dyDescent="0.25">
      <c r="A4304" s="180">
        <f t="shared" si="67"/>
        <v>8708030</v>
      </c>
      <c r="B4304" s="188" t="s">
        <v>6291</v>
      </c>
      <c r="C4304" s="188" t="s">
        <v>6292</v>
      </c>
    </row>
    <row r="4305" spans="1:4" x14ac:dyDescent="0.25">
      <c r="A4305" s="180">
        <f t="shared" si="67"/>
        <v>8708040</v>
      </c>
      <c r="B4305" s="188" t="s">
        <v>6293</v>
      </c>
      <c r="C4305" s="188" t="s">
        <v>6294</v>
      </c>
      <c r="D4305" t="s">
        <v>13412</v>
      </c>
    </row>
    <row r="4306" spans="1:4" x14ac:dyDescent="0.25">
      <c r="A4306" s="180">
        <f t="shared" si="67"/>
        <v>8708044</v>
      </c>
      <c r="B4306" s="188" t="s">
        <v>6295</v>
      </c>
      <c r="C4306" s="188" t="s">
        <v>6296</v>
      </c>
      <c r="D4306" t="s">
        <v>13412</v>
      </c>
    </row>
    <row r="4307" spans="1:4" x14ac:dyDescent="0.25">
      <c r="A4307" s="180">
        <f t="shared" si="67"/>
        <v>8708045</v>
      </c>
      <c r="B4307" s="188" t="s">
        <v>6297</v>
      </c>
      <c r="C4307" s="188" t="s">
        <v>6298</v>
      </c>
      <c r="D4307" t="s">
        <v>13411</v>
      </c>
    </row>
    <row r="4308" spans="1:4" x14ac:dyDescent="0.25">
      <c r="A4308" s="180">
        <f t="shared" si="67"/>
        <v>8708046</v>
      </c>
      <c r="B4308" s="188" t="s">
        <v>6299</v>
      </c>
      <c r="C4308" s="188" t="s">
        <v>6300</v>
      </c>
      <c r="D4308" t="s">
        <v>13412</v>
      </c>
    </row>
    <row r="4309" spans="1:4" x14ac:dyDescent="0.25">
      <c r="A4309" s="180">
        <f t="shared" si="67"/>
        <v>8708047</v>
      </c>
      <c r="B4309" s="188" t="s">
        <v>6301</v>
      </c>
      <c r="C4309" s="188" t="s">
        <v>6302</v>
      </c>
    </row>
    <row r="4310" spans="1:4" x14ac:dyDescent="0.25">
      <c r="A4310" s="180">
        <f t="shared" si="67"/>
        <v>8708048</v>
      </c>
      <c r="B4310" s="188" t="s">
        <v>6303</v>
      </c>
      <c r="C4310" s="188" t="s">
        <v>6304</v>
      </c>
      <c r="D4310" t="s">
        <v>13412</v>
      </c>
    </row>
    <row r="4311" spans="1:4" x14ac:dyDescent="0.25">
      <c r="A4311" s="180">
        <f t="shared" si="67"/>
        <v>8708049</v>
      </c>
      <c r="B4311" s="188" t="s">
        <v>6305</v>
      </c>
      <c r="C4311" s="188" t="s">
        <v>6306</v>
      </c>
      <c r="D4311" t="s">
        <v>13412</v>
      </c>
    </row>
    <row r="4312" spans="1:4" x14ac:dyDescent="0.25">
      <c r="A4312" s="180">
        <f t="shared" si="67"/>
        <v>8708052</v>
      </c>
      <c r="B4312" s="188" t="s">
        <v>6307</v>
      </c>
      <c r="C4312" s="188" t="s">
        <v>6308</v>
      </c>
      <c r="D4312" t="s">
        <v>13411</v>
      </c>
    </row>
    <row r="4313" spans="1:4" x14ac:dyDescent="0.25">
      <c r="A4313" s="180">
        <f t="shared" si="67"/>
        <v>8708053</v>
      </c>
      <c r="B4313" s="188" t="s">
        <v>6309</v>
      </c>
      <c r="C4313" s="188" t="s">
        <v>6310</v>
      </c>
      <c r="D4313" t="s">
        <v>13411</v>
      </c>
    </row>
    <row r="4314" spans="1:4" x14ac:dyDescent="0.25">
      <c r="A4314" s="180">
        <f t="shared" si="67"/>
        <v>8708054</v>
      </c>
      <c r="B4314" s="188" t="s">
        <v>6311</v>
      </c>
      <c r="C4314" s="188" t="s">
        <v>6312</v>
      </c>
      <c r="D4314" t="s">
        <v>13411</v>
      </c>
    </row>
    <row r="4315" spans="1:4" x14ac:dyDescent="0.25">
      <c r="A4315" s="180">
        <f t="shared" si="67"/>
        <v>8708055</v>
      </c>
      <c r="B4315" s="188" t="s">
        <v>6313</v>
      </c>
      <c r="C4315" s="188" t="s">
        <v>6314</v>
      </c>
      <c r="D4315" t="s">
        <v>13411</v>
      </c>
    </row>
    <row r="4316" spans="1:4" x14ac:dyDescent="0.25">
      <c r="A4316" s="180">
        <f t="shared" si="67"/>
        <v>8708056</v>
      </c>
      <c r="B4316" s="188" t="s">
        <v>6315</v>
      </c>
      <c r="C4316" s="188" t="s">
        <v>6316</v>
      </c>
    </row>
    <row r="4317" spans="1:4" x14ac:dyDescent="0.25">
      <c r="A4317" s="180">
        <f t="shared" si="67"/>
        <v>8708057</v>
      </c>
      <c r="B4317" s="188" t="s">
        <v>6317</v>
      </c>
      <c r="C4317" s="188" t="s">
        <v>6318</v>
      </c>
      <c r="D4317" t="s">
        <v>13411</v>
      </c>
    </row>
    <row r="4318" spans="1:4" x14ac:dyDescent="0.25">
      <c r="A4318" s="180">
        <f t="shared" si="67"/>
        <v>8708058</v>
      </c>
      <c r="B4318" s="188" t="s">
        <v>6319</v>
      </c>
      <c r="C4318" s="188" t="s">
        <v>6320</v>
      </c>
      <c r="D4318" t="s">
        <v>13411</v>
      </c>
    </row>
    <row r="4319" spans="1:4" x14ac:dyDescent="0.25">
      <c r="A4319" s="180">
        <f t="shared" si="67"/>
        <v>8708070</v>
      </c>
      <c r="B4319" s="188" t="s">
        <v>6321</v>
      </c>
      <c r="C4319" s="188" t="s">
        <v>6322</v>
      </c>
      <c r="D4319" t="s">
        <v>13412</v>
      </c>
    </row>
    <row r="4320" spans="1:4" x14ac:dyDescent="0.25">
      <c r="A4320" s="180">
        <f t="shared" si="67"/>
        <v>8708071</v>
      </c>
      <c r="B4320" s="188" t="s">
        <v>6323</v>
      </c>
      <c r="C4320" s="188" t="s">
        <v>6324</v>
      </c>
      <c r="D4320" t="s">
        <v>13412</v>
      </c>
    </row>
    <row r="4321" spans="1:4" x14ac:dyDescent="0.25">
      <c r="A4321" s="180">
        <f t="shared" si="67"/>
        <v>8708090</v>
      </c>
      <c r="B4321" s="188" t="s">
        <v>6325</v>
      </c>
      <c r="C4321" s="188" t="s">
        <v>6326</v>
      </c>
    </row>
    <row r="4322" spans="1:4" x14ac:dyDescent="0.25">
      <c r="A4322" s="180">
        <f t="shared" si="67"/>
        <v>8708091</v>
      </c>
      <c r="B4322" s="188" t="s">
        <v>6327</v>
      </c>
      <c r="C4322" s="188" t="s">
        <v>6328</v>
      </c>
    </row>
    <row r="4323" spans="1:4" x14ac:dyDescent="0.25">
      <c r="A4323" s="180">
        <f t="shared" si="67"/>
        <v>8708092</v>
      </c>
      <c r="B4323" s="188" t="s">
        <v>6329</v>
      </c>
      <c r="C4323" s="188" t="s">
        <v>6330</v>
      </c>
    </row>
    <row r="4324" spans="1:4" x14ac:dyDescent="0.25">
      <c r="A4324" s="180">
        <f t="shared" si="67"/>
        <v>8708093</v>
      </c>
      <c r="B4324" s="188" t="s">
        <v>6331</v>
      </c>
      <c r="C4324" s="188" t="s">
        <v>6332</v>
      </c>
    </row>
    <row r="4325" spans="1:4" x14ac:dyDescent="0.25">
      <c r="A4325" s="180">
        <f t="shared" si="67"/>
        <v>8708099</v>
      </c>
      <c r="B4325" s="188" t="s">
        <v>6333</v>
      </c>
      <c r="C4325" s="188" t="s">
        <v>13942</v>
      </c>
      <c r="D4325" t="s">
        <v>13411</v>
      </c>
    </row>
    <row r="4326" spans="1:4" x14ac:dyDescent="0.25">
      <c r="A4326" s="180">
        <f t="shared" si="67"/>
        <v>8708100</v>
      </c>
      <c r="B4326" s="188" t="s">
        <v>6334</v>
      </c>
      <c r="C4326" s="189" t="s">
        <v>6335</v>
      </c>
      <c r="D4326" t="s">
        <v>13411</v>
      </c>
    </row>
    <row r="4327" spans="1:4" x14ac:dyDescent="0.25">
      <c r="A4327" s="180">
        <f t="shared" si="67"/>
        <v>8708101</v>
      </c>
      <c r="B4327" s="188" t="s">
        <v>6336</v>
      </c>
      <c r="C4327" s="188" t="s">
        <v>6337</v>
      </c>
      <c r="D4327" t="s">
        <v>13411</v>
      </c>
    </row>
    <row r="4328" spans="1:4" x14ac:dyDescent="0.25">
      <c r="A4328" s="180">
        <f t="shared" si="67"/>
        <v>8708102</v>
      </c>
      <c r="B4328" s="188" t="s">
        <v>6338</v>
      </c>
      <c r="C4328" s="188" t="s">
        <v>6339</v>
      </c>
      <c r="D4328" t="s">
        <v>13411</v>
      </c>
    </row>
    <row r="4329" spans="1:4" x14ac:dyDescent="0.25">
      <c r="A4329" s="180">
        <f t="shared" si="67"/>
        <v>8708104</v>
      </c>
      <c r="B4329" s="188" t="s">
        <v>6340</v>
      </c>
      <c r="C4329" s="189" t="s">
        <v>6341</v>
      </c>
      <c r="D4329" t="s">
        <v>13412</v>
      </c>
    </row>
    <row r="4330" spans="1:4" x14ac:dyDescent="0.25">
      <c r="A4330" s="180">
        <f t="shared" si="67"/>
        <v>8708105</v>
      </c>
      <c r="B4330" s="188" t="s">
        <v>6342</v>
      </c>
      <c r="C4330" s="188" t="s">
        <v>6343</v>
      </c>
      <c r="D4330" t="s">
        <v>13411</v>
      </c>
    </row>
    <row r="4331" spans="1:4" x14ac:dyDescent="0.25">
      <c r="A4331" s="180">
        <f t="shared" si="67"/>
        <v>8708106</v>
      </c>
      <c r="B4331" s="188" t="s">
        <v>6344</v>
      </c>
      <c r="C4331" s="189" t="s">
        <v>6345</v>
      </c>
    </row>
    <row r="4332" spans="1:4" x14ac:dyDescent="0.25">
      <c r="A4332" s="180">
        <f t="shared" si="67"/>
        <v>8708107</v>
      </c>
      <c r="B4332" s="188" t="s">
        <v>6346</v>
      </c>
      <c r="C4332" s="188" t="s">
        <v>6347</v>
      </c>
      <c r="D4332" t="s">
        <v>13412</v>
      </c>
    </row>
    <row r="4333" spans="1:4" x14ac:dyDescent="0.25">
      <c r="A4333" s="180">
        <f t="shared" si="67"/>
        <v>8708108</v>
      </c>
      <c r="B4333" s="188" t="s">
        <v>6348</v>
      </c>
      <c r="C4333" s="188" t="s">
        <v>6349</v>
      </c>
      <c r="D4333" t="s">
        <v>13411</v>
      </c>
    </row>
    <row r="4334" spans="1:4" x14ac:dyDescent="0.25">
      <c r="A4334" s="180">
        <f t="shared" si="67"/>
        <v>8708109</v>
      </c>
      <c r="B4334" s="188" t="s">
        <v>6350</v>
      </c>
      <c r="C4334" s="189" t="s">
        <v>6351</v>
      </c>
      <c r="D4334" t="s">
        <v>13411</v>
      </c>
    </row>
    <row r="4335" spans="1:4" x14ac:dyDescent="0.25">
      <c r="A4335" s="180">
        <f t="shared" si="67"/>
        <v>8708110</v>
      </c>
      <c r="B4335" s="188" t="s">
        <v>6352</v>
      </c>
      <c r="C4335" s="188" t="s">
        <v>6353</v>
      </c>
      <c r="D4335" t="s">
        <v>13411</v>
      </c>
    </row>
    <row r="4336" spans="1:4" x14ac:dyDescent="0.25">
      <c r="A4336" s="180">
        <f t="shared" si="67"/>
        <v>8708111</v>
      </c>
      <c r="B4336" s="188" t="s">
        <v>6354</v>
      </c>
      <c r="C4336" s="189" t="s">
        <v>6355</v>
      </c>
      <c r="D4336" t="s">
        <v>13412</v>
      </c>
    </row>
    <row r="4337" spans="1:4" x14ac:dyDescent="0.25">
      <c r="A4337" s="180">
        <f t="shared" si="67"/>
        <v>8708112</v>
      </c>
      <c r="B4337" s="188" t="s">
        <v>6356</v>
      </c>
      <c r="C4337" s="188" t="s">
        <v>6357</v>
      </c>
      <c r="D4337" t="s">
        <v>13412</v>
      </c>
    </row>
    <row r="4338" spans="1:4" x14ac:dyDescent="0.25">
      <c r="A4338" s="180">
        <f t="shared" si="67"/>
        <v>8708113</v>
      </c>
      <c r="B4338" s="188" t="s">
        <v>6358</v>
      </c>
      <c r="C4338" s="188" t="s">
        <v>6359</v>
      </c>
      <c r="D4338" t="s">
        <v>13412</v>
      </c>
    </row>
    <row r="4339" spans="1:4" x14ac:dyDescent="0.25">
      <c r="A4339" s="180">
        <f t="shared" si="67"/>
        <v>8708114</v>
      </c>
      <c r="B4339" s="188" t="s">
        <v>6360</v>
      </c>
      <c r="C4339" s="188" t="s">
        <v>6361</v>
      </c>
      <c r="D4339" t="s">
        <v>13411</v>
      </c>
    </row>
    <row r="4340" spans="1:4" x14ac:dyDescent="0.25">
      <c r="A4340" s="180">
        <f t="shared" si="67"/>
        <v>8708115</v>
      </c>
      <c r="B4340" s="188" t="s">
        <v>6362</v>
      </c>
      <c r="C4340" s="189" t="s">
        <v>6363</v>
      </c>
      <c r="D4340" t="s">
        <v>13412</v>
      </c>
    </row>
    <row r="4341" spans="1:4" x14ac:dyDescent="0.25">
      <c r="A4341" s="180">
        <f t="shared" si="67"/>
        <v>8708116</v>
      </c>
      <c r="B4341" s="188" t="s">
        <v>6364</v>
      </c>
      <c r="C4341" s="188" t="s">
        <v>6365</v>
      </c>
      <c r="D4341" t="s">
        <v>13412</v>
      </c>
    </row>
    <row r="4342" spans="1:4" x14ac:dyDescent="0.25">
      <c r="A4342" s="180">
        <f t="shared" si="67"/>
        <v>8708117</v>
      </c>
      <c r="B4342" s="188" t="s">
        <v>6366</v>
      </c>
      <c r="C4342" s="189" t="s">
        <v>6367</v>
      </c>
      <c r="D4342" t="s">
        <v>13411</v>
      </c>
    </row>
    <row r="4343" spans="1:4" x14ac:dyDescent="0.25">
      <c r="A4343" s="180">
        <f t="shared" si="67"/>
        <v>8708118</v>
      </c>
      <c r="B4343" s="188" t="s">
        <v>6368</v>
      </c>
      <c r="C4343" s="189" t="s">
        <v>6369</v>
      </c>
      <c r="D4343" t="s">
        <v>13411</v>
      </c>
    </row>
    <row r="4344" spans="1:4" x14ac:dyDescent="0.25">
      <c r="A4344" s="180">
        <f t="shared" si="67"/>
        <v>8708119</v>
      </c>
      <c r="B4344" s="188" t="s">
        <v>6370</v>
      </c>
      <c r="C4344" s="188" t="s">
        <v>6371</v>
      </c>
      <c r="D4344" t="s">
        <v>13411</v>
      </c>
    </row>
    <row r="4345" spans="1:4" x14ac:dyDescent="0.25">
      <c r="A4345" s="180">
        <f t="shared" si="67"/>
        <v>8708120</v>
      </c>
      <c r="B4345" s="188" t="s">
        <v>6372</v>
      </c>
      <c r="C4345" s="188" t="s">
        <v>6373</v>
      </c>
      <c r="D4345" t="s">
        <v>13411</v>
      </c>
    </row>
    <row r="4346" spans="1:4" x14ac:dyDescent="0.25">
      <c r="A4346" s="180">
        <f t="shared" si="67"/>
        <v>8708121</v>
      </c>
      <c r="B4346" s="188" t="s">
        <v>6374</v>
      </c>
      <c r="C4346" s="188" t="s">
        <v>6375</v>
      </c>
      <c r="D4346" t="s">
        <v>13411</v>
      </c>
    </row>
    <row r="4347" spans="1:4" x14ac:dyDescent="0.25">
      <c r="A4347" s="180">
        <f t="shared" si="67"/>
        <v>8708122</v>
      </c>
      <c r="B4347" s="188" t="s">
        <v>6376</v>
      </c>
      <c r="C4347" s="188" t="s">
        <v>6377</v>
      </c>
      <c r="D4347" t="s">
        <v>13412</v>
      </c>
    </row>
    <row r="4348" spans="1:4" x14ac:dyDescent="0.25">
      <c r="A4348" s="180">
        <f t="shared" si="67"/>
        <v>8708123</v>
      </c>
      <c r="B4348" s="188" t="s">
        <v>6378</v>
      </c>
      <c r="C4348" s="188" t="s">
        <v>6379</v>
      </c>
      <c r="D4348" t="s">
        <v>13411</v>
      </c>
    </row>
    <row r="4349" spans="1:4" x14ac:dyDescent="0.25">
      <c r="A4349" s="180">
        <f t="shared" si="67"/>
        <v>8708124</v>
      </c>
      <c r="B4349" s="188" t="s">
        <v>6380</v>
      </c>
      <c r="C4349" s="188" t="s">
        <v>6381</v>
      </c>
      <c r="D4349" t="s">
        <v>13411</v>
      </c>
    </row>
    <row r="4350" spans="1:4" x14ac:dyDescent="0.25">
      <c r="A4350" s="180">
        <f t="shared" si="67"/>
        <v>8708125</v>
      </c>
      <c r="B4350" s="188" t="s">
        <v>6382</v>
      </c>
      <c r="C4350" s="189" t="s">
        <v>6383</v>
      </c>
      <c r="D4350" t="s">
        <v>13411</v>
      </c>
    </row>
    <row r="4351" spans="1:4" x14ac:dyDescent="0.25">
      <c r="A4351" s="180">
        <f t="shared" ref="A4351:A4414" si="68">IFERROR(B4351*1,"")</f>
        <v>8708126</v>
      </c>
      <c r="B4351" s="188" t="s">
        <v>6384</v>
      </c>
      <c r="C4351" s="188" t="s">
        <v>6385</v>
      </c>
    </row>
    <row r="4352" spans="1:4" x14ac:dyDescent="0.25">
      <c r="A4352" s="180">
        <f t="shared" si="68"/>
        <v>8708127</v>
      </c>
      <c r="B4352" s="188" t="s">
        <v>6386</v>
      </c>
      <c r="C4352" s="189" t="s">
        <v>6387</v>
      </c>
      <c r="D4352" t="s">
        <v>13411</v>
      </c>
    </row>
    <row r="4353" spans="1:4" x14ac:dyDescent="0.25">
      <c r="A4353" s="180">
        <f t="shared" si="68"/>
        <v>8708128</v>
      </c>
      <c r="B4353" s="188" t="s">
        <v>6388</v>
      </c>
      <c r="C4353" s="188" t="s">
        <v>6389</v>
      </c>
      <c r="D4353" t="s">
        <v>13411</v>
      </c>
    </row>
    <row r="4354" spans="1:4" x14ac:dyDescent="0.25">
      <c r="A4354" s="180">
        <f t="shared" si="68"/>
        <v>8708129</v>
      </c>
      <c r="B4354" s="188" t="s">
        <v>6390</v>
      </c>
      <c r="C4354" s="189" t="s">
        <v>6391</v>
      </c>
      <c r="D4354" t="s">
        <v>13411</v>
      </c>
    </row>
    <row r="4355" spans="1:4" x14ac:dyDescent="0.25">
      <c r="A4355" s="180">
        <f t="shared" si="68"/>
        <v>8708130</v>
      </c>
      <c r="B4355" s="188" t="s">
        <v>6392</v>
      </c>
      <c r="C4355" s="188" t="s">
        <v>6393</v>
      </c>
    </row>
    <row r="4356" spans="1:4" x14ac:dyDescent="0.25">
      <c r="A4356" s="180">
        <f t="shared" si="68"/>
        <v>8708140</v>
      </c>
      <c r="B4356" s="188" t="s">
        <v>13374</v>
      </c>
      <c r="C4356" s="189" t="s">
        <v>13375</v>
      </c>
      <c r="D4356" t="s">
        <v>13412</v>
      </c>
    </row>
    <row r="4357" spans="1:4" x14ac:dyDescent="0.25">
      <c r="A4357" s="180">
        <f t="shared" si="68"/>
        <v>8708196</v>
      </c>
      <c r="B4357" s="188" t="s">
        <v>6394</v>
      </c>
      <c r="C4357" s="188" t="s">
        <v>6395</v>
      </c>
      <c r="D4357" t="s">
        <v>13412</v>
      </c>
    </row>
    <row r="4358" spans="1:4" x14ac:dyDescent="0.25">
      <c r="A4358" s="180">
        <f t="shared" si="68"/>
        <v>8708198</v>
      </c>
      <c r="B4358" s="188" t="s">
        <v>6396</v>
      </c>
      <c r="C4358" s="189" t="s">
        <v>6397</v>
      </c>
      <c r="D4358" t="s">
        <v>13412</v>
      </c>
    </row>
    <row r="4359" spans="1:4" x14ac:dyDescent="0.25">
      <c r="A4359" s="180">
        <f t="shared" si="68"/>
        <v>8708200</v>
      </c>
      <c r="B4359" s="188" t="s">
        <v>6398</v>
      </c>
      <c r="C4359" s="188" t="s">
        <v>14138</v>
      </c>
      <c r="D4359" t="s">
        <v>13412</v>
      </c>
    </row>
    <row r="4360" spans="1:4" x14ac:dyDescent="0.25">
      <c r="A4360" s="180">
        <f t="shared" si="68"/>
        <v>8708202</v>
      </c>
      <c r="B4360" s="188" t="s">
        <v>6399</v>
      </c>
      <c r="C4360" s="189" t="s">
        <v>6400</v>
      </c>
      <c r="D4360" t="s">
        <v>13412</v>
      </c>
    </row>
    <row r="4361" spans="1:4" x14ac:dyDescent="0.25">
      <c r="A4361" s="180">
        <f t="shared" si="68"/>
        <v>8708203</v>
      </c>
      <c r="B4361" s="188" t="s">
        <v>6401</v>
      </c>
      <c r="C4361" s="188" t="s">
        <v>6402</v>
      </c>
      <c r="D4361" t="s">
        <v>13412</v>
      </c>
    </row>
    <row r="4362" spans="1:4" x14ac:dyDescent="0.25">
      <c r="A4362" s="180">
        <f t="shared" si="68"/>
        <v>8708204</v>
      </c>
      <c r="B4362" s="188" t="s">
        <v>6403</v>
      </c>
      <c r="C4362" s="189" t="s">
        <v>6404</v>
      </c>
      <c r="D4362" t="s">
        <v>13412</v>
      </c>
    </row>
    <row r="4363" spans="1:4" x14ac:dyDescent="0.25">
      <c r="A4363" s="180">
        <f t="shared" si="68"/>
        <v>8708205</v>
      </c>
      <c r="B4363" s="188" t="s">
        <v>6405</v>
      </c>
      <c r="C4363" s="188" t="s">
        <v>6406</v>
      </c>
      <c r="D4363" t="s">
        <v>13412</v>
      </c>
    </row>
    <row r="4364" spans="1:4" x14ac:dyDescent="0.25">
      <c r="A4364" s="180">
        <f t="shared" si="68"/>
        <v>8708206</v>
      </c>
      <c r="B4364" s="188" t="s">
        <v>6407</v>
      </c>
      <c r="C4364" s="189" t="s">
        <v>6408</v>
      </c>
      <c r="D4364" t="s">
        <v>13412</v>
      </c>
    </row>
    <row r="4365" spans="1:4" x14ac:dyDescent="0.25">
      <c r="A4365" s="180">
        <f t="shared" si="68"/>
        <v>8708207</v>
      </c>
      <c r="B4365" s="188" t="s">
        <v>6409</v>
      </c>
      <c r="C4365" s="188" t="s">
        <v>6410</v>
      </c>
      <c r="D4365" t="s">
        <v>13412</v>
      </c>
    </row>
    <row r="4366" spans="1:4" x14ac:dyDescent="0.25">
      <c r="A4366" s="180">
        <f t="shared" si="68"/>
        <v>8708209</v>
      </c>
      <c r="B4366" s="188" t="s">
        <v>6411</v>
      </c>
      <c r="C4366" s="189" t="s">
        <v>6412</v>
      </c>
      <c r="D4366" t="s">
        <v>13411</v>
      </c>
    </row>
    <row r="4367" spans="1:4" x14ac:dyDescent="0.25">
      <c r="A4367" s="180">
        <f t="shared" si="68"/>
        <v>8708210</v>
      </c>
      <c r="B4367" s="188" t="s">
        <v>6413</v>
      </c>
      <c r="C4367" s="188" t="s">
        <v>6414</v>
      </c>
      <c r="D4367" t="s">
        <v>13412</v>
      </c>
    </row>
    <row r="4368" spans="1:4" x14ac:dyDescent="0.25">
      <c r="A4368" s="180">
        <f t="shared" si="68"/>
        <v>8708211</v>
      </c>
      <c r="B4368" s="188" t="s">
        <v>6415</v>
      </c>
      <c r="C4368" s="189" t="s">
        <v>6416</v>
      </c>
      <c r="D4368" t="s">
        <v>13412</v>
      </c>
    </row>
    <row r="4369" spans="1:4" x14ac:dyDescent="0.25">
      <c r="A4369" s="180">
        <f t="shared" si="68"/>
        <v>8708213</v>
      </c>
      <c r="B4369" s="188" t="s">
        <v>6417</v>
      </c>
      <c r="C4369" s="188" t="s">
        <v>6418</v>
      </c>
      <c r="D4369" t="s">
        <v>13412</v>
      </c>
    </row>
    <row r="4370" spans="1:4" x14ac:dyDescent="0.25">
      <c r="A4370" s="180">
        <f t="shared" si="68"/>
        <v>8708214</v>
      </c>
      <c r="B4370" s="188" t="s">
        <v>6419</v>
      </c>
      <c r="C4370" s="189" t="s">
        <v>6420</v>
      </c>
    </row>
    <row r="4371" spans="1:4" x14ac:dyDescent="0.25">
      <c r="A4371" s="180">
        <f t="shared" si="68"/>
        <v>8708215</v>
      </c>
      <c r="B4371" s="188" t="s">
        <v>6421</v>
      </c>
      <c r="C4371" s="188" t="s">
        <v>6422</v>
      </c>
    </row>
    <row r="4372" spans="1:4" x14ac:dyDescent="0.25">
      <c r="A4372" s="180">
        <f t="shared" si="68"/>
        <v>8708216</v>
      </c>
      <c r="B4372" s="188" t="s">
        <v>6423</v>
      </c>
      <c r="C4372" s="189" t="s">
        <v>6424</v>
      </c>
      <c r="D4372" t="s">
        <v>13412</v>
      </c>
    </row>
    <row r="4373" spans="1:4" x14ac:dyDescent="0.25">
      <c r="A4373" s="180">
        <f t="shared" si="68"/>
        <v>8708226</v>
      </c>
      <c r="B4373" s="188" t="s">
        <v>6425</v>
      </c>
      <c r="C4373" s="188" t="s">
        <v>6426</v>
      </c>
      <c r="D4373" t="s">
        <v>13411</v>
      </c>
    </row>
    <row r="4374" spans="1:4" x14ac:dyDescent="0.25">
      <c r="A4374" s="180">
        <f t="shared" si="68"/>
        <v>8708227</v>
      </c>
      <c r="B4374" s="188" t="s">
        <v>6427</v>
      </c>
      <c r="C4374" s="189" t="s">
        <v>6428</v>
      </c>
      <c r="D4374" t="s">
        <v>13411</v>
      </c>
    </row>
    <row r="4375" spans="1:4" x14ac:dyDescent="0.25">
      <c r="A4375" s="180">
        <f t="shared" si="68"/>
        <v>8708228</v>
      </c>
      <c r="B4375" s="188" t="s">
        <v>6429</v>
      </c>
      <c r="C4375" s="188" t="s">
        <v>13376</v>
      </c>
      <c r="D4375" t="s">
        <v>13412</v>
      </c>
    </row>
    <row r="4376" spans="1:4" x14ac:dyDescent="0.25">
      <c r="A4376" s="180">
        <f t="shared" si="68"/>
        <v>8708249</v>
      </c>
      <c r="B4376" s="188" t="s">
        <v>6430</v>
      </c>
      <c r="C4376" s="188" t="s">
        <v>6431</v>
      </c>
      <c r="D4376" t="s">
        <v>13411</v>
      </c>
    </row>
    <row r="4377" spans="1:4" x14ac:dyDescent="0.25">
      <c r="A4377" s="180">
        <f t="shared" si="68"/>
        <v>8708254</v>
      </c>
      <c r="B4377" s="188" t="s">
        <v>6432</v>
      </c>
      <c r="C4377" s="188" t="s">
        <v>6433</v>
      </c>
      <c r="D4377" t="s">
        <v>13412</v>
      </c>
    </row>
    <row r="4378" spans="1:4" x14ac:dyDescent="0.25">
      <c r="A4378" s="180">
        <f t="shared" si="68"/>
        <v>8708255</v>
      </c>
      <c r="B4378" s="188" t="s">
        <v>6434</v>
      </c>
      <c r="C4378" s="189" t="s">
        <v>6435</v>
      </c>
      <c r="D4378" t="s">
        <v>13412</v>
      </c>
    </row>
    <row r="4379" spans="1:4" x14ac:dyDescent="0.25">
      <c r="A4379" s="180">
        <f t="shared" si="68"/>
        <v>8708272</v>
      </c>
      <c r="B4379" s="188" t="s">
        <v>6436</v>
      </c>
      <c r="C4379" s="188" t="s">
        <v>6437</v>
      </c>
      <c r="D4379" t="s">
        <v>13412</v>
      </c>
    </row>
    <row r="4380" spans="1:4" x14ac:dyDescent="0.25">
      <c r="A4380" s="180">
        <f t="shared" si="68"/>
        <v>8708273</v>
      </c>
      <c r="B4380" s="188" t="s">
        <v>6438</v>
      </c>
      <c r="C4380" s="188" t="s">
        <v>6439</v>
      </c>
      <c r="D4380" t="s">
        <v>13412</v>
      </c>
    </row>
    <row r="4381" spans="1:4" x14ac:dyDescent="0.25">
      <c r="A4381" s="180">
        <f t="shared" si="68"/>
        <v>8708297</v>
      </c>
      <c r="B4381" s="188" t="s">
        <v>14547</v>
      </c>
      <c r="C4381" s="189" t="s">
        <v>14548</v>
      </c>
      <c r="D4381" t="s">
        <v>13412</v>
      </c>
    </row>
    <row r="4382" spans="1:4" x14ac:dyDescent="0.25">
      <c r="A4382" s="180">
        <f t="shared" si="68"/>
        <v>8708298</v>
      </c>
      <c r="B4382" s="188" t="s">
        <v>13943</v>
      </c>
      <c r="C4382" s="188" t="s">
        <v>13944</v>
      </c>
      <c r="D4382" t="s">
        <v>13412</v>
      </c>
    </row>
    <row r="4383" spans="1:4" x14ac:dyDescent="0.25">
      <c r="A4383" s="180">
        <f t="shared" si="68"/>
        <v>8708299</v>
      </c>
      <c r="B4383" s="188" t="s">
        <v>12951</v>
      </c>
      <c r="C4383" s="189" t="s">
        <v>12952</v>
      </c>
      <c r="D4383" t="s">
        <v>13412</v>
      </c>
    </row>
    <row r="4384" spans="1:4" x14ac:dyDescent="0.25">
      <c r="A4384" s="180">
        <f t="shared" si="68"/>
        <v>8708300</v>
      </c>
      <c r="B4384" s="188" t="s">
        <v>6440</v>
      </c>
      <c r="C4384" s="188" t="s">
        <v>6521</v>
      </c>
      <c r="D4384" t="s">
        <v>13412</v>
      </c>
    </row>
    <row r="4385" spans="1:4" x14ac:dyDescent="0.25">
      <c r="A4385" s="180">
        <f t="shared" si="68"/>
        <v>8708301</v>
      </c>
      <c r="B4385" s="188" t="s">
        <v>6441</v>
      </c>
      <c r="C4385" s="189" t="s">
        <v>6442</v>
      </c>
      <c r="D4385" t="s">
        <v>13412</v>
      </c>
    </row>
    <row r="4386" spans="1:4" x14ac:dyDescent="0.25">
      <c r="A4386" s="180">
        <f t="shared" si="68"/>
        <v>8708304</v>
      </c>
      <c r="B4386" s="188" t="s">
        <v>12735</v>
      </c>
      <c r="C4386" s="188" t="s">
        <v>12736</v>
      </c>
      <c r="D4386" t="s">
        <v>13411</v>
      </c>
    </row>
    <row r="4387" spans="1:4" x14ac:dyDescent="0.25">
      <c r="A4387" s="180">
        <f t="shared" si="68"/>
        <v>8708310</v>
      </c>
      <c r="B4387" s="188" t="s">
        <v>12737</v>
      </c>
      <c r="C4387" s="188" t="s">
        <v>12738</v>
      </c>
      <c r="D4387" t="s">
        <v>13411</v>
      </c>
    </row>
    <row r="4388" spans="1:4" x14ac:dyDescent="0.25">
      <c r="A4388" s="180">
        <f t="shared" si="68"/>
        <v>8708311</v>
      </c>
      <c r="B4388" s="188" t="s">
        <v>6443</v>
      </c>
      <c r="C4388" s="188" t="s">
        <v>6444</v>
      </c>
      <c r="D4388" t="s">
        <v>13411</v>
      </c>
    </row>
    <row r="4389" spans="1:4" x14ac:dyDescent="0.25">
      <c r="A4389" s="180">
        <f t="shared" si="68"/>
        <v>8708312</v>
      </c>
      <c r="B4389" s="188" t="s">
        <v>6445</v>
      </c>
      <c r="C4389" s="188" t="s">
        <v>6446</v>
      </c>
    </row>
    <row r="4390" spans="1:4" x14ac:dyDescent="0.25">
      <c r="A4390" s="180">
        <f t="shared" si="68"/>
        <v>8708313</v>
      </c>
      <c r="B4390" s="188" t="s">
        <v>6447</v>
      </c>
      <c r="C4390" s="188" t="s">
        <v>6448</v>
      </c>
      <c r="D4390" t="s">
        <v>13411</v>
      </c>
    </row>
    <row r="4391" spans="1:4" x14ac:dyDescent="0.25">
      <c r="A4391" s="180">
        <f t="shared" si="68"/>
        <v>8708314</v>
      </c>
      <c r="B4391" s="188" t="s">
        <v>6449</v>
      </c>
      <c r="C4391" s="188" t="s">
        <v>6450</v>
      </c>
    </row>
    <row r="4392" spans="1:4" x14ac:dyDescent="0.25">
      <c r="A4392" s="180">
        <f t="shared" si="68"/>
        <v>8708315</v>
      </c>
      <c r="B4392" s="188" t="s">
        <v>6451</v>
      </c>
      <c r="C4392" s="188" t="s">
        <v>6452</v>
      </c>
    </row>
    <row r="4393" spans="1:4" x14ac:dyDescent="0.25">
      <c r="A4393" s="180">
        <f t="shared" si="68"/>
        <v>8708323</v>
      </c>
      <c r="B4393" s="188" t="s">
        <v>12739</v>
      </c>
      <c r="C4393" s="188" t="s">
        <v>12740</v>
      </c>
      <c r="D4393" t="s">
        <v>13411</v>
      </c>
    </row>
    <row r="4394" spans="1:4" x14ac:dyDescent="0.25">
      <c r="A4394" s="180">
        <f t="shared" si="68"/>
        <v>8708333</v>
      </c>
      <c r="B4394" s="188" t="s">
        <v>13571</v>
      </c>
      <c r="C4394" s="188" t="s">
        <v>13572</v>
      </c>
      <c r="D4394" t="s">
        <v>13411</v>
      </c>
    </row>
    <row r="4395" spans="1:4" x14ac:dyDescent="0.25">
      <c r="A4395" s="180">
        <f t="shared" si="68"/>
        <v>8708402</v>
      </c>
      <c r="B4395" s="188" t="s">
        <v>6453</v>
      </c>
      <c r="C4395" s="188" t="s">
        <v>6454</v>
      </c>
    </row>
    <row r="4396" spans="1:4" x14ac:dyDescent="0.25">
      <c r="A4396" s="180">
        <f t="shared" si="68"/>
        <v>8708426</v>
      </c>
      <c r="B4396" s="188" t="s">
        <v>13573</v>
      </c>
      <c r="C4396" s="188" t="s">
        <v>14079</v>
      </c>
      <c r="D4396" t="s">
        <v>13411</v>
      </c>
    </row>
    <row r="4397" spans="1:4" x14ac:dyDescent="0.25">
      <c r="A4397" s="180">
        <f t="shared" si="68"/>
        <v>8708510</v>
      </c>
      <c r="B4397" s="188" t="s">
        <v>14080</v>
      </c>
      <c r="C4397" s="188" t="s">
        <v>14081</v>
      </c>
      <c r="D4397" t="s">
        <v>13411</v>
      </c>
    </row>
    <row r="4398" spans="1:4" x14ac:dyDescent="0.25">
      <c r="A4398" s="180">
        <f t="shared" si="68"/>
        <v>8708511</v>
      </c>
      <c r="B4398" s="188" t="s">
        <v>14082</v>
      </c>
      <c r="C4398" s="188" t="s">
        <v>14083</v>
      </c>
      <c r="D4398" t="s">
        <v>13411</v>
      </c>
    </row>
    <row r="4399" spans="1:4" x14ac:dyDescent="0.25">
      <c r="A4399" s="180">
        <f t="shared" si="68"/>
        <v>8708536</v>
      </c>
      <c r="B4399" s="188" t="s">
        <v>12953</v>
      </c>
      <c r="C4399" s="188" t="s">
        <v>12954</v>
      </c>
      <c r="D4399" t="s">
        <v>13412</v>
      </c>
    </row>
    <row r="4400" spans="1:4" x14ac:dyDescent="0.25">
      <c r="A4400" s="180">
        <f t="shared" si="68"/>
        <v>8708550</v>
      </c>
      <c r="B4400" s="188" t="s">
        <v>6455</v>
      </c>
      <c r="C4400" s="188" t="s">
        <v>6456</v>
      </c>
      <c r="D4400" t="s">
        <v>13411</v>
      </c>
    </row>
    <row r="4401" spans="1:4" x14ac:dyDescent="0.25">
      <c r="A4401" s="180">
        <f t="shared" si="68"/>
        <v>8708551</v>
      </c>
      <c r="B4401" s="188" t="s">
        <v>6457</v>
      </c>
      <c r="C4401" s="188" t="s">
        <v>6458</v>
      </c>
    </row>
    <row r="4402" spans="1:4" x14ac:dyDescent="0.25">
      <c r="A4402" s="180">
        <f t="shared" si="68"/>
        <v>8708552</v>
      </c>
      <c r="B4402" s="188" t="s">
        <v>6459</v>
      </c>
      <c r="C4402" s="188" t="s">
        <v>6460</v>
      </c>
    </row>
    <row r="4403" spans="1:4" x14ac:dyDescent="0.25">
      <c r="A4403" s="180">
        <f t="shared" si="68"/>
        <v>8708553</v>
      </c>
      <c r="B4403" s="188" t="s">
        <v>13134</v>
      </c>
      <c r="C4403" s="188" t="s">
        <v>13135</v>
      </c>
      <c r="D4403" t="s">
        <v>13412</v>
      </c>
    </row>
    <row r="4404" spans="1:4" x14ac:dyDescent="0.25">
      <c r="A4404" s="180">
        <f t="shared" si="68"/>
        <v>8708588</v>
      </c>
      <c r="B4404" s="188" t="s">
        <v>14084</v>
      </c>
      <c r="C4404" s="188" t="s">
        <v>14085</v>
      </c>
      <c r="D4404" t="s">
        <v>13411</v>
      </c>
    </row>
    <row r="4405" spans="1:4" x14ac:dyDescent="0.25">
      <c r="A4405" s="180">
        <f t="shared" si="68"/>
        <v>8708601</v>
      </c>
      <c r="B4405" s="188" t="s">
        <v>6461</v>
      </c>
      <c r="C4405" s="188" t="s">
        <v>6462</v>
      </c>
      <c r="D4405" t="s">
        <v>13411</v>
      </c>
    </row>
    <row r="4406" spans="1:4" x14ac:dyDescent="0.25">
      <c r="A4406" s="180">
        <f t="shared" si="68"/>
        <v>8708602</v>
      </c>
      <c r="B4406" s="188" t="s">
        <v>6463</v>
      </c>
      <c r="C4406" s="188" t="s">
        <v>6464</v>
      </c>
      <c r="D4406" t="s">
        <v>13411</v>
      </c>
    </row>
    <row r="4407" spans="1:4" x14ac:dyDescent="0.25">
      <c r="A4407" s="180">
        <f t="shared" si="68"/>
        <v>8708603</v>
      </c>
      <c r="B4407" s="188" t="s">
        <v>6465</v>
      </c>
      <c r="C4407" s="188" t="s">
        <v>6466</v>
      </c>
      <c r="D4407" t="s">
        <v>13411</v>
      </c>
    </row>
    <row r="4408" spans="1:4" x14ac:dyDescent="0.25">
      <c r="A4408" s="180">
        <f t="shared" si="68"/>
        <v>8708604</v>
      </c>
      <c r="B4408" s="188" t="s">
        <v>6467</v>
      </c>
      <c r="C4408" s="188" t="s">
        <v>12955</v>
      </c>
      <c r="D4408" t="s">
        <v>13411</v>
      </c>
    </row>
    <row r="4409" spans="1:4" x14ac:dyDescent="0.25">
      <c r="A4409" s="180">
        <f t="shared" si="68"/>
        <v>8708607</v>
      </c>
      <c r="B4409" s="188" t="s">
        <v>6468</v>
      </c>
      <c r="C4409" s="188" t="s">
        <v>6469</v>
      </c>
      <c r="D4409" t="s">
        <v>13411</v>
      </c>
    </row>
    <row r="4410" spans="1:4" x14ac:dyDescent="0.25">
      <c r="A4410" s="180">
        <f t="shared" si="68"/>
        <v>8708608</v>
      </c>
      <c r="B4410" s="188" t="s">
        <v>6470</v>
      </c>
      <c r="C4410" s="188" t="s">
        <v>6471</v>
      </c>
      <c r="D4410" t="s">
        <v>13411</v>
      </c>
    </row>
    <row r="4411" spans="1:4" x14ac:dyDescent="0.25">
      <c r="A4411" s="180">
        <f t="shared" si="68"/>
        <v>8708609</v>
      </c>
      <c r="B4411" s="188" t="s">
        <v>6472</v>
      </c>
      <c r="C4411" s="188" t="s">
        <v>6473</v>
      </c>
      <c r="D4411" t="s">
        <v>13411</v>
      </c>
    </row>
    <row r="4412" spans="1:4" x14ac:dyDescent="0.25">
      <c r="A4412" s="180">
        <f t="shared" si="68"/>
        <v>8708610</v>
      </c>
      <c r="B4412" s="188" t="s">
        <v>6474</v>
      </c>
      <c r="C4412" s="188" t="s">
        <v>6475</v>
      </c>
      <c r="D4412" t="s">
        <v>13411</v>
      </c>
    </row>
    <row r="4413" spans="1:4" x14ac:dyDescent="0.25">
      <c r="A4413" s="180">
        <f t="shared" si="68"/>
        <v>8708611</v>
      </c>
      <c r="B4413" s="188" t="s">
        <v>13574</v>
      </c>
      <c r="C4413" s="188" t="s">
        <v>13575</v>
      </c>
      <c r="D4413" t="s">
        <v>13411</v>
      </c>
    </row>
    <row r="4414" spans="1:4" x14ac:dyDescent="0.25">
      <c r="A4414" s="180">
        <f t="shared" si="68"/>
        <v>8708615</v>
      </c>
      <c r="B4414" s="188" t="s">
        <v>6476</v>
      </c>
      <c r="C4414" s="188" t="s">
        <v>6477</v>
      </c>
    </row>
    <row r="4415" spans="1:4" x14ac:dyDescent="0.25">
      <c r="A4415" s="180">
        <f t="shared" ref="A4415:A4478" si="69">IFERROR(B4415*1,"")</f>
        <v>8708618</v>
      </c>
      <c r="B4415" s="188" t="s">
        <v>6478</v>
      </c>
      <c r="C4415" s="188" t="s">
        <v>6479</v>
      </c>
      <c r="D4415" t="s">
        <v>13411</v>
      </c>
    </row>
    <row r="4416" spans="1:4" x14ac:dyDescent="0.25">
      <c r="A4416" s="180">
        <f t="shared" si="69"/>
        <v>8708620</v>
      </c>
      <c r="B4416" s="188" t="s">
        <v>6480</v>
      </c>
      <c r="C4416" s="188" t="s">
        <v>6481</v>
      </c>
      <c r="D4416" t="s">
        <v>13411</v>
      </c>
    </row>
    <row r="4417" spans="1:4" x14ac:dyDescent="0.25">
      <c r="A4417" s="180">
        <f t="shared" si="69"/>
        <v>8708625</v>
      </c>
      <c r="B4417" s="188" t="s">
        <v>6482</v>
      </c>
      <c r="C4417" s="188" t="s">
        <v>6483</v>
      </c>
      <c r="D4417" t="s">
        <v>13411</v>
      </c>
    </row>
    <row r="4418" spans="1:4" x14ac:dyDescent="0.25">
      <c r="A4418" s="180">
        <f t="shared" si="69"/>
        <v>8708628</v>
      </c>
      <c r="B4418" s="188" t="s">
        <v>6484</v>
      </c>
      <c r="C4418" s="188" t="s">
        <v>6485</v>
      </c>
      <c r="D4418" t="s">
        <v>13411</v>
      </c>
    </row>
    <row r="4419" spans="1:4" x14ac:dyDescent="0.25">
      <c r="A4419" s="180">
        <f t="shared" si="69"/>
        <v>8708629</v>
      </c>
      <c r="B4419" s="188" t="s">
        <v>6486</v>
      </c>
      <c r="C4419" s="188" t="s">
        <v>6487</v>
      </c>
      <c r="D4419" t="s">
        <v>13411</v>
      </c>
    </row>
    <row r="4420" spans="1:4" x14ac:dyDescent="0.25">
      <c r="A4420" s="180">
        <f t="shared" si="69"/>
        <v>8708630</v>
      </c>
      <c r="B4420" s="188" t="s">
        <v>6488</v>
      </c>
      <c r="C4420" s="189" t="s">
        <v>6489</v>
      </c>
      <c r="D4420" t="s">
        <v>13412</v>
      </c>
    </row>
    <row r="4421" spans="1:4" x14ac:dyDescent="0.25">
      <c r="A4421" s="180">
        <f t="shared" si="69"/>
        <v>8708631</v>
      </c>
      <c r="B4421" s="188" t="s">
        <v>6490</v>
      </c>
      <c r="C4421" s="188" t="s">
        <v>6491</v>
      </c>
      <c r="D4421" t="s">
        <v>13411</v>
      </c>
    </row>
    <row r="4422" spans="1:4" x14ac:dyDescent="0.25">
      <c r="A4422" s="180">
        <f t="shared" si="69"/>
        <v>8708634</v>
      </c>
      <c r="B4422" s="188" t="s">
        <v>6492</v>
      </c>
      <c r="C4422" s="188" t="s">
        <v>6493</v>
      </c>
      <c r="D4422" t="s">
        <v>13411</v>
      </c>
    </row>
    <row r="4423" spans="1:4" x14ac:dyDescent="0.25">
      <c r="A4423" s="180">
        <f t="shared" si="69"/>
        <v>8708635</v>
      </c>
      <c r="B4423" s="188" t="s">
        <v>6494</v>
      </c>
      <c r="C4423" s="188" t="s">
        <v>6495</v>
      </c>
      <c r="D4423" t="s">
        <v>13411</v>
      </c>
    </row>
    <row r="4424" spans="1:4" x14ac:dyDescent="0.25">
      <c r="A4424" s="180">
        <f t="shared" si="69"/>
        <v>8708637</v>
      </c>
      <c r="B4424" s="188" t="s">
        <v>6496</v>
      </c>
      <c r="C4424" s="188" t="s">
        <v>6497</v>
      </c>
      <c r="D4424" t="s">
        <v>13411</v>
      </c>
    </row>
    <row r="4425" spans="1:4" x14ac:dyDescent="0.25">
      <c r="A4425" s="180">
        <f t="shared" si="69"/>
        <v>8708638</v>
      </c>
      <c r="B4425" s="188" t="s">
        <v>6498</v>
      </c>
      <c r="C4425" s="188" t="s">
        <v>6499</v>
      </c>
      <c r="D4425" t="s">
        <v>13412</v>
      </c>
    </row>
    <row r="4426" spans="1:4" x14ac:dyDescent="0.25">
      <c r="A4426" s="180">
        <f t="shared" si="69"/>
        <v>8708639</v>
      </c>
      <c r="B4426" s="188" t="s">
        <v>6500</v>
      </c>
      <c r="C4426" s="188" t="s">
        <v>6501</v>
      </c>
      <c r="D4426" t="s">
        <v>13412</v>
      </c>
    </row>
    <row r="4427" spans="1:4" x14ac:dyDescent="0.25">
      <c r="A4427" s="180">
        <f t="shared" si="69"/>
        <v>8708640</v>
      </c>
      <c r="B4427" s="188" t="s">
        <v>6502</v>
      </c>
      <c r="C4427" s="188" t="s">
        <v>6503</v>
      </c>
      <c r="D4427" t="s">
        <v>13411</v>
      </c>
    </row>
    <row r="4428" spans="1:4" x14ac:dyDescent="0.25">
      <c r="A4428" s="180">
        <f t="shared" si="69"/>
        <v>8708643</v>
      </c>
      <c r="B4428" s="188" t="s">
        <v>6504</v>
      </c>
      <c r="C4428" s="188" t="s">
        <v>6505</v>
      </c>
      <c r="D4428" t="s">
        <v>13411</v>
      </c>
    </row>
    <row r="4429" spans="1:4" x14ac:dyDescent="0.25">
      <c r="A4429" s="180">
        <f t="shared" si="69"/>
        <v>8708644</v>
      </c>
      <c r="B4429" s="188" t="s">
        <v>6506</v>
      </c>
      <c r="C4429" s="188" t="s">
        <v>6507</v>
      </c>
      <c r="D4429" t="s">
        <v>13412</v>
      </c>
    </row>
    <row r="4430" spans="1:4" x14ac:dyDescent="0.25">
      <c r="A4430" s="180">
        <f t="shared" si="69"/>
        <v>8708651</v>
      </c>
      <c r="B4430" s="188" t="s">
        <v>13576</v>
      </c>
      <c r="C4430" s="188" t="s">
        <v>13577</v>
      </c>
      <c r="D4430" t="s">
        <v>13412</v>
      </c>
    </row>
    <row r="4431" spans="1:4" x14ac:dyDescent="0.25">
      <c r="A4431" s="180">
        <f t="shared" si="69"/>
        <v>8708657</v>
      </c>
      <c r="B4431" s="188" t="s">
        <v>6508</v>
      </c>
      <c r="C4431" s="188" t="s">
        <v>6509</v>
      </c>
      <c r="D4431" t="s">
        <v>13411</v>
      </c>
    </row>
    <row r="4432" spans="1:4" x14ac:dyDescent="0.25">
      <c r="A4432" s="180">
        <f t="shared" si="69"/>
        <v>8708774</v>
      </c>
      <c r="B4432" s="188" t="s">
        <v>12741</v>
      </c>
      <c r="C4432" s="188" t="s">
        <v>14290</v>
      </c>
      <c r="D4432" t="s">
        <v>13411</v>
      </c>
    </row>
    <row r="4433" spans="1:4" x14ac:dyDescent="0.25">
      <c r="A4433" s="180">
        <f t="shared" si="69"/>
        <v>8708777</v>
      </c>
      <c r="B4433" s="188" t="s">
        <v>14905</v>
      </c>
      <c r="C4433" s="188" t="s">
        <v>14906</v>
      </c>
      <c r="D4433" t="s">
        <v>13412</v>
      </c>
    </row>
    <row r="4434" spans="1:4" x14ac:dyDescent="0.25">
      <c r="A4434" s="180">
        <f t="shared" si="69"/>
        <v>8708815</v>
      </c>
      <c r="B4434" s="188" t="s">
        <v>6510</v>
      </c>
      <c r="C4434" s="188" t="s">
        <v>6511</v>
      </c>
      <c r="D4434" t="s">
        <v>13412</v>
      </c>
    </row>
    <row r="4435" spans="1:4" x14ac:dyDescent="0.25">
      <c r="A4435" s="180">
        <f t="shared" si="69"/>
        <v>8708888</v>
      </c>
      <c r="B4435" s="188" t="s">
        <v>6512</v>
      </c>
      <c r="C4435" s="188" t="s">
        <v>6513</v>
      </c>
      <c r="D4435" t="s">
        <v>13412</v>
      </c>
    </row>
    <row r="4436" spans="1:4" x14ac:dyDescent="0.25">
      <c r="A4436" s="180">
        <f t="shared" si="69"/>
        <v>8708899</v>
      </c>
      <c r="B4436" s="188" t="s">
        <v>6514</v>
      </c>
      <c r="C4436" s="188" t="s">
        <v>6515</v>
      </c>
      <c r="D4436" t="s">
        <v>13411</v>
      </c>
    </row>
    <row r="4437" spans="1:4" x14ac:dyDescent="0.25">
      <c r="A4437" s="180">
        <f t="shared" si="69"/>
        <v>8708900</v>
      </c>
      <c r="B4437" s="188" t="s">
        <v>6516</v>
      </c>
      <c r="C4437" s="188" t="s">
        <v>6517</v>
      </c>
    </row>
    <row r="4438" spans="1:4" x14ac:dyDescent="0.25">
      <c r="A4438" s="180">
        <f t="shared" si="69"/>
        <v>8708901</v>
      </c>
      <c r="B4438" s="188" t="s">
        <v>6518</v>
      </c>
      <c r="C4438" s="188" t="s">
        <v>6519</v>
      </c>
    </row>
    <row r="4439" spans="1:4" x14ac:dyDescent="0.25">
      <c r="A4439" s="180">
        <f t="shared" si="69"/>
        <v>8708907</v>
      </c>
      <c r="B4439" s="188" t="s">
        <v>6520</v>
      </c>
      <c r="C4439" s="188" t="s">
        <v>13578</v>
      </c>
      <c r="D4439" t="s">
        <v>13411</v>
      </c>
    </row>
    <row r="4440" spans="1:4" x14ac:dyDescent="0.25">
      <c r="A4440" s="180">
        <f t="shared" si="69"/>
        <v>8708910</v>
      </c>
      <c r="B4440" s="188" t="s">
        <v>14907</v>
      </c>
      <c r="C4440" s="188" t="s">
        <v>14908</v>
      </c>
    </row>
    <row r="4441" spans="1:4" x14ac:dyDescent="0.25">
      <c r="A4441" s="180">
        <f t="shared" si="69"/>
        <v>8708996</v>
      </c>
      <c r="B4441" s="188" t="s">
        <v>12956</v>
      </c>
      <c r="C4441" s="188" t="s">
        <v>12957</v>
      </c>
      <c r="D4441" t="s">
        <v>13411</v>
      </c>
    </row>
    <row r="4442" spans="1:4" x14ac:dyDescent="0.25">
      <c r="A4442" s="180">
        <f t="shared" si="69"/>
        <v>8708997</v>
      </c>
      <c r="B4442" s="188" t="s">
        <v>12958</v>
      </c>
      <c r="C4442" s="188" t="s">
        <v>12959</v>
      </c>
      <c r="D4442" t="s">
        <v>13412</v>
      </c>
    </row>
    <row r="4443" spans="1:4" x14ac:dyDescent="0.25">
      <c r="A4443" s="180">
        <f t="shared" si="69"/>
        <v>8708998</v>
      </c>
      <c r="B4443" s="188" t="s">
        <v>12960</v>
      </c>
      <c r="C4443" s="188" t="s">
        <v>12961</v>
      </c>
      <c r="D4443" t="s">
        <v>13411</v>
      </c>
    </row>
    <row r="4444" spans="1:4" x14ac:dyDescent="0.25">
      <c r="A4444" s="180">
        <f t="shared" si="69"/>
        <v>8708999</v>
      </c>
      <c r="B4444" s="188" t="s">
        <v>6522</v>
      </c>
      <c r="C4444" s="188" t="s">
        <v>6523</v>
      </c>
      <c r="D4444" t="s">
        <v>13412</v>
      </c>
    </row>
    <row r="4445" spans="1:4" x14ac:dyDescent="0.25">
      <c r="A4445" s="180">
        <f t="shared" si="69"/>
        <v>8709697</v>
      </c>
      <c r="B4445" s="188" t="s">
        <v>12962</v>
      </c>
      <c r="C4445" s="188" t="s">
        <v>12963</v>
      </c>
      <c r="D4445" t="s">
        <v>13411</v>
      </c>
    </row>
    <row r="4446" spans="1:4" x14ac:dyDescent="0.25">
      <c r="A4446" s="180">
        <f t="shared" si="69"/>
        <v>8709698</v>
      </c>
      <c r="B4446" s="188" t="s">
        <v>6524</v>
      </c>
      <c r="C4446" s="188" t="s">
        <v>6525</v>
      </c>
      <c r="D4446" t="s">
        <v>13411</v>
      </c>
    </row>
    <row r="4447" spans="1:4" x14ac:dyDescent="0.25">
      <c r="A4447" s="180">
        <f t="shared" si="69"/>
        <v>8709699</v>
      </c>
      <c r="B4447" s="188" t="s">
        <v>6526</v>
      </c>
      <c r="C4447" s="188" t="s">
        <v>6527</v>
      </c>
    </row>
    <row r="4448" spans="1:4" x14ac:dyDescent="0.25">
      <c r="A4448" s="180">
        <f t="shared" si="69"/>
        <v>8711047</v>
      </c>
      <c r="B4448" s="188" t="s">
        <v>6528</v>
      </c>
      <c r="C4448" s="188" t="s">
        <v>6529</v>
      </c>
      <c r="D4448" t="s">
        <v>13412</v>
      </c>
    </row>
    <row r="4449" spans="1:4" x14ac:dyDescent="0.25">
      <c r="A4449" s="180">
        <f t="shared" si="69"/>
        <v>8711048</v>
      </c>
      <c r="B4449" s="188" t="s">
        <v>6530</v>
      </c>
      <c r="C4449" s="188" t="s">
        <v>6531</v>
      </c>
      <c r="D4449" t="s">
        <v>13412</v>
      </c>
    </row>
    <row r="4450" spans="1:4" x14ac:dyDescent="0.25">
      <c r="A4450" s="180">
        <f t="shared" si="69"/>
        <v>8711049</v>
      </c>
      <c r="B4450" s="188" t="s">
        <v>6532</v>
      </c>
      <c r="C4450" s="188" t="s">
        <v>6533</v>
      </c>
      <c r="D4450" t="s">
        <v>13412</v>
      </c>
    </row>
    <row r="4451" spans="1:4" x14ac:dyDescent="0.25">
      <c r="A4451" s="180">
        <f t="shared" si="69"/>
        <v>8711105</v>
      </c>
      <c r="B4451" s="188" t="s">
        <v>6534</v>
      </c>
      <c r="C4451" s="188" t="s">
        <v>6535</v>
      </c>
      <c r="D4451" t="s">
        <v>13412</v>
      </c>
    </row>
    <row r="4452" spans="1:4" x14ac:dyDescent="0.25">
      <c r="A4452" s="180">
        <f t="shared" si="69"/>
        <v>8711700</v>
      </c>
      <c r="B4452" s="188" t="s">
        <v>6536</v>
      </c>
      <c r="C4452" s="188" t="s">
        <v>6537</v>
      </c>
      <c r="D4452" t="s">
        <v>13412</v>
      </c>
    </row>
    <row r="4453" spans="1:4" x14ac:dyDescent="0.25">
      <c r="A4453" s="180">
        <f t="shared" si="69"/>
        <v>8711701</v>
      </c>
      <c r="B4453" s="188" t="s">
        <v>6538</v>
      </c>
      <c r="C4453" s="188" t="s">
        <v>6539</v>
      </c>
      <c r="D4453" t="s">
        <v>13412</v>
      </c>
    </row>
    <row r="4454" spans="1:4" x14ac:dyDescent="0.25">
      <c r="A4454" s="180">
        <f t="shared" si="69"/>
        <v>8711702</v>
      </c>
      <c r="B4454" s="188" t="s">
        <v>6540</v>
      </c>
      <c r="C4454" s="188" t="s">
        <v>6541</v>
      </c>
      <c r="D4454" t="s">
        <v>13412</v>
      </c>
    </row>
    <row r="4455" spans="1:4" x14ac:dyDescent="0.25">
      <c r="A4455" s="180">
        <f t="shared" si="69"/>
        <v>8711706</v>
      </c>
      <c r="B4455" s="188" t="s">
        <v>6542</v>
      </c>
      <c r="C4455" s="188" t="s">
        <v>6543</v>
      </c>
      <c r="D4455" t="s">
        <v>13412</v>
      </c>
    </row>
    <row r="4456" spans="1:4" x14ac:dyDescent="0.25">
      <c r="A4456" s="180">
        <f t="shared" si="69"/>
        <v>8711707</v>
      </c>
      <c r="B4456" s="188" t="s">
        <v>6544</v>
      </c>
      <c r="C4456" s="188" t="s">
        <v>6545</v>
      </c>
    </row>
    <row r="4457" spans="1:4" x14ac:dyDescent="0.25">
      <c r="A4457" s="180">
        <f t="shared" si="69"/>
        <v>8715004</v>
      </c>
      <c r="B4457" s="188" t="s">
        <v>6546</v>
      </c>
      <c r="C4457" s="188" t="s">
        <v>6547</v>
      </c>
    </row>
    <row r="4458" spans="1:4" x14ac:dyDescent="0.25">
      <c r="A4458" s="180">
        <f t="shared" si="69"/>
        <v>8715803</v>
      </c>
      <c r="B4458" s="188" t="s">
        <v>6548</v>
      </c>
      <c r="C4458" s="188" t="s">
        <v>6549</v>
      </c>
      <c r="D4458" t="s">
        <v>13412</v>
      </c>
    </row>
    <row r="4459" spans="1:4" x14ac:dyDescent="0.25">
      <c r="A4459" s="180">
        <f t="shared" si="69"/>
        <v>8717033</v>
      </c>
      <c r="B4459" s="188" t="s">
        <v>6550</v>
      </c>
      <c r="C4459" s="188" t="s">
        <v>6551</v>
      </c>
      <c r="D4459" t="s">
        <v>13412</v>
      </c>
    </row>
    <row r="4460" spans="1:4" x14ac:dyDescent="0.25">
      <c r="A4460" s="180">
        <f t="shared" si="69"/>
        <v>8800000</v>
      </c>
      <c r="B4460" s="188" t="s">
        <v>6552</v>
      </c>
      <c r="C4460" s="188" t="s">
        <v>6553</v>
      </c>
    </row>
    <row r="4461" spans="1:4" x14ac:dyDescent="0.25">
      <c r="A4461" s="180">
        <f t="shared" si="69"/>
        <v>8800001</v>
      </c>
      <c r="B4461" s="188" t="s">
        <v>6554</v>
      </c>
      <c r="C4461" s="188" t="s">
        <v>6555</v>
      </c>
    </row>
    <row r="4462" spans="1:4" x14ac:dyDescent="0.25">
      <c r="A4462" s="180" t="str">
        <f t="shared" si="69"/>
        <v/>
      </c>
      <c r="B4462" s="188" t="s">
        <v>13136</v>
      </c>
      <c r="C4462" s="188"/>
    </row>
    <row r="4463" spans="1:4" x14ac:dyDescent="0.25">
      <c r="A4463" s="180">
        <f t="shared" si="69"/>
        <v>8800002</v>
      </c>
      <c r="B4463" s="188" t="s">
        <v>6556</v>
      </c>
      <c r="C4463" s="188" t="s">
        <v>6557</v>
      </c>
    </row>
    <row r="4464" spans="1:4" x14ac:dyDescent="0.25">
      <c r="A4464" s="180">
        <f t="shared" si="69"/>
        <v>8800003</v>
      </c>
      <c r="B4464" s="188" t="s">
        <v>6558</v>
      </c>
      <c r="C4464" s="188" t="s">
        <v>6559</v>
      </c>
    </row>
    <row r="4465" spans="1:4" x14ac:dyDescent="0.25">
      <c r="A4465" s="180">
        <f t="shared" si="69"/>
        <v>8815007</v>
      </c>
      <c r="B4465" s="188" t="s">
        <v>6560</v>
      </c>
      <c r="C4465" s="188" t="s">
        <v>5211</v>
      </c>
    </row>
    <row r="4466" spans="1:4" x14ac:dyDescent="0.25">
      <c r="A4466" s="180">
        <f t="shared" si="69"/>
        <v>8857004</v>
      </c>
      <c r="B4466" s="188" t="s">
        <v>12742</v>
      </c>
      <c r="C4466" s="188" t="s">
        <v>12743</v>
      </c>
      <c r="D4466" t="s">
        <v>13412</v>
      </c>
    </row>
    <row r="4467" spans="1:4" x14ac:dyDescent="0.25">
      <c r="A4467" s="180">
        <f t="shared" si="69"/>
        <v>8857005</v>
      </c>
      <c r="B4467" s="188" t="s">
        <v>6561</v>
      </c>
      <c r="C4467" s="188" t="s">
        <v>6562</v>
      </c>
      <c r="D4467" t="s">
        <v>13411</v>
      </c>
    </row>
    <row r="4468" spans="1:4" x14ac:dyDescent="0.25">
      <c r="A4468" s="180">
        <f t="shared" si="69"/>
        <v>8857829</v>
      </c>
      <c r="B4468" s="188" t="s">
        <v>6563</v>
      </c>
      <c r="C4468" s="188" t="s">
        <v>6564</v>
      </c>
      <c r="D4468" t="s">
        <v>13411</v>
      </c>
    </row>
    <row r="4469" spans="1:4" x14ac:dyDescent="0.25">
      <c r="A4469" s="180">
        <f t="shared" si="69"/>
        <v>8858005</v>
      </c>
      <c r="B4469" s="188" t="s">
        <v>6565</v>
      </c>
      <c r="C4469" s="188" t="s">
        <v>5211</v>
      </c>
    </row>
    <row r="4470" spans="1:4" x14ac:dyDescent="0.25">
      <c r="A4470" s="180">
        <f t="shared" si="69"/>
        <v>8888001</v>
      </c>
      <c r="B4470" s="188" t="s">
        <v>6566</v>
      </c>
      <c r="C4470" s="188" t="s">
        <v>6567</v>
      </c>
      <c r="D4470" t="s">
        <v>13411</v>
      </c>
    </row>
    <row r="4471" spans="1:4" x14ac:dyDescent="0.25">
      <c r="A4471" s="180">
        <f t="shared" si="69"/>
        <v>8888002</v>
      </c>
      <c r="B4471" s="188" t="s">
        <v>6568</v>
      </c>
      <c r="C4471" s="188" t="s">
        <v>6569</v>
      </c>
      <c r="D4471" t="s">
        <v>13411</v>
      </c>
    </row>
    <row r="4472" spans="1:4" x14ac:dyDescent="0.25">
      <c r="A4472" s="180">
        <f t="shared" si="69"/>
        <v>8888003</v>
      </c>
      <c r="B4472" s="188" t="s">
        <v>6570</v>
      </c>
      <c r="C4472" s="188" t="s">
        <v>6571</v>
      </c>
    </row>
    <row r="4473" spans="1:4" x14ac:dyDescent="0.25">
      <c r="A4473" s="180">
        <f t="shared" si="69"/>
        <v>8888004</v>
      </c>
      <c r="B4473" s="188" t="s">
        <v>6572</v>
      </c>
      <c r="C4473" s="188" t="s">
        <v>6573</v>
      </c>
    </row>
    <row r="4474" spans="1:4" x14ac:dyDescent="0.25">
      <c r="A4474" s="180">
        <f t="shared" si="69"/>
        <v>8888005</v>
      </c>
      <c r="B4474" s="188" t="s">
        <v>6574</v>
      </c>
      <c r="C4474" s="188" t="s">
        <v>6575</v>
      </c>
    </row>
    <row r="4475" spans="1:4" x14ac:dyDescent="0.25">
      <c r="A4475" s="180">
        <f t="shared" si="69"/>
        <v>8888006</v>
      </c>
      <c r="B4475" s="188" t="s">
        <v>6576</v>
      </c>
      <c r="C4475" s="188" t="s">
        <v>6577</v>
      </c>
    </row>
    <row r="4476" spans="1:4" x14ac:dyDescent="0.25">
      <c r="A4476" s="180">
        <f t="shared" si="69"/>
        <v>8888007</v>
      </c>
      <c r="B4476" s="188" t="s">
        <v>6578</v>
      </c>
      <c r="C4476" s="188" t="s">
        <v>6579</v>
      </c>
    </row>
    <row r="4477" spans="1:4" x14ac:dyDescent="0.25">
      <c r="A4477" s="180">
        <f t="shared" si="69"/>
        <v>8888008</v>
      </c>
      <c r="B4477" s="188" t="s">
        <v>6580</v>
      </c>
      <c r="C4477" s="188" t="s">
        <v>6581</v>
      </c>
    </row>
    <row r="4478" spans="1:4" x14ac:dyDescent="0.25">
      <c r="A4478" s="180">
        <f t="shared" si="69"/>
        <v>8888009</v>
      </c>
      <c r="B4478" s="188" t="s">
        <v>6582</v>
      </c>
      <c r="C4478" s="188" t="s">
        <v>6583</v>
      </c>
    </row>
    <row r="4479" spans="1:4" x14ac:dyDescent="0.25">
      <c r="A4479" s="180">
        <f t="shared" ref="A4479:A4542" si="70">IFERROR(B4479*1,"")</f>
        <v>8888010</v>
      </c>
      <c r="B4479" s="188" t="s">
        <v>6584</v>
      </c>
      <c r="C4479" s="188" t="s">
        <v>6585</v>
      </c>
    </row>
    <row r="4480" spans="1:4" x14ac:dyDescent="0.25">
      <c r="A4480" s="180">
        <f t="shared" si="70"/>
        <v>8888011</v>
      </c>
      <c r="B4480" s="188" t="s">
        <v>6586</v>
      </c>
      <c r="C4480" s="188" t="s">
        <v>6587</v>
      </c>
    </row>
    <row r="4481" spans="1:3" x14ac:dyDescent="0.25">
      <c r="A4481" s="180">
        <f t="shared" si="70"/>
        <v>8888012</v>
      </c>
      <c r="B4481" s="188" t="s">
        <v>6588</v>
      </c>
      <c r="C4481" s="188" t="s">
        <v>6589</v>
      </c>
    </row>
    <row r="4482" spans="1:3" x14ac:dyDescent="0.25">
      <c r="A4482" s="180">
        <f t="shared" si="70"/>
        <v>8888013</v>
      </c>
      <c r="B4482" s="188" t="s">
        <v>6590</v>
      </c>
      <c r="C4482" s="188" t="s">
        <v>6591</v>
      </c>
    </row>
    <row r="4483" spans="1:3" x14ac:dyDescent="0.25">
      <c r="A4483" s="180">
        <f t="shared" si="70"/>
        <v>8888014</v>
      </c>
      <c r="B4483" s="188" t="s">
        <v>6592</v>
      </c>
      <c r="C4483" s="188" t="s">
        <v>6593</v>
      </c>
    </row>
    <row r="4484" spans="1:3" x14ac:dyDescent="0.25">
      <c r="A4484" s="180">
        <f t="shared" si="70"/>
        <v>8888015</v>
      </c>
      <c r="B4484" s="188" t="s">
        <v>6594</v>
      </c>
      <c r="C4484" s="188" t="s">
        <v>6595</v>
      </c>
    </row>
    <row r="4485" spans="1:3" x14ac:dyDescent="0.25">
      <c r="A4485" s="180">
        <f t="shared" si="70"/>
        <v>8888016</v>
      </c>
      <c r="B4485" s="188" t="s">
        <v>6596</v>
      </c>
      <c r="C4485" s="188" t="s">
        <v>6597</v>
      </c>
    </row>
    <row r="4486" spans="1:3" x14ac:dyDescent="0.25">
      <c r="A4486" s="180">
        <f t="shared" si="70"/>
        <v>8888017</v>
      </c>
      <c r="B4486" s="188" t="s">
        <v>6598</v>
      </c>
      <c r="C4486" s="188" t="s">
        <v>6599</v>
      </c>
    </row>
    <row r="4487" spans="1:3" x14ac:dyDescent="0.25">
      <c r="A4487" s="180">
        <f t="shared" si="70"/>
        <v>8888018</v>
      </c>
      <c r="B4487" s="188" t="s">
        <v>6600</v>
      </c>
      <c r="C4487" s="188" t="s">
        <v>6601</v>
      </c>
    </row>
    <row r="4488" spans="1:3" x14ac:dyDescent="0.25">
      <c r="A4488" s="180">
        <f t="shared" si="70"/>
        <v>8888019</v>
      </c>
      <c r="B4488" s="188" t="s">
        <v>6602</v>
      </c>
      <c r="C4488" s="188" t="s">
        <v>6603</v>
      </c>
    </row>
    <row r="4489" spans="1:3" x14ac:dyDescent="0.25">
      <c r="A4489" s="180">
        <f t="shared" si="70"/>
        <v>8888020</v>
      </c>
      <c r="B4489" s="188" t="s">
        <v>6604</v>
      </c>
      <c r="C4489" s="188" t="s">
        <v>6605</v>
      </c>
    </row>
    <row r="4490" spans="1:3" x14ac:dyDescent="0.25">
      <c r="A4490" s="180">
        <f t="shared" si="70"/>
        <v>8888021</v>
      </c>
      <c r="B4490" s="188" t="s">
        <v>6606</v>
      </c>
      <c r="C4490" s="188" t="s">
        <v>6607</v>
      </c>
    </row>
    <row r="4491" spans="1:3" x14ac:dyDescent="0.25">
      <c r="A4491" s="180">
        <f t="shared" si="70"/>
        <v>8888022</v>
      </c>
      <c r="B4491" s="188" t="s">
        <v>6608</v>
      </c>
      <c r="C4491" s="188" t="s">
        <v>6609</v>
      </c>
    </row>
    <row r="4492" spans="1:3" x14ac:dyDescent="0.25">
      <c r="A4492" s="180">
        <f t="shared" si="70"/>
        <v>8888023</v>
      </c>
      <c r="B4492" s="188" t="s">
        <v>6610</v>
      </c>
      <c r="C4492" s="188" t="s">
        <v>6611</v>
      </c>
    </row>
    <row r="4493" spans="1:3" x14ac:dyDescent="0.25">
      <c r="A4493" s="180">
        <f t="shared" si="70"/>
        <v>8888024</v>
      </c>
      <c r="B4493" s="188" t="s">
        <v>6612</v>
      </c>
      <c r="C4493" s="188" t="s">
        <v>6613</v>
      </c>
    </row>
    <row r="4494" spans="1:3" x14ac:dyDescent="0.25">
      <c r="A4494" s="180">
        <f t="shared" si="70"/>
        <v>8888025</v>
      </c>
      <c r="B4494" s="188" t="s">
        <v>6614</v>
      </c>
      <c r="C4494" s="188" t="s">
        <v>6615</v>
      </c>
    </row>
    <row r="4495" spans="1:3" x14ac:dyDescent="0.25">
      <c r="A4495" s="180">
        <f t="shared" si="70"/>
        <v>8888026</v>
      </c>
      <c r="B4495" s="188" t="s">
        <v>6616</v>
      </c>
      <c r="C4495" s="188" t="s">
        <v>6617</v>
      </c>
    </row>
    <row r="4496" spans="1:3" x14ac:dyDescent="0.25">
      <c r="A4496" s="180">
        <f t="shared" si="70"/>
        <v>8888027</v>
      </c>
      <c r="B4496" s="188" t="s">
        <v>6618</v>
      </c>
      <c r="C4496" s="188" t="s">
        <v>6619</v>
      </c>
    </row>
    <row r="4497" spans="1:4" x14ac:dyDescent="0.25">
      <c r="A4497" s="180">
        <f t="shared" si="70"/>
        <v>8888028</v>
      </c>
      <c r="B4497" s="188" t="s">
        <v>6620</v>
      </c>
      <c r="C4497" s="188" t="s">
        <v>6621</v>
      </c>
    </row>
    <row r="4498" spans="1:4" x14ac:dyDescent="0.25">
      <c r="A4498" s="180">
        <f t="shared" si="70"/>
        <v>8888029</v>
      </c>
      <c r="B4498" s="188" t="s">
        <v>6622</v>
      </c>
      <c r="C4498" s="188" t="s">
        <v>6623</v>
      </c>
    </row>
    <row r="4499" spans="1:4" x14ac:dyDescent="0.25">
      <c r="A4499" s="180">
        <f t="shared" si="70"/>
        <v>8888030</v>
      </c>
      <c r="B4499" s="188" t="s">
        <v>6624</v>
      </c>
      <c r="C4499" s="188" t="s">
        <v>6625</v>
      </c>
    </row>
    <row r="4500" spans="1:4" x14ac:dyDescent="0.25">
      <c r="A4500" s="180">
        <f t="shared" si="70"/>
        <v>8888031</v>
      </c>
      <c r="B4500" s="188" t="s">
        <v>6626</v>
      </c>
      <c r="C4500" s="188" t="s">
        <v>6627</v>
      </c>
      <c r="D4500" t="s">
        <v>14989</v>
      </c>
    </row>
    <row r="4501" spans="1:4" x14ac:dyDescent="0.25">
      <c r="A4501" s="180">
        <f t="shared" si="70"/>
        <v>8888032</v>
      </c>
      <c r="B4501" s="188" t="s">
        <v>6628</v>
      </c>
      <c r="C4501" s="188" t="s">
        <v>6629</v>
      </c>
      <c r="D4501" t="s">
        <v>14989</v>
      </c>
    </row>
    <row r="4502" spans="1:4" x14ac:dyDescent="0.25">
      <c r="A4502" s="180">
        <f t="shared" si="70"/>
        <v>8888034</v>
      </c>
      <c r="B4502" s="188" t="s">
        <v>7043</v>
      </c>
      <c r="C4502" s="188" t="s">
        <v>7044</v>
      </c>
    </row>
    <row r="4503" spans="1:4" x14ac:dyDescent="0.25">
      <c r="A4503" s="180">
        <f t="shared" si="70"/>
        <v>8888035</v>
      </c>
      <c r="B4503" s="188" t="s">
        <v>13377</v>
      </c>
      <c r="C4503" s="189" t="s">
        <v>13378</v>
      </c>
    </row>
    <row r="4504" spans="1:4" x14ac:dyDescent="0.25">
      <c r="A4504" s="180">
        <f t="shared" si="70"/>
        <v>8888036</v>
      </c>
      <c r="B4504" s="188" t="s">
        <v>13379</v>
      </c>
      <c r="C4504" s="188" t="s">
        <v>13380</v>
      </c>
    </row>
    <row r="4505" spans="1:4" x14ac:dyDescent="0.25">
      <c r="A4505" s="180">
        <f t="shared" si="70"/>
        <v>8888037</v>
      </c>
      <c r="B4505" s="188" t="s">
        <v>13945</v>
      </c>
      <c r="C4505" s="188" t="s">
        <v>13946</v>
      </c>
      <c r="D4505" t="s">
        <v>13411</v>
      </c>
    </row>
    <row r="4506" spans="1:4" x14ac:dyDescent="0.25">
      <c r="A4506" s="180">
        <f t="shared" si="70"/>
        <v>9000001</v>
      </c>
      <c r="B4506" s="188" t="s">
        <v>6630</v>
      </c>
      <c r="C4506" s="188" t="s">
        <v>6631</v>
      </c>
    </row>
    <row r="4507" spans="1:4" x14ac:dyDescent="0.25">
      <c r="A4507" s="180">
        <f t="shared" si="70"/>
        <v>9000002</v>
      </c>
      <c r="B4507" s="188" t="s">
        <v>6632</v>
      </c>
      <c r="C4507" s="188" t="s">
        <v>6633</v>
      </c>
    </row>
    <row r="4508" spans="1:4" x14ac:dyDescent="0.25">
      <c r="A4508" s="180">
        <f t="shared" si="70"/>
        <v>9000003</v>
      </c>
      <c r="B4508" s="188" t="s">
        <v>6634</v>
      </c>
      <c r="C4508" s="188" t="s">
        <v>6635</v>
      </c>
    </row>
    <row r="4509" spans="1:4" x14ac:dyDescent="0.25">
      <c r="A4509" s="180">
        <f t="shared" si="70"/>
        <v>9000004</v>
      </c>
      <c r="B4509" s="188" t="s">
        <v>6636</v>
      </c>
      <c r="C4509" s="188" t="s">
        <v>6637</v>
      </c>
    </row>
    <row r="4510" spans="1:4" x14ac:dyDescent="0.25">
      <c r="A4510" s="180">
        <f t="shared" si="70"/>
        <v>9000005</v>
      </c>
      <c r="B4510" s="188" t="s">
        <v>6638</v>
      </c>
      <c r="C4510" s="188" t="s">
        <v>6639</v>
      </c>
    </row>
    <row r="4511" spans="1:4" x14ac:dyDescent="0.25">
      <c r="A4511" s="180">
        <f t="shared" si="70"/>
        <v>9000006</v>
      </c>
      <c r="B4511" s="188" t="s">
        <v>6640</v>
      </c>
      <c r="C4511" s="188" t="s">
        <v>6641</v>
      </c>
    </row>
    <row r="4512" spans="1:4" x14ac:dyDescent="0.25">
      <c r="A4512" s="180">
        <f t="shared" si="70"/>
        <v>9003001</v>
      </c>
      <c r="B4512" s="188" t="s">
        <v>6642</v>
      </c>
      <c r="C4512" s="188" t="s">
        <v>6643</v>
      </c>
      <c r="D4512" t="s">
        <v>13412</v>
      </c>
    </row>
    <row r="4513" spans="1:4" x14ac:dyDescent="0.25">
      <c r="A4513" s="180">
        <f t="shared" si="70"/>
        <v>9003002</v>
      </c>
      <c r="B4513" s="188" t="s">
        <v>6644</v>
      </c>
      <c r="C4513" s="188" t="s">
        <v>6645</v>
      </c>
      <c r="D4513" t="s">
        <v>13412</v>
      </c>
    </row>
    <row r="4514" spans="1:4" x14ac:dyDescent="0.25">
      <c r="A4514" s="180">
        <f t="shared" si="70"/>
        <v>9003003</v>
      </c>
      <c r="B4514" s="188" t="s">
        <v>6646</v>
      </c>
      <c r="C4514" s="188" t="s">
        <v>6647</v>
      </c>
    </row>
    <row r="4515" spans="1:4" x14ac:dyDescent="0.25">
      <c r="A4515" s="180">
        <f t="shared" si="70"/>
        <v>9003004</v>
      </c>
      <c r="B4515" s="188" t="s">
        <v>6648</v>
      </c>
      <c r="C4515" s="188" t="s">
        <v>6649</v>
      </c>
    </row>
    <row r="4516" spans="1:4" x14ac:dyDescent="0.25">
      <c r="A4516" s="180">
        <f t="shared" si="70"/>
        <v>9003005</v>
      </c>
      <c r="B4516" s="188" t="s">
        <v>6650</v>
      </c>
      <c r="C4516" s="188" t="s">
        <v>6651</v>
      </c>
      <c r="D4516" t="s">
        <v>13412</v>
      </c>
    </row>
    <row r="4517" spans="1:4" x14ac:dyDescent="0.25">
      <c r="A4517" s="180">
        <f t="shared" si="70"/>
        <v>9003006</v>
      </c>
      <c r="B4517" s="188" t="s">
        <v>6652</v>
      </c>
      <c r="C4517" s="188" t="s">
        <v>6653</v>
      </c>
      <c r="D4517" t="s">
        <v>13412</v>
      </c>
    </row>
    <row r="4518" spans="1:4" x14ac:dyDescent="0.25">
      <c r="A4518" s="180">
        <f t="shared" si="70"/>
        <v>9003007</v>
      </c>
      <c r="B4518" s="188" t="s">
        <v>6654</v>
      </c>
      <c r="C4518" s="188" t="s">
        <v>6655</v>
      </c>
      <c r="D4518" t="s">
        <v>13412</v>
      </c>
    </row>
    <row r="4519" spans="1:4" x14ac:dyDescent="0.25">
      <c r="A4519" s="180">
        <f t="shared" si="70"/>
        <v>9003008</v>
      </c>
      <c r="B4519" s="188" t="s">
        <v>6656</v>
      </c>
      <c r="C4519" s="188" t="s">
        <v>6657</v>
      </c>
      <c r="D4519" t="s">
        <v>13412</v>
      </c>
    </row>
    <row r="4520" spans="1:4" x14ac:dyDescent="0.25">
      <c r="A4520" s="180">
        <f t="shared" si="70"/>
        <v>9003009</v>
      </c>
      <c r="B4520" s="188" t="s">
        <v>6658</v>
      </c>
      <c r="C4520" s="188" t="s">
        <v>6659</v>
      </c>
      <c r="D4520" t="s">
        <v>13412</v>
      </c>
    </row>
    <row r="4521" spans="1:4" x14ac:dyDescent="0.25">
      <c r="A4521" s="180">
        <f t="shared" si="70"/>
        <v>9003010</v>
      </c>
      <c r="B4521" s="188" t="s">
        <v>6660</v>
      </c>
      <c r="C4521" s="188" t="s">
        <v>6661</v>
      </c>
      <c r="D4521" t="s">
        <v>13412</v>
      </c>
    </row>
    <row r="4522" spans="1:4" x14ac:dyDescent="0.25">
      <c r="A4522" s="180">
        <f t="shared" si="70"/>
        <v>9003011</v>
      </c>
      <c r="B4522" s="188" t="s">
        <v>6662</v>
      </c>
      <c r="C4522" s="188" t="s">
        <v>6663</v>
      </c>
      <c r="D4522" t="s">
        <v>13412</v>
      </c>
    </row>
    <row r="4523" spans="1:4" x14ac:dyDescent="0.25">
      <c r="A4523" s="180">
        <f t="shared" si="70"/>
        <v>9003012</v>
      </c>
      <c r="B4523" s="188" t="s">
        <v>6664</v>
      </c>
      <c r="C4523" s="188" t="s">
        <v>6665</v>
      </c>
      <c r="D4523" t="s">
        <v>13412</v>
      </c>
    </row>
    <row r="4524" spans="1:4" x14ac:dyDescent="0.25">
      <c r="A4524" s="180">
        <f t="shared" si="70"/>
        <v>9003013</v>
      </c>
      <c r="B4524" s="188" t="s">
        <v>6666</v>
      </c>
      <c r="C4524" s="188" t="s">
        <v>6667</v>
      </c>
    </row>
    <row r="4525" spans="1:4" x14ac:dyDescent="0.25">
      <c r="A4525" s="180">
        <f t="shared" si="70"/>
        <v>9003014</v>
      </c>
      <c r="B4525" s="188" t="s">
        <v>6668</v>
      </c>
      <c r="C4525" s="188" t="s">
        <v>6669</v>
      </c>
      <c r="D4525" t="s">
        <v>13412</v>
      </c>
    </row>
    <row r="4526" spans="1:4" x14ac:dyDescent="0.25">
      <c r="A4526" s="180">
        <f t="shared" si="70"/>
        <v>9003015</v>
      </c>
      <c r="B4526" s="188" t="s">
        <v>6670</v>
      </c>
      <c r="C4526" s="188" t="s">
        <v>6671</v>
      </c>
    </row>
    <row r="4527" spans="1:4" x14ac:dyDescent="0.25">
      <c r="A4527" s="180">
        <f t="shared" si="70"/>
        <v>9003016</v>
      </c>
      <c r="B4527" s="188" t="s">
        <v>6672</v>
      </c>
      <c r="C4527" s="188" t="s">
        <v>6673</v>
      </c>
    </row>
    <row r="4528" spans="1:4" x14ac:dyDescent="0.25">
      <c r="A4528" s="180">
        <f t="shared" si="70"/>
        <v>9003017</v>
      </c>
      <c r="B4528" s="188" t="s">
        <v>6674</v>
      </c>
      <c r="C4528" s="188" t="s">
        <v>6675</v>
      </c>
    </row>
    <row r="4529" spans="1:4" x14ac:dyDescent="0.25">
      <c r="A4529" s="180">
        <f t="shared" si="70"/>
        <v>9003018</v>
      </c>
      <c r="B4529" s="188" t="s">
        <v>6676</v>
      </c>
      <c r="C4529" s="188" t="s">
        <v>6677</v>
      </c>
    </row>
    <row r="4530" spans="1:4" x14ac:dyDescent="0.25">
      <c r="A4530" s="180">
        <f t="shared" si="70"/>
        <v>9003019</v>
      </c>
      <c r="B4530" s="188" t="s">
        <v>6678</v>
      </c>
      <c r="C4530" s="188" t="s">
        <v>6679</v>
      </c>
    </row>
    <row r="4531" spans="1:4" x14ac:dyDescent="0.25">
      <c r="A4531" s="180">
        <f t="shared" si="70"/>
        <v>9003020</v>
      </c>
      <c r="B4531" s="188" t="s">
        <v>6680</v>
      </c>
      <c r="C4531" s="188" t="s">
        <v>6681</v>
      </c>
      <c r="D4531" t="s">
        <v>13412</v>
      </c>
    </row>
    <row r="4532" spans="1:4" x14ac:dyDescent="0.25">
      <c r="A4532" s="180">
        <f t="shared" si="70"/>
        <v>9003021</v>
      </c>
      <c r="B4532" s="188" t="s">
        <v>6682</v>
      </c>
      <c r="C4532" s="188" t="s">
        <v>6683</v>
      </c>
      <c r="D4532" t="s">
        <v>13412</v>
      </c>
    </row>
    <row r="4533" spans="1:4" x14ac:dyDescent="0.25">
      <c r="A4533" s="180">
        <f t="shared" si="70"/>
        <v>9003022</v>
      </c>
      <c r="B4533" s="188" t="s">
        <v>6684</v>
      </c>
      <c r="C4533" s="188" t="s">
        <v>6685</v>
      </c>
      <c r="D4533" t="s">
        <v>13412</v>
      </c>
    </row>
    <row r="4534" spans="1:4" x14ac:dyDescent="0.25">
      <c r="A4534" s="180">
        <f t="shared" si="70"/>
        <v>9003023</v>
      </c>
      <c r="B4534" s="188" t="s">
        <v>6686</v>
      </c>
      <c r="C4534" s="188" t="s">
        <v>6687</v>
      </c>
      <c r="D4534" t="s">
        <v>13412</v>
      </c>
    </row>
    <row r="4535" spans="1:4" x14ac:dyDescent="0.25">
      <c r="A4535" s="180">
        <f t="shared" si="70"/>
        <v>9003024</v>
      </c>
      <c r="B4535" s="188" t="s">
        <v>6688</v>
      </c>
      <c r="C4535" s="188" t="s">
        <v>6671</v>
      </c>
      <c r="D4535" t="s">
        <v>13412</v>
      </c>
    </row>
    <row r="4536" spans="1:4" x14ac:dyDescent="0.25">
      <c r="A4536" s="180">
        <f t="shared" si="70"/>
        <v>9003025</v>
      </c>
      <c r="B4536" s="188" t="s">
        <v>6689</v>
      </c>
      <c r="C4536" s="188" t="s">
        <v>13579</v>
      </c>
      <c r="D4536" t="s">
        <v>13412</v>
      </c>
    </row>
    <row r="4537" spans="1:4" x14ac:dyDescent="0.25">
      <c r="A4537" s="180">
        <f t="shared" si="70"/>
        <v>9003026</v>
      </c>
      <c r="B4537" s="188" t="s">
        <v>6690</v>
      </c>
      <c r="C4537" s="188" t="s">
        <v>6691</v>
      </c>
      <c r="D4537" t="s">
        <v>13412</v>
      </c>
    </row>
    <row r="4538" spans="1:4" x14ac:dyDescent="0.25">
      <c r="A4538" s="180">
        <f t="shared" si="70"/>
        <v>9003090</v>
      </c>
      <c r="B4538" s="188" t="s">
        <v>6692</v>
      </c>
      <c r="C4538" s="188" t="s">
        <v>6693</v>
      </c>
      <c r="D4538" t="s">
        <v>13412</v>
      </c>
    </row>
    <row r="4539" spans="1:4" x14ac:dyDescent="0.25">
      <c r="A4539" s="180">
        <f t="shared" si="70"/>
        <v>9003100</v>
      </c>
      <c r="B4539" s="188" t="s">
        <v>6694</v>
      </c>
      <c r="C4539" s="188" t="s">
        <v>6695</v>
      </c>
      <c r="D4539" t="s">
        <v>13412</v>
      </c>
    </row>
    <row r="4540" spans="1:4" x14ac:dyDescent="0.25">
      <c r="A4540" s="180">
        <f t="shared" si="70"/>
        <v>9003101</v>
      </c>
      <c r="B4540" s="188" t="s">
        <v>6696</v>
      </c>
      <c r="C4540" s="188" t="s">
        <v>6697</v>
      </c>
      <c r="D4540" t="s">
        <v>13412</v>
      </c>
    </row>
    <row r="4541" spans="1:4" x14ac:dyDescent="0.25">
      <c r="A4541" s="180">
        <f t="shared" si="70"/>
        <v>9003417</v>
      </c>
      <c r="B4541" s="188" t="s">
        <v>6698</v>
      </c>
      <c r="C4541" s="188" t="s">
        <v>6699</v>
      </c>
      <c r="D4541" t="s">
        <v>13412</v>
      </c>
    </row>
    <row r="4542" spans="1:4" x14ac:dyDescent="0.25">
      <c r="A4542" s="180">
        <f t="shared" si="70"/>
        <v>9003710</v>
      </c>
      <c r="B4542" s="188" t="s">
        <v>6700</v>
      </c>
      <c r="C4542" s="188" t="s">
        <v>6701</v>
      </c>
    </row>
    <row r="4543" spans="1:4" x14ac:dyDescent="0.25">
      <c r="A4543" s="180" t="str">
        <f t="shared" ref="A4543:A4606" si="71">IFERROR(B4543*1,"")</f>
        <v/>
      </c>
      <c r="B4543" s="188" t="s">
        <v>13137</v>
      </c>
      <c r="C4543" s="188"/>
    </row>
    <row r="4544" spans="1:4" x14ac:dyDescent="0.25">
      <c r="A4544" s="180">
        <f t="shared" si="71"/>
        <v>9003976</v>
      </c>
      <c r="B4544" s="188" t="s">
        <v>6702</v>
      </c>
      <c r="C4544" s="188" t="s">
        <v>6703</v>
      </c>
    </row>
    <row r="4545" spans="1:4" x14ac:dyDescent="0.25">
      <c r="A4545" s="180">
        <f t="shared" si="71"/>
        <v>900397601</v>
      </c>
      <c r="B4545" s="188" t="s">
        <v>6704</v>
      </c>
      <c r="C4545" s="188" t="s">
        <v>6705</v>
      </c>
    </row>
    <row r="4546" spans="1:4" x14ac:dyDescent="0.25">
      <c r="A4546" s="180" t="str">
        <f t="shared" si="71"/>
        <v/>
      </c>
      <c r="B4546" s="188" t="s">
        <v>13138</v>
      </c>
      <c r="C4546" s="188"/>
    </row>
    <row r="4547" spans="1:4" x14ac:dyDescent="0.25">
      <c r="A4547" s="180">
        <f t="shared" si="71"/>
        <v>900397602</v>
      </c>
      <c r="B4547" s="188" t="s">
        <v>6706</v>
      </c>
      <c r="C4547" s="189" t="s">
        <v>6707</v>
      </c>
    </row>
    <row r="4548" spans="1:4" x14ac:dyDescent="0.25">
      <c r="A4548" s="180" t="str">
        <f t="shared" si="71"/>
        <v/>
      </c>
      <c r="B4548" s="188" t="s">
        <v>13139</v>
      </c>
      <c r="C4548" s="188"/>
    </row>
    <row r="4549" spans="1:4" x14ac:dyDescent="0.25">
      <c r="A4549" s="180">
        <f t="shared" si="71"/>
        <v>9003978</v>
      </c>
      <c r="B4549" s="188" t="s">
        <v>6708</v>
      </c>
      <c r="C4549" s="188" t="s">
        <v>6709</v>
      </c>
      <c r="D4549" t="s">
        <v>13412</v>
      </c>
    </row>
    <row r="4550" spans="1:4" x14ac:dyDescent="0.25">
      <c r="A4550" s="180">
        <f t="shared" si="71"/>
        <v>900397801</v>
      </c>
      <c r="B4550" s="188" t="s">
        <v>6710</v>
      </c>
      <c r="C4550" s="188" t="s">
        <v>6711</v>
      </c>
    </row>
    <row r="4551" spans="1:4" x14ac:dyDescent="0.25">
      <c r="A4551" s="180" t="str">
        <f t="shared" si="71"/>
        <v/>
      </c>
      <c r="B4551" s="188" t="s">
        <v>13140</v>
      </c>
      <c r="C4551" s="188"/>
    </row>
    <row r="4552" spans="1:4" x14ac:dyDescent="0.25">
      <c r="A4552" s="180">
        <f t="shared" si="71"/>
        <v>900397802</v>
      </c>
      <c r="B4552" s="188" t="s">
        <v>6712</v>
      </c>
      <c r="C4552" s="188" t="s">
        <v>6713</v>
      </c>
    </row>
    <row r="4553" spans="1:4" x14ac:dyDescent="0.25">
      <c r="A4553" s="180" t="str">
        <f t="shared" si="71"/>
        <v/>
      </c>
      <c r="B4553" s="188" t="s">
        <v>13141</v>
      </c>
      <c r="C4553" s="189"/>
    </row>
    <row r="4554" spans="1:4" x14ac:dyDescent="0.25">
      <c r="A4554" s="180">
        <f t="shared" si="71"/>
        <v>9003981</v>
      </c>
      <c r="B4554" s="188" t="s">
        <v>6714</v>
      </c>
      <c r="C4554" s="189" t="s">
        <v>6715</v>
      </c>
    </row>
    <row r="4555" spans="1:4" x14ac:dyDescent="0.25">
      <c r="A4555" s="180">
        <f t="shared" si="71"/>
        <v>9003985</v>
      </c>
      <c r="B4555" s="188" t="s">
        <v>6716</v>
      </c>
      <c r="C4555" s="188" t="s">
        <v>6717</v>
      </c>
    </row>
    <row r="4556" spans="1:4" x14ac:dyDescent="0.25">
      <c r="A4556" s="180">
        <f t="shared" si="71"/>
        <v>900398501</v>
      </c>
      <c r="B4556" s="188" t="s">
        <v>6718</v>
      </c>
      <c r="C4556" s="189" t="s">
        <v>6719</v>
      </c>
    </row>
    <row r="4557" spans="1:4" x14ac:dyDescent="0.25">
      <c r="A4557" s="180" t="str">
        <f t="shared" si="71"/>
        <v/>
      </c>
      <c r="B4557" t="s">
        <v>13142</v>
      </c>
    </row>
    <row r="4558" spans="1:4" x14ac:dyDescent="0.25">
      <c r="A4558" s="180">
        <f t="shared" si="71"/>
        <v>900398502</v>
      </c>
      <c r="B4558" t="s">
        <v>6720</v>
      </c>
      <c r="C4558" t="s">
        <v>6721</v>
      </c>
    </row>
    <row r="4559" spans="1:4" x14ac:dyDescent="0.25">
      <c r="A4559" s="180" t="str">
        <f t="shared" si="71"/>
        <v/>
      </c>
      <c r="B4559" t="s">
        <v>13143</v>
      </c>
    </row>
    <row r="4560" spans="1:4" x14ac:dyDescent="0.25">
      <c r="A4560" s="180" t="str">
        <f t="shared" si="71"/>
        <v/>
      </c>
      <c r="B4560" t="s">
        <v>13144</v>
      </c>
    </row>
    <row r="4561" spans="1:4" x14ac:dyDescent="0.25">
      <c r="A4561" s="180">
        <f t="shared" si="71"/>
        <v>9003986</v>
      </c>
      <c r="B4561" t="s">
        <v>6722</v>
      </c>
      <c r="C4561" t="s">
        <v>6723</v>
      </c>
    </row>
    <row r="4562" spans="1:4" x14ac:dyDescent="0.25">
      <c r="A4562" s="180">
        <f t="shared" si="71"/>
        <v>9003988</v>
      </c>
      <c r="B4562" t="s">
        <v>6724</v>
      </c>
      <c r="C4562" t="s">
        <v>6725</v>
      </c>
      <c r="D4562" t="s">
        <v>13412</v>
      </c>
    </row>
    <row r="4563" spans="1:4" x14ac:dyDescent="0.25">
      <c r="A4563" s="180">
        <f t="shared" si="71"/>
        <v>9003993</v>
      </c>
      <c r="B4563" t="s">
        <v>6726</v>
      </c>
      <c r="C4563" t="s">
        <v>6727</v>
      </c>
      <c r="D4563" t="s">
        <v>13412</v>
      </c>
    </row>
    <row r="4564" spans="1:4" x14ac:dyDescent="0.25">
      <c r="A4564" s="180">
        <f t="shared" si="71"/>
        <v>900399301</v>
      </c>
      <c r="B4564" t="s">
        <v>6728</v>
      </c>
      <c r="C4564" t="s">
        <v>6729</v>
      </c>
    </row>
    <row r="4565" spans="1:4" x14ac:dyDescent="0.25">
      <c r="A4565" s="180">
        <f t="shared" si="71"/>
        <v>900399302</v>
      </c>
      <c r="B4565" t="s">
        <v>6730</v>
      </c>
      <c r="C4565" t="s">
        <v>6731</v>
      </c>
    </row>
    <row r="4566" spans="1:4" x14ac:dyDescent="0.25">
      <c r="A4566" s="180">
        <f t="shared" si="71"/>
        <v>900697601</v>
      </c>
      <c r="B4566" t="s">
        <v>6732</v>
      </c>
      <c r="C4566" t="s">
        <v>6705</v>
      </c>
    </row>
    <row r="4567" spans="1:4" x14ac:dyDescent="0.25">
      <c r="A4567" s="180" t="str">
        <f t="shared" si="71"/>
        <v/>
      </c>
      <c r="B4567" t="s">
        <v>13145</v>
      </c>
    </row>
    <row r="4568" spans="1:4" x14ac:dyDescent="0.25">
      <c r="A4568" s="180">
        <f t="shared" si="71"/>
        <v>9010000</v>
      </c>
      <c r="B4568" t="s">
        <v>6733</v>
      </c>
      <c r="C4568" t="s">
        <v>6734</v>
      </c>
    </row>
    <row r="4569" spans="1:4" x14ac:dyDescent="0.25">
      <c r="A4569" s="180" t="str">
        <f t="shared" si="71"/>
        <v/>
      </c>
      <c r="B4569" t="s">
        <v>13146</v>
      </c>
    </row>
    <row r="4570" spans="1:4" x14ac:dyDescent="0.25">
      <c r="A4570" s="180">
        <f t="shared" si="71"/>
        <v>9010001</v>
      </c>
      <c r="B4570" t="s">
        <v>6735</v>
      </c>
      <c r="C4570" t="s">
        <v>6736</v>
      </c>
    </row>
    <row r="4571" spans="1:4" x14ac:dyDescent="0.25">
      <c r="A4571" s="180" t="str">
        <f t="shared" si="71"/>
        <v/>
      </c>
      <c r="B4571" t="s">
        <v>13147</v>
      </c>
    </row>
    <row r="4572" spans="1:4" x14ac:dyDescent="0.25">
      <c r="A4572" s="180">
        <f t="shared" si="71"/>
        <v>9010002</v>
      </c>
      <c r="B4572" t="s">
        <v>6737</v>
      </c>
      <c r="C4572" t="s">
        <v>6738</v>
      </c>
    </row>
    <row r="4573" spans="1:4" x14ac:dyDescent="0.25">
      <c r="A4573" s="180" t="str">
        <f t="shared" si="71"/>
        <v/>
      </c>
      <c r="B4573" t="s">
        <v>13148</v>
      </c>
    </row>
    <row r="4574" spans="1:4" x14ac:dyDescent="0.25">
      <c r="A4574" s="180">
        <f t="shared" si="71"/>
        <v>9010003</v>
      </c>
      <c r="B4574" t="s">
        <v>6739</v>
      </c>
      <c r="C4574" t="s">
        <v>6740</v>
      </c>
    </row>
    <row r="4575" spans="1:4" x14ac:dyDescent="0.25">
      <c r="A4575" s="180" t="str">
        <f t="shared" si="71"/>
        <v/>
      </c>
      <c r="B4575" t="s">
        <v>13149</v>
      </c>
    </row>
    <row r="4576" spans="1:4" x14ac:dyDescent="0.25">
      <c r="A4576" s="180">
        <f t="shared" si="71"/>
        <v>9010004</v>
      </c>
      <c r="B4576" t="s">
        <v>6741</v>
      </c>
      <c r="C4576" t="s">
        <v>6742</v>
      </c>
    </row>
    <row r="4577" spans="1:4" x14ac:dyDescent="0.25">
      <c r="A4577" s="180" t="str">
        <f t="shared" si="71"/>
        <v/>
      </c>
      <c r="B4577" t="s">
        <v>13150</v>
      </c>
    </row>
    <row r="4578" spans="1:4" x14ac:dyDescent="0.25">
      <c r="A4578" s="180">
        <f t="shared" si="71"/>
        <v>9010005</v>
      </c>
      <c r="B4578" t="s">
        <v>6743</v>
      </c>
      <c r="C4578" t="s">
        <v>6744</v>
      </c>
    </row>
    <row r="4579" spans="1:4" x14ac:dyDescent="0.25">
      <c r="A4579" s="180" t="str">
        <f t="shared" si="71"/>
        <v/>
      </c>
      <c r="B4579" t="s">
        <v>13151</v>
      </c>
    </row>
    <row r="4580" spans="1:4" x14ac:dyDescent="0.25">
      <c r="A4580" s="180" t="str">
        <f t="shared" si="71"/>
        <v/>
      </c>
      <c r="B4580" t="s">
        <v>13152</v>
      </c>
    </row>
    <row r="4581" spans="1:4" x14ac:dyDescent="0.25">
      <c r="A4581" s="180">
        <f t="shared" si="71"/>
        <v>9010841</v>
      </c>
      <c r="B4581" t="s">
        <v>6745</v>
      </c>
      <c r="C4581" t="s">
        <v>6746</v>
      </c>
    </row>
    <row r="4582" spans="1:4" x14ac:dyDescent="0.25">
      <c r="A4582" s="180" t="str">
        <f t="shared" si="71"/>
        <v/>
      </c>
      <c r="B4582" t="s">
        <v>13153</v>
      </c>
    </row>
    <row r="4583" spans="1:4" x14ac:dyDescent="0.25">
      <c r="A4583" s="180">
        <f t="shared" si="71"/>
        <v>9709018</v>
      </c>
      <c r="B4583" t="s">
        <v>6747</v>
      </c>
      <c r="C4583" t="s">
        <v>5211</v>
      </c>
    </row>
    <row r="4584" spans="1:4" x14ac:dyDescent="0.25">
      <c r="A4584" s="180" t="str">
        <f t="shared" si="71"/>
        <v/>
      </c>
      <c r="B4584" t="s">
        <v>13154</v>
      </c>
    </row>
    <row r="4585" spans="1:4" x14ac:dyDescent="0.25">
      <c r="A4585" s="180">
        <f t="shared" si="71"/>
        <v>9716020</v>
      </c>
      <c r="B4585" t="s">
        <v>6748</v>
      </c>
      <c r="C4585" t="s">
        <v>5566</v>
      </c>
    </row>
    <row r="4586" spans="1:4" x14ac:dyDescent="0.25">
      <c r="A4586" s="180" t="str">
        <f t="shared" si="71"/>
        <v/>
      </c>
      <c r="B4586" t="s">
        <v>13155</v>
      </c>
    </row>
    <row r="4587" spans="1:4" x14ac:dyDescent="0.25">
      <c r="A4587" s="180">
        <f t="shared" si="71"/>
        <v>9716021</v>
      </c>
      <c r="B4587" t="s">
        <v>6749</v>
      </c>
      <c r="C4587" t="s">
        <v>5568</v>
      </c>
    </row>
    <row r="4588" spans="1:4" x14ac:dyDescent="0.25">
      <c r="A4588" s="180" t="str">
        <f t="shared" si="71"/>
        <v/>
      </c>
      <c r="B4588" t="s">
        <v>13156</v>
      </c>
    </row>
    <row r="4589" spans="1:4" x14ac:dyDescent="0.25">
      <c r="A4589" s="180">
        <f t="shared" si="71"/>
        <v>9859017</v>
      </c>
      <c r="B4589" t="s">
        <v>6750</v>
      </c>
      <c r="C4589" t="s">
        <v>6751</v>
      </c>
    </row>
    <row r="4590" spans="1:4" x14ac:dyDescent="0.25">
      <c r="A4590" s="180" t="str">
        <f t="shared" si="71"/>
        <v/>
      </c>
      <c r="B4590" t="s">
        <v>13157</v>
      </c>
    </row>
    <row r="4591" spans="1:4" x14ac:dyDescent="0.25">
      <c r="A4591" s="180">
        <f t="shared" si="71"/>
        <v>999</v>
      </c>
      <c r="B4591" t="s">
        <v>6752</v>
      </c>
      <c r="C4591" t="s">
        <v>6753</v>
      </c>
    </row>
    <row r="4592" spans="1:4" x14ac:dyDescent="0.25">
      <c r="A4592" s="180">
        <f t="shared" si="71"/>
        <v>9999000</v>
      </c>
      <c r="B4592" t="s">
        <v>12964</v>
      </c>
      <c r="C4592" t="s">
        <v>12965</v>
      </c>
      <c r="D4592" t="s">
        <v>13412</v>
      </c>
    </row>
    <row r="4593" spans="1:4" x14ac:dyDescent="0.25">
      <c r="A4593" s="180">
        <f t="shared" si="71"/>
        <v>9999022</v>
      </c>
      <c r="B4593" t="s">
        <v>6754</v>
      </c>
      <c r="C4593" t="s">
        <v>6755</v>
      </c>
    </row>
    <row r="4594" spans="1:4" x14ac:dyDescent="0.25">
      <c r="A4594" s="180" t="str">
        <f t="shared" si="71"/>
        <v/>
      </c>
      <c r="B4594" t="s">
        <v>13158</v>
      </c>
    </row>
    <row r="4595" spans="1:4" x14ac:dyDescent="0.25">
      <c r="A4595" s="180">
        <f t="shared" si="71"/>
        <v>9999025</v>
      </c>
      <c r="B4595" t="s">
        <v>6756</v>
      </c>
      <c r="C4595" t="s">
        <v>6757</v>
      </c>
      <c r="D4595" t="s">
        <v>13411</v>
      </c>
    </row>
    <row r="4596" spans="1:4" x14ac:dyDescent="0.25">
      <c r="A4596" s="180">
        <f t="shared" si="71"/>
        <v>9999026</v>
      </c>
      <c r="B4596" t="s">
        <v>6758</v>
      </c>
      <c r="C4596" t="s">
        <v>6759</v>
      </c>
    </row>
    <row r="4597" spans="1:4" x14ac:dyDescent="0.25">
      <c r="A4597" s="180" t="str">
        <f t="shared" si="71"/>
        <v/>
      </c>
      <c r="B4597" t="s">
        <v>13159</v>
      </c>
    </row>
    <row r="4598" spans="1:4" x14ac:dyDescent="0.25">
      <c r="A4598" s="180">
        <f t="shared" si="71"/>
        <v>9999050</v>
      </c>
      <c r="B4598" t="s">
        <v>6760</v>
      </c>
      <c r="C4598" t="s">
        <v>6761</v>
      </c>
    </row>
    <row r="4599" spans="1:4" x14ac:dyDescent="0.25">
      <c r="A4599" s="180" t="str">
        <f t="shared" si="71"/>
        <v/>
      </c>
      <c r="B4599" t="s">
        <v>13160</v>
      </c>
    </row>
    <row r="4600" spans="1:4" x14ac:dyDescent="0.25">
      <c r="A4600" s="180">
        <f t="shared" si="71"/>
        <v>9999075</v>
      </c>
      <c r="B4600" t="s">
        <v>6762</v>
      </c>
      <c r="C4600" t="s">
        <v>6763</v>
      </c>
    </row>
    <row r="4601" spans="1:4" x14ac:dyDescent="0.25">
      <c r="A4601" s="180" t="str">
        <f t="shared" si="71"/>
        <v/>
      </c>
      <c r="B4601" t="s">
        <v>14549</v>
      </c>
    </row>
    <row r="4602" spans="1:4" x14ac:dyDescent="0.25">
      <c r="A4602" s="180" t="str">
        <f t="shared" si="71"/>
        <v/>
      </c>
      <c r="B4602" t="s">
        <v>14550</v>
      </c>
      <c r="C4602" t="s">
        <v>14551</v>
      </c>
    </row>
    <row r="4603" spans="1:4" x14ac:dyDescent="0.25">
      <c r="A4603" s="180" t="str">
        <f t="shared" si="71"/>
        <v/>
      </c>
      <c r="B4603" t="s">
        <v>14552</v>
      </c>
      <c r="C4603" t="s">
        <v>14553</v>
      </c>
    </row>
    <row r="4604" spans="1:4" x14ac:dyDescent="0.25">
      <c r="A4604" s="180" t="str">
        <f t="shared" si="71"/>
        <v/>
      </c>
      <c r="B4604" t="s">
        <v>14554</v>
      </c>
      <c r="C4604" t="s">
        <v>14555</v>
      </c>
    </row>
    <row r="4605" spans="1:4" x14ac:dyDescent="0.25">
      <c r="A4605" s="180" t="str">
        <f t="shared" si="71"/>
        <v/>
      </c>
      <c r="B4605" t="s">
        <v>14556</v>
      </c>
      <c r="C4605" t="s">
        <v>14557</v>
      </c>
    </row>
    <row r="4606" spans="1:4" x14ac:dyDescent="0.25">
      <c r="A4606" s="180" t="str">
        <f t="shared" si="71"/>
        <v/>
      </c>
      <c r="B4606" t="s">
        <v>14558</v>
      </c>
      <c r="C4606" t="s">
        <v>14559</v>
      </c>
    </row>
    <row r="4607" spans="1:4" x14ac:dyDescent="0.25">
      <c r="A4607" s="180" t="str">
        <f t="shared" ref="A4607:A4670" si="72">IFERROR(B4607*1,"")</f>
        <v/>
      </c>
      <c r="B4607" t="s">
        <v>14560</v>
      </c>
      <c r="C4607" t="s">
        <v>14561</v>
      </c>
    </row>
    <row r="4608" spans="1:4" x14ac:dyDescent="0.25">
      <c r="A4608" s="180" t="str">
        <f t="shared" si="72"/>
        <v/>
      </c>
      <c r="B4608" t="s">
        <v>14562</v>
      </c>
      <c r="C4608" t="s">
        <v>14563</v>
      </c>
    </row>
    <row r="4609" spans="1:3" x14ac:dyDescent="0.25">
      <c r="A4609" s="180" t="str">
        <f t="shared" si="72"/>
        <v/>
      </c>
      <c r="B4609" t="s">
        <v>14564</v>
      </c>
      <c r="C4609" t="s">
        <v>14565</v>
      </c>
    </row>
    <row r="4610" spans="1:3" x14ac:dyDescent="0.25">
      <c r="A4610" s="180" t="str">
        <f t="shared" si="72"/>
        <v/>
      </c>
      <c r="B4610" t="s">
        <v>14566</v>
      </c>
      <c r="C4610" t="s">
        <v>14567</v>
      </c>
    </row>
    <row r="4611" spans="1:3" x14ac:dyDescent="0.25">
      <c r="A4611" s="180" t="str">
        <f t="shared" si="72"/>
        <v/>
      </c>
      <c r="B4611" t="s">
        <v>14568</v>
      </c>
      <c r="C4611" t="s">
        <v>14569</v>
      </c>
    </row>
    <row r="4612" spans="1:3" x14ac:dyDescent="0.25">
      <c r="A4612" s="180" t="str">
        <f t="shared" si="72"/>
        <v/>
      </c>
      <c r="B4612" t="s">
        <v>14570</v>
      </c>
      <c r="C4612" t="s">
        <v>14571</v>
      </c>
    </row>
    <row r="4613" spans="1:3" x14ac:dyDescent="0.25">
      <c r="A4613" s="180" t="str">
        <f t="shared" si="72"/>
        <v/>
      </c>
      <c r="B4613" t="s">
        <v>14572</v>
      </c>
      <c r="C4613" t="s">
        <v>14573</v>
      </c>
    </row>
    <row r="4614" spans="1:3" x14ac:dyDescent="0.25">
      <c r="A4614" s="180" t="str">
        <f t="shared" si="72"/>
        <v/>
      </c>
      <c r="B4614" t="s">
        <v>14574</v>
      </c>
      <c r="C4614" t="s">
        <v>14575</v>
      </c>
    </row>
    <row r="4615" spans="1:3" x14ac:dyDescent="0.25">
      <c r="A4615" s="180" t="str">
        <f t="shared" si="72"/>
        <v/>
      </c>
      <c r="B4615" t="s">
        <v>14576</v>
      </c>
      <c r="C4615" t="s">
        <v>14577</v>
      </c>
    </row>
    <row r="4616" spans="1:3" x14ac:dyDescent="0.25">
      <c r="A4616" s="180" t="str">
        <f t="shared" si="72"/>
        <v/>
      </c>
      <c r="B4616" t="s">
        <v>14578</v>
      </c>
      <c r="C4616" t="s">
        <v>14579</v>
      </c>
    </row>
    <row r="4617" spans="1:3" x14ac:dyDescent="0.25">
      <c r="A4617" s="180" t="str">
        <f t="shared" si="72"/>
        <v/>
      </c>
      <c r="B4617" t="s">
        <v>14580</v>
      </c>
      <c r="C4617" t="s">
        <v>14581</v>
      </c>
    </row>
    <row r="4618" spans="1:3" x14ac:dyDescent="0.25">
      <c r="A4618" s="180" t="str">
        <f t="shared" si="72"/>
        <v/>
      </c>
      <c r="B4618" t="s">
        <v>14582</v>
      </c>
      <c r="C4618" t="s">
        <v>14583</v>
      </c>
    </row>
    <row r="4619" spans="1:3" x14ac:dyDescent="0.25">
      <c r="A4619" s="180" t="str">
        <f t="shared" si="72"/>
        <v/>
      </c>
      <c r="B4619" t="s">
        <v>14584</v>
      </c>
      <c r="C4619" t="s">
        <v>14585</v>
      </c>
    </row>
    <row r="4620" spans="1:3" x14ac:dyDescent="0.25">
      <c r="A4620" s="180" t="str">
        <f t="shared" si="72"/>
        <v/>
      </c>
      <c r="B4620" t="s">
        <v>14586</v>
      </c>
      <c r="C4620" t="s">
        <v>14587</v>
      </c>
    </row>
    <row r="4621" spans="1:3" x14ac:dyDescent="0.25">
      <c r="A4621" s="180" t="str">
        <f t="shared" si="72"/>
        <v/>
      </c>
      <c r="B4621" t="s">
        <v>14588</v>
      </c>
      <c r="C4621" t="s">
        <v>14589</v>
      </c>
    </row>
    <row r="4622" spans="1:3" x14ac:dyDescent="0.25">
      <c r="A4622" s="180" t="str">
        <f t="shared" si="72"/>
        <v/>
      </c>
      <c r="B4622" t="s">
        <v>14590</v>
      </c>
      <c r="C4622" t="s">
        <v>14591</v>
      </c>
    </row>
    <row r="4623" spans="1:3" x14ac:dyDescent="0.25">
      <c r="A4623" s="180" t="str">
        <f t="shared" si="72"/>
        <v/>
      </c>
      <c r="B4623" t="s">
        <v>14592</v>
      </c>
      <c r="C4623" t="s">
        <v>14593</v>
      </c>
    </row>
    <row r="4624" spans="1:3" x14ac:dyDescent="0.25">
      <c r="A4624" s="180" t="str">
        <f t="shared" si="72"/>
        <v/>
      </c>
      <c r="B4624" t="s">
        <v>14594</v>
      </c>
      <c r="C4624" t="s">
        <v>14595</v>
      </c>
    </row>
    <row r="4625" spans="1:3" x14ac:dyDescent="0.25">
      <c r="A4625" s="180" t="str">
        <f t="shared" si="72"/>
        <v/>
      </c>
      <c r="B4625" t="s">
        <v>14596</v>
      </c>
      <c r="C4625" t="s">
        <v>14597</v>
      </c>
    </row>
    <row r="4626" spans="1:3" x14ac:dyDescent="0.25">
      <c r="A4626" s="180" t="str">
        <f t="shared" si="72"/>
        <v/>
      </c>
      <c r="B4626" t="s">
        <v>14598</v>
      </c>
      <c r="C4626" t="s">
        <v>14599</v>
      </c>
    </row>
    <row r="4627" spans="1:3" x14ac:dyDescent="0.25">
      <c r="A4627" s="180" t="str">
        <f t="shared" si="72"/>
        <v/>
      </c>
      <c r="B4627" t="s">
        <v>14600</v>
      </c>
      <c r="C4627" t="s">
        <v>14601</v>
      </c>
    </row>
    <row r="4628" spans="1:3" x14ac:dyDescent="0.25">
      <c r="A4628" s="180" t="str">
        <f t="shared" si="72"/>
        <v/>
      </c>
      <c r="B4628" t="s">
        <v>14602</v>
      </c>
      <c r="C4628" t="s">
        <v>14603</v>
      </c>
    </row>
    <row r="4629" spans="1:3" x14ac:dyDescent="0.25">
      <c r="A4629" s="180" t="str">
        <f t="shared" si="72"/>
        <v/>
      </c>
      <c r="B4629" t="s">
        <v>14604</v>
      </c>
      <c r="C4629" t="s">
        <v>14605</v>
      </c>
    </row>
    <row r="4630" spans="1:3" x14ac:dyDescent="0.25">
      <c r="A4630" s="180" t="str">
        <f t="shared" si="72"/>
        <v/>
      </c>
      <c r="B4630" t="s">
        <v>14606</v>
      </c>
      <c r="C4630" t="s">
        <v>14607</v>
      </c>
    </row>
    <row r="4631" spans="1:3" x14ac:dyDescent="0.25">
      <c r="A4631" s="180" t="str">
        <f t="shared" si="72"/>
        <v/>
      </c>
      <c r="B4631" t="s">
        <v>14608</v>
      </c>
      <c r="C4631" t="s">
        <v>14609</v>
      </c>
    </row>
    <row r="4632" spans="1:3" x14ac:dyDescent="0.25">
      <c r="A4632" s="180" t="str">
        <f t="shared" si="72"/>
        <v/>
      </c>
      <c r="B4632" t="s">
        <v>14610</v>
      </c>
      <c r="C4632" t="s">
        <v>14611</v>
      </c>
    </row>
    <row r="4633" spans="1:3" x14ac:dyDescent="0.25">
      <c r="A4633" s="180" t="str">
        <f t="shared" si="72"/>
        <v/>
      </c>
      <c r="B4633" t="s">
        <v>14612</v>
      </c>
      <c r="C4633" t="s">
        <v>14613</v>
      </c>
    </row>
    <row r="4634" spans="1:3" x14ac:dyDescent="0.25">
      <c r="A4634" s="180" t="str">
        <f t="shared" si="72"/>
        <v/>
      </c>
      <c r="B4634" t="s">
        <v>14614</v>
      </c>
      <c r="C4634" t="s">
        <v>14615</v>
      </c>
    </row>
    <row r="4635" spans="1:3" x14ac:dyDescent="0.25">
      <c r="A4635" s="180" t="str">
        <f t="shared" si="72"/>
        <v/>
      </c>
      <c r="B4635" t="s">
        <v>14616</v>
      </c>
      <c r="C4635" t="s">
        <v>14617</v>
      </c>
    </row>
    <row r="4636" spans="1:3" x14ac:dyDescent="0.25">
      <c r="A4636" s="180" t="str">
        <f t="shared" si="72"/>
        <v/>
      </c>
      <c r="B4636" t="s">
        <v>14618</v>
      </c>
    </row>
    <row r="4637" spans="1:3" x14ac:dyDescent="0.25">
      <c r="A4637" s="180" t="str">
        <f t="shared" si="72"/>
        <v/>
      </c>
      <c r="B4637" t="s">
        <v>14619</v>
      </c>
      <c r="C4637" t="s">
        <v>14620</v>
      </c>
    </row>
    <row r="4638" spans="1:3" x14ac:dyDescent="0.25">
      <c r="A4638" s="180" t="str">
        <f t="shared" si="72"/>
        <v/>
      </c>
      <c r="B4638" t="s">
        <v>14621</v>
      </c>
      <c r="C4638" t="s">
        <v>14622</v>
      </c>
    </row>
    <row r="4639" spans="1:3" x14ac:dyDescent="0.25">
      <c r="A4639" s="180" t="str">
        <f t="shared" si="72"/>
        <v/>
      </c>
      <c r="B4639" t="s">
        <v>14623</v>
      </c>
      <c r="C4639" t="s">
        <v>14624</v>
      </c>
    </row>
    <row r="4640" spans="1:3" x14ac:dyDescent="0.25">
      <c r="A4640" s="180" t="str">
        <f t="shared" si="72"/>
        <v/>
      </c>
      <c r="B4640" t="s">
        <v>14625</v>
      </c>
      <c r="C4640" t="s">
        <v>14626</v>
      </c>
    </row>
    <row r="4641" spans="1:3" x14ac:dyDescent="0.25">
      <c r="A4641" s="180" t="str">
        <f t="shared" si="72"/>
        <v/>
      </c>
      <c r="B4641" t="s">
        <v>14627</v>
      </c>
      <c r="C4641" t="s">
        <v>14628</v>
      </c>
    </row>
    <row r="4642" spans="1:3" x14ac:dyDescent="0.25">
      <c r="A4642" s="180" t="str">
        <f t="shared" si="72"/>
        <v/>
      </c>
      <c r="B4642" t="s">
        <v>14629</v>
      </c>
      <c r="C4642" t="s">
        <v>14630</v>
      </c>
    </row>
    <row r="4643" spans="1:3" x14ac:dyDescent="0.25">
      <c r="A4643" s="180" t="str">
        <f t="shared" si="72"/>
        <v/>
      </c>
      <c r="B4643" t="s">
        <v>14631</v>
      </c>
      <c r="C4643" t="s">
        <v>14632</v>
      </c>
    </row>
    <row r="4644" spans="1:3" x14ac:dyDescent="0.25">
      <c r="A4644" s="180" t="str">
        <f t="shared" si="72"/>
        <v/>
      </c>
      <c r="B4644" t="s">
        <v>14633</v>
      </c>
      <c r="C4644" t="s">
        <v>14634</v>
      </c>
    </row>
    <row r="4645" spans="1:3" x14ac:dyDescent="0.25">
      <c r="A4645" s="180" t="str">
        <f t="shared" si="72"/>
        <v/>
      </c>
      <c r="B4645" t="s">
        <v>14635</v>
      </c>
      <c r="C4645" t="s">
        <v>14636</v>
      </c>
    </row>
    <row r="4646" spans="1:3" x14ac:dyDescent="0.25">
      <c r="A4646" s="180" t="str">
        <f t="shared" si="72"/>
        <v/>
      </c>
      <c r="B4646" t="s">
        <v>14637</v>
      </c>
      <c r="C4646" t="s">
        <v>14638</v>
      </c>
    </row>
    <row r="4647" spans="1:3" x14ac:dyDescent="0.25">
      <c r="A4647" s="180" t="str">
        <f t="shared" si="72"/>
        <v/>
      </c>
      <c r="B4647" t="s">
        <v>14639</v>
      </c>
      <c r="C4647" t="s">
        <v>14640</v>
      </c>
    </row>
    <row r="4648" spans="1:3" x14ac:dyDescent="0.25">
      <c r="A4648" s="180" t="str">
        <f t="shared" si="72"/>
        <v/>
      </c>
      <c r="B4648" t="s">
        <v>14641</v>
      </c>
      <c r="C4648" t="s">
        <v>14642</v>
      </c>
    </row>
    <row r="4649" spans="1:3" x14ac:dyDescent="0.25">
      <c r="A4649" s="180" t="str">
        <f t="shared" si="72"/>
        <v/>
      </c>
      <c r="B4649" t="s">
        <v>14643</v>
      </c>
      <c r="C4649" t="s">
        <v>14644</v>
      </c>
    </row>
    <row r="4650" spans="1:3" x14ac:dyDescent="0.25">
      <c r="A4650" s="180" t="str">
        <f t="shared" si="72"/>
        <v/>
      </c>
      <c r="B4650" t="s">
        <v>14645</v>
      </c>
      <c r="C4650" t="s">
        <v>14646</v>
      </c>
    </row>
    <row r="4651" spans="1:3" x14ac:dyDescent="0.25">
      <c r="A4651" s="180" t="str">
        <f t="shared" si="72"/>
        <v/>
      </c>
      <c r="B4651" t="s">
        <v>14647</v>
      </c>
      <c r="C4651" t="s">
        <v>14648</v>
      </c>
    </row>
    <row r="4652" spans="1:3" x14ac:dyDescent="0.25">
      <c r="A4652" s="180" t="str">
        <f t="shared" si="72"/>
        <v/>
      </c>
      <c r="B4652" t="s">
        <v>14649</v>
      </c>
      <c r="C4652" t="s">
        <v>14650</v>
      </c>
    </row>
    <row r="4653" spans="1:3" x14ac:dyDescent="0.25">
      <c r="A4653" s="180" t="str">
        <f t="shared" si="72"/>
        <v/>
      </c>
      <c r="B4653" t="s">
        <v>14651</v>
      </c>
      <c r="C4653" t="s">
        <v>14650</v>
      </c>
    </row>
    <row r="4654" spans="1:3" x14ac:dyDescent="0.25">
      <c r="A4654" s="180" t="str">
        <f t="shared" si="72"/>
        <v/>
      </c>
      <c r="B4654" t="s">
        <v>14652</v>
      </c>
      <c r="C4654" t="s">
        <v>14653</v>
      </c>
    </row>
    <row r="4655" spans="1:3" x14ac:dyDescent="0.25">
      <c r="A4655" s="180" t="str">
        <f t="shared" si="72"/>
        <v/>
      </c>
      <c r="B4655" t="s">
        <v>14654</v>
      </c>
      <c r="C4655" t="s">
        <v>14655</v>
      </c>
    </row>
    <row r="4656" spans="1:3" x14ac:dyDescent="0.25">
      <c r="A4656" s="180" t="str">
        <f t="shared" si="72"/>
        <v/>
      </c>
      <c r="B4656" t="s">
        <v>14656</v>
      </c>
      <c r="C4656" t="s">
        <v>14657</v>
      </c>
    </row>
    <row r="4657" spans="1:3" x14ac:dyDescent="0.25">
      <c r="A4657" s="180" t="str">
        <f t="shared" si="72"/>
        <v/>
      </c>
      <c r="B4657" t="s">
        <v>14658</v>
      </c>
      <c r="C4657" t="s">
        <v>14659</v>
      </c>
    </row>
    <row r="4658" spans="1:3" x14ac:dyDescent="0.25">
      <c r="A4658" s="180" t="str">
        <f t="shared" si="72"/>
        <v/>
      </c>
      <c r="B4658" t="s">
        <v>14660</v>
      </c>
      <c r="C4658" t="s">
        <v>14661</v>
      </c>
    </row>
    <row r="4659" spans="1:3" x14ac:dyDescent="0.25">
      <c r="A4659" s="180" t="str">
        <f t="shared" si="72"/>
        <v/>
      </c>
      <c r="B4659" t="s">
        <v>14662</v>
      </c>
      <c r="C4659" t="s">
        <v>14663</v>
      </c>
    </row>
    <row r="4660" spans="1:3" x14ac:dyDescent="0.25">
      <c r="A4660" s="180" t="str">
        <f t="shared" si="72"/>
        <v/>
      </c>
      <c r="B4660" t="s">
        <v>14664</v>
      </c>
      <c r="C4660" t="s">
        <v>14665</v>
      </c>
    </row>
    <row r="4661" spans="1:3" x14ac:dyDescent="0.25">
      <c r="A4661" s="180" t="str">
        <f t="shared" si="72"/>
        <v/>
      </c>
      <c r="B4661" t="s">
        <v>14666</v>
      </c>
      <c r="C4661" t="s">
        <v>14667</v>
      </c>
    </row>
    <row r="4662" spans="1:3" x14ac:dyDescent="0.25">
      <c r="A4662" s="180" t="str">
        <f t="shared" si="72"/>
        <v/>
      </c>
      <c r="B4662" t="s">
        <v>14668</v>
      </c>
      <c r="C4662" t="s">
        <v>14669</v>
      </c>
    </row>
    <row r="4663" spans="1:3" x14ac:dyDescent="0.25">
      <c r="A4663" s="180" t="str">
        <f t="shared" si="72"/>
        <v/>
      </c>
      <c r="B4663" t="s">
        <v>14670</v>
      </c>
      <c r="C4663" t="s">
        <v>14671</v>
      </c>
    </row>
    <row r="4664" spans="1:3" x14ac:dyDescent="0.25">
      <c r="A4664" s="180" t="str">
        <f t="shared" si="72"/>
        <v/>
      </c>
      <c r="B4664" t="s">
        <v>14672</v>
      </c>
      <c r="C4664" t="s">
        <v>14673</v>
      </c>
    </row>
    <row r="4665" spans="1:3" x14ac:dyDescent="0.25">
      <c r="A4665" s="180" t="str">
        <f t="shared" si="72"/>
        <v/>
      </c>
      <c r="B4665" t="s">
        <v>14674</v>
      </c>
      <c r="C4665" t="s">
        <v>14675</v>
      </c>
    </row>
    <row r="4666" spans="1:3" x14ac:dyDescent="0.25">
      <c r="A4666" s="180" t="str">
        <f t="shared" si="72"/>
        <v/>
      </c>
      <c r="B4666" t="s">
        <v>14676</v>
      </c>
      <c r="C4666" t="s">
        <v>14677</v>
      </c>
    </row>
    <row r="4667" spans="1:3" x14ac:dyDescent="0.25">
      <c r="A4667" s="180" t="str">
        <f t="shared" si="72"/>
        <v/>
      </c>
      <c r="B4667" t="s">
        <v>14678</v>
      </c>
      <c r="C4667" t="s">
        <v>14679</v>
      </c>
    </row>
    <row r="4668" spans="1:3" x14ac:dyDescent="0.25">
      <c r="A4668" s="180" t="str">
        <f t="shared" si="72"/>
        <v/>
      </c>
      <c r="B4668" t="s">
        <v>14680</v>
      </c>
      <c r="C4668" t="s">
        <v>14681</v>
      </c>
    </row>
    <row r="4669" spans="1:3" x14ac:dyDescent="0.25">
      <c r="A4669" s="180" t="str">
        <f t="shared" si="72"/>
        <v/>
      </c>
      <c r="B4669" t="s">
        <v>14682</v>
      </c>
      <c r="C4669" t="s">
        <v>14683</v>
      </c>
    </row>
    <row r="4670" spans="1:3" x14ac:dyDescent="0.25">
      <c r="A4670" s="180" t="str">
        <f t="shared" si="72"/>
        <v/>
      </c>
      <c r="B4670" t="s">
        <v>14684</v>
      </c>
      <c r="C4670" t="s">
        <v>14685</v>
      </c>
    </row>
    <row r="4671" spans="1:3" x14ac:dyDescent="0.25">
      <c r="A4671" s="180" t="str">
        <f t="shared" ref="A4671:A4734" si="73">IFERROR(B4671*1,"")</f>
        <v/>
      </c>
      <c r="B4671" t="s">
        <v>14686</v>
      </c>
      <c r="C4671" t="s">
        <v>14687</v>
      </c>
    </row>
    <row r="4672" spans="1:3" x14ac:dyDescent="0.25">
      <c r="A4672" s="180" t="str">
        <f t="shared" si="73"/>
        <v/>
      </c>
      <c r="B4672" t="s">
        <v>14688</v>
      </c>
      <c r="C4672" t="s">
        <v>14687</v>
      </c>
    </row>
    <row r="4673" spans="1:3" x14ac:dyDescent="0.25">
      <c r="A4673" s="180" t="str">
        <f t="shared" si="73"/>
        <v/>
      </c>
      <c r="B4673" t="s">
        <v>14689</v>
      </c>
      <c r="C4673" t="s">
        <v>14690</v>
      </c>
    </row>
    <row r="4674" spans="1:3" x14ac:dyDescent="0.25">
      <c r="A4674" s="180" t="str">
        <f t="shared" si="73"/>
        <v/>
      </c>
      <c r="B4674" t="s">
        <v>14691</v>
      </c>
      <c r="C4674" t="s">
        <v>14692</v>
      </c>
    </row>
    <row r="4675" spans="1:3" x14ac:dyDescent="0.25">
      <c r="A4675" s="180" t="str">
        <f t="shared" si="73"/>
        <v/>
      </c>
      <c r="B4675" t="s">
        <v>14693</v>
      </c>
      <c r="C4675" t="s">
        <v>14694</v>
      </c>
    </row>
    <row r="4676" spans="1:3" x14ac:dyDescent="0.25">
      <c r="A4676" s="180" t="str">
        <f t="shared" si="73"/>
        <v/>
      </c>
      <c r="B4676" t="s">
        <v>14695</v>
      </c>
      <c r="C4676" t="s">
        <v>14696</v>
      </c>
    </row>
    <row r="4677" spans="1:3" x14ac:dyDescent="0.25">
      <c r="A4677" s="180" t="str">
        <f t="shared" si="73"/>
        <v/>
      </c>
      <c r="B4677" t="s">
        <v>14698</v>
      </c>
      <c r="C4677" t="s">
        <v>14698</v>
      </c>
    </row>
    <row r="4678" spans="1:3" x14ac:dyDescent="0.25">
      <c r="A4678" s="180" t="str">
        <f t="shared" si="73"/>
        <v/>
      </c>
      <c r="B4678" t="s">
        <v>14699</v>
      </c>
      <c r="C4678" t="s">
        <v>14700</v>
      </c>
    </row>
    <row r="4679" spans="1:3" x14ac:dyDescent="0.25">
      <c r="A4679" s="180" t="str">
        <f t="shared" si="73"/>
        <v/>
      </c>
      <c r="B4679" t="s">
        <v>14701</v>
      </c>
      <c r="C4679" t="s">
        <v>14702</v>
      </c>
    </row>
    <row r="4680" spans="1:3" x14ac:dyDescent="0.25">
      <c r="A4680" s="180" t="str">
        <f t="shared" si="73"/>
        <v/>
      </c>
      <c r="B4680" t="s">
        <v>14703</v>
      </c>
      <c r="C4680" t="s">
        <v>14704</v>
      </c>
    </row>
    <row r="4681" spans="1:3" x14ac:dyDescent="0.25">
      <c r="A4681" s="180" t="str">
        <f t="shared" si="73"/>
        <v/>
      </c>
      <c r="B4681" t="s">
        <v>14705</v>
      </c>
      <c r="C4681" t="s">
        <v>14706</v>
      </c>
    </row>
    <row r="4682" spans="1:3" x14ac:dyDescent="0.25">
      <c r="A4682" s="180" t="str">
        <f t="shared" si="73"/>
        <v/>
      </c>
      <c r="B4682" t="s">
        <v>14707</v>
      </c>
      <c r="C4682" t="s">
        <v>14708</v>
      </c>
    </row>
    <row r="4683" spans="1:3" x14ac:dyDescent="0.25">
      <c r="A4683" s="180" t="str">
        <f t="shared" si="73"/>
        <v/>
      </c>
      <c r="B4683" t="s">
        <v>14709</v>
      </c>
      <c r="C4683" t="s">
        <v>14710</v>
      </c>
    </row>
    <row r="4684" spans="1:3" x14ac:dyDescent="0.25">
      <c r="A4684" s="180" t="str">
        <f t="shared" si="73"/>
        <v/>
      </c>
      <c r="B4684" t="s">
        <v>14711</v>
      </c>
      <c r="C4684" t="s">
        <v>14712</v>
      </c>
    </row>
    <row r="4685" spans="1:3" x14ac:dyDescent="0.25">
      <c r="A4685" s="180" t="str">
        <f t="shared" si="73"/>
        <v/>
      </c>
      <c r="B4685" t="s">
        <v>14713</v>
      </c>
      <c r="C4685" t="s">
        <v>14714</v>
      </c>
    </row>
    <row r="4686" spans="1:3" x14ac:dyDescent="0.25">
      <c r="A4686" s="180" t="str">
        <f t="shared" si="73"/>
        <v/>
      </c>
      <c r="B4686" t="s">
        <v>14715</v>
      </c>
      <c r="C4686" t="s">
        <v>14716</v>
      </c>
    </row>
    <row r="4687" spans="1:3" x14ac:dyDescent="0.25">
      <c r="A4687" s="180" t="str">
        <f t="shared" si="73"/>
        <v/>
      </c>
      <c r="B4687" t="s">
        <v>14717</v>
      </c>
      <c r="C4687" t="s">
        <v>14718</v>
      </c>
    </row>
    <row r="4688" spans="1:3" x14ac:dyDescent="0.25">
      <c r="A4688" s="180" t="str">
        <f t="shared" si="73"/>
        <v/>
      </c>
      <c r="B4688" t="s">
        <v>14719</v>
      </c>
      <c r="C4688" t="s">
        <v>14720</v>
      </c>
    </row>
    <row r="4689" spans="1:3" x14ac:dyDescent="0.25">
      <c r="A4689" s="180" t="str">
        <f t="shared" si="73"/>
        <v/>
      </c>
      <c r="B4689" t="s">
        <v>14721</v>
      </c>
      <c r="C4689" t="s">
        <v>14722</v>
      </c>
    </row>
    <row r="4690" spans="1:3" x14ac:dyDescent="0.25">
      <c r="A4690" s="180" t="str">
        <f t="shared" si="73"/>
        <v/>
      </c>
      <c r="B4690" t="s">
        <v>14723</v>
      </c>
      <c r="C4690" t="s">
        <v>14724</v>
      </c>
    </row>
    <row r="4691" spans="1:3" x14ac:dyDescent="0.25">
      <c r="A4691" s="180" t="str">
        <f t="shared" si="73"/>
        <v/>
      </c>
      <c r="B4691" t="s">
        <v>14725</v>
      </c>
      <c r="C4691" t="s">
        <v>14726</v>
      </c>
    </row>
    <row r="4692" spans="1:3" x14ac:dyDescent="0.25">
      <c r="A4692" s="180" t="str">
        <f t="shared" si="73"/>
        <v/>
      </c>
      <c r="B4692" t="s">
        <v>14727</v>
      </c>
      <c r="C4692" t="s">
        <v>14728</v>
      </c>
    </row>
    <row r="4693" spans="1:3" x14ac:dyDescent="0.25">
      <c r="A4693" s="180" t="str">
        <f t="shared" si="73"/>
        <v/>
      </c>
      <c r="B4693" t="s">
        <v>14729</v>
      </c>
      <c r="C4693" t="s">
        <v>14730</v>
      </c>
    </row>
    <row r="4694" spans="1:3" x14ac:dyDescent="0.25">
      <c r="A4694" s="180" t="str">
        <f t="shared" si="73"/>
        <v/>
      </c>
      <c r="B4694" t="s">
        <v>14731</v>
      </c>
      <c r="C4694" t="s">
        <v>14732</v>
      </c>
    </row>
    <row r="4695" spans="1:3" x14ac:dyDescent="0.25">
      <c r="A4695" s="180" t="str">
        <f t="shared" si="73"/>
        <v/>
      </c>
      <c r="B4695" t="s">
        <v>14733</v>
      </c>
      <c r="C4695" t="s">
        <v>14734</v>
      </c>
    </row>
    <row r="4696" spans="1:3" x14ac:dyDescent="0.25">
      <c r="A4696" s="180" t="str">
        <f t="shared" si="73"/>
        <v/>
      </c>
      <c r="B4696" t="s">
        <v>14735</v>
      </c>
      <c r="C4696" t="s">
        <v>14736</v>
      </c>
    </row>
    <row r="4697" spans="1:3" x14ac:dyDescent="0.25">
      <c r="A4697" s="180" t="str">
        <f t="shared" si="73"/>
        <v/>
      </c>
      <c r="B4697" t="s">
        <v>14737</v>
      </c>
      <c r="C4697" t="s">
        <v>14736</v>
      </c>
    </row>
    <row r="4698" spans="1:3" x14ac:dyDescent="0.25">
      <c r="A4698" s="180" t="str">
        <f t="shared" si="73"/>
        <v/>
      </c>
      <c r="B4698" t="s">
        <v>14738</v>
      </c>
      <c r="C4698" t="s">
        <v>14739</v>
      </c>
    </row>
    <row r="4699" spans="1:3" x14ac:dyDescent="0.25">
      <c r="A4699" s="180" t="str">
        <f t="shared" si="73"/>
        <v/>
      </c>
      <c r="B4699" t="s">
        <v>14740</v>
      </c>
      <c r="C4699" t="s">
        <v>14741</v>
      </c>
    </row>
    <row r="4700" spans="1:3" x14ac:dyDescent="0.25">
      <c r="A4700" s="180" t="str">
        <f t="shared" si="73"/>
        <v/>
      </c>
      <c r="B4700" t="s">
        <v>14742</v>
      </c>
      <c r="C4700" t="s">
        <v>14743</v>
      </c>
    </row>
    <row r="4701" spans="1:3" x14ac:dyDescent="0.25">
      <c r="A4701" s="180" t="str">
        <f t="shared" si="73"/>
        <v/>
      </c>
      <c r="B4701" t="s">
        <v>14744</v>
      </c>
      <c r="C4701" t="s">
        <v>14745</v>
      </c>
    </row>
    <row r="4702" spans="1:3" x14ac:dyDescent="0.25">
      <c r="A4702" s="180" t="str">
        <f t="shared" si="73"/>
        <v/>
      </c>
      <c r="B4702" t="s">
        <v>14746</v>
      </c>
      <c r="C4702" t="s">
        <v>14747</v>
      </c>
    </row>
    <row r="4703" spans="1:3" x14ac:dyDescent="0.25">
      <c r="A4703" s="180" t="str">
        <f t="shared" si="73"/>
        <v/>
      </c>
      <c r="B4703" t="s">
        <v>14748</v>
      </c>
      <c r="C4703" t="s">
        <v>14749</v>
      </c>
    </row>
    <row r="4704" spans="1:3" x14ac:dyDescent="0.25">
      <c r="A4704" s="180" t="str">
        <f t="shared" si="73"/>
        <v/>
      </c>
      <c r="B4704" t="s">
        <v>14750</v>
      </c>
      <c r="C4704" t="s">
        <v>14751</v>
      </c>
    </row>
    <row r="4705" spans="1:3" x14ac:dyDescent="0.25">
      <c r="A4705" s="180" t="str">
        <f t="shared" si="73"/>
        <v/>
      </c>
      <c r="B4705" t="s">
        <v>14752</v>
      </c>
      <c r="C4705" t="s">
        <v>14753</v>
      </c>
    </row>
    <row r="4706" spans="1:3" x14ac:dyDescent="0.25">
      <c r="A4706" s="180" t="str">
        <f t="shared" si="73"/>
        <v/>
      </c>
      <c r="B4706" t="s">
        <v>14754</v>
      </c>
      <c r="C4706" t="s">
        <v>14755</v>
      </c>
    </row>
    <row r="4707" spans="1:3" x14ac:dyDescent="0.25">
      <c r="A4707" s="180" t="str">
        <f t="shared" si="73"/>
        <v/>
      </c>
      <c r="B4707" t="s">
        <v>14756</v>
      </c>
      <c r="C4707" t="s">
        <v>14757</v>
      </c>
    </row>
    <row r="4708" spans="1:3" x14ac:dyDescent="0.25">
      <c r="A4708" s="180" t="str">
        <f t="shared" si="73"/>
        <v/>
      </c>
      <c r="B4708" t="s">
        <v>14758</v>
      </c>
      <c r="C4708" t="s">
        <v>14759</v>
      </c>
    </row>
    <row r="4709" spans="1:3" x14ac:dyDescent="0.25">
      <c r="A4709" s="180" t="str">
        <f t="shared" si="73"/>
        <v/>
      </c>
      <c r="B4709" t="s">
        <v>14760</v>
      </c>
      <c r="C4709" t="s">
        <v>14761</v>
      </c>
    </row>
    <row r="4710" spans="1:3" x14ac:dyDescent="0.25">
      <c r="A4710" s="180" t="str">
        <f t="shared" si="73"/>
        <v/>
      </c>
      <c r="B4710" t="s">
        <v>14762</v>
      </c>
      <c r="C4710" t="s">
        <v>14620</v>
      </c>
    </row>
    <row r="4711" spans="1:3" x14ac:dyDescent="0.25">
      <c r="A4711" s="180" t="str">
        <f t="shared" si="73"/>
        <v/>
      </c>
      <c r="B4711" t="s">
        <v>14763</v>
      </c>
      <c r="C4711" t="s">
        <v>14764</v>
      </c>
    </row>
    <row r="4712" spans="1:3" x14ac:dyDescent="0.25">
      <c r="A4712" s="180" t="str">
        <f t="shared" si="73"/>
        <v/>
      </c>
      <c r="B4712" t="s">
        <v>14765</v>
      </c>
      <c r="C4712" t="s">
        <v>14766</v>
      </c>
    </row>
    <row r="4713" spans="1:3" x14ac:dyDescent="0.25">
      <c r="A4713" s="180" t="str">
        <f t="shared" si="73"/>
        <v/>
      </c>
      <c r="B4713" t="s">
        <v>14767</v>
      </c>
      <c r="C4713" t="s">
        <v>14768</v>
      </c>
    </row>
    <row r="4714" spans="1:3" x14ac:dyDescent="0.25">
      <c r="A4714" s="180" t="str">
        <f t="shared" si="73"/>
        <v/>
      </c>
      <c r="B4714" t="s">
        <v>14769</v>
      </c>
      <c r="C4714" t="s">
        <v>14770</v>
      </c>
    </row>
    <row r="4715" spans="1:3" x14ac:dyDescent="0.25">
      <c r="A4715" s="180" t="str">
        <f t="shared" si="73"/>
        <v/>
      </c>
      <c r="B4715" t="s">
        <v>14771</v>
      </c>
      <c r="C4715" t="s">
        <v>14772</v>
      </c>
    </row>
    <row r="4716" spans="1:3" x14ac:dyDescent="0.25">
      <c r="A4716" s="180" t="str">
        <f t="shared" si="73"/>
        <v/>
      </c>
      <c r="B4716" t="s">
        <v>15119</v>
      </c>
      <c r="C4716" t="s">
        <v>15120</v>
      </c>
    </row>
    <row r="4717" spans="1:3" x14ac:dyDescent="0.25">
      <c r="A4717" s="180" t="str">
        <f t="shared" si="73"/>
        <v/>
      </c>
      <c r="B4717" t="s">
        <v>15121</v>
      </c>
      <c r="C4717" t="s">
        <v>15122</v>
      </c>
    </row>
    <row r="4718" spans="1:3" x14ac:dyDescent="0.25">
      <c r="A4718" s="180" t="str">
        <f t="shared" si="73"/>
        <v/>
      </c>
      <c r="B4718" t="s">
        <v>15123</v>
      </c>
      <c r="C4718" t="s">
        <v>15124</v>
      </c>
    </row>
    <row r="4719" spans="1:3" x14ac:dyDescent="0.25">
      <c r="A4719" s="180" t="str">
        <f t="shared" si="73"/>
        <v/>
      </c>
      <c r="B4719" t="s">
        <v>15125</v>
      </c>
      <c r="C4719" t="s">
        <v>15126</v>
      </c>
    </row>
    <row r="4720" spans="1:3" x14ac:dyDescent="0.25">
      <c r="A4720" s="180" t="str">
        <f t="shared" si="73"/>
        <v/>
      </c>
      <c r="B4720" t="s">
        <v>15127</v>
      </c>
      <c r="C4720" t="s">
        <v>15128</v>
      </c>
    </row>
    <row r="4721" spans="1:3" x14ac:dyDescent="0.25">
      <c r="A4721" s="180" t="str">
        <f t="shared" si="73"/>
        <v/>
      </c>
      <c r="B4721" t="s">
        <v>15129</v>
      </c>
      <c r="C4721" t="s">
        <v>15130</v>
      </c>
    </row>
    <row r="4722" spans="1:3" x14ac:dyDescent="0.25">
      <c r="A4722" s="180" t="str">
        <f t="shared" si="73"/>
        <v/>
      </c>
      <c r="B4722" t="s">
        <v>15131</v>
      </c>
      <c r="C4722" t="s">
        <v>15132</v>
      </c>
    </row>
    <row r="4723" spans="1:3" x14ac:dyDescent="0.25">
      <c r="A4723" s="180" t="str">
        <f t="shared" si="73"/>
        <v/>
      </c>
      <c r="B4723" t="s">
        <v>15133</v>
      </c>
      <c r="C4723" t="s">
        <v>15134</v>
      </c>
    </row>
    <row r="4724" spans="1:3" x14ac:dyDescent="0.25">
      <c r="A4724" s="180" t="str">
        <f t="shared" si="73"/>
        <v/>
      </c>
      <c r="B4724" t="s">
        <v>15135</v>
      </c>
      <c r="C4724" t="s">
        <v>15136</v>
      </c>
    </row>
    <row r="4725" spans="1:3" x14ac:dyDescent="0.25">
      <c r="A4725" s="180" t="str">
        <f t="shared" si="73"/>
        <v/>
      </c>
      <c r="B4725" t="s">
        <v>15137</v>
      </c>
      <c r="C4725" t="s">
        <v>15138</v>
      </c>
    </row>
    <row r="4726" spans="1:3" x14ac:dyDescent="0.25">
      <c r="A4726" s="180" t="str">
        <f t="shared" si="73"/>
        <v/>
      </c>
      <c r="B4726" t="s">
        <v>15139</v>
      </c>
      <c r="C4726" t="s">
        <v>15140</v>
      </c>
    </row>
    <row r="4727" spans="1:3" x14ac:dyDescent="0.25">
      <c r="A4727" s="180" t="str">
        <f t="shared" si="73"/>
        <v/>
      </c>
      <c r="B4727" t="s">
        <v>15141</v>
      </c>
      <c r="C4727" t="s">
        <v>15142</v>
      </c>
    </row>
    <row r="4728" spans="1:3" x14ac:dyDescent="0.25">
      <c r="A4728" s="180" t="str">
        <f t="shared" si="73"/>
        <v/>
      </c>
      <c r="B4728" t="s">
        <v>15143</v>
      </c>
      <c r="C4728" t="s">
        <v>15144</v>
      </c>
    </row>
    <row r="4729" spans="1:3" x14ac:dyDescent="0.25">
      <c r="A4729" s="180" t="str">
        <f t="shared" si="73"/>
        <v/>
      </c>
      <c r="B4729" t="s">
        <v>14773</v>
      </c>
      <c r="C4729" t="s">
        <v>14774</v>
      </c>
    </row>
    <row r="4730" spans="1:3" x14ac:dyDescent="0.25">
      <c r="A4730" s="180" t="str">
        <f t="shared" si="73"/>
        <v/>
      </c>
      <c r="B4730" t="s">
        <v>14775</v>
      </c>
      <c r="C4730" t="s">
        <v>14776</v>
      </c>
    </row>
    <row r="4731" spans="1:3" x14ac:dyDescent="0.25">
      <c r="A4731" s="180" t="str">
        <f t="shared" si="73"/>
        <v/>
      </c>
      <c r="B4731" t="s">
        <v>14777</v>
      </c>
      <c r="C4731" t="s">
        <v>14778</v>
      </c>
    </row>
    <row r="4732" spans="1:3" x14ac:dyDescent="0.25">
      <c r="A4732" s="180" t="str">
        <f t="shared" si="73"/>
        <v/>
      </c>
      <c r="B4732" t="s">
        <v>14779</v>
      </c>
    </row>
    <row r="4733" spans="1:3" x14ac:dyDescent="0.25">
      <c r="A4733" s="180" t="str">
        <f t="shared" si="73"/>
        <v/>
      </c>
      <c r="B4733" t="s">
        <v>14780</v>
      </c>
      <c r="C4733" t="s">
        <v>14781</v>
      </c>
    </row>
    <row r="4734" spans="1:3" x14ac:dyDescent="0.25">
      <c r="A4734" s="180" t="str">
        <f t="shared" si="73"/>
        <v/>
      </c>
      <c r="B4734" t="s">
        <v>14782</v>
      </c>
      <c r="C4734" t="s">
        <v>14638</v>
      </c>
    </row>
    <row r="4735" spans="1:3" x14ac:dyDescent="0.25">
      <c r="A4735" s="180" t="str">
        <f t="shared" ref="A4735:A4798" si="74">IFERROR(B4735*1,"")</f>
        <v/>
      </c>
      <c r="B4735" t="s">
        <v>14783</v>
      </c>
      <c r="C4735" t="s">
        <v>14783</v>
      </c>
    </row>
    <row r="4736" spans="1:3" x14ac:dyDescent="0.25">
      <c r="A4736" s="180" t="str">
        <f t="shared" si="74"/>
        <v/>
      </c>
      <c r="B4736" t="s">
        <v>14784</v>
      </c>
      <c r="C4736" t="s">
        <v>14785</v>
      </c>
    </row>
    <row r="4737" spans="1:3" x14ac:dyDescent="0.25">
      <c r="A4737" s="180" t="str">
        <f t="shared" si="74"/>
        <v/>
      </c>
      <c r="B4737" t="s">
        <v>14786</v>
      </c>
      <c r="C4737" t="s">
        <v>14787</v>
      </c>
    </row>
    <row r="4738" spans="1:3" x14ac:dyDescent="0.25">
      <c r="A4738" s="180" t="str">
        <f t="shared" si="74"/>
        <v/>
      </c>
      <c r="B4738" t="s">
        <v>14788</v>
      </c>
      <c r="C4738" t="s">
        <v>14789</v>
      </c>
    </row>
    <row r="4739" spans="1:3" x14ac:dyDescent="0.25">
      <c r="A4739" s="180" t="str">
        <f t="shared" si="74"/>
        <v/>
      </c>
      <c r="B4739" t="s">
        <v>14790</v>
      </c>
      <c r="C4739" t="s">
        <v>14791</v>
      </c>
    </row>
    <row r="4740" spans="1:3" x14ac:dyDescent="0.25">
      <c r="A4740" s="180" t="str">
        <f t="shared" si="74"/>
        <v/>
      </c>
      <c r="B4740" t="s">
        <v>14792</v>
      </c>
      <c r="C4740" t="s">
        <v>14793</v>
      </c>
    </row>
    <row r="4741" spans="1:3" x14ac:dyDescent="0.25">
      <c r="A4741" s="180" t="str">
        <f t="shared" si="74"/>
        <v/>
      </c>
      <c r="B4741" t="s">
        <v>14794</v>
      </c>
      <c r="C4741" t="s">
        <v>14795</v>
      </c>
    </row>
    <row r="4742" spans="1:3" x14ac:dyDescent="0.25">
      <c r="A4742" s="180" t="str">
        <f t="shared" si="74"/>
        <v/>
      </c>
      <c r="B4742" t="s">
        <v>14796</v>
      </c>
      <c r="C4742" t="s">
        <v>14796</v>
      </c>
    </row>
    <row r="4743" spans="1:3" x14ac:dyDescent="0.25">
      <c r="A4743" s="180" t="str">
        <f t="shared" si="74"/>
        <v/>
      </c>
      <c r="B4743" t="s">
        <v>14797</v>
      </c>
      <c r="C4743" t="s">
        <v>14798</v>
      </c>
    </row>
    <row r="4744" spans="1:3" x14ac:dyDescent="0.25">
      <c r="A4744" s="180" t="str">
        <f t="shared" si="74"/>
        <v/>
      </c>
      <c r="B4744" t="s">
        <v>14799</v>
      </c>
      <c r="C4744" t="s">
        <v>14800</v>
      </c>
    </row>
    <row r="4745" spans="1:3" x14ac:dyDescent="0.25">
      <c r="A4745" s="180" t="str">
        <f t="shared" si="74"/>
        <v/>
      </c>
      <c r="B4745" t="s">
        <v>14801</v>
      </c>
      <c r="C4745" t="s">
        <v>14802</v>
      </c>
    </row>
    <row r="4746" spans="1:3" x14ac:dyDescent="0.25">
      <c r="A4746" s="180" t="str">
        <f t="shared" si="74"/>
        <v/>
      </c>
      <c r="B4746" t="s">
        <v>14803</v>
      </c>
      <c r="C4746" t="s">
        <v>14804</v>
      </c>
    </row>
    <row r="4747" spans="1:3" x14ac:dyDescent="0.25">
      <c r="A4747" s="180" t="str">
        <f t="shared" si="74"/>
        <v/>
      </c>
      <c r="B4747" t="s">
        <v>14805</v>
      </c>
      <c r="C4747" t="s">
        <v>14806</v>
      </c>
    </row>
    <row r="4748" spans="1:3" x14ac:dyDescent="0.25">
      <c r="A4748" s="180" t="str">
        <f t="shared" si="74"/>
        <v/>
      </c>
      <c r="B4748" t="s">
        <v>14807</v>
      </c>
      <c r="C4748" t="s">
        <v>14808</v>
      </c>
    </row>
    <row r="4749" spans="1:3" x14ac:dyDescent="0.25">
      <c r="A4749" s="180" t="str">
        <f t="shared" si="74"/>
        <v/>
      </c>
      <c r="B4749" t="s">
        <v>14809</v>
      </c>
      <c r="C4749" t="s">
        <v>14784</v>
      </c>
    </row>
    <row r="4750" spans="1:3" x14ac:dyDescent="0.25">
      <c r="A4750" s="180" t="str">
        <f t="shared" si="74"/>
        <v/>
      </c>
      <c r="B4750" t="s">
        <v>14810</v>
      </c>
      <c r="C4750" t="s">
        <v>14811</v>
      </c>
    </row>
    <row r="4751" spans="1:3" x14ac:dyDescent="0.25">
      <c r="A4751" s="180" t="str">
        <f t="shared" si="74"/>
        <v/>
      </c>
      <c r="B4751" t="s">
        <v>863</v>
      </c>
      <c r="C4751" t="s">
        <v>14812</v>
      </c>
    </row>
    <row r="4752" spans="1:3" x14ac:dyDescent="0.25">
      <c r="A4752" s="180" t="str">
        <f t="shared" si="74"/>
        <v/>
      </c>
      <c r="B4752" t="s">
        <v>14813</v>
      </c>
      <c r="C4752" t="s">
        <v>14814</v>
      </c>
    </row>
    <row r="4753" spans="1:3" x14ac:dyDescent="0.25">
      <c r="A4753" s="180" t="str">
        <f t="shared" si="74"/>
        <v/>
      </c>
      <c r="B4753" t="s">
        <v>14815</v>
      </c>
      <c r="C4753" t="s">
        <v>14816</v>
      </c>
    </row>
    <row r="4754" spans="1:3" x14ac:dyDescent="0.25">
      <c r="A4754" s="180" t="str">
        <f t="shared" si="74"/>
        <v/>
      </c>
      <c r="B4754" t="s">
        <v>14817</v>
      </c>
      <c r="C4754" t="s">
        <v>14818</v>
      </c>
    </row>
    <row r="4755" spans="1:3" x14ac:dyDescent="0.25">
      <c r="A4755" s="180" t="str">
        <f t="shared" si="74"/>
        <v/>
      </c>
      <c r="B4755" t="s">
        <v>14819</v>
      </c>
      <c r="C4755" t="s">
        <v>14820</v>
      </c>
    </row>
    <row r="4756" spans="1:3" x14ac:dyDescent="0.25">
      <c r="A4756" s="180" t="str">
        <f t="shared" si="74"/>
        <v/>
      </c>
      <c r="B4756" t="s">
        <v>14821</v>
      </c>
      <c r="C4756" t="s">
        <v>14822</v>
      </c>
    </row>
    <row r="4757" spans="1:3" x14ac:dyDescent="0.25">
      <c r="A4757" s="180" t="str">
        <f t="shared" si="74"/>
        <v/>
      </c>
      <c r="B4757" t="s">
        <v>14823</v>
      </c>
      <c r="C4757" t="s">
        <v>14824</v>
      </c>
    </row>
    <row r="4758" spans="1:3" x14ac:dyDescent="0.25">
      <c r="A4758" s="180" t="str">
        <f t="shared" si="74"/>
        <v/>
      </c>
      <c r="B4758" t="s">
        <v>14825</v>
      </c>
      <c r="C4758" t="s">
        <v>14826</v>
      </c>
    </row>
    <row r="4759" spans="1:3" x14ac:dyDescent="0.25">
      <c r="A4759" s="180" t="str">
        <f t="shared" si="74"/>
        <v/>
      </c>
      <c r="B4759" t="s">
        <v>14827</v>
      </c>
      <c r="C4759" t="s">
        <v>14828</v>
      </c>
    </row>
    <row r="4760" spans="1:3" x14ac:dyDescent="0.25">
      <c r="A4760" s="180" t="str">
        <f t="shared" si="74"/>
        <v/>
      </c>
      <c r="B4760" t="s">
        <v>14829</v>
      </c>
      <c r="C4760" t="s">
        <v>14829</v>
      </c>
    </row>
    <row r="4761" spans="1:3" x14ac:dyDescent="0.25">
      <c r="A4761" s="180" t="str">
        <f t="shared" si="74"/>
        <v/>
      </c>
      <c r="B4761" t="s">
        <v>14830</v>
      </c>
      <c r="C4761" t="s">
        <v>14831</v>
      </c>
    </row>
    <row r="4762" spans="1:3" x14ac:dyDescent="0.25">
      <c r="A4762" s="180" t="str">
        <f t="shared" si="74"/>
        <v/>
      </c>
      <c r="B4762" t="s">
        <v>14832</v>
      </c>
      <c r="C4762" t="s">
        <v>14833</v>
      </c>
    </row>
    <row r="4763" spans="1:3" x14ac:dyDescent="0.25">
      <c r="A4763" s="180" t="str">
        <f t="shared" si="74"/>
        <v/>
      </c>
      <c r="B4763" t="s">
        <v>14834</v>
      </c>
      <c r="C4763" t="s">
        <v>14835</v>
      </c>
    </row>
    <row r="4764" spans="1:3" x14ac:dyDescent="0.25">
      <c r="A4764" s="180" t="str">
        <f t="shared" si="74"/>
        <v/>
      </c>
      <c r="B4764" t="s">
        <v>14836</v>
      </c>
      <c r="C4764" t="s">
        <v>14837</v>
      </c>
    </row>
    <row r="4765" spans="1:3" x14ac:dyDescent="0.25">
      <c r="A4765" s="180" t="str">
        <f t="shared" si="74"/>
        <v/>
      </c>
      <c r="B4765" t="s">
        <v>14838</v>
      </c>
      <c r="C4765" t="s">
        <v>14839</v>
      </c>
    </row>
    <row r="4766" spans="1:3" x14ac:dyDescent="0.25">
      <c r="A4766" s="180" t="str">
        <f t="shared" si="74"/>
        <v/>
      </c>
      <c r="B4766" t="s">
        <v>14840</v>
      </c>
      <c r="C4766" t="s">
        <v>14840</v>
      </c>
    </row>
    <row r="4767" spans="1:3" x14ac:dyDescent="0.25">
      <c r="A4767" s="180" t="str">
        <f t="shared" si="74"/>
        <v/>
      </c>
      <c r="B4767" t="s">
        <v>14841</v>
      </c>
      <c r="C4767" t="s">
        <v>14841</v>
      </c>
    </row>
    <row r="4768" spans="1:3" x14ac:dyDescent="0.25">
      <c r="A4768" s="180" t="str">
        <f t="shared" si="74"/>
        <v/>
      </c>
      <c r="B4768" t="s">
        <v>14842</v>
      </c>
      <c r="C4768" t="s">
        <v>14842</v>
      </c>
    </row>
    <row r="4769" spans="1:3" x14ac:dyDescent="0.25">
      <c r="A4769" s="180" t="str">
        <f t="shared" si="74"/>
        <v/>
      </c>
      <c r="B4769" t="s">
        <v>14843</v>
      </c>
      <c r="C4769" t="s">
        <v>14844</v>
      </c>
    </row>
    <row r="4770" spans="1:3" x14ac:dyDescent="0.25">
      <c r="A4770" s="180" t="str">
        <f t="shared" si="74"/>
        <v/>
      </c>
      <c r="B4770" t="s">
        <v>15145</v>
      </c>
      <c r="C4770" t="s">
        <v>15146</v>
      </c>
    </row>
    <row r="4771" spans="1:3" x14ac:dyDescent="0.25">
      <c r="A4771" s="180" t="str">
        <f t="shared" si="74"/>
        <v/>
      </c>
      <c r="B4771" t="s">
        <v>14845</v>
      </c>
      <c r="C4771" t="s">
        <v>14846</v>
      </c>
    </row>
    <row r="4772" spans="1:3" x14ac:dyDescent="0.25">
      <c r="A4772" s="180" t="str">
        <f t="shared" si="74"/>
        <v/>
      </c>
      <c r="B4772" t="s">
        <v>14847</v>
      </c>
      <c r="C4772" t="s">
        <v>14848</v>
      </c>
    </row>
    <row r="4773" spans="1:3" x14ac:dyDescent="0.25">
      <c r="A4773" s="180" t="str">
        <f t="shared" si="74"/>
        <v/>
      </c>
      <c r="B4773" t="s">
        <v>14849</v>
      </c>
      <c r="C4773" t="s">
        <v>14850</v>
      </c>
    </row>
    <row r="4774" spans="1:3" x14ac:dyDescent="0.25">
      <c r="A4774" s="180" t="str">
        <f t="shared" si="74"/>
        <v/>
      </c>
      <c r="B4774" t="s">
        <v>14851</v>
      </c>
      <c r="C4774" t="s">
        <v>14852</v>
      </c>
    </row>
    <row r="4775" spans="1:3" x14ac:dyDescent="0.25">
      <c r="A4775" s="180" t="str">
        <f t="shared" si="74"/>
        <v/>
      </c>
      <c r="B4775" t="s">
        <v>14853</v>
      </c>
      <c r="C4775" t="s">
        <v>14854</v>
      </c>
    </row>
    <row r="4776" spans="1:3" x14ac:dyDescent="0.25">
      <c r="A4776" s="180" t="str">
        <f t="shared" si="74"/>
        <v/>
      </c>
      <c r="B4776" t="s">
        <v>14855</v>
      </c>
      <c r="C4776" t="s">
        <v>14856</v>
      </c>
    </row>
    <row r="4777" spans="1:3" x14ac:dyDescent="0.25">
      <c r="A4777" s="180" t="str">
        <f t="shared" si="74"/>
        <v/>
      </c>
      <c r="B4777" t="s">
        <v>14857</v>
      </c>
    </row>
    <row r="4778" spans="1:3" x14ac:dyDescent="0.25">
      <c r="A4778" s="180" t="str">
        <f t="shared" si="74"/>
        <v/>
      </c>
      <c r="B4778" t="s">
        <v>14858</v>
      </c>
      <c r="C4778" t="s">
        <v>14859</v>
      </c>
    </row>
    <row r="4779" spans="1:3" x14ac:dyDescent="0.25">
      <c r="A4779" s="180" t="str">
        <f t="shared" si="74"/>
        <v/>
      </c>
      <c r="B4779" t="s">
        <v>14860</v>
      </c>
      <c r="C4779" t="s">
        <v>14861</v>
      </c>
    </row>
    <row r="4780" spans="1:3" x14ac:dyDescent="0.25">
      <c r="A4780" s="180" t="str">
        <f t="shared" si="74"/>
        <v/>
      </c>
      <c r="B4780" t="s">
        <v>14862</v>
      </c>
      <c r="C4780" t="s">
        <v>14863</v>
      </c>
    </row>
    <row r="4781" spans="1:3" x14ac:dyDescent="0.25">
      <c r="A4781" s="180" t="str">
        <f t="shared" si="74"/>
        <v/>
      </c>
      <c r="B4781" t="s">
        <v>14864</v>
      </c>
      <c r="C4781" t="s">
        <v>14865</v>
      </c>
    </row>
    <row r="4782" spans="1:3" x14ac:dyDescent="0.25">
      <c r="A4782" s="180" t="str">
        <f t="shared" si="74"/>
        <v/>
      </c>
      <c r="B4782" t="s">
        <v>14866</v>
      </c>
      <c r="C4782" t="s">
        <v>14867</v>
      </c>
    </row>
    <row r="4783" spans="1:3" x14ac:dyDescent="0.25">
      <c r="A4783" s="180" t="str">
        <f t="shared" si="74"/>
        <v/>
      </c>
      <c r="B4783" t="s">
        <v>14868</v>
      </c>
    </row>
    <row r="4784" spans="1:3" x14ac:dyDescent="0.25">
      <c r="A4784" s="180" t="str">
        <f t="shared" si="74"/>
        <v/>
      </c>
      <c r="B4784" t="s">
        <v>14869</v>
      </c>
    </row>
    <row r="4785" spans="1:4" x14ac:dyDescent="0.25">
      <c r="A4785" s="180" t="str">
        <f t="shared" si="74"/>
        <v/>
      </c>
      <c r="B4785" t="s">
        <v>14870</v>
      </c>
      <c r="C4785" t="s">
        <v>14871</v>
      </c>
    </row>
    <row r="4786" spans="1:4" x14ac:dyDescent="0.25">
      <c r="A4786" s="180" t="str">
        <f t="shared" si="74"/>
        <v/>
      </c>
      <c r="B4786" t="s">
        <v>14872</v>
      </c>
    </row>
    <row r="4787" spans="1:4" x14ac:dyDescent="0.25">
      <c r="A4787" s="180">
        <f t="shared" si="74"/>
        <v>5101138</v>
      </c>
      <c r="B4787" t="s">
        <v>2161</v>
      </c>
      <c r="C4787" t="s">
        <v>2162</v>
      </c>
      <c r="D4787" t="s">
        <v>13412</v>
      </c>
    </row>
    <row r="4788" spans="1:4" x14ac:dyDescent="0.25">
      <c r="A4788" s="180">
        <f t="shared" si="74"/>
        <v>5101138</v>
      </c>
      <c r="B4788" t="s">
        <v>2161</v>
      </c>
      <c r="C4788" t="s">
        <v>2162</v>
      </c>
      <c r="D4788" t="s">
        <v>13412</v>
      </c>
    </row>
    <row r="4789" spans="1:4" x14ac:dyDescent="0.25">
      <c r="A4789" s="180">
        <f t="shared" si="74"/>
        <v>5101140</v>
      </c>
      <c r="B4789" t="s">
        <v>2163</v>
      </c>
      <c r="C4789" t="s">
        <v>2164</v>
      </c>
      <c r="D4789" t="s">
        <v>13411</v>
      </c>
    </row>
    <row r="4790" spans="1:4" x14ac:dyDescent="0.25">
      <c r="A4790" s="180">
        <f t="shared" si="74"/>
        <v>5101140</v>
      </c>
      <c r="B4790" t="s">
        <v>2163</v>
      </c>
      <c r="C4790" t="s">
        <v>2164</v>
      </c>
      <c r="D4790" t="s">
        <v>13411</v>
      </c>
    </row>
    <row r="4791" spans="1:4" x14ac:dyDescent="0.25">
      <c r="A4791" s="180">
        <f t="shared" si="74"/>
        <v>5101140</v>
      </c>
      <c r="B4791" t="s">
        <v>2163</v>
      </c>
      <c r="C4791" t="s">
        <v>2164</v>
      </c>
      <c r="D4791" t="s">
        <v>13411</v>
      </c>
    </row>
    <row r="4792" spans="1:4" x14ac:dyDescent="0.25">
      <c r="A4792" s="180">
        <f t="shared" si="74"/>
        <v>5101140</v>
      </c>
      <c r="B4792" t="s">
        <v>2163</v>
      </c>
      <c r="C4792" t="s">
        <v>2164</v>
      </c>
      <c r="D4792" t="s">
        <v>13411</v>
      </c>
    </row>
    <row r="4793" spans="1:4" x14ac:dyDescent="0.25">
      <c r="A4793" s="180">
        <f t="shared" si="74"/>
        <v>5101140</v>
      </c>
      <c r="B4793" t="s">
        <v>2163</v>
      </c>
      <c r="C4793" t="s">
        <v>2164</v>
      </c>
      <c r="D4793" t="s">
        <v>13411</v>
      </c>
    </row>
    <row r="4794" spans="1:4" x14ac:dyDescent="0.25">
      <c r="A4794" s="180">
        <f t="shared" si="74"/>
        <v>5101140</v>
      </c>
      <c r="B4794" t="s">
        <v>2163</v>
      </c>
      <c r="C4794" t="s">
        <v>2164</v>
      </c>
      <c r="D4794" t="s">
        <v>13411</v>
      </c>
    </row>
    <row r="4795" spans="1:4" x14ac:dyDescent="0.25">
      <c r="A4795" s="180">
        <f t="shared" si="74"/>
        <v>5101140</v>
      </c>
      <c r="B4795" t="s">
        <v>2163</v>
      </c>
      <c r="C4795" t="s">
        <v>2164</v>
      </c>
      <c r="D4795" t="s">
        <v>13411</v>
      </c>
    </row>
    <row r="4796" spans="1:4" x14ac:dyDescent="0.25">
      <c r="A4796" s="180">
        <f t="shared" si="74"/>
        <v>5101141</v>
      </c>
      <c r="B4796" t="s">
        <v>2165</v>
      </c>
      <c r="C4796" t="s">
        <v>2166</v>
      </c>
      <c r="D4796" t="s">
        <v>13411</v>
      </c>
    </row>
    <row r="4797" spans="1:4" x14ac:dyDescent="0.25">
      <c r="A4797" s="180">
        <f t="shared" si="74"/>
        <v>5101141</v>
      </c>
      <c r="B4797" t="s">
        <v>2165</v>
      </c>
      <c r="C4797" t="s">
        <v>2166</v>
      </c>
      <c r="D4797" t="s">
        <v>13411</v>
      </c>
    </row>
    <row r="4798" spans="1:4" x14ac:dyDescent="0.25">
      <c r="A4798" s="180">
        <f t="shared" si="74"/>
        <v>5101141</v>
      </c>
      <c r="B4798" t="s">
        <v>2165</v>
      </c>
      <c r="C4798" t="s">
        <v>2166</v>
      </c>
      <c r="D4798" t="s">
        <v>13411</v>
      </c>
    </row>
    <row r="4799" spans="1:4" x14ac:dyDescent="0.25">
      <c r="A4799" s="180">
        <f t="shared" ref="A4799:A4862" si="75">IFERROR(B4799*1,"")</f>
        <v>5101142</v>
      </c>
      <c r="B4799" t="s">
        <v>2167</v>
      </c>
      <c r="C4799" t="s">
        <v>2168</v>
      </c>
    </row>
    <row r="4800" spans="1:4" x14ac:dyDescent="0.25">
      <c r="A4800" s="180">
        <f t="shared" si="75"/>
        <v>5101145</v>
      </c>
      <c r="B4800" t="s">
        <v>2169</v>
      </c>
      <c r="C4800" t="s">
        <v>14484</v>
      </c>
      <c r="D4800" t="s">
        <v>14909</v>
      </c>
    </row>
    <row r="4801" spans="1:4" x14ac:dyDescent="0.25">
      <c r="A4801" s="180">
        <f t="shared" si="75"/>
        <v>5101145</v>
      </c>
      <c r="B4801" t="s">
        <v>2169</v>
      </c>
      <c r="C4801" t="s">
        <v>14484</v>
      </c>
      <c r="D4801" t="s">
        <v>14909</v>
      </c>
    </row>
    <row r="4802" spans="1:4" x14ac:dyDescent="0.25">
      <c r="A4802" s="180">
        <f t="shared" si="75"/>
        <v>5101145</v>
      </c>
      <c r="B4802" t="s">
        <v>2169</v>
      </c>
      <c r="C4802" t="s">
        <v>14484</v>
      </c>
      <c r="D4802" t="s">
        <v>14909</v>
      </c>
    </row>
    <row r="4803" spans="1:4" x14ac:dyDescent="0.25">
      <c r="A4803" s="180">
        <f t="shared" si="75"/>
        <v>5101146</v>
      </c>
      <c r="B4803" t="s">
        <v>2170</v>
      </c>
      <c r="C4803" t="s">
        <v>14485</v>
      </c>
    </row>
    <row r="4804" spans="1:4" x14ac:dyDescent="0.25">
      <c r="A4804" s="180">
        <f t="shared" si="75"/>
        <v>5101147</v>
      </c>
      <c r="B4804" t="s">
        <v>2171</v>
      </c>
      <c r="C4804" t="s">
        <v>2172</v>
      </c>
      <c r="D4804" t="s">
        <v>13412</v>
      </c>
    </row>
    <row r="4805" spans="1:4" x14ac:dyDescent="0.25">
      <c r="A4805" s="180">
        <f t="shared" si="75"/>
        <v>5101147</v>
      </c>
      <c r="B4805" t="s">
        <v>2171</v>
      </c>
      <c r="C4805" t="s">
        <v>2172</v>
      </c>
      <c r="D4805" t="s">
        <v>13412</v>
      </c>
    </row>
    <row r="4806" spans="1:4" x14ac:dyDescent="0.25">
      <c r="A4806" s="180">
        <f t="shared" si="75"/>
        <v>5101147</v>
      </c>
      <c r="B4806" t="s">
        <v>2171</v>
      </c>
      <c r="C4806" t="s">
        <v>2172</v>
      </c>
      <c r="D4806" t="s">
        <v>13412</v>
      </c>
    </row>
    <row r="4807" spans="1:4" x14ac:dyDescent="0.25">
      <c r="A4807" s="180">
        <f t="shared" si="75"/>
        <v>5101147</v>
      </c>
      <c r="B4807" t="s">
        <v>2171</v>
      </c>
      <c r="C4807" t="s">
        <v>2172</v>
      </c>
      <c r="D4807" t="s">
        <v>13412</v>
      </c>
    </row>
    <row r="4808" spans="1:4" x14ac:dyDescent="0.25">
      <c r="A4808" s="180">
        <f t="shared" si="75"/>
        <v>5101147</v>
      </c>
      <c r="B4808" t="s">
        <v>2171</v>
      </c>
      <c r="C4808" t="s">
        <v>2172</v>
      </c>
      <c r="D4808" t="s">
        <v>13412</v>
      </c>
    </row>
    <row r="4809" spans="1:4" x14ac:dyDescent="0.25">
      <c r="A4809" s="180">
        <f t="shared" si="75"/>
        <v>5101147</v>
      </c>
      <c r="B4809" t="s">
        <v>2171</v>
      </c>
      <c r="C4809" t="s">
        <v>2172</v>
      </c>
      <c r="D4809" t="s">
        <v>13412</v>
      </c>
    </row>
    <row r="4810" spans="1:4" x14ac:dyDescent="0.25">
      <c r="A4810" s="180">
        <f t="shared" si="75"/>
        <v>5101147</v>
      </c>
      <c r="B4810" t="s">
        <v>2171</v>
      </c>
      <c r="C4810" t="s">
        <v>2172</v>
      </c>
      <c r="D4810" t="s">
        <v>13412</v>
      </c>
    </row>
    <row r="4811" spans="1:4" x14ac:dyDescent="0.25">
      <c r="A4811" s="180">
        <f t="shared" si="75"/>
        <v>5101147</v>
      </c>
      <c r="B4811" t="s">
        <v>2171</v>
      </c>
      <c r="C4811" t="s">
        <v>2172</v>
      </c>
      <c r="D4811" t="s">
        <v>13412</v>
      </c>
    </row>
    <row r="4812" spans="1:4" x14ac:dyDescent="0.25">
      <c r="A4812" s="180">
        <f t="shared" si="75"/>
        <v>5101148</v>
      </c>
      <c r="B4812" t="s">
        <v>2173</v>
      </c>
      <c r="C4812" t="s">
        <v>2174</v>
      </c>
      <c r="D4812" t="s">
        <v>14909</v>
      </c>
    </row>
    <row r="4813" spans="1:4" x14ac:dyDescent="0.25">
      <c r="A4813" s="180">
        <f t="shared" si="75"/>
        <v>5101148</v>
      </c>
      <c r="B4813" t="s">
        <v>2173</v>
      </c>
      <c r="C4813" t="s">
        <v>2174</v>
      </c>
      <c r="D4813" t="s">
        <v>14909</v>
      </c>
    </row>
    <row r="4814" spans="1:4" x14ac:dyDescent="0.25">
      <c r="A4814" s="180">
        <f t="shared" si="75"/>
        <v>5101149</v>
      </c>
      <c r="B4814" t="s">
        <v>2175</v>
      </c>
      <c r="C4814" t="s">
        <v>12659</v>
      </c>
      <c r="D4814" t="s">
        <v>14909</v>
      </c>
    </row>
    <row r="4815" spans="1:4" x14ac:dyDescent="0.25">
      <c r="A4815" s="180">
        <f t="shared" si="75"/>
        <v>5101149</v>
      </c>
      <c r="B4815" t="s">
        <v>2175</v>
      </c>
      <c r="C4815" t="s">
        <v>12659</v>
      </c>
      <c r="D4815" t="s">
        <v>14909</v>
      </c>
    </row>
    <row r="4816" spans="1:4" x14ac:dyDescent="0.25">
      <c r="A4816" s="180">
        <f t="shared" si="75"/>
        <v>5101149</v>
      </c>
      <c r="B4816" t="s">
        <v>2175</v>
      </c>
      <c r="C4816" t="s">
        <v>12659</v>
      </c>
      <c r="D4816" t="s">
        <v>14909</v>
      </c>
    </row>
    <row r="4817" spans="1:4" x14ac:dyDescent="0.25">
      <c r="A4817" s="180">
        <f t="shared" si="75"/>
        <v>5101150</v>
      </c>
      <c r="B4817" t="s">
        <v>2176</v>
      </c>
      <c r="C4817" t="s">
        <v>12787</v>
      </c>
      <c r="D4817" t="s">
        <v>14957</v>
      </c>
    </row>
    <row r="4818" spans="1:4" x14ac:dyDescent="0.25">
      <c r="A4818" s="180">
        <f t="shared" si="75"/>
        <v>5101150</v>
      </c>
      <c r="B4818" t="s">
        <v>2176</v>
      </c>
      <c r="C4818" t="s">
        <v>12787</v>
      </c>
      <c r="D4818" t="s">
        <v>14957</v>
      </c>
    </row>
    <row r="4819" spans="1:4" x14ac:dyDescent="0.25">
      <c r="A4819" s="180">
        <f t="shared" si="75"/>
        <v>5101150</v>
      </c>
      <c r="B4819" t="s">
        <v>2176</v>
      </c>
      <c r="C4819" t="s">
        <v>12787</v>
      </c>
      <c r="D4819" t="s">
        <v>14957</v>
      </c>
    </row>
    <row r="4820" spans="1:4" x14ac:dyDescent="0.25">
      <c r="A4820" s="180">
        <f t="shared" si="75"/>
        <v>5101150</v>
      </c>
      <c r="B4820" t="s">
        <v>2176</v>
      </c>
      <c r="C4820" t="s">
        <v>12787</v>
      </c>
      <c r="D4820" t="s">
        <v>14957</v>
      </c>
    </row>
    <row r="4821" spans="1:4" x14ac:dyDescent="0.25">
      <c r="A4821" s="180">
        <f t="shared" si="75"/>
        <v>5101150</v>
      </c>
      <c r="B4821" t="s">
        <v>2176</v>
      </c>
      <c r="C4821" t="s">
        <v>12787</v>
      </c>
      <c r="D4821" t="s">
        <v>14957</v>
      </c>
    </row>
    <row r="4822" spans="1:4" x14ac:dyDescent="0.25">
      <c r="A4822" s="180">
        <f t="shared" si="75"/>
        <v>5101150</v>
      </c>
      <c r="B4822" t="s">
        <v>2176</v>
      </c>
      <c r="C4822" t="s">
        <v>12787</v>
      </c>
      <c r="D4822" t="s">
        <v>14957</v>
      </c>
    </row>
    <row r="4823" spans="1:4" x14ac:dyDescent="0.25">
      <c r="A4823" s="180">
        <f t="shared" si="75"/>
        <v>5101150</v>
      </c>
      <c r="B4823" t="s">
        <v>2176</v>
      </c>
      <c r="C4823" t="s">
        <v>12787</v>
      </c>
      <c r="D4823" t="s">
        <v>14957</v>
      </c>
    </row>
    <row r="4824" spans="1:4" x14ac:dyDescent="0.25">
      <c r="A4824" s="180">
        <f t="shared" si="75"/>
        <v>5101150</v>
      </c>
      <c r="B4824" t="s">
        <v>2176</v>
      </c>
      <c r="C4824" t="s">
        <v>12787</v>
      </c>
      <c r="D4824" t="s">
        <v>14957</v>
      </c>
    </row>
    <row r="4825" spans="1:4" x14ac:dyDescent="0.25">
      <c r="A4825" s="180">
        <f t="shared" si="75"/>
        <v>5101151</v>
      </c>
      <c r="B4825" t="s">
        <v>13285</v>
      </c>
      <c r="C4825" t="s">
        <v>13286</v>
      </c>
      <c r="D4825" t="s">
        <v>13412</v>
      </c>
    </row>
    <row r="4826" spans="1:4" x14ac:dyDescent="0.25">
      <c r="A4826" s="180">
        <f t="shared" si="75"/>
        <v>5101151</v>
      </c>
      <c r="B4826" t="s">
        <v>13285</v>
      </c>
      <c r="C4826" t="s">
        <v>13286</v>
      </c>
      <c r="D4826" t="s">
        <v>13412</v>
      </c>
    </row>
    <row r="4827" spans="1:4" x14ac:dyDescent="0.25">
      <c r="A4827" s="180">
        <f t="shared" si="75"/>
        <v>5101151</v>
      </c>
      <c r="B4827" t="s">
        <v>13285</v>
      </c>
      <c r="C4827" t="s">
        <v>13286</v>
      </c>
      <c r="D4827" t="s">
        <v>13412</v>
      </c>
    </row>
    <row r="4828" spans="1:4" x14ac:dyDescent="0.25">
      <c r="A4828" s="180">
        <f t="shared" si="75"/>
        <v>5101151</v>
      </c>
      <c r="B4828" t="s">
        <v>13285</v>
      </c>
      <c r="C4828" t="s">
        <v>13286</v>
      </c>
      <c r="D4828" t="s">
        <v>13412</v>
      </c>
    </row>
    <row r="4829" spans="1:4" x14ac:dyDescent="0.25">
      <c r="A4829" s="180">
        <f t="shared" si="75"/>
        <v>5101151</v>
      </c>
      <c r="B4829" t="s">
        <v>13285</v>
      </c>
      <c r="C4829" t="s">
        <v>13286</v>
      </c>
      <c r="D4829" t="s">
        <v>13412</v>
      </c>
    </row>
    <row r="4830" spans="1:4" x14ac:dyDescent="0.25">
      <c r="A4830" s="180">
        <f t="shared" si="75"/>
        <v>5101151</v>
      </c>
      <c r="B4830" t="s">
        <v>13285</v>
      </c>
      <c r="C4830" t="s">
        <v>13286</v>
      </c>
      <c r="D4830" t="s">
        <v>13412</v>
      </c>
    </row>
    <row r="4831" spans="1:4" x14ac:dyDescent="0.25">
      <c r="A4831" s="180">
        <f t="shared" si="75"/>
        <v>5101151</v>
      </c>
      <c r="B4831" t="s">
        <v>13285</v>
      </c>
      <c r="C4831" t="s">
        <v>13286</v>
      </c>
      <c r="D4831" t="s">
        <v>13412</v>
      </c>
    </row>
    <row r="4832" spans="1:4" x14ac:dyDescent="0.25">
      <c r="A4832" s="180">
        <f t="shared" si="75"/>
        <v>5101151</v>
      </c>
      <c r="B4832" t="s">
        <v>13285</v>
      </c>
      <c r="C4832" t="s">
        <v>13286</v>
      </c>
      <c r="D4832" t="s">
        <v>13412</v>
      </c>
    </row>
    <row r="4833" spans="1:4" x14ac:dyDescent="0.25">
      <c r="A4833" s="180">
        <f t="shared" si="75"/>
        <v>5101158</v>
      </c>
      <c r="B4833" t="s">
        <v>2177</v>
      </c>
      <c r="C4833" t="s">
        <v>2178</v>
      </c>
    </row>
    <row r="4834" spans="1:4" x14ac:dyDescent="0.25">
      <c r="A4834" s="180">
        <f t="shared" si="75"/>
        <v>5101159</v>
      </c>
      <c r="B4834" t="s">
        <v>2179</v>
      </c>
      <c r="C4834" t="s">
        <v>2180</v>
      </c>
    </row>
    <row r="4835" spans="1:4" x14ac:dyDescent="0.25">
      <c r="A4835" s="180">
        <f t="shared" si="75"/>
        <v>5101165</v>
      </c>
      <c r="B4835" t="s">
        <v>2181</v>
      </c>
      <c r="C4835" t="s">
        <v>2182</v>
      </c>
      <c r="D4835" t="s">
        <v>13411</v>
      </c>
    </row>
    <row r="4836" spans="1:4" x14ac:dyDescent="0.25">
      <c r="A4836" s="180">
        <f t="shared" si="75"/>
        <v>5101165</v>
      </c>
      <c r="B4836" t="s">
        <v>2181</v>
      </c>
      <c r="C4836" t="s">
        <v>2182</v>
      </c>
      <c r="D4836" t="s">
        <v>13411</v>
      </c>
    </row>
    <row r="4837" spans="1:4" x14ac:dyDescent="0.25">
      <c r="A4837" s="180">
        <f t="shared" si="75"/>
        <v>5101165</v>
      </c>
      <c r="B4837" t="s">
        <v>2181</v>
      </c>
      <c r="C4837" t="s">
        <v>2182</v>
      </c>
      <c r="D4837" t="s">
        <v>13411</v>
      </c>
    </row>
    <row r="4838" spans="1:4" x14ac:dyDescent="0.25">
      <c r="A4838" s="180">
        <f t="shared" si="75"/>
        <v>5101165</v>
      </c>
      <c r="B4838" t="s">
        <v>2181</v>
      </c>
      <c r="C4838" t="s">
        <v>2182</v>
      </c>
      <c r="D4838" t="s">
        <v>13411</v>
      </c>
    </row>
    <row r="4839" spans="1:4" x14ac:dyDescent="0.25">
      <c r="A4839" s="180">
        <f t="shared" si="75"/>
        <v>5101165</v>
      </c>
      <c r="B4839" t="s">
        <v>2181</v>
      </c>
      <c r="C4839" t="s">
        <v>2182</v>
      </c>
      <c r="D4839" t="s">
        <v>13411</v>
      </c>
    </row>
    <row r="4840" spans="1:4" x14ac:dyDescent="0.25">
      <c r="A4840" s="180">
        <f t="shared" si="75"/>
        <v>5101165</v>
      </c>
      <c r="B4840" t="s">
        <v>2181</v>
      </c>
      <c r="C4840" t="s">
        <v>2182</v>
      </c>
      <c r="D4840" t="s">
        <v>13411</v>
      </c>
    </row>
    <row r="4841" spans="1:4" x14ac:dyDescent="0.25">
      <c r="A4841" s="180">
        <f t="shared" si="75"/>
        <v>5101165</v>
      </c>
      <c r="B4841" t="s">
        <v>2181</v>
      </c>
      <c r="C4841" t="s">
        <v>2182</v>
      </c>
      <c r="D4841" t="s">
        <v>13411</v>
      </c>
    </row>
    <row r="4842" spans="1:4" x14ac:dyDescent="0.25">
      <c r="A4842" s="180">
        <f t="shared" si="75"/>
        <v>5101165</v>
      </c>
      <c r="B4842" t="s">
        <v>2181</v>
      </c>
      <c r="C4842" t="s">
        <v>2182</v>
      </c>
      <c r="D4842" t="s">
        <v>13411</v>
      </c>
    </row>
    <row r="4843" spans="1:4" x14ac:dyDescent="0.25">
      <c r="A4843" s="180">
        <f t="shared" si="75"/>
        <v>5101166</v>
      </c>
      <c r="B4843" t="s">
        <v>2183</v>
      </c>
      <c r="C4843" t="s">
        <v>2184</v>
      </c>
    </row>
    <row r="4844" spans="1:4" x14ac:dyDescent="0.25">
      <c r="A4844" s="180">
        <f t="shared" si="75"/>
        <v>5101170</v>
      </c>
      <c r="B4844" t="s">
        <v>2185</v>
      </c>
      <c r="C4844" t="s">
        <v>2186</v>
      </c>
      <c r="D4844" t="s">
        <v>13412</v>
      </c>
    </row>
    <row r="4845" spans="1:4" x14ac:dyDescent="0.25">
      <c r="A4845" s="180">
        <f t="shared" si="75"/>
        <v>5101170</v>
      </c>
      <c r="B4845" t="s">
        <v>2185</v>
      </c>
      <c r="C4845" t="s">
        <v>2186</v>
      </c>
      <c r="D4845" t="s">
        <v>13412</v>
      </c>
    </row>
    <row r="4846" spans="1:4" x14ac:dyDescent="0.25">
      <c r="A4846" s="180">
        <f t="shared" si="75"/>
        <v>5101170</v>
      </c>
      <c r="B4846" t="s">
        <v>2185</v>
      </c>
      <c r="C4846" t="s">
        <v>2186</v>
      </c>
      <c r="D4846" t="s">
        <v>13412</v>
      </c>
    </row>
    <row r="4847" spans="1:4" x14ac:dyDescent="0.25">
      <c r="A4847" s="180">
        <f t="shared" si="75"/>
        <v>5101170</v>
      </c>
      <c r="B4847" t="s">
        <v>2185</v>
      </c>
      <c r="C4847" t="s">
        <v>2186</v>
      </c>
      <c r="D4847" t="s">
        <v>13412</v>
      </c>
    </row>
    <row r="4848" spans="1:4" x14ac:dyDescent="0.25">
      <c r="A4848" s="180">
        <f t="shared" si="75"/>
        <v>5101170</v>
      </c>
      <c r="B4848" t="s">
        <v>2185</v>
      </c>
      <c r="C4848" t="s">
        <v>2186</v>
      </c>
      <c r="D4848" t="s">
        <v>13412</v>
      </c>
    </row>
    <row r="4849" spans="1:4" x14ac:dyDescent="0.25">
      <c r="A4849" s="180">
        <f t="shared" si="75"/>
        <v>5101170</v>
      </c>
      <c r="B4849" t="s">
        <v>2185</v>
      </c>
      <c r="C4849" t="s">
        <v>2186</v>
      </c>
      <c r="D4849" t="s">
        <v>13412</v>
      </c>
    </row>
    <row r="4850" spans="1:4" x14ac:dyDescent="0.25">
      <c r="A4850" s="180">
        <f t="shared" si="75"/>
        <v>5101170</v>
      </c>
      <c r="B4850" t="s">
        <v>2185</v>
      </c>
      <c r="C4850" t="s">
        <v>2186</v>
      </c>
      <c r="D4850" t="s">
        <v>13412</v>
      </c>
    </row>
    <row r="4851" spans="1:4" x14ac:dyDescent="0.25">
      <c r="A4851" s="180">
        <f t="shared" si="75"/>
        <v>5101170</v>
      </c>
      <c r="B4851" t="s">
        <v>2185</v>
      </c>
      <c r="C4851" t="s">
        <v>2186</v>
      </c>
      <c r="D4851" t="s">
        <v>13412</v>
      </c>
    </row>
    <row r="4852" spans="1:4" x14ac:dyDescent="0.25">
      <c r="A4852" s="180">
        <f t="shared" si="75"/>
        <v>5101170</v>
      </c>
      <c r="B4852" t="s">
        <v>2185</v>
      </c>
      <c r="C4852" t="s">
        <v>2186</v>
      </c>
      <c r="D4852" t="s">
        <v>13412</v>
      </c>
    </row>
    <row r="4853" spans="1:4" x14ac:dyDescent="0.25">
      <c r="A4853" s="180">
        <f t="shared" si="75"/>
        <v>5101170</v>
      </c>
      <c r="B4853" t="s">
        <v>2185</v>
      </c>
      <c r="C4853" t="s">
        <v>2186</v>
      </c>
      <c r="D4853" t="s">
        <v>13412</v>
      </c>
    </row>
    <row r="4854" spans="1:4" x14ac:dyDescent="0.25">
      <c r="A4854" s="180">
        <f t="shared" si="75"/>
        <v>5101170</v>
      </c>
      <c r="B4854" t="s">
        <v>2185</v>
      </c>
      <c r="C4854" t="s">
        <v>2186</v>
      </c>
      <c r="D4854" t="s">
        <v>13412</v>
      </c>
    </row>
    <row r="4855" spans="1:4" x14ac:dyDescent="0.25">
      <c r="A4855" s="180">
        <f t="shared" si="75"/>
        <v>5101171</v>
      </c>
      <c r="B4855" t="s">
        <v>2187</v>
      </c>
      <c r="C4855" t="s">
        <v>2188</v>
      </c>
      <c r="D4855" t="s">
        <v>13412</v>
      </c>
    </row>
    <row r="4856" spans="1:4" x14ac:dyDescent="0.25">
      <c r="A4856" s="180">
        <f t="shared" si="75"/>
        <v>5101171</v>
      </c>
      <c r="B4856" t="s">
        <v>2187</v>
      </c>
      <c r="C4856" t="s">
        <v>2188</v>
      </c>
      <c r="D4856" t="s">
        <v>13412</v>
      </c>
    </row>
    <row r="4857" spans="1:4" x14ac:dyDescent="0.25">
      <c r="A4857" s="180">
        <f t="shared" si="75"/>
        <v>5101171</v>
      </c>
      <c r="B4857" t="s">
        <v>2187</v>
      </c>
      <c r="C4857" t="s">
        <v>2188</v>
      </c>
      <c r="D4857" t="s">
        <v>13412</v>
      </c>
    </row>
    <row r="4858" spans="1:4" x14ac:dyDescent="0.25">
      <c r="A4858" s="180">
        <f t="shared" si="75"/>
        <v>5101171</v>
      </c>
      <c r="B4858" t="s">
        <v>2187</v>
      </c>
      <c r="C4858" t="s">
        <v>2188</v>
      </c>
      <c r="D4858" t="s">
        <v>13412</v>
      </c>
    </row>
    <row r="4859" spans="1:4" x14ac:dyDescent="0.25">
      <c r="A4859" s="180">
        <f t="shared" si="75"/>
        <v>5101171</v>
      </c>
      <c r="B4859" t="s">
        <v>2187</v>
      </c>
      <c r="C4859" t="s">
        <v>2188</v>
      </c>
      <c r="D4859" t="s">
        <v>13412</v>
      </c>
    </row>
    <row r="4860" spans="1:4" x14ac:dyDescent="0.25">
      <c r="A4860" s="180">
        <f t="shared" si="75"/>
        <v>5101171</v>
      </c>
      <c r="B4860" t="s">
        <v>2187</v>
      </c>
      <c r="C4860" t="s">
        <v>2188</v>
      </c>
      <c r="D4860" t="s">
        <v>13412</v>
      </c>
    </row>
    <row r="4861" spans="1:4" x14ac:dyDescent="0.25">
      <c r="A4861" s="180">
        <f t="shared" si="75"/>
        <v>5101171</v>
      </c>
      <c r="B4861" t="s">
        <v>2187</v>
      </c>
      <c r="C4861" t="s">
        <v>2188</v>
      </c>
      <c r="D4861" t="s">
        <v>13412</v>
      </c>
    </row>
    <row r="4862" spans="1:4" x14ac:dyDescent="0.25">
      <c r="A4862" s="180">
        <f t="shared" si="75"/>
        <v>5101171</v>
      </c>
      <c r="B4862" t="s">
        <v>2187</v>
      </c>
      <c r="C4862" t="s">
        <v>2188</v>
      </c>
      <c r="D4862" t="s">
        <v>13412</v>
      </c>
    </row>
    <row r="4863" spans="1:4" x14ac:dyDescent="0.25">
      <c r="A4863" s="180">
        <f t="shared" ref="A4863:A4926" si="76">IFERROR(B4863*1,"")</f>
        <v>5101171</v>
      </c>
      <c r="B4863" t="s">
        <v>2187</v>
      </c>
      <c r="C4863" t="s">
        <v>2188</v>
      </c>
      <c r="D4863" t="s">
        <v>13412</v>
      </c>
    </row>
    <row r="4864" spans="1:4" x14ac:dyDescent="0.25">
      <c r="A4864" s="180">
        <f t="shared" si="76"/>
        <v>5101171</v>
      </c>
      <c r="B4864" t="s">
        <v>2187</v>
      </c>
      <c r="C4864" t="s">
        <v>2188</v>
      </c>
      <c r="D4864" t="s">
        <v>13412</v>
      </c>
    </row>
    <row r="4865" spans="1:4" x14ac:dyDescent="0.25">
      <c r="A4865" s="180">
        <f t="shared" si="76"/>
        <v>510117100</v>
      </c>
      <c r="B4865" t="s">
        <v>2189</v>
      </c>
      <c r="C4865" t="s">
        <v>2190</v>
      </c>
    </row>
    <row r="4866" spans="1:4" x14ac:dyDescent="0.25">
      <c r="A4866" s="180">
        <f t="shared" si="76"/>
        <v>5101172</v>
      </c>
      <c r="B4866" t="s">
        <v>2191</v>
      </c>
      <c r="C4866" t="s">
        <v>2192</v>
      </c>
      <c r="D4866" t="s">
        <v>14909</v>
      </c>
    </row>
    <row r="4867" spans="1:4" x14ac:dyDescent="0.25">
      <c r="A4867" s="180">
        <f t="shared" si="76"/>
        <v>5101172</v>
      </c>
      <c r="B4867" t="s">
        <v>2191</v>
      </c>
      <c r="C4867" t="s">
        <v>2192</v>
      </c>
      <c r="D4867" t="s">
        <v>14909</v>
      </c>
    </row>
    <row r="4868" spans="1:4" x14ac:dyDescent="0.25">
      <c r="A4868" s="180">
        <f t="shared" si="76"/>
        <v>5101172</v>
      </c>
      <c r="B4868" t="s">
        <v>2191</v>
      </c>
      <c r="C4868" t="s">
        <v>2192</v>
      </c>
      <c r="D4868" t="s">
        <v>14909</v>
      </c>
    </row>
    <row r="4869" spans="1:4" x14ac:dyDescent="0.25">
      <c r="A4869" s="180">
        <f t="shared" si="76"/>
        <v>5101172</v>
      </c>
      <c r="B4869" t="s">
        <v>2191</v>
      </c>
      <c r="C4869" t="s">
        <v>2192</v>
      </c>
      <c r="D4869" t="s">
        <v>14909</v>
      </c>
    </row>
    <row r="4870" spans="1:4" x14ac:dyDescent="0.25">
      <c r="A4870" s="180">
        <f t="shared" si="76"/>
        <v>5101172</v>
      </c>
      <c r="B4870" t="s">
        <v>2191</v>
      </c>
      <c r="C4870" t="s">
        <v>2192</v>
      </c>
      <c r="D4870" t="s">
        <v>14909</v>
      </c>
    </row>
    <row r="4871" spans="1:4" x14ac:dyDescent="0.25">
      <c r="A4871" s="180">
        <f t="shared" si="76"/>
        <v>5101172</v>
      </c>
      <c r="B4871" t="s">
        <v>2191</v>
      </c>
      <c r="C4871" t="s">
        <v>2192</v>
      </c>
      <c r="D4871" t="s">
        <v>14909</v>
      </c>
    </row>
    <row r="4872" spans="1:4" x14ac:dyDescent="0.25">
      <c r="A4872" s="180">
        <f t="shared" si="76"/>
        <v>5101172</v>
      </c>
      <c r="B4872" t="s">
        <v>2191</v>
      </c>
      <c r="C4872" t="s">
        <v>2192</v>
      </c>
      <c r="D4872" t="s">
        <v>14909</v>
      </c>
    </row>
    <row r="4873" spans="1:4" x14ac:dyDescent="0.25">
      <c r="A4873" s="180">
        <f t="shared" si="76"/>
        <v>5101172</v>
      </c>
      <c r="B4873" t="s">
        <v>2191</v>
      </c>
      <c r="C4873" t="s">
        <v>2192</v>
      </c>
      <c r="D4873" t="s">
        <v>14909</v>
      </c>
    </row>
    <row r="4874" spans="1:4" x14ac:dyDescent="0.25">
      <c r="A4874" s="180">
        <f t="shared" si="76"/>
        <v>5101172</v>
      </c>
      <c r="B4874" t="s">
        <v>2191</v>
      </c>
      <c r="C4874" t="s">
        <v>2192</v>
      </c>
      <c r="D4874" t="s">
        <v>14909</v>
      </c>
    </row>
    <row r="4875" spans="1:4" x14ac:dyDescent="0.25">
      <c r="A4875" s="180">
        <f t="shared" si="76"/>
        <v>5101185</v>
      </c>
      <c r="B4875" t="s">
        <v>2193</v>
      </c>
      <c r="C4875" t="s">
        <v>2194</v>
      </c>
      <c r="D4875" t="s">
        <v>13412</v>
      </c>
    </row>
    <row r="4876" spans="1:4" x14ac:dyDescent="0.25">
      <c r="A4876" s="180">
        <f t="shared" si="76"/>
        <v>5101185</v>
      </c>
      <c r="B4876" t="s">
        <v>2193</v>
      </c>
      <c r="C4876" t="s">
        <v>2194</v>
      </c>
      <c r="D4876" t="s">
        <v>13412</v>
      </c>
    </row>
    <row r="4877" spans="1:4" x14ac:dyDescent="0.25">
      <c r="A4877" s="180">
        <f t="shared" si="76"/>
        <v>5101185</v>
      </c>
      <c r="B4877" t="s">
        <v>2193</v>
      </c>
      <c r="C4877" t="s">
        <v>2194</v>
      </c>
      <c r="D4877" t="s">
        <v>13412</v>
      </c>
    </row>
    <row r="4878" spans="1:4" x14ac:dyDescent="0.25">
      <c r="A4878" s="180">
        <f t="shared" si="76"/>
        <v>5101186</v>
      </c>
      <c r="B4878" t="s">
        <v>2195</v>
      </c>
      <c r="C4878" t="s">
        <v>2196</v>
      </c>
      <c r="D4878" t="s">
        <v>13412</v>
      </c>
    </row>
    <row r="4879" spans="1:4" x14ac:dyDescent="0.25">
      <c r="A4879" s="180">
        <f t="shared" si="76"/>
        <v>5101186</v>
      </c>
      <c r="B4879" t="s">
        <v>2195</v>
      </c>
      <c r="C4879" t="s">
        <v>2196</v>
      </c>
      <c r="D4879" t="s">
        <v>13412</v>
      </c>
    </row>
    <row r="4880" spans="1:4" x14ac:dyDescent="0.25">
      <c r="A4880" s="180">
        <f t="shared" si="76"/>
        <v>5101186</v>
      </c>
      <c r="B4880" t="s">
        <v>2195</v>
      </c>
      <c r="C4880" t="s">
        <v>2196</v>
      </c>
      <c r="D4880" t="s">
        <v>13412</v>
      </c>
    </row>
    <row r="4881" spans="1:4" x14ac:dyDescent="0.25">
      <c r="A4881" s="180">
        <f t="shared" si="76"/>
        <v>5101187</v>
      </c>
      <c r="B4881" t="s">
        <v>2197</v>
      </c>
      <c r="C4881" t="s">
        <v>14023</v>
      </c>
      <c r="D4881" t="s">
        <v>14909</v>
      </c>
    </row>
    <row r="4882" spans="1:4" x14ac:dyDescent="0.25">
      <c r="A4882" s="180">
        <f t="shared" si="76"/>
        <v>5101187</v>
      </c>
      <c r="B4882" t="s">
        <v>2197</v>
      </c>
      <c r="C4882" t="s">
        <v>14023</v>
      </c>
      <c r="D4882" t="s">
        <v>14909</v>
      </c>
    </row>
    <row r="4883" spans="1:4" x14ac:dyDescent="0.25">
      <c r="A4883" s="180">
        <f t="shared" si="76"/>
        <v>5101187</v>
      </c>
      <c r="B4883" t="s">
        <v>2197</v>
      </c>
      <c r="C4883" t="s">
        <v>14023</v>
      </c>
      <c r="D4883" t="s">
        <v>14909</v>
      </c>
    </row>
    <row r="4884" spans="1:4" x14ac:dyDescent="0.25">
      <c r="A4884" s="180">
        <f t="shared" si="76"/>
        <v>5101187</v>
      </c>
      <c r="B4884" t="s">
        <v>2197</v>
      </c>
      <c r="C4884" t="s">
        <v>14023</v>
      </c>
      <c r="D4884" t="s">
        <v>14909</v>
      </c>
    </row>
    <row r="4885" spans="1:4" x14ac:dyDescent="0.25">
      <c r="A4885" s="180">
        <f t="shared" si="76"/>
        <v>5101187</v>
      </c>
      <c r="B4885" t="s">
        <v>2197</v>
      </c>
      <c r="C4885" t="s">
        <v>14023</v>
      </c>
      <c r="D4885" t="s">
        <v>14909</v>
      </c>
    </row>
    <row r="4886" spans="1:4" x14ac:dyDescent="0.25">
      <c r="A4886" s="180">
        <f t="shared" si="76"/>
        <v>5101187</v>
      </c>
      <c r="B4886" t="s">
        <v>2197</v>
      </c>
      <c r="C4886" t="s">
        <v>14023</v>
      </c>
      <c r="D4886" t="s">
        <v>14909</v>
      </c>
    </row>
    <row r="4887" spans="1:4" x14ac:dyDescent="0.25">
      <c r="A4887" s="180">
        <f t="shared" si="76"/>
        <v>5101187</v>
      </c>
      <c r="B4887" t="s">
        <v>2197</v>
      </c>
      <c r="C4887" t="s">
        <v>14023</v>
      </c>
      <c r="D4887" t="s">
        <v>14909</v>
      </c>
    </row>
    <row r="4888" spans="1:4" x14ac:dyDescent="0.25">
      <c r="A4888" s="180">
        <f t="shared" si="76"/>
        <v>5101187</v>
      </c>
      <c r="B4888" t="s">
        <v>2197</v>
      </c>
      <c r="C4888" t="s">
        <v>14023</v>
      </c>
      <c r="D4888" t="s">
        <v>14909</v>
      </c>
    </row>
    <row r="4889" spans="1:4" x14ac:dyDescent="0.25">
      <c r="A4889" s="180">
        <f t="shared" si="76"/>
        <v>5101188</v>
      </c>
      <c r="B4889" t="s">
        <v>2198</v>
      </c>
      <c r="C4889" t="s">
        <v>14024</v>
      </c>
      <c r="D4889" t="s">
        <v>13412</v>
      </c>
    </row>
    <row r="4890" spans="1:4" x14ac:dyDescent="0.25">
      <c r="A4890" s="180">
        <f t="shared" si="76"/>
        <v>5101188</v>
      </c>
      <c r="B4890" t="s">
        <v>2198</v>
      </c>
      <c r="C4890" t="s">
        <v>14024</v>
      </c>
      <c r="D4890" t="s">
        <v>13412</v>
      </c>
    </row>
    <row r="4891" spans="1:4" x14ac:dyDescent="0.25">
      <c r="A4891" s="180">
        <f t="shared" si="76"/>
        <v>5101189</v>
      </c>
      <c r="B4891" t="s">
        <v>12788</v>
      </c>
      <c r="C4891" t="s">
        <v>12789</v>
      </c>
      <c r="D4891" t="s">
        <v>14952</v>
      </c>
    </row>
    <row r="4892" spans="1:4" x14ac:dyDescent="0.25">
      <c r="A4892" s="180">
        <f t="shared" si="76"/>
        <v>5101190</v>
      </c>
      <c r="B4892" t="s">
        <v>2199</v>
      </c>
      <c r="C4892" t="s">
        <v>2200</v>
      </c>
      <c r="D4892" t="s">
        <v>13412</v>
      </c>
    </row>
    <row r="4893" spans="1:4" x14ac:dyDescent="0.25">
      <c r="A4893" s="180">
        <f t="shared" si="76"/>
        <v>5101190</v>
      </c>
      <c r="B4893" t="s">
        <v>2199</v>
      </c>
      <c r="C4893" t="s">
        <v>2200</v>
      </c>
      <c r="D4893" t="s">
        <v>13412</v>
      </c>
    </row>
    <row r="4894" spans="1:4" x14ac:dyDescent="0.25">
      <c r="A4894" s="180">
        <f t="shared" si="76"/>
        <v>5101190</v>
      </c>
      <c r="B4894" t="s">
        <v>2199</v>
      </c>
      <c r="C4894" t="s">
        <v>2200</v>
      </c>
      <c r="D4894" t="s">
        <v>13412</v>
      </c>
    </row>
    <row r="4895" spans="1:4" x14ac:dyDescent="0.25">
      <c r="A4895" s="180">
        <f t="shared" si="76"/>
        <v>5101190</v>
      </c>
      <c r="B4895" t="s">
        <v>2199</v>
      </c>
      <c r="C4895" t="s">
        <v>2200</v>
      </c>
      <c r="D4895" t="s">
        <v>13412</v>
      </c>
    </row>
    <row r="4896" spans="1:4" x14ac:dyDescent="0.25">
      <c r="A4896" s="180">
        <f t="shared" si="76"/>
        <v>5101190</v>
      </c>
      <c r="B4896" t="s">
        <v>2199</v>
      </c>
      <c r="C4896" t="s">
        <v>2200</v>
      </c>
      <c r="D4896" t="s">
        <v>13412</v>
      </c>
    </row>
    <row r="4897" spans="1:4" x14ac:dyDescent="0.25">
      <c r="A4897" s="180">
        <f t="shared" si="76"/>
        <v>5101191</v>
      </c>
      <c r="B4897" t="s">
        <v>2201</v>
      </c>
      <c r="C4897" t="s">
        <v>2202</v>
      </c>
      <c r="D4897" t="s">
        <v>13412</v>
      </c>
    </row>
    <row r="4898" spans="1:4" x14ac:dyDescent="0.25">
      <c r="A4898" s="180">
        <f t="shared" si="76"/>
        <v>5101191</v>
      </c>
      <c r="B4898" t="s">
        <v>2201</v>
      </c>
      <c r="C4898" t="s">
        <v>2202</v>
      </c>
      <c r="D4898" t="s">
        <v>13412</v>
      </c>
    </row>
    <row r="4899" spans="1:4" x14ac:dyDescent="0.25">
      <c r="A4899" s="180">
        <f t="shared" si="76"/>
        <v>5101191</v>
      </c>
      <c r="B4899" t="s">
        <v>2201</v>
      </c>
      <c r="C4899" t="s">
        <v>2202</v>
      </c>
      <c r="D4899" t="s">
        <v>13412</v>
      </c>
    </row>
    <row r="4900" spans="1:4" x14ac:dyDescent="0.25">
      <c r="A4900" s="180">
        <f t="shared" si="76"/>
        <v>5101192</v>
      </c>
      <c r="B4900" t="s">
        <v>2203</v>
      </c>
      <c r="C4900" t="s">
        <v>14025</v>
      </c>
      <c r="D4900" t="s">
        <v>14909</v>
      </c>
    </row>
    <row r="4901" spans="1:4" x14ac:dyDescent="0.25">
      <c r="A4901" s="180">
        <f t="shared" si="76"/>
        <v>5101192</v>
      </c>
      <c r="B4901" t="s">
        <v>2203</v>
      </c>
      <c r="C4901" t="s">
        <v>14025</v>
      </c>
      <c r="D4901" t="s">
        <v>14909</v>
      </c>
    </row>
    <row r="4902" spans="1:4" x14ac:dyDescent="0.25">
      <c r="A4902" s="180">
        <f t="shared" si="76"/>
        <v>5101192</v>
      </c>
      <c r="B4902" t="s">
        <v>2203</v>
      </c>
      <c r="C4902" t="s">
        <v>14025</v>
      </c>
      <c r="D4902" t="s">
        <v>14909</v>
      </c>
    </row>
    <row r="4903" spans="1:4" x14ac:dyDescent="0.25">
      <c r="A4903" s="180">
        <f t="shared" si="76"/>
        <v>5101192</v>
      </c>
      <c r="B4903" t="s">
        <v>2203</v>
      </c>
      <c r="C4903" t="s">
        <v>14025</v>
      </c>
      <c r="D4903" t="s">
        <v>14909</v>
      </c>
    </row>
    <row r="4904" spans="1:4" x14ac:dyDescent="0.25">
      <c r="A4904" s="180">
        <f t="shared" si="76"/>
        <v>5101192</v>
      </c>
      <c r="B4904" t="s">
        <v>2203</v>
      </c>
      <c r="C4904" t="s">
        <v>14025</v>
      </c>
      <c r="D4904" t="s">
        <v>14909</v>
      </c>
    </row>
    <row r="4905" spans="1:4" x14ac:dyDescent="0.25">
      <c r="A4905" s="180">
        <f t="shared" si="76"/>
        <v>5101192</v>
      </c>
      <c r="B4905" t="s">
        <v>2203</v>
      </c>
      <c r="C4905" t="s">
        <v>14025</v>
      </c>
      <c r="D4905" t="s">
        <v>14909</v>
      </c>
    </row>
    <row r="4906" spans="1:4" x14ac:dyDescent="0.25">
      <c r="A4906" s="180">
        <f t="shared" si="76"/>
        <v>5101193</v>
      </c>
      <c r="B4906" t="s">
        <v>2204</v>
      </c>
      <c r="C4906" t="s">
        <v>14026</v>
      </c>
      <c r="D4906" t="s">
        <v>13412</v>
      </c>
    </row>
    <row r="4907" spans="1:4" x14ac:dyDescent="0.25">
      <c r="A4907" s="180">
        <f t="shared" si="76"/>
        <v>5101193</v>
      </c>
      <c r="B4907" t="s">
        <v>2204</v>
      </c>
      <c r="C4907" t="s">
        <v>14026</v>
      </c>
      <c r="D4907" t="s">
        <v>13412</v>
      </c>
    </row>
    <row r="4908" spans="1:4" x14ac:dyDescent="0.25">
      <c r="A4908" s="180">
        <f t="shared" si="76"/>
        <v>5101195</v>
      </c>
      <c r="B4908" t="s">
        <v>2205</v>
      </c>
      <c r="C4908" t="s">
        <v>2206</v>
      </c>
      <c r="D4908" t="s">
        <v>13412</v>
      </c>
    </row>
    <row r="4909" spans="1:4" x14ac:dyDescent="0.25">
      <c r="A4909" s="180">
        <f t="shared" si="76"/>
        <v>5101195</v>
      </c>
      <c r="B4909" t="s">
        <v>2205</v>
      </c>
      <c r="C4909" t="s">
        <v>2206</v>
      </c>
      <c r="D4909" t="s">
        <v>13412</v>
      </c>
    </row>
    <row r="4910" spans="1:4" x14ac:dyDescent="0.25">
      <c r="A4910" s="180">
        <f t="shared" si="76"/>
        <v>5101195</v>
      </c>
      <c r="B4910" t="s">
        <v>2205</v>
      </c>
      <c r="C4910" t="s">
        <v>2206</v>
      </c>
      <c r="D4910" t="s">
        <v>13412</v>
      </c>
    </row>
    <row r="4911" spans="1:4" x14ac:dyDescent="0.25">
      <c r="A4911" s="180">
        <f t="shared" si="76"/>
        <v>5101195</v>
      </c>
      <c r="B4911" t="s">
        <v>2205</v>
      </c>
      <c r="C4911" t="s">
        <v>2206</v>
      </c>
      <c r="D4911" t="s">
        <v>13412</v>
      </c>
    </row>
    <row r="4912" spans="1:4" x14ac:dyDescent="0.25">
      <c r="A4912" s="180">
        <f t="shared" si="76"/>
        <v>5101195</v>
      </c>
      <c r="B4912" t="s">
        <v>2205</v>
      </c>
      <c r="C4912" t="s">
        <v>2206</v>
      </c>
      <c r="D4912" t="s">
        <v>13412</v>
      </c>
    </row>
    <row r="4913" spans="1:4" x14ac:dyDescent="0.25">
      <c r="A4913" s="180">
        <f t="shared" si="76"/>
        <v>5101196</v>
      </c>
      <c r="B4913" t="s">
        <v>2207</v>
      </c>
      <c r="C4913" t="s">
        <v>2208</v>
      </c>
      <c r="D4913" t="s">
        <v>13412</v>
      </c>
    </row>
    <row r="4914" spans="1:4" x14ac:dyDescent="0.25">
      <c r="A4914" s="180">
        <f t="shared" si="76"/>
        <v>5101196</v>
      </c>
      <c r="B4914" t="s">
        <v>2207</v>
      </c>
      <c r="C4914" t="s">
        <v>2208</v>
      </c>
      <c r="D4914" t="s">
        <v>13412</v>
      </c>
    </row>
    <row r="4915" spans="1:4" x14ac:dyDescent="0.25">
      <c r="A4915" s="180">
        <f t="shared" si="76"/>
        <v>5101196</v>
      </c>
      <c r="B4915" t="s">
        <v>2207</v>
      </c>
      <c r="C4915" t="s">
        <v>2208</v>
      </c>
      <c r="D4915" t="s">
        <v>13412</v>
      </c>
    </row>
    <row r="4916" spans="1:4" x14ac:dyDescent="0.25">
      <c r="A4916" s="180">
        <f t="shared" si="76"/>
        <v>5101196</v>
      </c>
      <c r="B4916" t="s">
        <v>2207</v>
      </c>
      <c r="C4916" t="s">
        <v>2208</v>
      </c>
      <c r="D4916" t="s">
        <v>13412</v>
      </c>
    </row>
    <row r="4917" spans="1:4" x14ac:dyDescent="0.25">
      <c r="A4917" s="180">
        <f t="shared" si="76"/>
        <v>5101196</v>
      </c>
      <c r="B4917" t="s">
        <v>2207</v>
      </c>
      <c r="C4917" t="s">
        <v>2208</v>
      </c>
      <c r="D4917" t="s">
        <v>13412</v>
      </c>
    </row>
    <row r="4918" spans="1:4" x14ac:dyDescent="0.25">
      <c r="A4918" s="180">
        <f t="shared" si="76"/>
        <v>5101200</v>
      </c>
      <c r="B4918" t="s">
        <v>2209</v>
      </c>
      <c r="C4918" t="s">
        <v>2210</v>
      </c>
      <c r="D4918" t="s">
        <v>13411</v>
      </c>
    </row>
    <row r="4919" spans="1:4" x14ac:dyDescent="0.25">
      <c r="A4919" s="180">
        <f t="shared" si="76"/>
        <v>5101200</v>
      </c>
      <c r="B4919" t="s">
        <v>2209</v>
      </c>
      <c r="C4919" t="s">
        <v>2210</v>
      </c>
      <c r="D4919" t="s">
        <v>13411</v>
      </c>
    </row>
    <row r="4920" spans="1:4" x14ac:dyDescent="0.25">
      <c r="A4920" s="180">
        <f t="shared" si="76"/>
        <v>5101202</v>
      </c>
      <c r="B4920" t="s">
        <v>2211</v>
      </c>
      <c r="C4920" t="s">
        <v>2212</v>
      </c>
    </row>
    <row r="4921" spans="1:4" x14ac:dyDescent="0.25">
      <c r="A4921" s="180">
        <f t="shared" si="76"/>
        <v>5101203</v>
      </c>
      <c r="B4921" t="s">
        <v>2213</v>
      </c>
      <c r="C4921" t="s">
        <v>2214</v>
      </c>
    </row>
    <row r="4922" spans="1:4" x14ac:dyDescent="0.25">
      <c r="A4922" s="180">
        <f t="shared" si="76"/>
        <v>5101204</v>
      </c>
      <c r="B4922" t="s">
        <v>2215</v>
      </c>
      <c r="C4922" t="s">
        <v>2216</v>
      </c>
      <c r="D4922" t="s">
        <v>13411</v>
      </c>
    </row>
    <row r="4923" spans="1:4" x14ac:dyDescent="0.25">
      <c r="A4923" s="180">
        <f t="shared" si="76"/>
        <v>5101204</v>
      </c>
      <c r="B4923" t="s">
        <v>2215</v>
      </c>
      <c r="C4923" t="s">
        <v>2216</v>
      </c>
      <c r="D4923" t="s">
        <v>13411</v>
      </c>
    </row>
    <row r="4924" spans="1:4" x14ac:dyDescent="0.25">
      <c r="A4924" s="180">
        <f t="shared" si="76"/>
        <v>5101204</v>
      </c>
      <c r="B4924" t="s">
        <v>2215</v>
      </c>
      <c r="C4924" t="s">
        <v>2216</v>
      </c>
      <c r="D4924" t="s">
        <v>13411</v>
      </c>
    </row>
    <row r="4925" spans="1:4" x14ac:dyDescent="0.25">
      <c r="A4925" s="180">
        <f t="shared" si="76"/>
        <v>5101204</v>
      </c>
      <c r="B4925" t="s">
        <v>2215</v>
      </c>
      <c r="C4925" t="s">
        <v>2216</v>
      </c>
      <c r="D4925" t="s">
        <v>13411</v>
      </c>
    </row>
    <row r="4926" spans="1:4" x14ac:dyDescent="0.25">
      <c r="A4926" s="180">
        <f t="shared" si="76"/>
        <v>5101204</v>
      </c>
      <c r="B4926" t="s">
        <v>2215</v>
      </c>
      <c r="C4926" t="s">
        <v>2216</v>
      </c>
      <c r="D4926" t="s">
        <v>13411</v>
      </c>
    </row>
    <row r="4927" spans="1:4" x14ac:dyDescent="0.25">
      <c r="A4927" s="180">
        <f t="shared" ref="A4927:A4990" si="77">IFERROR(B4927*1,"")</f>
        <v>5101204</v>
      </c>
      <c r="B4927" t="s">
        <v>2215</v>
      </c>
      <c r="C4927" t="s">
        <v>2216</v>
      </c>
      <c r="D4927" t="s">
        <v>13411</v>
      </c>
    </row>
    <row r="4928" spans="1:4" x14ac:dyDescent="0.25">
      <c r="A4928" s="180">
        <f t="shared" si="77"/>
        <v>5101204</v>
      </c>
      <c r="B4928" t="s">
        <v>2215</v>
      </c>
      <c r="C4928" t="s">
        <v>2216</v>
      </c>
      <c r="D4928" t="s">
        <v>13411</v>
      </c>
    </row>
    <row r="4929" spans="1:4" x14ac:dyDescent="0.25">
      <c r="A4929" s="180">
        <f t="shared" si="77"/>
        <v>5101205</v>
      </c>
      <c r="B4929" t="s">
        <v>2217</v>
      </c>
      <c r="C4929" t="s">
        <v>2218</v>
      </c>
      <c r="D4929" t="s">
        <v>13411</v>
      </c>
    </row>
    <row r="4930" spans="1:4" x14ac:dyDescent="0.25">
      <c r="A4930" s="180">
        <f t="shared" si="77"/>
        <v>5101206</v>
      </c>
      <c r="B4930" t="s">
        <v>2219</v>
      </c>
      <c r="C4930" t="s">
        <v>2220</v>
      </c>
    </row>
    <row r="4931" spans="1:4" x14ac:dyDescent="0.25">
      <c r="A4931" s="180">
        <f t="shared" si="77"/>
        <v>5101210</v>
      </c>
      <c r="B4931" t="s">
        <v>2221</v>
      </c>
      <c r="C4931" t="s">
        <v>12790</v>
      </c>
      <c r="D4931" t="s">
        <v>13412</v>
      </c>
    </row>
    <row r="4932" spans="1:4" x14ac:dyDescent="0.25">
      <c r="A4932" s="180">
        <f t="shared" si="77"/>
        <v>5101210</v>
      </c>
      <c r="B4932" t="s">
        <v>2221</v>
      </c>
      <c r="C4932" t="s">
        <v>12790</v>
      </c>
      <c r="D4932" t="s">
        <v>13412</v>
      </c>
    </row>
    <row r="4933" spans="1:4" x14ac:dyDescent="0.25">
      <c r="A4933" s="180">
        <f t="shared" si="77"/>
        <v>5101210</v>
      </c>
      <c r="B4933" t="s">
        <v>2221</v>
      </c>
      <c r="C4933" t="s">
        <v>12790</v>
      </c>
      <c r="D4933" t="s">
        <v>13412</v>
      </c>
    </row>
    <row r="4934" spans="1:4" x14ac:dyDescent="0.25">
      <c r="A4934" s="180">
        <f t="shared" si="77"/>
        <v>5101210</v>
      </c>
      <c r="B4934" t="s">
        <v>2221</v>
      </c>
      <c r="C4934" t="s">
        <v>12790</v>
      </c>
      <c r="D4934" t="s">
        <v>13412</v>
      </c>
    </row>
    <row r="4935" spans="1:4" x14ac:dyDescent="0.25">
      <c r="A4935" s="180">
        <f t="shared" si="77"/>
        <v>5101210</v>
      </c>
      <c r="B4935" t="s">
        <v>2221</v>
      </c>
      <c r="C4935" t="s">
        <v>12790</v>
      </c>
      <c r="D4935" t="s">
        <v>13412</v>
      </c>
    </row>
    <row r="4936" spans="1:4" x14ac:dyDescent="0.25">
      <c r="A4936" s="180">
        <f t="shared" si="77"/>
        <v>5101220</v>
      </c>
      <c r="B4936" t="s">
        <v>2222</v>
      </c>
      <c r="C4936" t="s">
        <v>12791</v>
      </c>
      <c r="D4936" t="s">
        <v>14909</v>
      </c>
    </row>
    <row r="4937" spans="1:4" x14ac:dyDescent="0.25">
      <c r="A4937" s="180">
        <f t="shared" si="77"/>
        <v>5101220</v>
      </c>
      <c r="B4937" t="s">
        <v>2222</v>
      </c>
      <c r="C4937" t="s">
        <v>12791</v>
      </c>
      <c r="D4937" t="s">
        <v>14909</v>
      </c>
    </row>
    <row r="4938" spans="1:4" x14ac:dyDescent="0.25">
      <c r="A4938" s="180">
        <f t="shared" si="77"/>
        <v>5101220</v>
      </c>
      <c r="B4938" t="s">
        <v>2222</v>
      </c>
      <c r="C4938" t="s">
        <v>12791</v>
      </c>
      <c r="D4938" t="s">
        <v>14909</v>
      </c>
    </row>
    <row r="4939" spans="1:4" x14ac:dyDescent="0.25">
      <c r="A4939" s="180">
        <f t="shared" si="77"/>
        <v>5101221</v>
      </c>
      <c r="B4939" t="s">
        <v>2223</v>
      </c>
      <c r="C4939" t="s">
        <v>2224</v>
      </c>
      <c r="D4939" t="s">
        <v>13412</v>
      </c>
    </row>
    <row r="4940" spans="1:4" x14ac:dyDescent="0.25">
      <c r="A4940" s="180">
        <f t="shared" si="77"/>
        <v>5101221</v>
      </c>
      <c r="B4940" t="s">
        <v>2223</v>
      </c>
      <c r="C4940" t="s">
        <v>2224</v>
      </c>
      <c r="D4940" t="s">
        <v>13412</v>
      </c>
    </row>
    <row r="4941" spans="1:4" x14ac:dyDescent="0.25">
      <c r="A4941" s="180">
        <f t="shared" si="77"/>
        <v>5101223</v>
      </c>
      <c r="B4941" t="s">
        <v>2225</v>
      </c>
      <c r="C4941" t="s">
        <v>2226</v>
      </c>
      <c r="D4941" t="s">
        <v>13412</v>
      </c>
    </row>
    <row r="4942" spans="1:4" x14ac:dyDescent="0.25">
      <c r="A4942" s="180">
        <f t="shared" si="77"/>
        <v>5101223</v>
      </c>
      <c r="B4942" t="s">
        <v>2225</v>
      </c>
      <c r="C4942" t="s">
        <v>2226</v>
      </c>
      <c r="D4942" t="s">
        <v>13412</v>
      </c>
    </row>
    <row r="4943" spans="1:4" x14ac:dyDescent="0.25">
      <c r="A4943" s="180">
        <f t="shared" si="77"/>
        <v>5101230</v>
      </c>
      <c r="B4943" t="s">
        <v>2227</v>
      </c>
      <c r="C4943" t="s">
        <v>2228</v>
      </c>
      <c r="D4943" t="s">
        <v>13411</v>
      </c>
    </row>
    <row r="4944" spans="1:4" x14ac:dyDescent="0.25">
      <c r="A4944" s="180">
        <f t="shared" si="77"/>
        <v>5101230</v>
      </c>
      <c r="B4944" t="s">
        <v>2227</v>
      </c>
      <c r="C4944" t="s">
        <v>2228</v>
      </c>
      <c r="D4944" t="s">
        <v>13411</v>
      </c>
    </row>
    <row r="4945" spans="1:4" x14ac:dyDescent="0.25">
      <c r="A4945" s="180">
        <f t="shared" si="77"/>
        <v>5101230</v>
      </c>
      <c r="B4945" t="s">
        <v>2227</v>
      </c>
      <c r="C4945" t="s">
        <v>2228</v>
      </c>
      <c r="D4945" t="s">
        <v>13411</v>
      </c>
    </row>
    <row r="4946" spans="1:4" x14ac:dyDescent="0.25">
      <c r="A4946" s="180">
        <f t="shared" si="77"/>
        <v>5101230</v>
      </c>
      <c r="B4946" t="s">
        <v>2227</v>
      </c>
      <c r="C4946" t="s">
        <v>2228</v>
      </c>
      <c r="D4946" t="s">
        <v>13411</v>
      </c>
    </row>
    <row r="4947" spans="1:4" x14ac:dyDescent="0.25">
      <c r="A4947" s="180">
        <f t="shared" si="77"/>
        <v>5101230</v>
      </c>
      <c r="B4947" t="s">
        <v>2227</v>
      </c>
      <c r="C4947" t="s">
        <v>2228</v>
      </c>
      <c r="D4947" t="s">
        <v>13411</v>
      </c>
    </row>
    <row r="4948" spans="1:4" x14ac:dyDescent="0.25">
      <c r="A4948" s="180">
        <f t="shared" si="77"/>
        <v>5101230</v>
      </c>
      <c r="B4948" t="s">
        <v>2227</v>
      </c>
      <c r="C4948" t="s">
        <v>2228</v>
      </c>
      <c r="D4948" t="s">
        <v>13411</v>
      </c>
    </row>
    <row r="4949" spans="1:4" x14ac:dyDescent="0.25">
      <c r="A4949" s="180">
        <f t="shared" si="77"/>
        <v>5101231</v>
      </c>
      <c r="B4949" t="s">
        <v>2229</v>
      </c>
      <c r="C4949" t="s">
        <v>2230</v>
      </c>
    </row>
    <row r="4950" spans="1:4" x14ac:dyDescent="0.25">
      <c r="A4950" s="180">
        <f t="shared" si="77"/>
        <v>5101234</v>
      </c>
      <c r="B4950" t="s">
        <v>2231</v>
      </c>
      <c r="C4950" t="s">
        <v>2232</v>
      </c>
      <c r="D4950" t="s">
        <v>13411</v>
      </c>
    </row>
    <row r="4951" spans="1:4" x14ac:dyDescent="0.25">
      <c r="A4951" s="180">
        <f t="shared" si="77"/>
        <v>5101234</v>
      </c>
      <c r="B4951" t="s">
        <v>2231</v>
      </c>
      <c r="C4951" t="s">
        <v>2232</v>
      </c>
      <c r="D4951" t="s">
        <v>13411</v>
      </c>
    </row>
    <row r="4952" spans="1:4" x14ac:dyDescent="0.25">
      <c r="A4952" s="180">
        <f t="shared" si="77"/>
        <v>5101234</v>
      </c>
      <c r="B4952" t="s">
        <v>2231</v>
      </c>
      <c r="C4952" t="s">
        <v>2232</v>
      </c>
      <c r="D4952" t="s">
        <v>13411</v>
      </c>
    </row>
    <row r="4953" spans="1:4" x14ac:dyDescent="0.25">
      <c r="A4953" s="180">
        <f t="shared" si="77"/>
        <v>5101234</v>
      </c>
      <c r="B4953" t="s">
        <v>2231</v>
      </c>
      <c r="C4953" t="s">
        <v>2232</v>
      </c>
      <c r="D4953" t="s">
        <v>13411</v>
      </c>
    </row>
    <row r="4954" spans="1:4" x14ac:dyDescent="0.25">
      <c r="A4954" s="180">
        <f t="shared" si="77"/>
        <v>5101234</v>
      </c>
      <c r="B4954" t="s">
        <v>2231</v>
      </c>
      <c r="C4954" t="s">
        <v>2232</v>
      </c>
      <c r="D4954" t="s">
        <v>13411</v>
      </c>
    </row>
    <row r="4955" spans="1:4" x14ac:dyDescent="0.25">
      <c r="A4955" s="180">
        <f t="shared" si="77"/>
        <v>5101234</v>
      </c>
      <c r="B4955" t="s">
        <v>2231</v>
      </c>
      <c r="C4955" t="s">
        <v>2232</v>
      </c>
      <c r="D4955" t="s">
        <v>13411</v>
      </c>
    </row>
    <row r="4956" spans="1:4" x14ac:dyDescent="0.25">
      <c r="A4956" s="180">
        <f t="shared" si="77"/>
        <v>5101235</v>
      </c>
      <c r="B4956" t="s">
        <v>2233</v>
      </c>
      <c r="C4956" t="s">
        <v>14260</v>
      </c>
      <c r="D4956" t="s">
        <v>13411</v>
      </c>
    </row>
    <row r="4957" spans="1:4" x14ac:dyDescent="0.25">
      <c r="A4957" s="180">
        <f t="shared" si="77"/>
        <v>5101235</v>
      </c>
      <c r="B4957" t="s">
        <v>2233</v>
      </c>
      <c r="C4957" t="s">
        <v>14260</v>
      </c>
      <c r="D4957" t="s">
        <v>13411</v>
      </c>
    </row>
    <row r="4958" spans="1:4" x14ac:dyDescent="0.25">
      <c r="A4958" s="180">
        <f t="shared" si="77"/>
        <v>5101235</v>
      </c>
      <c r="B4958" t="s">
        <v>2233</v>
      </c>
      <c r="C4958" t="s">
        <v>14260</v>
      </c>
      <c r="D4958" t="s">
        <v>13411</v>
      </c>
    </row>
    <row r="4959" spans="1:4" x14ac:dyDescent="0.25">
      <c r="A4959" s="180">
        <f t="shared" si="77"/>
        <v>5101235</v>
      </c>
      <c r="B4959" t="s">
        <v>2233</v>
      </c>
      <c r="C4959" t="s">
        <v>14260</v>
      </c>
      <c r="D4959" t="s">
        <v>13411</v>
      </c>
    </row>
    <row r="4960" spans="1:4" x14ac:dyDescent="0.25">
      <c r="A4960" s="180">
        <f t="shared" si="77"/>
        <v>5101236</v>
      </c>
      <c r="B4960" t="s">
        <v>14486</v>
      </c>
      <c r="C4960" t="s">
        <v>14487</v>
      </c>
    </row>
    <row r="4961" spans="1:4" x14ac:dyDescent="0.25">
      <c r="A4961" s="180">
        <f t="shared" si="77"/>
        <v>5101237</v>
      </c>
      <c r="B4961" t="s">
        <v>14488</v>
      </c>
      <c r="C4961" t="s">
        <v>14489</v>
      </c>
    </row>
    <row r="4962" spans="1:4" x14ac:dyDescent="0.25">
      <c r="A4962" s="180">
        <f t="shared" si="77"/>
        <v>5101238</v>
      </c>
      <c r="B4962" t="s">
        <v>14490</v>
      </c>
      <c r="C4962" t="s">
        <v>14491</v>
      </c>
    </row>
    <row r="4963" spans="1:4" x14ac:dyDescent="0.25">
      <c r="A4963" s="180">
        <f t="shared" si="77"/>
        <v>5101239</v>
      </c>
      <c r="B4963" t="s">
        <v>2234</v>
      </c>
      <c r="C4963" t="s">
        <v>2235</v>
      </c>
    </row>
    <row r="4964" spans="1:4" x14ac:dyDescent="0.25">
      <c r="A4964" s="180">
        <f t="shared" si="77"/>
        <v>5101240</v>
      </c>
      <c r="B4964" t="s">
        <v>2236</v>
      </c>
      <c r="C4964" t="s">
        <v>2237</v>
      </c>
    </row>
    <row r="4965" spans="1:4" x14ac:dyDescent="0.25">
      <c r="A4965" s="180">
        <f t="shared" si="77"/>
        <v>5101241</v>
      </c>
      <c r="B4965" t="s">
        <v>2238</v>
      </c>
      <c r="C4965" t="s">
        <v>2239</v>
      </c>
    </row>
    <row r="4966" spans="1:4" x14ac:dyDescent="0.25">
      <c r="A4966" s="180">
        <f t="shared" si="77"/>
        <v>5101252</v>
      </c>
      <c r="B4966" t="s">
        <v>2240</v>
      </c>
      <c r="C4966" t="s">
        <v>2241</v>
      </c>
    </row>
    <row r="4967" spans="1:4" x14ac:dyDescent="0.25">
      <c r="A4967" s="180">
        <f t="shared" si="77"/>
        <v>5101301</v>
      </c>
      <c r="B4967" t="s">
        <v>2242</v>
      </c>
      <c r="C4967" t="s">
        <v>2243</v>
      </c>
      <c r="D4967" t="s">
        <v>13412</v>
      </c>
    </row>
    <row r="4968" spans="1:4" x14ac:dyDescent="0.25">
      <c r="A4968" s="180">
        <f t="shared" si="77"/>
        <v>5101301</v>
      </c>
      <c r="B4968" t="s">
        <v>2242</v>
      </c>
      <c r="C4968" t="s">
        <v>2243</v>
      </c>
      <c r="D4968" t="s">
        <v>13412</v>
      </c>
    </row>
    <row r="4969" spans="1:4" x14ac:dyDescent="0.25">
      <c r="A4969" s="180">
        <f t="shared" si="77"/>
        <v>5101310</v>
      </c>
      <c r="B4969" t="s">
        <v>2244</v>
      </c>
      <c r="C4969" t="s">
        <v>12792</v>
      </c>
      <c r="D4969" t="s">
        <v>13412</v>
      </c>
    </row>
    <row r="4970" spans="1:4" x14ac:dyDescent="0.25">
      <c r="A4970" s="180">
        <f t="shared" si="77"/>
        <v>5101310</v>
      </c>
      <c r="B4970" t="s">
        <v>2244</v>
      </c>
      <c r="C4970" t="s">
        <v>12792</v>
      </c>
      <c r="D4970" t="s">
        <v>13412</v>
      </c>
    </row>
    <row r="4971" spans="1:4" x14ac:dyDescent="0.25">
      <c r="A4971" s="180">
        <f t="shared" si="77"/>
        <v>5101310</v>
      </c>
      <c r="B4971" t="s">
        <v>2244</v>
      </c>
      <c r="C4971" t="s">
        <v>12792</v>
      </c>
      <c r="D4971" t="s">
        <v>13412</v>
      </c>
    </row>
    <row r="4972" spans="1:4" x14ac:dyDescent="0.25">
      <c r="A4972" s="180">
        <f t="shared" si="77"/>
        <v>5101310</v>
      </c>
      <c r="B4972" t="s">
        <v>2244</v>
      </c>
      <c r="C4972" t="s">
        <v>12792</v>
      </c>
      <c r="D4972" t="s">
        <v>13412</v>
      </c>
    </row>
    <row r="4973" spans="1:4" x14ac:dyDescent="0.25">
      <c r="A4973" s="180">
        <f t="shared" si="77"/>
        <v>5101320</v>
      </c>
      <c r="B4973" t="s">
        <v>2245</v>
      </c>
      <c r="C4973" t="s">
        <v>2246</v>
      </c>
    </row>
    <row r="4974" spans="1:4" x14ac:dyDescent="0.25">
      <c r="A4974" s="180">
        <f t="shared" si="77"/>
        <v>5101325</v>
      </c>
      <c r="B4974" t="s">
        <v>2247</v>
      </c>
      <c r="C4974" t="s">
        <v>14958</v>
      </c>
      <c r="D4974" t="s">
        <v>13412</v>
      </c>
    </row>
    <row r="4975" spans="1:4" x14ac:dyDescent="0.25">
      <c r="A4975" s="180">
        <f t="shared" si="77"/>
        <v>5101326</v>
      </c>
      <c r="B4975" t="s">
        <v>14027</v>
      </c>
      <c r="C4975" t="s">
        <v>14028</v>
      </c>
    </row>
    <row r="4976" spans="1:4" x14ac:dyDescent="0.25">
      <c r="A4976" s="180">
        <f t="shared" si="77"/>
        <v>5101326</v>
      </c>
      <c r="B4976" t="s">
        <v>14027</v>
      </c>
      <c r="C4976" t="s">
        <v>14028</v>
      </c>
    </row>
    <row r="4977" spans="1:4" x14ac:dyDescent="0.25">
      <c r="A4977" s="180">
        <f t="shared" si="77"/>
        <v>5101327</v>
      </c>
      <c r="B4977" t="s">
        <v>14029</v>
      </c>
      <c r="C4977" t="s">
        <v>14030</v>
      </c>
      <c r="D4977" t="s">
        <v>13412</v>
      </c>
    </row>
    <row r="4978" spans="1:4" x14ac:dyDescent="0.25">
      <c r="A4978" s="180">
        <f t="shared" si="77"/>
        <v>5101327</v>
      </c>
      <c r="B4978" t="s">
        <v>14029</v>
      </c>
      <c r="C4978" t="s">
        <v>14030</v>
      </c>
      <c r="D4978" t="s">
        <v>13412</v>
      </c>
    </row>
    <row r="4979" spans="1:4" x14ac:dyDescent="0.25">
      <c r="A4979" s="180">
        <f t="shared" si="77"/>
        <v>5101329</v>
      </c>
      <c r="B4979" t="s">
        <v>2248</v>
      </c>
      <c r="C4979" t="s">
        <v>2249</v>
      </c>
    </row>
    <row r="4980" spans="1:4" x14ac:dyDescent="0.25">
      <c r="A4980" s="180">
        <f t="shared" si="77"/>
        <v>5101330</v>
      </c>
      <c r="B4980" t="s">
        <v>2250</v>
      </c>
      <c r="C4980" t="s">
        <v>2251</v>
      </c>
    </row>
    <row r="4981" spans="1:4" x14ac:dyDescent="0.25">
      <c r="A4981" s="180">
        <f t="shared" si="77"/>
        <v>5101340</v>
      </c>
      <c r="B4981" t="s">
        <v>2252</v>
      </c>
      <c r="C4981" t="s">
        <v>12793</v>
      </c>
      <c r="D4981" t="s">
        <v>13412</v>
      </c>
    </row>
    <row r="4982" spans="1:4" x14ac:dyDescent="0.25">
      <c r="A4982" s="180">
        <f t="shared" si="77"/>
        <v>5101340</v>
      </c>
      <c r="B4982" t="s">
        <v>2252</v>
      </c>
      <c r="C4982" t="s">
        <v>12793</v>
      </c>
      <c r="D4982" t="s">
        <v>13412</v>
      </c>
    </row>
    <row r="4983" spans="1:4" x14ac:dyDescent="0.25">
      <c r="A4983" s="180">
        <f t="shared" si="77"/>
        <v>5101340</v>
      </c>
      <c r="B4983" t="s">
        <v>2252</v>
      </c>
      <c r="C4983" t="s">
        <v>12793</v>
      </c>
      <c r="D4983" t="s">
        <v>13412</v>
      </c>
    </row>
    <row r="4984" spans="1:4" x14ac:dyDescent="0.25">
      <c r="A4984" s="180">
        <f t="shared" si="77"/>
        <v>5101340</v>
      </c>
      <c r="B4984" t="s">
        <v>2252</v>
      </c>
      <c r="C4984" t="s">
        <v>12793</v>
      </c>
      <c r="D4984" t="s">
        <v>13412</v>
      </c>
    </row>
    <row r="4985" spans="1:4" x14ac:dyDescent="0.25">
      <c r="A4985" s="180">
        <f t="shared" si="77"/>
        <v>5101340</v>
      </c>
      <c r="B4985" t="s">
        <v>2252</v>
      </c>
      <c r="C4985" t="s">
        <v>12793</v>
      </c>
      <c r="D4985" t="s">
        <v>13412</v>
      </c>
    </row>
    <row r="4986" spans="1:4" x14ac:dyDescent="0.25">
      <c r="A4986" s="180">
        <f t="shared" si="77"/>
        <v>5101340</v>
      </c>
      <c r="B4986" t="s">
        <v>2252</v>
      </c>
      <c r="C4986" t="s">
        <v>12793</v>
      </c>
      <c r="D4986" t="s">
        <v>13412</v>
      </c>
    </row>
    <row r="4987" spans="1:4" x14ac:dyDescent="0.25">
      <c r="A4987" s="180">
        <f t="shared" si="77"/>
        <v>5101340</v>
      </c>
      <c r="B4987" t="s">
        <v>2252</v>
      </c>
      <c r="C4987" t="s">
        <v>12793</v>
      </c>
      <c r="D4987" t="s">
        <v>13412</v>
      </c>
    </row>
    <row r="4988" spans="1:4" x14ac:dyDescent="0.25">
      <c r="A4988" s="180">
        <f t="shared" si="77"/>
        <v>5101340</v>
      </c>
      <c r="B4988" t="s">
        <v>2252</v>
      </c>
      <c r="C4988" t="s">
        <v>12793</v>
      </c>
      <c r="D4988" t="s">
        <v>13412</v>
      </c>
    </row>
    <row r="4989" spans="1:4" x14ac:dyDescent="0.25">
      <c r="A4989" s="180">
        <f t="shared" si="77"/>
        <v>5101340</v>
      </c>
      <c r="B4989" t="s">
        <v>2252</v>
      </c>
      <c r="C4989" t="s">
        <v>12793</v>
      </c>
      <c r="D4989" t="s">
        <v>13412</v>
      </c>
    </row>
    <row r="4990" spans="1:4" x14ac:dyDescent="0.25">
      <c r="A4990" s="180">
        <f t="shared" si="77"/>
        <v>5101340</v>
      </c>
      <c r="B4990" t="s">
        <v>2252</v>
      </c>
      <c r="C4990" t="s">
        <v>12793</v>
      </c>
      <c r="D4990" t="s">
        <v>13412</v>
      </c>
    </row>
    <row r="4991" spans="1:4" x14ac:dyDescent="0.25">
      <c r="A4991" s="180">
        <f t="shared" ref="A4991:A5054" si="78">IFERROR(B4991*1,"")</f>
        <v>5101340</v>
      </c>
      <c r="B4991" t="s">
        <v>2252</v>
      </c>
      <c r="C4991" t="s">
        <v>12793</v>
      </c>
      <c r="D4991" t="s">
        <v>13412</v>
      </c>
    </row>
    <row r="4992" spans="1:4" x14ac:dyDescent="0.25">
      <c r="A4992" s="180">
        <f t="shared" si="78"/>
        <v>5101340</v>
      </c>
      <c r="B4992" t="s">
        <v>2252</v>
      </c>
      <c r="C4992" t="s">
        <v>12793</v>
      </c>
      <c r="D4992" t="s">
        <v>13412</v>
      </c>
    </row>
    <row r="4993" spans="1:4" x14ac:dyDescent="0.25">
      <c r="A4993" s="180">
        <f t="shared" si="78"/>
        <v>5101340</v>
      </c>
      <c r="B4993" t="s">
        <v>2252</v>
      </c>
      <c r="C4993" t="s">
        <v>12793</v>
      </c>
      <c r="D4993" t="s">
        <v>13412</v>
      </c>
    </row>
    <row r="4994" spans="1:4" x14ac:dyDescent="0.25">
      <c r="A4994" s="180">
        <f t="shared" si="78"/>
        <v>5101341</v>
      </c>
      <c r="B4994" t="s">
        <v>2253</v>
      </c>
      <c r="C4994" t="s">
        <v>2254</v>
      </c>
    </row>
    <row r="4995" spans="1:4" x14ac:dyDescent="0.25">
      <c r="A4995" s="180">
        <f t="shared" si="78"/>
        <v>5101342</v>
      </c>
      <c r="B4995" t="s">
        <v>2255</v>
      </c>
      <c r="C4995" t="s">
        <v>2256</v>
      </c>
      <c r="D4995" t="s">
        <v>13412</v>
      </c>
    </row>
    <row r="4996" spans="1:4" x14ac:dyDescent="0.25">
      <c r="A4996" s="180">
        <f t="shared" si="78"/>
        <v>5101342</v>
      </c>
      <c r="B4996" t="s">
        <v>2255</v>
      </c>
      <c r="C4996" t="s">
        <v>2256</v>
      </c>
      <c r="D4996" t="s">
        <v>13412</v>
      </c>
    </row>
    <row r="4997" spans="1:4" x14ac:dyDescent="0.25">
      <c r="A4997" s="180">
        <f t="shared" si="78"/>
        <v>5101342</v>
      </c>
      <c r="B4997" t="s">
        <v>2255</v>
      </c>
      <c r="C4997" t="s">
        <v>2256</v>
      </c>
      <c r="D4997" t="s">
        <v>13412</v>
      </c>
    </row>
    <row r="4998" spans="1:4" x14ac:dyDescent="0.25">
      <c r="A4998" s="180">
        <f t="shared" si="78"/>
        <v>5101342</v>
      </c>
      <c r="B4998" t="s">
        <v>2255</v>
      </c>
      <c r="C4998" t="s">
        <v>2256</v>
      </c>
      <c r="D4998" t="s">
        <v>13412</v>
      </c>
    </row>
    <row r="4999" spans="1:4" x14ac:dyDescent="0.25">
      <c r="A4999" s="180">
        <f t="shared" si="78"/>
        <v>5101350</v>
      </c>
      <c r="B4999" t="s">
        <v>2257</v>
      </c>
      <c r="C4999" t="s">
        <v>2258</v>
      </c>
    </row>
    <row r="5000" spans="1:4" x14ac:dyDescent="0.25">
      <c r="A5000" s="180">
        <f t="shared" si="78"/>
        <v>5101370</v>
      </c>
      <c r="B5000" t="s">
        <v>2259</v>
      </c>
      <c r="C5000" t="s">
        <v>2260</v>
      </c>
    </row>
    <row r="5001" spans="1:4" x14ac:dyDescent="0.25">
      <c r="A5001" s="180">
        <f t="shared" si="78"/>
        <v>5101381</v>
      </c>
      <c r="B5001" t="s">
        <v>2261</v>
      </c>
      <c r="C5001" t="s">
        <v>2262</v>
      </c>
    </row>
    <row r="5002" spans="1:4" x14ac:dyDescent="0.25">
      <c r="A5002" s="180">
        <f t="shared" si="78"/>
        <v>5101382</v>
      </c>
      <c r="B5002" t="s">
        <v>2263</v>
      </c>
      <c r="C5002" t="s">
        <v>2264</v>
      </c>
    </row>
    <row r="5003" spans="1:4" x14ac:dyDescent="0.25">
      <c r="A5003" s="180">
        <f t="shared" si="78"/>
        <v>5101390</v>
      </c>
      <c r="B5003" t="s">
        <v>2265</v>
      </c>
      <c r="C5003" t="s">
        <v>12794</v>
      </c>
      <c r="D5003" t="s">
        <v>13412</v>
      </c>
    </row>
    <row r="5004" spans="1:4" x14ac:dyDescent="0.25">
      <c r="A5004" s="180">
        <f t="shared" si="78"/>
        <v>5101390</v>
      </c>
      <c r="B5004" t="s">
        <v>2265</v>
      </c>
      <c r="C5004" t="s">
        <v>12794</v>
      </c>
      <c r="D5004" t="s">
        <v>13412</v>
      </c>
    </row>
    <row r="5005" spans="1:4" x14ac:dyDescent="0.25">
      <c r="A5005" s="180">
        <f t="shared" si="78"/>
        <v>5101390</v>
      </c>
      <c r="B5005" t="s">
        <v>2265</v>
      </c>
      <c r="C5005" t="s">
        <v>12794</v>
      </c>
      <c r="D5005" t="s">
        <v>13412</v>
      </c>
    </row>
    <row r="5006" spans="1:4" x14ac:dyDescent="0.25">
      <c r="A5006" s="180">
        <f t="shared" si="78"/>
        <v>5101390</v>
      </c>
      <c r="B5006" t="s">
        <v>2265</v>
      </c>
      <c r="C5006" t="s">
        <v>12794</v>
      </c>
      <c r="D5006" t="s">
        <v>13412</v>
      </c>
    </row>
    <row r="5007" spans="1:4" x14ac:dyDescent="0.25">
      <c r="A5007" s="180">
        <f t="shared" si="78"/>
        <v>5101390</v>
      </c>
      <c r="B5007" t="s">
        <v>2265</v>
      </c>
      <c r="C5007" t="s">
        <v>12794</v>
      </c>
      <c r="D5007" t="s">
        <v>13412</v>
      </c>
    </row>
    <row r="5008" spans="1:4" x14ac:dyDescent="0.25">
      <c r="A5008" s="180">
        <f t="shared" si="78"/>
        <v>5101390</v>
      </c>
      <c r="B5008" t="s">
        <v>2265</v>
      </c>
      <c r="C5008" t="s">
        <v>12794</v>
      </c>
      <c r="D5008" t="s">
        <v>13412</v>
      </c>
    </row>
    <row r="5009" spans="1:4" x14ac:dyDescent="0.25">
      <c r="A5009" s="180">
        <f t="shared" si="78"/>
        <v>5101390</v>
      </c>
      <c r="B5009" t="s">
        <v>2265</v>
      </c>
      <c r="C5009" t="s">
        <v>12794</v>
      </c>
      <c r="D5009" t="s">
        <v>13412</v>
      </c>
    </row>
    <row r="5010" spans="1:4" x14ac:dyDescent="0.25">
      <c r="A5010" s="180">
        <f t="shared" si="78"/>
        <v>5101390</v>
      </c>
      <c r="B5010" t="s">
        <v>2265</v>
      </c>
      <c r="C5010" t="s">
        <v>12794</v>
      </c>
      <c r="D5010" t="s">
        <v>13412</v>
      </c>
    </row>
    <row r="5011" spans="1:4" x14ac:dyDescent="0.25">
      <c r="A5011" s="180">
        <f t="shared" si="78"/>
        <v>5101391</v>
      </c>
      <c r="B5011" t="s">
        <v>2266</v>
      </c>
      <c r="C5011" t="s">
        <v>12795</v>
      </c>
      <c r="D5011" t="s">
        <v>13412</v>
      </c>
    </row>
    <row r="5012" spans="1:4" x14ac:dyDescent="0.25">
      <c r="A5012" s="180">
        <f t="shared" si="78"/>
        <v>5101391</v>
      </c>
      <c r="B5012" t="s">
        <v>2266</v>
      </c>
      <c r="C5012" t="s">
        <v>12795</v>
      </c>
      <c r="D5012" t="s">
        <v>13412</v>
      </c>
    </row>
    <row r="5013" spans="1:4" x14ac:dyDescent="0.25">
      <c r="A5013" s="180">
        <f t="shared" si="78"/>
        <v>5101391</v>
      </c>
      <c r="B5013" t="s">
        <v>2266</v>
      </c>
      <c r="C5013" t="s">
        <v>12795</v>
      </c>
      <c r="D5013" t="s">
        <v>13412</v>
      </c>
    </row>
    <row r="5014" spans="1:4" x14ac:dyDescent="0.25">
      <c r="A5014" s="180">
        <f t="shared" si="78"/>
        <v>5101392</v>
      </c>
      <c r="B5014" t="s">
        <v>2267</v>
      </c>
      <c r="C5014" t="s">
        <v>2268</v>
      </c>
    </row>
    <row r="5015" spans="1:4" x14ac:dyDescent="0.25">
      <c r="A5015" s="180">
        <f t="shared" si="78"/>
        <v>5101400</v>
      </c>
      <c r="B5015" t="s">
        <v>13287</v>
      </c>
      <c r="C5015" t="s">
        <v>13288</v>
      </c>
      <c r="D5015" t="s">
        <v>14909</v>
      </c>
    </row>
    <row r="5016" spans="1:4" x14ac:dyDescent="0.25">
      <c r="A5016" s="180">
        <f t="shared" si="78"/>
        <v>5101410</v>
      </c>
      <c r="B5016" t="s">
        <v>2269</v>
      </c>
      <c r="C5016" t="s">
        <v>2270</v>
      </c>
      <c r="D5016" t="s">
        <v>14909</v>
      </c>
    </row>
    <row r="5017" spans="1:4" x14ac:dyDescent="0.25">
      <c r="A5017" s="180">
        <f t="shared" si="78"/>
        <v>5101410</v>
      </c>
      <c r="B5017" t="s">
        <v>2269</v>
      </c>
      <c r="C5017" t="s">
        <v>2270</v>
      </c>
      <c r="D5017" t="s">
        <v>14909</v>
      </c>
    </row>
    <row r="5018" spans="1:4" x14ac:dyDescent="0.25">
      <c r="A5018" s="180">
        <f t="shared" si="78"/>
        <v>5101410</v>
      </c>
      <c r="B5018" t="s">
        <v>2269</v>
      </c>
      <c r="C5018" t="s">
        <v>2270</v>
      </c>
      <c r="D5018" t="s">
        <v>14909</v>
      </c>
    </row>
    <row r="5019" spans="1:4" x14ac:dyDescent="0.25">
      <c r="A5019" s="180">
        <f t="shared" si="78"/>
        <v>5101411</v>
      </c>
      <c r="B5019" t="s">
        <v>2271</v>
      </c>
      <c r="C5019" t="s">
        <v>2272</v>
      </c>
      <c r="D5019" t="s">
        <v>14909</v>
      </c>
    </row>
    <row r="5020" spans="1:4" x14ac:dyDescent="0.25">
      <c r="A5020" s="180">
        <f t="shared" si="78"/>
        <v>5101411</v>
      </c>
      <c r="B5020" t="s">
        <v>2271</v>
      </c>
      <c r="C5020" t="s">
        <v>2272</v>
      </c>
      <c r="D5020" t="s">
        <v>14909</v>
      </c>
    </row>
    <row r="5021" spans="1:4" x14ac:dyDescent="0.25">
      <c r="A5021" s="180">
        <f t="shared" si="78"/>
        <v>5101411</v>
      </c>
      <c r="B5021" t="s">
        <v>2271</v>
      </c>
      <c r="C5021" t="s">
        <v>2272</v>
      </c>
      <c r="D5021" t="s">
        <v>14909</v>
      </c>
    </row>
    <row r="5022" spans="1:4" x14ac:dyDescent="0.25">
      <c r="A5022" s="180">
        <f t="shared" si="78"/>
        <v>5101439</v>
      </c>
      <c r="B5022" t="s">
        <v>2273</v>
      </c>
      <c r="C5022" t="s">
        <v>2274</v>
      </c>
      <c r="D5022" t="s">
        <v>13412</v>
      </c>
    </row>
    <row r="5023" spans="1:4" x14ac:dyDescent="0.25">
      <c r="A5023" s="180">
        <f t="shared" si="78"/>
        <v>5101439</v>
      </c>
      <c r="B5023" t="s">
        <v>2273</v>
      </c>
      <c r="C5023" t="s">
        <v>2274</v>
      </c>
      <c r="D5023" t="s">
        <v>13412</v>
      </c>
    </row>
    <row r="5024" spans="1:4" x14ac:dyDescent="0.25">
      <c r="A5024" s="180">
        <f t="shared" si="78"/>
        <v>5101445</v>
      </c>
      <c r="B5024" t="s">
        <v>2275</v>
      </c>
      <c r="C5024" t="s">
        <v>12796</v>
      </c>
      <c r="D5024" t="s">
        <v>13412</v>
      </c>
    </row>
    <row r="5025" spans="1:4" x14ac:dyDescent="0.25">
      <c r="A5025" s="180">
        <f t="shared" si="78"/>
        <v>5101445</v>
      </c>
      <c r="B5025" t="s">
        <v>2275</v>
      </c>
      <c r="C5025" t="s">
        <v>12796</v>
      </c>
      <c r="D5025" t="s">
        <v>13412</v>
      </c>
    </row>
    <row r="5026" spans="1:4" x14ac:dyDescent="0.25">
      <c r="A5026" s="180">
        <f t="shared" si="78"/>
        <v>5101445</v>
      </c>
      <c r="B5026" t="s">
        <v>2275</v>
      </c>
      <c r="C5026" t="s">
        <v>12796</v>
      </c>
      <c r="D5026" t="s">
        <v>13412</v>
      </c>
    </row>
    <row r="5027" spans="1:4" x14ac:dyDescent="0.25">
      <c r="A5027" s="180">
        <f t="shared" si="78"/>
        <v>5101445</v>
      </c>
      <c r="B5027" t="s">
        <v>2275</v>
      </c>
      <c r="C5027" t="s">
        <v>12796</v>
      </c>
      <c r="D5027" t="s">
        <v>13412</v>
      </c>
    </row>
    <row r="5028" spans="1:4" x14ac:dyDescent="0.25">
      <c r="A5028" s="180">
        <f t="shared" si="78"/>
        <v>5101445</v>
      </c>
      <c r="B5028" t="s">
        <v>2275</v>
      </c>
      <c r="C5028" t="s">
        <v>12796</v>
      </c>
      <c r="D5028" t="s">
        <v>13412</v>
      </c>
    </row>
    <row r="5029" spans="1:4" x14ac:dyDescent="0.25">
      <c r="A5029" s="180">
        <f t="shared" si="78"/>
        <v>5101445</v>
      </c>
      <c r="B5029" t="s">
        <v>2275</v>
      </c>
      <c r="C5029" t="s">
        <v>12796</v>
      </c>
      <c r="D5029" t="s">
        <v>13412</v>
      </c>
    </row>
    <row r="5030" spans="1:4" x14ac:dyDescent="0.25">
      <c r="A5030" s="180">
        <f t="shared" si="78"/>
        <v>5101445</v>
      </c>
      <c r="B5030" t="s">
        <v>2275</v>
      </c>
      <c r="C5030" t="s">
        <v>12796</v>
      </c>
      <c r="D5030" t="s">
        <v>13412</v>
      </c>
    </row>
    <row r="5031" spans="1:4" x14ac:dyDescent="0.25">
      <c r="A5031" s="180">
        <f t="shared" si="78"/>
        <v>5101445</v>
      </c>
      <c r="B5031" t="s">
        <v>2275</v>
      </c>
      <c r="C5031" t="s">
        <v>12796</v>
      </c>
      <c r="D5031" t="s">
        <v>13412</v>
      </c>
    </row>
    <row r="5032" spans="1:4" x14ac:dyDescent="0.25">
      <c r="A5032" s="180">
        <f t="shared" si="78"/>
        <v>5101445</v>
      </c>
      <c r="B5032" t="s">
        <v>2275</v>
      </c>
      <c r="C5032" t="s">
        <v>12796</v>
      </c>
      <c r="D5032" t="s">
        <v>13412</v>
      </c>
    </row>
    <row r="5033" spans="1:4" x14ac:dyDescent="0.25">
      <c r="A5033" s="180">
        <f t="shared" si="78"/>
        <v>5101456</v>
      </c>
      <c r="B5033" t="s">
        <v>2276</v>
      </c>
      <c r="C5033" t="s">
        <v>2277</v>
      </c>
    </row>
    <row r="5034" spans="1:4" x14ac:dyDescent="0.25">
      <c r="A5034" s="180">
        <f t="shared" si="78"/>
        <v>5101457</v>
      </c>
      <c r="B5034" t="s">
        <v>2278</v>
      </c>
      <c r="C5034" t="s">
        <v>2279</v>
      </c>
    </row>
    <row r="5035" spans="1:4" x14ac:dyDescent="0.25">
      <c r="A5035" s="180">
        <f t="shared" si="78"/>
        <v>5101458</v>
      </c>
      <c r="B5035" t="s">
        <v>2280</v>
      </c>
      <c r="C5035" t="s">
        <v>2281</v>
      </c>
    </row>
    <row r="5036" spans="1:4" x14ac:dyDescent="0.25">
      <c r="A5036" s="180">
        <f t="shared" si="78"/>
        <v>5101460</v>
      </c>
      <c r="B5036" t="s">
        <v>14261</v>
      </c>
      <c r="C5036" t="s">
        <v>14262</v>
      </c>
    </row>
    <row r="5037" spans="1:4" x14ac:dyDescent="0.25">
      <c r="A5037" s="180">
        <f t="shared" si="78"/>
        <v>5101461</v>
      </c>
      <c r="B5037" t="s">
        <v>14263</v>
      </c>
      <c r="C5037" t="s">
        <v>14264</v>
      </c>
    </row>
    <row r="5038" spans="1:4" x14ac:dyDescent="0.25">
      <c r="A5038" s="180">
        <f t="shared" si="78"/>
        <v>5101462</v>
      </c>
      <c r="B5038" t="s">
        <v>14265</v>
      </c>
      <c r="C5038" t="s">
        <v>14266</v>
      </c>
    </row>
    <row r="5039" spans="1:4" x14ac:dyDescent="0.25">
      <c r="A5039" s="180">
        <f t="shared" si="78"/>
        <v>5101495</v>
      </c>
      <c r="B5039" t="s">
        <v>2282</v>
      </c>
      <c r="C5039" t="s">
        <v>2283</v>
      </c>
      <c r="D5039" t="s">
        <v>13411</v>
      </c>
    </row>
    <row r="5040" spans="1:4" x14ac:dyDescent="0.25">
      <c r="A5040" s="180">
        <f t="shared" si="78"/>
        <v>5101495</v>
      </c>
      <c r="B5040" t="s">
        <v>2282</v>
      </c>
      <c r="C5040" t="s">
        <v>2283</v>
      </c>
      <c r="D5040" t="s">
        <v>13411</v>
      </c>
    </row>
    <row r="5041" spans="1:4" x14ac:dyDescent="0.25">
      <c r="A5041" s="180">
        <f t="shared" si="78"/>
        <v>5101495</v>
      </c>
      <c r="B5041" t="s">
        <v>2282</v>
      </c>
      <c r="C5041" t="s">
        <v>2283</v>
      </c>
      <c r="D5041" t="s">
        <v>13411</v>
      </c>
    </row>
    <row r="5042" spans="1:4" x14ac:dyDescent="0.25">
      <c r="A5042" s="180">
        <f t="shared" si="78"/>
        <v>5101495</v>
      </c>
      <c r="B5042" t="s">
        <v>2282</v>
      </c>
      <c r="C5042" t="s">
        <v>2283</v>
      </c>
      <c r="D5042" t="s">
        <v>13411</v>
      </c>
    </row>
    <row r="5043" spans="1:4" x14ac:dyDescent="0.25">
      <c r="A5043" s="180">
        <f t="shared" si="78"/>
        <v>5101495</v>
      </c>
      <c r="B5043" t="s">
        <v>2282</v>
      </c>
      <c r="C5043" t="s">
        <v>2283</v>
      </c>
      <c r="D5043" t="s">
        <v>13411</v>
      </c>
    </row>
    <row r="5044" spans="1:4" x14ac:dyDescent="0.25">
      <c r="A5044" s="180">
        <f t="shared" si="78"/>
        <v>5101495</v>
      </c>
      <c r="B5044" t="s">
        <v>2282</v>
      </c>
      <c r="C5044" t="s">
        <v>2283</v>
      </c>
      <c r="D5044" t="s">
        <v>13411</v>
      </c>
    </row>
    <row r="5045" spans="1:4" x14ac:dyDescent="0.25">
      <c r="A5045" s="180">
        <f t="shared" si="78"/>
        <v>5101496</v>
      </c>
      <c r="B5045" t="s">
        <v>2284</v>
      </c>
      <c r="C5045" t="s">
        <v>2285</v>
      </c>
    </row>
    <row r="5046" spans="1:4" x14ac:dyDescent="0.25">
      <c r="A5046" s="180">
        <f t="shared" si="78"/>
        <v>5101500</v>
      </c>
      <c r="B5046" t="s">
        <v>2286</v>
      </c>
      <c r="C5046" t="s">
        <v>2287</v>
      </c>
      <c r="D5046" t="s">
        <v>13411</v>
      </c>
    </row>
    <row r="5047" spans="1:4" x14ac:dyDescent="0.25">
      <c r="A5047" s="180">
        <f t="shared" si="78"/>
        <v>5101500</v>
      </c>
      <c r="B5047" t="s">
        <v>2286</v>
      </c>
      <c r="C5047" t="s">
        <v>2287</v>
      </c>
      <c r="D5047" t="s">
        <v>13411</v>
      </c>
    </row>
    <row r="5048" spans="1:4" x14ac:dyDescent="0.25">
      <c r="A5048" s="180">
        <f t="shared" si="78"/>
        <v>5101500</v>
      </c>
      <c r="B5048" t="s">
        <v>2286</v>
      </c>
      <c r="C5048" t="s">
        <v>2287</v>
      </c>
      <c r="D5048" t="s">
        <v>13411</v>
      </c>
    </row>
    <row r="5049" spans="1:4" x14ac:dyDescent="0.25">
      <c r="A5049" s="180">
        <f t="shared" si="78"/>
        <v>5101501</v>
      </c>
      <c r="B5049" t="s">
        <v>2288</v>
      </c>
      <c r="C5049" t="s">
        <v>2289</v>
      </c>
    </row>
    <row r="5050" spans="1:4" x14ac:dyDescent="0.25">
      <c r="A5050" s="180">
        <f t="shared" si="78"/>
        <v>5101502</v>
      </c>
      <c r="B5050" t="s">
        <v>2290</v>
      </c>
      <c r="C5050" t="s">
        <v>2291</v>
      </c>
    </row>
    <row r="5051" spans="1:4" x14ac:dyDescent="0.25">
      <c r="A5051" s="180">
        <f t="shared" si="78"/>
        <v>5101503</v>
      </c>
      <c r="B5051" t="s">
        <v>2292</v>
      </c>
      <c r="C5051" t="s">
        <v>2293</v>
      </c>
    </row>
    <row r="5052" spans="1:4" x14ac:dyDescent="0.25">
      <c r="A5052" s="180">
        <f t="shared" si="78"/>
        <v>5101504</v>
      </c>
      <c r="B5052" t="s">
        <v>2294</v>
      </c>
      <c r="C5052" t="s">
        <v>2295</v>
      </c>
    </row>
    <row r="5053" spans="1:4" x14ac:dyDescent="0.25">
      <c r="A5053" s="180">
        <f t="shared" si="78"/>
        <v>5101505</v>
      </c>
      <c r="B5053" t="s">
        <v>2296</v>
      </c>
      <c r="C5053" t="s">
        <v>2297</v>
      </c>
    </row>
    <row r="5054" spans="1:4" x14ac:dyDescent="0.25">
      <c r="A5054" s="180">
        <f t="shared" si="78"/>
        <v>5101506</v>
      </c>
      <c r="B5054" t="s">
        <v>2298</v>
      </c>
      <c r="C5054" t="s">
        <v>2299</v>
      </c>
    </row>
    <row r="5055" spans="1:4" x14ac:dyDescent="0.25">
      <c r="A5055" s="180">
        <f t="shared" ref="A5055:A5118" si="79">IFERROR(B5055*1,"")</f>
        <v>5101507</v>
      </c>
      <c r="B5055" t="s">
        <v>2300</v>
      </c>
      <c r="C5055" t="s">
        <v>2301</v>
      </c>
    </row>
    <row r="5056" spans="1:4" x14ac:dyDescent="0.25">
      <c r="A5056" s="180">
        <f t="shared" si="79"/>
        <v>5101508</v>
      </c>
      <c r="B5056" t="s">
        <v>2302</v>
      </c>
      <c r="C5056" t="s">
        <v>2303</v>
      </c>
    </row>
    <row r="5057" spans="1:4" x14ac:dyDescent="0.25">
      <c r="A5057" s="180">
        <f t="shared" si="79"/>
        <v>5101509</v>
      </c>
      <c r="B5057" t="s">
        <v>2304</v>
      </c>
      <c r="C5057" t="s">
        <v>2305</v>
      </c>
    </row>
    <row r="5058" spans="1:4" x14ac:dyDescent="0.25">
      <c r="A5058" s="180">
        <f t="shared" si="79"/>
        <v>5101510</v>
      </c>
      <c r="B5058" t="s">
        <v>2306</v>
      </c>
      <c r="C5058" t="s">
        <v>2307</v>
      </c>
    </row>
    <row r="5059" spans="1:4" x14ac:dyDescent="0.25">
      <c r="A5059" s="180">
        <f t="shared" si="79"/>
        <v>5101511</v>
      </c>
      <c r="B5059" t="s">
        <v>2308</v>
      </c>
      <c r="C5059" t="s">
        <v>2309</v>
      </c>
    </row>
    <row r="5060" spans="1:4" x14ac:dyDescent="0.25">
      <c r="A5060" s="180">
        <f t="shared" si="79"/>
        <v>5101536</v>
      </c>
      <c r="B5060" t="s">
        <v>14959</v>
      </c>
      <c r="C5060" t="s">
        <v>14960</v>
      </c>
      <c r="D5060" t="s">
        <v>13411</v>
      </c>
    </row>
    <row r="5061" spans="1:4" x14ac:dyDescent="0.25">
      <c r="A5061" s="180">
        <f t="shared" si="79"/>
        <v>5101537</v>
      </c>
      <c r="B5061" t="s">
        <v>14961</v>
      </c>
      <c r="C5061" t="s">
        <v>14962</v>
      </c>
      <c r="D5061" t="s">
        <v>13411</v>
      </c>
    </row>
    <row r="5062" spans="1:4" x14ac:dyDescent="0.25">
      <c r="A5062" s="180">
        <f t="shared" si="79"/>
        <v>5101538</v>
      </c>
      <c r="B5062" t="s">
        <v>14963</v>
      </c>
      <c r="C5062" t="s">
        <v>14964</v>
      </c>
      <c r="D5062" t="s">
        <v>13411</v>
      </c>
    </row>
    <row r="5063" spans="1:4" x14ac:dyDescent="0.25">
      <c r="A5063" s="180">
        <f t="shared" si="79"/>
        <v>5101538</v>
      </c>
      <c r="B5063" t="s">
        <v>14963</v>
      </c>
      <c r="C5063" t="s">
        <v>14964</v>
      </c>
      <c r="D5063" t="s">
        <v>13411</v>
      </c>
    </row>
    <row r="5064" spans="1:4" x14ac:dyDescent="0.25">
      <c r="A5064" s="180">
        <f t="shared" si="79"/>
        <v>5101539</v>
      </c>
      <c r="B5064" t="s">
        <v>14965</v>
      </c>
      <c r="C5064" t="s">
        <v>14966</v>
      </c>
      <c r="D5064" t="s">
        <v>13411</v>
      </c>
    </row>
    <row r="5065" spans="1:4" x14ac:dyDescent="0.25">
      <c r="A5065" s="180">
        <f t="shared" si="79"/>
        <v>5101555</v>
      </c>
      <c r="B5065" t="s">
        <v>2310</v>
      </c>
      <c r="C5065" t="s">
        <v>6881</v>
      </c>
      <c r="D5065" t="s">
        <v>14909</v>
      </c>
    </row>
    <row r="5066" spans="1:4" x14ac:dyDescent="0.25">
      <c r="A5066" s="180">
        <f t="shared" si="79"/>
        <v>5101555</v>
      </c>
      <c r="B5066" t="s">
        <v>2310</v>
      </c>
      <c r="C5066" t="s">
        <v>6881</v>
      </c>
      <c r="D5066" t="s">
        <v>14909</v>
      </c>
    </row>
    <row r="5067" spans="1:4" x14ac:dyDescent="0.25">
      <c r="A5067" s="180">
        <f t="shared" si="79"/>
        <v>5101556</v>
      </c>
      <c r="B5067" t="s">
        <v>2311</v>
      </c>
      <c r="C5067" t="s">
        <v>6882</v>
      </c>
      <c r="D5067" t="s">
        <v>14909</v>
      </c>
    </row>
    <row r="5068" spans="1:4" x14ac:dyDescent="0.25">
      <c r="A5068" s="180">
        <f t="shared" si="79"/>
        <v>5101556</v>
      </c>
      <c r="B5068" t="s">
        <v>2311</v>
      </c>
      <c r="C5068" t="s">
        <v>6882</v>
      </c>
      <c r="D5068" t="s">
        <v>14909</v>
      </c>
    </row>
    <row r="5069" spans="1:4" x14ac:dyDescent="0.25">
      <c r="A5069" s="180">
        <f t="shared" si="79"/>
        <v>5101556</v>
      </c>
      <c r="B5069" t="s">
        <v>2311</v>
      </c>
      <c r="C5069" t="s">
        <v>6882</v>
      </c>
      <c r="D5069" t="s">
        <v>14909</v>
      </c>
    </row>
    <row r="5070" spans="1:4" x14ac:dyDescent="0.25">
      <c r="A5070" s="180">
        <f t="shared" si="79"/>
        <v>5101556</v>
      </c>
      <c r="B5070" t="s">
        <v>2311</v>
      </c>
      <c r="C5070" t="s">
        <v>6882</v>
      </c>
      <c r="D5070" t="s">
        <v>14909</v>
      </c>
    </row>
    <row r="5071" spans="1:4" x14ac:dyDescent="0.25">
      <c r="A5071" s="180">
        <f t="shared" si="79"/>
        <v>5101556</v>
      </c>
      <c r="B5071" t="s">
        <v>2311</v>
      </c>
      <c r="C5071" t="s">
        <v>6882</v>
      </c>
      <c r="D5071" t="s">
        <v>14909</v>
      </c>
    </row>
    <row r="5072" spans="1:4" x14ac:dyDescent="0.25">
      <c r="A5072" s="180">
        <f t="shared" si="79"/>
        <v>5101556</v>
      </c>
      <c r="B5072" t="s">
        <v>2311</v>
      </c>
      <c r="C5072" t="s">
        <v>6882</v>
      </c>
      <c r="D5072" t="s">
        <v>14909</v>
      </c>
    </row>
    <row r="5073" spans="1:4" x14ac:dyDescent="0.25">
      <c r="A5073" s="180">
        <f t="shared" si="79"/>
        <v>5101556</v>
      </c>
      <c r="B5073" t="s">
        <v>2311</v>
      </c>
      <c r="C5073" t="s">
        <v>6882</v>
      </c>
      <c r="D5073" t="s">
        <v>14909</v>
      </c>
    </row>
    <row r="5074" spans="1:4" x14ac:dyDescent="0.25">
      <c r="A5074" s="180">
        <f t="shared" si="79"/>
        <v>5101556</v>
      </c>
      <c r="B5074" t="s">
        <v>2311</v>
      </c>
      <c r="C5074" t="s">
        <v>6882</v>
      </c>
      <c r="D5074" t="s">
        <v>14909</v>
      </c>
    </row>
    <row r="5075" spans="1:4" x14ac:dyDescent="0.25">
      <c r="A5075" s="180">
        <f t="shared" si="79"/>
        <v>5101556</v>
      </c>
      <c r="B5075" t="s">
        <v>2311</v>
      </c>
      <c r="C5075" t="s">
        <v>6882</v>
      </c>
      <c r="D5075" t="s">
        <v>14909</v>
      </c>
    </row>
    <row r="5076" spans="1:4" x14ac:dyDescent="0.25">
      <c r="A5076" s="180">
        <f t="shared" si="79"/>
        <v>5101556</v>
      </c>
      <c r="B5076" t="s">
        <v>2311</v>
      </c>
      <c r="C5076" t="s">
        <v>6882</v>
      </c>
      <c r="D5076" t="s">
        <v>14909</v>
      </c>
    </row>
    <row r="5077" spans="1:4" x14ac:dyDescent="0.25">
      <c r="A5077" s="180">
        <f t="shared" si="79"/>
        <v>5101557</v>
      </c>
      <c r="B5077" t="s">
        <v>2312</v>
      </c>
      <c r="C5077" t="s">
        <v>2313</v>
      </c>
      <c r="D5077" t="s">
        <v>14909</v>
      </c>
    </row>
    <row r="5078" spans="1:4" x14ac:dyDescent="0.25">
      <c r="A5078" s="180">
        <f t="shared" si="79"/>
        <v>5101557</v>
      </c>
      <c r="B5078" t="s">
        <v>2312</v>
      </c>
      <c r="C5078" t="s">
        <v>2313</v>
      </c>
      <c r="D5078" t="s">
        <v>14909</v>
      </c>
    </row>
    <row r="5079" spans="1:4" x14ac:dyDescent="0.25">
      <c r="A5079" s="180">
        <f t="shared" si="79"/>
        <v>5101557</v>
      </c>
      <c r="B5079" t="s">
        <v>2312</v>
      </c>
      <c r="C5079" t="s">
        <v>2313</v>
      </c>
      <c r="D5079" t="s">
        <v>14909</v>
      </c>
    </row>
    <row r="5080" spans="1:4" x14ac:dyDescent="0.25">
      <c r="A5080" s="180">
        <f t="shared" si="79"/>
        <v>5101557</v>
      </c>
      <c r="B5080" t="s">
        <v>2312</v>
      </c>
      <c r="C5080" t="s">
        <v>2313</v>
      </c>
      <c r="D5080" t="s">
        <v>14909</v>
      </c>
    </row>
    <row r="5081" spans="1:4" x14ac:dyDescent="0.25">
      <c r="A5081" s="180">
        <f t="shared" si="79"/>
        <v>5101557</v>
      </c>
      <c r="B5081" t="s">
        <v>2312</v>
      </c>
      <c r="C5081" t="s">
        <v>2313</v>
      </c>
      <c r="D5081" t="s">
        <v>14909</v>
      </c>
    </row>
    <row r="5082" spans="1:4" x14ac:dyDescent="0.25">
      <c r="A5082" s="180">
        <f t="shared" si="79"/>
        <v>5101557</v>
      </c>
      <c r="B5082" t="s">
        <v>2312</v>
      </c>
      <c r="C5082" t="s">
        <v>2313</v>
      </c>
      <c r="D5082" t="s">
        <v>14909</v>
      </c>
    </row>
    <row r="5083" spans="1:4" x14ac:dyDescent="0.25">
      <c r="A5083" s="180">
        <f t="shared" si="79"/>
        <v>5101557</v>
      </c>
      <c r="B5083" t="s">
        <v>2312</v>
      </c>
      <c r="C5083" t="s">
        <v>2313</v>
      </c>
      <c r="D5083" t="s">
        <v>14909</v>
      </c>
    </row>
    <row r="5084" spans="1:4" x14ac:dyDescent="0.25">
      <c r="A5084" s="180">
        <f t="shared" si="79"/>
        <v>5101557</v>
      </c>
      <c r="B5084" t="s">
        <v>2312</v>
      </c>
      <c r="C5084" t="s">
        <v>2313</v>
      </c>
      <c r="D5084" t="s">
        <v>14909</v>
      </c>
    </row>
    <row r="5085" spans="1:4" x14ac:dyDescent="0.25">
      <c r="A5085" s="180">
        <f t="shared" si="79"/>
        <v>5101557</v>
      </c>
      <c r="B5085" t="s">
        <v>2312</v>
      </c>
      <c r="C5085" t="s">
        <v>2313</v>
      </c>
      <c r="D5085" t="s">
        <v>14909</v>
      </c>
    </row>
    <row r="5086" spans="1:4" x14ac:dyDescent="0.25">
      <c r="A5086" s="180">
        <f t="shared" si="79"/>
        <v>5101557</v>
      </c>
      <c r="B5086" t="s">
        <v>2312</v>
      </c>
      <c r="C5086" t="s">
        <v>2313</v>
      </c>
      <c r="D5086" t="s">
        <v>14909</v>
      </c>
    </row>
    <row r="5087" spans="1:4" x14ac:dyDescent="0.25">
      <c r="A5087" s="180">
        <f t="shared" si="79"/>
        <v>5101558</v>
      </c>
      <c r="B5087" t="s">
        <v>2314</v>
      </c>
      <c r="C5087" t="s">
        <v>2315</v>
      </c>
    </row>
    <row r="5088" spans="1:4" x14ac:dyDescent="0.25">
      <c r="A5088" s="180">
        <f t="shared" si="79"/>
        <v>5101559</v>
      </c>
      <c r="B5088" t="s">
        <v>2316</v>
      </c>
      <c r="C5088" t="s">
        <v>6883</v>
      </c>
      <c r="D5088" t="s">
        <v>14909</v>
      </c>
    </row>
    <row r="5089" spans="1:4" x14ac:dyDescent="0.25">
      <c r="A5089" s="180">
        <f t="shared" si="79"/>
        <v>5101559</v>
      </c>
      <c r="B5089" t="s">
        <v>2316</v>
      </c>
      <c r="C5089" t="s">
        <v>6883</v>
      </c>
      <c r="D5089" t="s">
        <v>14909</v>
      </c>
    </row>
    <row r="5090" spans="1:4" x14ac:dyDescent="0.25">
      <c r="A5090" s="180">
        <f t="shared" si="79"/>
        <v>5101559</v>
      </c>
      <c r="B5090" t="s">
        <v>2316</v>
      </c>
      <c r="C5090" t="s">
        <v>6883</v>
      </c>
      <c r="D5090" t="s">
        <v>14909</v>
      </c>
    </row>
    <row r="5091" spans="1:4" x14ac:dyDescent="0.25">
      <c r="A5091" s="180">
        <f t="shared" si="79"/>
        <v>5101559</v>
      </c>
      <c r="B5091" t="s">
        <v>2316</v>
      </c>
      <c r="C5091" t="s">
        <v>6883</v>
      </c>
      <c r="D5091" t="s">
        <v>14909</v>
      </c>
    </row>
    <row r="5092" spans="1:4" x14ac:dyDescent="0.25">
      <c r="A5092" s="180">
        <f t="shared" si="79"/>
        <v>5101560</v>
      </c>
      <c r="B5092" t="s">
        <v>2317</v>
      </c>
      <c r="C5092" t="s">
        <v>6884</v>
      </c>
    </row>
    <row r="5093" spans="1:4" x14ac:dyDescent="0.25">
      <c r="A5093" s="180">
        <f t="shared" si="79"/>
        <v>5101561</v>
      </c>
      <c r="B5093" t="s">
        <v>2318</v>
      </c>
      <c r="C5093" t="s">
        <v>6885</v>
      </c>
      <c r="D5093" t="s">
        <v>14909</v>
      </c>
    </row>
    <row r="5094" spans="1:4" x14ac:dyDescent="0.25">
      <c r="A5094" s="180">
        <f t="shared" si="79"/>
        <v>5101561</v>
      </c>
      <c r="B5094" t="s">
        <v>2318</v>
      </c>
      <c r="C5094" t="s">
        <v>6885</v>
      </c>
      <c r="D5094" t="s">
        <v>14909</v>
      </c>
    </row>
    <row r="5095" spans="1:4" x14ac:dyDescent="0.25">
      <c r="A5095" s="180">
        <f t="shared" si="79"/>
        <v>5101561</v>
      </c>
      <c r="B5095" t="s">
        <v>2318</v>
      </c>
      <c r="C5095" t="s">
        <v>6885</v>
      </c>
      <c r="D5095" t="s">
        <v>14909</v>
      </c>
    </row>
    <row r="5096" spans="1:4" x14ac:dyDescent="0.25">
      <c r="A5096" s="180">
        <f t="shared" si="79"/>
        <v>5101561</v>
      </c>
      <c r="B5096" t="s">
        <v>2318</v>
      </c>
      <c r="C5096" t="s">
        <v>6885</v>
      </c>
      <c r="D5096" t="s">
        <v>14909</v>
      </c>
    </row>
    <row r="5097" spans="1:4" x14ac:dyDescent="0.25">
      <c r="A5097" s="180">
        <f t="shared" si="79"/>
        <v>5101562</v>
      </c>
      <c r="B5097" t="s">
        <v>2319</v>
      </c>
      <c r="C5097" t="s">
        <v>2320</v>
      </c>
    </row>
    <row r="5098" spans="1:4" x14ac:dyDescent="0.25">
      <c r="A5098" s="180">
        <f t="shared" si="79"/>
        <v>5101563</v>
      </c>
      <c r="B5098" t="s">
        <v>2321</v>
      </c>
      <c r="C5098" t="s">
        <v>2322</v>
      </c>
      <c r="D5098" t="s">
        <v>14909</v>
      </c>
    </row>
    <row r="5099" spans="1:4" x14ac:dyDescent="0.25">
      <c r="A5099" s="180">
        <f t="shared" si="79"/>
        <v>5101564</v>
      </c>
      <c r="B5099" t="s">
        <v>2323</v>
      </c>
      <c r="C5099" t="s">
        <v>2324</v>
      </c>
      <c r="D5099" t="s">
        <v>14909</v>
      </c>
    </row>
    <row r="5100" spans="1:4" x14ac:dyDescent="0.25">
      <c r="A5100" s="180">
        <f t="shared" si="79"/>
        <v>5101565</v>
      </c>
      <c r="B5100" t="s">
        <v>2325</v>
      </c>
      <c r="C5100" t="s">
        <v>2326</v>
      </c>
      <c r="D5100" t="s">
        <v>14909</v>
      </c>
    </row>
    <row r="5101" spans="1:4" x14ac:dyDescent="0.25">
      <c r="A5101" s="180">
        <f t="shared" si="79"/>
        <v>5101566</v>
      </c>
      <c r="B5101" t="s">
        <v>2327</v>
      </c>
      <c r="C5101" t="s">
        <v>2328</v>
      </c>
    </row>
    <row r="5102" spans="1:4" x14ac:dyDescent="0.25">
      <c r="A5102" s="180">
        <f t="shared" si="79"/>
        <v>5101567</v>
      </c>
      <c r="B5102" t="s">
        <v>2329</v>
      </c>
      <c r="C5102" t="s">
        <v>2330</v>
      </c>
      <c r="D5102" t="s">
        <v>13412</v>
      </c>
    </row>
    <row r="5103" spans="1:4" x14ac:dyDescent="0.25">
      <c r="A5103" s="180">
        <f t="shared" si="79"/>
        <v>5101567</v>
      </c>
      <c r="B5103" t="s">
        <v>2329</v>
      </c>
      <c r="C5103" t="s">
        <v>2330</v>
      </c>
      <c r="D5103" t="s">
        <v>13412</v>
      </c>
    </row>
    <row r="5104" spans="1:4" x14ac:dyDescent="0.25">
      <c r="A5104" s="180">
        <f t="shared" si="79"/>
        <v>5101567</v>
      </c>
      <c r="B5104" t="s">
        <v>2329</v>
      </c>
      <c r="C5104" t="s">
        <v>2330</v>
      </c>
      <c r="D5104" t="s">
        <v>13412</v>
      </c>
    </row>
    <row r="5105" spans="1:4" x14ac:dyDescent="0.25">
      <c r="A5105" s="180">
        <f t="shared" si="79"/>
        <v>5101567</v>
      </c>
      <c r="B5105" t="s">
        <v>2329</v>
      </c>
      <c r="C5105" t="s">
        <v>2330</v>
      </c>
      <c r="D5105" t="s">
        <v>13412</v>
      </c>
    </row>
    <row r="5106" spans="1:4" x14ac:dyDescent="0.25">
      <c r="A5106" s="180">
        <f t="shared" si="79"/>
        <v>5101568</v>
      </c>
      <c r="B5106" t="s">
        <v>2331</v>
      </c>
      <c r="C5106" t="s">
        <v>2332</v>
      </c>
    </row>
    <row r="5107" spans="1:4" x14ac:dyDescent="0.25">
      <c r="A5107" s="180">
        <f t="shared" si="79"/>
        <v>5101568</v>
      </c>
      <c r="B5107" t="s">
        <v>2331</v>
      </c>
      <c r="C5107" t="s">
        <v>2332</v>
      </c>
    </row>
    <row r="5108" spans="1:4" x14ac:dyDescent="0.25">
      <c r="A5108" s="180">
        <f t="shared" si="79"/>
        <v>5101569</v>
      </c>
      <c r="B5108" t="s">
        <v>2333</v>
      </c>
      <c r="C5108" t="s">
        <v>2334</v>
      </c>
      <c r="D5108" t="s">
        <v>14909</v>
      </c>
    </row>
    <row r="5109" spans="1:4" x14ac:dyDescent="0.25">
      <c r="A5109" s="180">
        <f t="shared" si="79"/>
        <v>5101570</v>
      </c>
      <c r="B5109" t="s">
        <v>2335</v>
      </c>
      <c r="C5109" t="s">
        <v>2336</v>
      </c>
      <c r="D5109" t="s">
        <v>14909</v>
      </c>
    </row>
    <row r="5110" spans="1:4" x14ac:dyDescent="0.25">
      <c r="A5110" s="180">
        <f t="shared" si="79"/>
        <v>5101571</v>
      </c>
      <c r="B5110" t="s">
        <v>12660</v>
      </c>
      <c r="C5110" t="s">
        <v>12661</v>
      </c>
      <c r="D5110" t="s">
        <v>14909</v>
      </c>
    </row>
    <row r="5111" spans="1:4" x14ac:dyDescent="0.25">
      <c r="A5111" s="180">
        <f t="shared" si="79"/>
        <v>5101571</v>
      </c>
      <c r="B5111" t="s">
        <v>12660</v>
      </c>
      <c r="C5111" t="s">
        <v>12661</v>
      </c>
      <c r="D5111" t="s">
        <v>14909</v>
      </c>
    </row>
    <row r="5112" spans="1:4" x14ac:dyDescent="0.25">
      <c r="A5112" s="180">
        <f t="shared" si="79"/>
        <v>5101571</v>
      </c>
      <c r="B5112" t="s">
        <v>12660</v>
      </c>
      <c r="C5112" t="s">
        <v>12661</v>
      </c>
      <c r="D5112" t="s">
        <v>14909</v>
      </c>
    </row>
    <row r="5113" spans="1:4" x14ac:dyDescent="0.25">
      <c r="A5113" s="180">
        <f t="shared" si="79"/>
        <v>5101571</v>
      </c>
      <c r="B5113" t="s">
        <v>12660</v>
      </c>
      <c r="C5113" t="s">
        <v>12661</v>
      </c>
      <c r="D5113" t="s">
        <v>14909</v>
      </c>
    </row>
    <row r="5114" spans="1:4" x14ac:dyDescent="0.25">
      <c r="A5114" s="180">
        <f t="shared" si="79"/>
        <v>5101571</v>
      </c>
      <c r="B5114" t="s">
        <v>12660</v>
      </c>
      <c r="C5114" t="s">
        <v>12661</v>
      </c>
      <c r="D5114" t="s">
        <v>14909</v>
      </c>
    </row>
    <row r="5115" spans="1:4" x14ac:dyDescent="0.25">
      <c r="A5115" s="180">
        <f t="shared" si="79"/>
        <v>5101571</v>
      </c>
      <c r="B5115" t="s">
        <v>12660</v>
      </c>
      <c r="C5115" t="s">
        <v>12661</v>
      </c>
      <c r="D5115" t="s">
        <v>14909</v>
      </c>
    </row>
    <row r="5116" spans="1:4" x14ac:dyDescent="0.25">
      <c r="A5116" s="180">
        <f t="shared" si="79"/>
        <v>5101571</v>
      </c>
      <c r="B5116" t="s">
        <v>12660</v>
      </c>
      <c r="C5116" t="s">
        <v>12661</v>
      </c>
      <c r="D5116" t="s">
        <v>14909</v>
      </c>
    </row>
    <row r="5117" spans="1:4" x14ac:dyDescent="0.25">
      <c r="A5117" s="180">
        <f t="shared" si="79"/>
        <v>5101571</v>
      </c>
      <c r="B5117" t="s">
        <v>12660</v>
      </c>
      <c r="C5117" t="s">
        <v>12661</v>
      </c>
      <c r="D5117" t="s">
        <v>14909</v>
      </c>
    </row>
    <row r="5118" spans="1:4" x14ac:dyDescent="0.25">
      <c r="A5118" s="180">
        <f t="shared" si="79"/>
        <v>5101571</v>
      </c>
      <c r="B5118" t="s">
        <v>12660</v>
      </c>
      <c r="C5118" t="s">
        <v>12661</v>
      </c>
      <c r="D5118" t="s">
        <v>14909</v>
      </c>
    </row>
    <row r="5119" spans="1:4" x14ac:dyDescent="0.25">
      <c r="A5119" s="180">
        <f t="shared" ref="A5119:A5182" si="80">IFERROR(B5119*1,"")</f>
        <v>5101571</v>
      </c>
      <c r="B5119" t="s">
        <v>12660</v>
      </c>
      <c r="C5119" t="s">
        <v>12661</v>
      </c>
      <c r="D5119" t="s">
        <v>14909</v>
      </c>
    </row>
    <row r="5120" spans="1:4" x14ac:dyDescent="0.25">
      <c r="A5120" s="180">
        <f t="shared" si="80"/>
        <v>5101571</v>
      </c>
      <c r="B5120" t="s">
        <v>12660</v>
      </c>
      <c r="C5120" t="s">
        <v>12661</v>
      </c>
      <c r="D5120" t="s">
        <v>14909</v>
      </c>
    </row>
    <row r="5121" spans="1:4" x14ac:dyDescent="0.25">
      <c r="A5121" s="180">
        <f t="shared" si="80"/>
        <v>5101571</v>
      </c>
      <c r="B5121" t="s">
        <v>12660</v>
      </c>
      <c r="C5121" t="s">
        <v>12661</v>
      </c>
      <c r="D5121" t="s">
        <v>14909</v>
      </c>
    </row>
    <row r="5122" spans="1:4" x14ac:dyDescent="0.25">
      <c r="A5122" s="180">
        <f t="shared" si="80"/>
        <v>5101580</v>
      </c>
      <c r="B5122" t="s">
        <v>14492</v>
      </c>
      <c r="C5122" t="s">
        <v>14493</v>
      </c>
      <c r="D5122" t="s">
        <v>14909</v>
      </c>
    </row>
    <row r="5123" spans="1:4" x14ac:dyDescent="0.25">
      <c r="A5123" s="180">
        <f t="shared" si="80"/>
        <v>5101580</v>
      </c>
      <c r="B5123" t="s">
        <v>14492</v>
      </c>
      <c r="C5123" t="s">
        <v>14493</v>
      </c>
      <c r="D5123" t="s">
        <v>14909</v>
      </c>
    </row>
    <row r="5124" spans="1:4" x14ac:dyDescent="0.25">
      <c r="A5124" s="180">
        <f t="shared" si="80"/>
        <v>5101580</v>
      </c>
      <c r="B5124" t="s">
        <v>14492</v>
      </c>
      <c r="C5124" t="s">
        <v>14493</v>
      </c>
      <c r="D5124" t="s">
        <v>14909</v>
      </c>
    </row>
    <row r="5125" spans="1:4" x14ac:dyDescent="0.25">
      <c r="A5125" s="180">
        <f t="shared" si="80"/>
        <v>5101580</v>
      </c>
      <c r="B5125" t="s">
        <v>14492</v>
      </c>
      <c r="C5125" t="s">
        <v>14493</v>
      </c>
      <c r="D5125" t="s">
        <v>14909</v>
      </c>
    </row>
    <row r="5126" spans="1:4" x14ac:dyDescent="0.25">
      <c r="A5126" s="180">
        <f t="shared" si="80"/>
        <v>5101580</v>
      </c>
      <c r="B5126" t="s">
        <v>14492</v>
      </c>
      <c r="C5126" t="s">
        <v>14493</v>
      </c>
      <c r="D5126" t="s">
        <v>14909</v>
      </c>
    </row>
    <row r="5127" spans="1:4" x14ac:dyDescent="0.25">
      <c r="A5127" s="180">
        <f t="shared" si="80"/>
        <v>5101580</v>
      </c>
      <c r="B5127" t="s">
        <v>14492</v>
      </c>
      <c r="C5127" t="s">
        <v>14493</v>
      </c>
      <c r="D5127" t="s">
        <v>14909</v>
      </c>
    </row>
    <row r="5128" spans="1:4" x14ac:dyDescent="0.25">
      <c r="A5128" s="180">
        <f t="shared" si="80"/>
        <v>5101580</v>
      </c>
      <c r="B5128" t="s">
        <v>14492</v>
      </c>
      <c r="C5128" t="s">
        <v>14493</v>
      </c>
      <c r="D5128" t="s">
        <v>14909</v>
      </c>
    </row>
    <row r="5129" spans="1:4" x14ac:dyDescent="0.25">
      <c r="A5129" s="180">
        <f t="shared" si="80"/>
        <v>5101581</v>
      </c>
      <c r="B5129" t="s">
        <v>14494</v>
      </c>
      <c r="C5129" t="s">
        <v>14495</v>
      </c>
      <c r="D5129" t="s">
        <v>14909</v>
      </c>
    </row>
    <row r="5130" spans="1:4" x14ac:dyDescent="0.25">
      <c r="A5130" s="180">
        <f t="shared" si="80"/>
        <v>5101581</v>
      </c>
      <c r="B5130" t="s">
        <v>14494</v>
      </c>
      <c r="C5130" t="s">
        <v>14495</v>
      </c>
      <c r="D5130" t="s">
        <v>14909</v>
      </c>
    </row>
    <row r="5131" spans="1:4" x14ac:dyDescent="0.25">
      <c r="A5131" s="180">
        <f t="shared" si="80"/>
        <v>5101581</v>
      </c>
      <c r="B5131" t="s">
        <v>14494</v>
      </c>
      <c r="C5131" t="s">
        <v>14495</v>
      </c>
      <c r="D5131" t="s">
        <v>14909</v>
      </c>
    </row>
    <row r="5132" spans="1:4" x14ac:dyDescent="0.25">
      <c r="A5132" s="180">
        <f t="shared" si="80"/>
        <v>5101581</v>
      </c>
      <c r="B5132" t="s">
        <v>14494</v>
      </c>
      <c r="C5132" t="s">
        <v>14495</v>
      </c>
      <c r="D5132" t="s">
        <v>14909</v>
      </c>
    </row>
    <row r="5133" spans="1:4" x14ac:dyDescent="0.25">
      <c r="A5133" s="180">
        <f t="shared" si="80"/>
        <v>5101590</v>
      </c>
      <c r="B5133" t="s">
        <v>15011</v>
      </c>
      <c r="C5133" t="s">
        <v>15012</v>
      </c>
      <c r="D5133" t="s">
        <v>14909</v>
      </c>
    </row>
    <row r="5134" spans="1:4" x14ac:dyDescent="0.25">
      <c r="A5134" s="180">
        <f t="shared" si="80"/>
        <v>5101591</v>
      </c>
      <c r="B5134" t="s">
        <v>15013</v>
      </c>
      <c r="C5134" t="s">
        <v>15014</v>
      </c>
      <c r="D5134" t="s">
        <v>14909</v>
      </c>
    </row>
    <row r="5135" spans="1:4" x14ac:dyDescent="0.25">
      <c r="A5135" s="180">
        <f t="shared" si="80"/>
        <v>5101600</v>
      </c>
      <c r="B5135" t="s">
        <v>2337</v>
      </c>
      <c r="C5135" t="s">
        <v>2338</v>
      </c>
      <c r="D5135" t="s">
        <v>14957</v>
      </c>
    </row>
    <row r="5136" spans="1:4" x14ac:dyDescent="0.25">
      <c r="A5136" s="180">
        <f t="shared" si="80"/>
        <v>5101600</v>
      </c>
      <c r="B5136" t="s">
        <v>2337</v>
      </c>
      <c r="C5136" t="s">
        <v>2338</v>
      </c>
      <c r="D5136" t="s">
        <v>14957</v>
      </c>
    </row>
    <row r="5137" spans="1:4" x14ac:dyDescent="0.25">
      <c r="A5137" s="180">
        <f t="shared" si="80"/>
        <v>5101600</v>
      </c>
      <c r="B5137" t="s">
        <v>2337</v>
      </c>
      <c r="C5137" t="s">
        <v>2338</v>
      </c>
      <c r="D5137" t="s">
        <v>14957</v>
      </c>
    </row>
    <row r="5138" spans="1:4" x14ac:dyDescent="0.25">
      <c r="A5138" s="180">
        <f t="shared" si="80"/>
        <v>5101600</v>
      </c>
      <c r="B5138" t="s">
        <v>2337</v>
      </c>
      <c r="C5138" t="s">
        <v>2338</v>
      </c>
      <c r="D5138" t="s">
        <v>14957</v>
      </c>
    </row>
    <row r="5139" spans="1:4" x14ac:dyDescent="0.25">
      <c r="A5139" s="180">
        <f t="shared" si="80"/>
        <v>5101600</v>
      </c>
      <c r="B5139" t="s">
        <v>2337</v>
      </c>
      <c r="C5139" t="s">
        <v>2338</v>
      </c>
      <c r="D5139" t="s">
        <v>14957</v>
      </c>
    </row>
    <row r="5140" spans="1:4" x14ac:dyDescent="0.25">
      <c r="A5140" s="180">
        <f t="shared" si="80"/>
        <v>5101600</v>
      </c>
      <c r="B5140" t="s">
        <v>2337</v>
      </c>
      <c r="C5140" t="s">
        <v>2338</v>
      </c>
      <c r="D5140" t="s">
        <v>14957</v>
      </c>
    </row>
    <row r="5141" spans="1:4" x14ac:dyDescent="0.25">
      <c r="A5141" s="180">
        <f t="shared" si="80"/>
        <v>5101600</v>
      </c>
      <c r="B5141" t="s">
        <v>2337</v>
      </c>
      <c r="C5141" t="s">
        <v>2338</v>
      </c>
      <c r="D5141" t="s">
        <v>14957</v>
      </c>
    </row>
    <row r="5142" spans="1:4" x14ac:dyDescent="0.25">
      <c r="A5142" s="180">
        <f t="shared" si="80"/>
        <v>5101601</v>
      </c>
      <c r="B5142" t="s">
        <v>2339</v>
      </c>
      <c r="C5142" t="s">
        <v>13289</v>
      </c>
      <c r="D5142" t="s">
        <v>14909</v>
      </c>
    </row>
    <row r="5143" spans="1:4" x14ac:dyDescent="0.25">
      <c r="A5143" s="180">
        <f t="shared" si="80"/>
        <v>5101601</v>
      </c>
      <c r="B5143" t="s">
        <v>2339</v>
      </c>
      <c r="C5143" t="s">
        <v>13289</v>
      </c>
      <c r="D5143" t="s">
        <v>14909</v>
      </c>
    </row>
    <row r="5144" spans="1:4" x14ac:dyDescent="0.25">
      <c r="A5144" s="180">
        <f t="shared" si="80"/>
        <v>5101601</v>
      </c>
      <c r="B5144" t="s">
        <v>2339</v>
      </c>
      <c r="C5144" t="s">
        <v>13289</v>
      </c>
      <c r="D5144" t="s">
        <v>14909</v>
      </c>
    </row>
    <row r="5145" spans="1:4" x14ac:dyDescent="0.25">
      <c r="A5145" s="180">
        <f t="shared" si="80"/>
        <v>5101601</v>
      </c>
      <c r="B5145" t="s">
        <v>2339</v>
      </c>
      <c r="C5145" t="s">
        <v>13289</v>
      </c>
      <c r="D5145" t="s">
        <v>14909</v>
      </c>
    </row>
    <row r="5146" spans="1:4" x14ac:dyDescent="0.25">
      <c r="A5146" s="180">
        <f t="shared" si="80"/>
        <v>5101601</v>
      </c>
      <c r="B5146" t="s">
        <v>2339</v>
      </c>
      <c r="C5146" t="s">
        <v>13289</v>
      </c>
      <c r="D5146" t="s">
        <v>14909</v>
      </c>
    </row>
    <row r="5147" spans="1:4" x14ac:dyDescent="0.25">
      <c r="A5147" s="180">
        <f t="shared" si="80"/>
        <v>5101601</v>
      </c>
      <c r="B5147" t="s">
        <v>2339</v>
      </c>
      <c r="C5147" t="s">
        <v>13289</v>
      </c>
      <c r="D5147" t="s">
        <v>14909</v>
      </c>
    </row>
    <row r="5148" spans="1:4" x14ac:dyDescent="0.25">
      <c r="A5148" s="180">
        <f t="shared" si="80"/>
        <v>5101602</v>
      </c>
      <c r="B5148" t="s">
        <v>13449</v>
      </c>
      <c r="C5148" t="s">
        <v>13450</v>
      </c>
      <c r="D5148" t="s">
        <v>14909</v>
      </c>
    </row>
    <row r="5149" spans="1:4" x14ac:dyDescent="0.25">
      <c r="A5149" s="180">
        <f t="shared" si="80"/>
        <v>5101602</v>
      </c>
      <c r="B5149" t="s">
        <v>13449</v>
      </c>
      <c r="C5149" t="s">
        <v>13450</v>
      </c>
      <c r="D5149" t="s">
        <v>14909</v>
      </c>
    </row>
    <row r="5150" spans="1:4" x14ac:dyDescent="0.25">
      <c r="A5150" s="180">
        <f t="shared" si="80"/>
        <v>5101602</v>
      </c>
      <c r="B5150" t="s">
        <v>13449</v>
      </c>
      <c r="C5150" t="s">
        <v>13450</v>
      </c>
      <c r="D5150" t="s">
        <v>14909</v>
      </c>
    </row>
    <row r="5151" spans="1:4" x14ac:dyDescent="0.25">
      <c r="A5151" s="180">
        <f t="shared" si="80"/>
        <v>5101602</v>
      </c>
      <c r="B5151" t="s">
        <v>13449</v>
      </c>
      <c r="C5151" t="s">
        <v>13450</v>
      </c>
      <c r="D5151" t="s">
        <v>14909</v>
      </c>
    </row>
    <row r="5152" spans="1:4" x14ac:dyDescent="0.25">
      <c r="A5152" s="180">
        <f t="shared" si="80"/>
        <v>5101602</v>
      </c>
      <c r="B5152" t="s">
        <v>13449</v>
      </c>
      <c r="C5152" t="s">
        <v>13450</v>
      </c>
      <c r="D5152" t="s">
        <v>14909</v>
      </c>
    </row>
    <row r="5153" spans="1:4" x14ac:dyDescent="0.25">
      <c r="A5153" s="180">
        <f t="shared" si="80"/>
        <v>5101603</v>
      </c>
      <c r="B5153" t="s">
        <v>13451</v>
      </c>
      <c r="C5153" t="s">
        <v>13452</v>
      </c>
      <c r="D5153" t="s">
        <v>14909</v>
      </c>
    </row>
    <row r="5154" spans="1:4" x14ac:dyDescent="0.25">
      <c r="A5154" s="180">
        <f t="shared" si="80"/>
        <v>5101603</v>
      </c>
      <c r="B5154" t="s">
        <v>13451</v>
      </c>
      <c r="C5154" t="s">
        <v>13452</v>
      </c>
      <c r="D5154" t="s">
        <v>14909</v>
      </c>
    </row>
    <row r="5155" spans="1:4" x14ac:dyDescent="0.25">
      <c r="A5155" s="180">
        <f t="shared" si="80"/>
        <v>5101603</v>
      </c>
      <c r="B5155" t="s">
        <v>13451</v>
      </c>
      <c r="C5155" t="s">
        <v>13452</v>
      </c>
      <c r="D5155" t="s">
        <v>14909</v>
      </c>
    </row>
    <row r="5156" spans="1:4" x14ac:dyDescent="0.25">
      <c r="A5156" s="180">
        <f t="shared" si="80"/>
        <v>5101603</v>
      </c>
      <c r="B5156" t="s">
        <v>13451</v>
      </c>
      <c r="C5156" t="s">
        <v>13452</v>
      </c>
      <c r="D5156" t="s">
        <v>14909</v>
      </c>
    </row>
    <row r="5157" spans="1:4" x14ac:dyDescent="0.25">
      <c r="A5157" s="180">
        <f t="shared" si="80"/>
        <v>5101603</v>
      </c>
      <c r="B5157" t="s">
        <v>13451</v>
      </c>
      <c r="C5157" t="s">
        <v>13452</v>
      </c>
      <c r="D5157" t="s">
        <v>14909</v>
      </c>
    </row>
    <row r="5158" spans="1:4" x14ac:dyDescent="0.25">
      <c r="A5158" s="180">
        <f t="shared" si="80"/>
        <v>5101604</v>
      </c>
      <c r="B5158" t="s">
        <v>13453</v>
      </c>
      <c r="C5158" t="s">
        <v>13454</v>
      </c>
      <c r="D5158" t="s">
        <v>14909</v>
      </c>
    </row>
    <row r="5159" spans="1:4" x14ac:dyDescent="0.25">
      <c r="A5159" s="180">
        <f t="shared" si="80"/>
        <v>5101604</v>
      </c>
      <c r="B5159" t="s">
        <v>13453</v>
      </c>
      <c r="C5159" t="s">
        <v>13454</v>
      </c>
      <c r="D5159" t="s">
        <v>14909</v>
      </c>
    </row>
    <row r="5160" spans="1:4" x14ac:dyDescent="0.25">
      <c r="A5160" s="180">
        <f t="shared" si="80"/>
        <v>5101604</v>
      </c>
      <c r="B5160" t="s">
        <v>13453</v>
      </c>
      <c r="C5160" t="s">
        <v>13454</v>
      </c>
      <c r="D5160" t="s">
        <v>14909</v>
      </c>
    </row>
    <row r="5161" spans="1:4" x14ac:dyDescent="0.25">
      <c r="A5161" s="180">
        <f t="shared" si="80"/>
        <v>5101604</v>
      </c>
      <c r="B5161" t="s">
        <v>13453</v>
      </c>
      <c r="C5161" t="s">
        <v>13454</v>
      </c>
      <c r="D5161" t="s">
        <v>14909</v>
      </c>
    </row>
    <row r="5162" spans="1:4" x14ac:dyDescent="0.25">
      <c r="A5162" s="180">
        <f t="shared" si="80"/>
        <v>5101604</v>
      </c>
      <c r="B5162" t="s">
        <v>13453</v>
      </c>
      <c r="C5162" t="s">
        <v>13454</v>
      </c>
      <c r="D5162" t="s">
        <v>14909</v>
      </c>
    </row>
    <row r="5163" spans="1:4" x14ac:dyDescent="0.25">
      <c r="A5163" s="180">
        <f t="shared" si="80"/>
        <v>5101604</v>
      </c>
      <c r="B5163" t="s">
        <v>13453</v>
      </c>
      <c r="C5163" t="s">
        <v>13454</v>
      </c>
      <c r="D5163" t="s">
        <v>14909</v>
      </c>
    </row>
    <row r="5164" spans="1:4" x14ac:dyDescent="0.25">
      <c r="A5164" s="180">
        <f t="shared" si="80"/>
        <v>5101605</v>
      </c>
      <c r="B5164" t="s">
        <v>13455</v>
      </c>
      <c r="C5164" t="s">
        <v>13456</v>
      </c>
      <c r="D5164" t="s">
        <v>14909</v>
      </c>
    </row>
    <row r="5165" spans="1:4" x14ac:dyDescent="0.25">
      <c r="A5165" s="180">
        <f t="shared" si="80"/>
        <v>5101605</v>
      </c>
      <c r="B5165" t="s">
        <v>13455</v>
      </c>
      <c r="C5165" t="s">
        <v>13456</v>
      </c>
      <c r="D5165" t="s">
        <v>14909</v>
      </c>
    </row>
    <row r="5166" spans="1:4" x14ac:dyDescent="0.25">
      <c r="A5166" s="180">
        <f t="shared" si="80"/>
        <v>5101605</v>
      </c>
      <c r="B5166" t="s">
        <v>13455</v>
      </c>
      <c r="C5166" t="s">
        <v>13456</v>
      </c>
      <c r="D5166" t="s">
        <v>14909</v>
      </c>
    </row>
    <row r="5167" spans="1:4" x14ac:dyDescent="0.25">
      <c r="A5167" s="180">
        <f t="shared" si="80"/>
        <v>5101606</v>
      </c>
      <c r="B5167" t="s">
        <v>13457</v>
      </c>
      <c r="C5167" t="s">
        <v>13458</v>
      </c>
      <c r="D5167" t="s">
        <v>14909</v>
      </c>
    </row>
    <row r="5168" spans="1:4" x14ac:dyDescent="0.25">
      <c r="A5168" s="180">
        <f t="shared" si="80"/>
        <v>5101606</v>
      </c>
      <c r="B5168" t="s">
        <v>13457</v>
      </c>
      <c r="C5168" t="s">
        <v>13458</v>
      </c>
      <c r="D5168" t="s">
        <v>14909</v>
      </c>
    </row>
    <row r="5169" spans="1:4" x14ac:dyDescent="0.25">
      <c r="A5169" s="180">
        <f t="shared" si="80"/>
        <v>5101606</v>
      </c>
      <c r="B5169" t="s">
        <v>13457</v>
      </c>
      <c r="C5169" t="s">
        <v>13458</v>
      </c>
      <c r="D5169" t="s">
        <v>14909</v>
      </c>
    </row>
    <row r="5170" spans="1:4" x14ac:dyDescent="0.25">
      <c r="A5170" s="180">
        <f t="shared" si="80"/>
        <v>5101606</v>
      </c>
      <c r="B5170" t="s">
        <v>13457</v>
      </c>
      <c r="C5170" t="s">
        <v>13458</v>
      </c>
      <c r="D5170" t="s">
        <v>14909</v>
      </c>
    </row>
    <row r="5171" spans="1:4" x14ac:dyDescent="0.25">
      <c r="A5171" s="180">
        <f t="shared" si="80"/>
        <v>5101606</v>
      </c>
      <c r="B5171" t="s">
        <v>13457</v>
      </c>
      <c r="C5171" t="s">
        <v>13458</v>
      </c>
      <c r="D5171" t="s">
        <v>14909</v>
      </c>
    </row>
    <row r="5172" spans="1:4" x14ac:dyDescent="0.25">
      <c r="A5172" s="180">
        <f t="shared" si="80"/>
        <v>5101606</v>
      </c>
      <c r="B5172" t="s">
        <v>13457</v>
      </c>
      <c r="C5172" t="s">
        <v>13458</v>
      </c>
      <c r="D5172" t="s">
        <v>14909</v>
      </c>
    </row>
    <row r="5173" spans="1:4" x14ac:dyDescent="0.25">
      <c r="A5173" s="180">
        <f t="shared" si="80"/>
        <v>5101606</v>
      </c>
      <c r="B5173" t="s">
        <v>13457</v>
      </c>
      <c r="C5173" t="s">
        <v>13458</v>
      </c>
      <c r="D5173" t="s">
        <v>14909</v>
      </c>
    </row>
    <row r="5174" spans="1:4" x14ac:dyDescent="0.25">
      <c r="A5174" s="180">
        <f t="shared" si="80"/>
        <v>5101606</v>
      </c>
      <c r="B5174" t="s">
        <v>13457</v>
      </c>
      <c r="C5174" t="s">
        <v>13458</v>
      </c>
      <c r="D5174" t="s">
        <v>14909</v>
      </c>
    </row>
    <row r="5175" spans="1:4" x14ac:dyDescent="0.25">
      <c r="A5175" s="180">
        <f t="shared" si="80"/>
        <v>5101607</v>
      </c>
      <c r="B5175" t="s">
        <v>13459</v>
      </c>
      <c r="C5175" t="s">
        <v>13460</v>
      </c>
      <c r="D5175" t="s">
        <v>14909</v>
      </c>
    </row>
    <row r="5176" spans="1:4" x14ac:dyDescent="0.25">
      <c r="A5176" s="180">
        <f t="shared" si="80"/>
        <v>5101610</v>
      </c>
      <c r="B5176" t="s">
        <v>14967</v>
      </c>
      <c r="C5176" t="s">
        <v>14968</v>
      </c>
      <c r="D5176" t="s">
        <v>14909</v>
      </c>
    </row>
    <row r="5177" spans="1:4" x14ac:dyDescent="0.25">
      <c r="A5177" s="180">
        <f t="shared" si="80"/>
        <v>5101610</v>
      </c>
      <c r="B5177" t="s">
        <v>14967</v>
      </c>
      <c r="C5177" t="s">
        <v>14968</v>
      </c>
      <c r="D5177" t="s">
        <v>14909</v>
      </c>
    </row>
    <row r="5178" spans="1:4" x14ac:dyDescent="0.25">
      <c r="A5178" s="180">
        <f t="shared" si="80"/>
        <v>5101611</v>
      </c>
      <c r="B5178" t="s">
        <v>14969</v>
      </c>
      <c r="C5178" t="s">
        <v>14970</v>
      </c>
      <c r="D5178" t="s">
        <v>14909</v>
      </c>
    </row>
    <row r="5179" spans="1:4" x14ac:dyDescent="0.25">
      <c r="A5179" s="180">
        <f t="shared" si="80"/>
        <v>5101625</v>
      </c>
      <c r="B5179" t="s">
        <v>2340</v>
      </c>
      <c r="C5179" t="s">
        <v>2341</v>
      </c>
      <c r="D5179" t="s">
        <v>13412</v>
      </c>
    </row>
    <row r="5180" spans="1:4" x14ac:dyDescent="0.25">
      <c r="A5180" s="180">
        <f t="shared" si="80"/>
        <v>5101626</v>
      </c>
      <c r="B5180" t="s">
        <v>2342</v>
      </c>
      <c r="C5180" t="s">
        <v>2343</v>
      </c>
    </row>
    <row r="5181" spans="1:4" x14ac:dyDescent="0.25">
      <c r="A5181" s="180">
        <f t="shared" si="80"/>
        <v>5101650</v>
      </c>
      <c r="B5181" t="s">
        <v>12797</v>
      </c>
      <c r="C5181" t="s">
        <v>12798</v>
      </c>
    </row>
    <row r="5182" spans="1:4" x14ac:dyDescent="0.25">
      <c r="A5182" s="180">
        <f t="shared" si="80"/>
        <v>5101654</v>
      </c>
      <c r="B5182" t="s">
        <v>2344</v>
      </c>
      <c r="C5182" t="s">
        <v>2345</v>
      </c>
      <c r="D5182" t="s">
        <v>13411</v>
      </c>
    </row>
    <row r="5183" spans="1:4" x14ac:dyDescent="0.25">
      <c r="A5183" s="180">
        <f t="shared" ref="A5183:A5246" si="81">IFERROR(B5183*1,"")</f>
        <v>5101654</v>
      </c>
      <c r="B5183" t="s">
        <v>2344</v>
      </c>
      <c r="C5183" t="s">
        <v>2345</v>
      </c>
      <c r="D5183" t="s">
        <v>13411</v>
      </c>
    </row>
    <row r="5184" spans="1:4" x14ac:dyDescent="0.25">
      <c r="A5184" s="180">
        <f t="shared" si="81"/>
        <v>5101654</v>
      </c>
      <c r="B5184" t="s">
        <v>2344</v>
      </c>
      <c r="C5184" t="s">
        <v>2345</v>
      </c>
      <c r="D5184" t="s">
        <v>13411</v>
      </c>
    </row>
    <row r="5185" spans="1:4" x14ac:dyDescent="0.25">
      <c r="A5185" s="180">
        <f t="shared" si="81"/>
        <v>5101654</v>
      </c>
      <c r="B5185" t="s">
        <v>2344</v>
      </c>
      <c r="C5185" t="s">
        <v>2345</v>
      </c>
      <c r="D5185" t="s">
        <v>13411</v>
      </c>
    </row>
    <row r="5186" spans="1:4" x14ac:dyDescent="0.25">
      <c r="A5186" s="180">
        <f t="shared" si="81"/>
        <v>5101654</v>
      </c>
      <c r="B5186" t="s">
        <v>2344</v>
      </c>
      <c r="C5186" t="s">
        <v>2345</v>
      </c>
      <c r="D5186" t="s">
        <v>13411</v>
      </c>
    </row>
    <row r="5187" spans="1:4" x14ac:dyDescent="0.25">
      <c r="A5187" s="180">
        <f t="shared" si="81"/>
        <v>5101654</v>
      </c>
      <c r="B5187" t="s">
        <v>2344</v>
      </c>
      <c r="C5187" t="s">
        <v>2345</v>
      </c>
      <c r="D5187" t="s">
        <v>13411</v>
      </c>
    </row>
    <row r="5188" spans="1:4" x14ac:dyDescent="0.25">
      <c r="A5188" s="180">
        <f t="shared" si="81"/>
        <v>5101654</v>
      </c>
      <c r="B5188" t="s">
        <v>2344</v>
      </c>
      <c r="C5188" t="s">
        <v>2345</v>
      </c>
      <c r="D5188" t="s">
        <v>13411</v>
      </c>
    </row>
    <row r="5189" spans="1:4" x14ac:dyDescent="0.25">
      <c r="A5189" s="180">
        <f t="shared" si="81"/>
        <v>5101654</v>
      </c>
      <c r="B5189" t="s">
        <v>2344</v>
      </c>
      <c r="C5189" t="s">
        <v>2345</v>
      </c>
      <c r="D5189" t="s">
        <v>13411</v>
      </c>
    </row>
    <row r="5190" spans="1:4" x14ac:dyDescent="0.25">
      <c r="A5190" s="180">
        <f t="shared" si="81"/>
        <v>5101655</v>
      </c>
      <c r="B5190" t="s">
        <v>2346</v>
      </c>
      <c r="C5190" t="s">
        <v>2347</v>
      </c>
      <c r="D5190" t="s">
        <v>13411</v>
      </c>
    </row>
    <row r="5191" spans="1:4" x14ac:dyDescent="0.25">
      <c r="A5191" s="180">
        <f t="shared" si="81"/>
        <v>5101655</v>
      </c>
      <c r="B5191" t="s">
        <v>2346</v>
      </c>
      <c r="C5191" t="s">
        <v>2347</v>
      </c>
      <c r="D5191" t="s">
        <v>13411</v>
      </c>
    </row>
    <row r="5192" spans="1:4" x14ac:dyDescent="0.25">
      <c r="A5192" s="180">
        <f t="shared" si="81"/>
        <v>5101655</v>
      </c>
      <c r="B5192" t="s">
        <v>2346</v>
      </c>
      <c r="C5192" t="s">
        <v>2347</v>
      </c>
      <c r="D5192" t="s">
        <v>13411</v>
      </c>
    </row>
    <row r="5193" spans="1:4" x14ac:dyDescent="0.25">
      <c r="A5193" s="180">
        <f t="shared" si="81"/>
        <v>5101666</v>
      </c>
      <c r="B5193" t="s">
        <v>2348</v>
      </c>
      <c r="C5193" t="s">
        <v>2349</v>
      </c>
      <c r="D5193" t="s">
        <v>14909</v>
      </c>
    </row>
    <row r="5194" spans="1:4" x14ac:dyDescent="0.25">
      <c r="A5194" s="180">
        <f t="shared" si="81"/>
        <v>5101666</v>
      </c>
      <c r="B5194" t="s">
        <v>2348</v>
      </c>
      <c r="C5194" t="s">
        <v>2349</v>
      </c>
      <c r="D5194" t="s">
        <v>14909</v>
      </c>
    </row>
    <row r="5195" spans="1:4" x14ac:dyDescent="0.25">
      <c r="A5195" s="180">
        <f t="shared" si="81"/>
        <v>5101666</v>
      </c>
      <c r="B5195" t="s">
        <v>2348</v>
      </c>
      <c r="C5195" t="s">
        <v>2349</v>
      </c>
      <c r="D5195" t="s">
        <v>14909</v>
      </c>
    </row>
    <row r="5196" spans="1:4" x14ac:dyDescent="0.25">
      <c r="A5196" s="180">
        <f t="shared" si="81"/>
        <v>5101666</v>
      </c>
      <c r="B5196" t="s">
        <v>2348</v>
      </c>
      <c r="C5196" t="s">
        <v>2349</v>
      </c>
      <c r="D5196" t="s">
        <v>14909</v>
      </c>
    </row>
    <row r="5197" spans="1:4" x14ac:dyDescent="0.25">
      <c r="A5197" s="180">
        <f t="shared" si="81"/>
        <v>5101666</v>
      </c>
      <c r="B5197" t="s">
        <v>2348</v>
      </c>
      <c r="C5197" t="s">
        <v>2349</v>
      </c>
      <c r="D5197" t="s">
        <v>14909</v>
      </c>
    </row>
    <row r="5198" spans="1:4" x14ac:dyDescent="0.25">
      <c r="A5198" s="180">
        <f t="shared" si="81"/>
        <v>5101666</v>
      </c>
      <c r="B5198" t="s">
        <v>2348</v>
      </c>
      <c r="C5198" t="s">
        <v>2349</v>
      </c>
      <c r="D5198" t="s">
        <v>14909</v>
      </c>
    </row>
    <row r="5199" spans="1:4" x14ac:dyDescent="0.25">
      <c r="A5199" s="180">
        <f t="shared" si="81"/>
        <v>5101666</v>
      </c>
      <c r="B5199" t="s">
        <v>2348</v>
      </c>
      <c r="C5199" t="s">
        <v>2349</v>
      </c>
      <c r="D5199" t="s">
        <v>14909</v>
      </c>
    </row>
    <row r="5200" spans="1:4" x14ac:dyDescent="0.25">
      <c r="A5200" s="180">
        <f t="shared" si="81"/>
        <v>5101680</v>
      </c>
      <c r="B5200" t="s">
        <v>2350</v>
      </c>
      <c r="C5200" t="s">
        <v>2351</v>
      </c>
    </row>
    <row r="5201" spans="1:4" x14ac:dyDescent="0.25">
      <c r="A5201" s="180">
        <f t="shared" si="81"/>
        <v>5101681</v>
      </c>
      <c r="B5201" t="s">
        <v>2352</v>
      </c>
      <c r="C5201" t="s">
        <v>2353</v>
      </c>
    </row>
    <row r="5202" spans="1:4" x14ac:dyDescent="0.25">
      <c r="A5202" s="180">
        <f t="shared" si="81"/>
        <v>5101698</v>
      </c>
      <c r="B5202" t="s">
        <v>14971</v>
      </c>
      <c r="C5202" t="s">
        <v>14972</v>
      </c>
      <c r="D5202" t="s">
        <v>14952</v>
      </c>
    </row>
    <row r="5203" spans="1:4" x14ac:dyDescent="0.25">
      <c r="A5203" s="180">
        <f t="shared" si="81"/>
        <v>5101699</v>
      </c>
      <c r="B5203" t="s">
        <v>14973</v>
      </c>
      <c r="C5203" t="s">
        <v>14974</v>
      </c>
      <c r="D5203" t="s">
        <v>14952</v>
      </c>
    </row>
    <row r="5204" spans="1:4" x14ac:dyDescent="0.25">
      <c r="A5204" s="180">
        <f t="shared" si="81"/>
        <v>5101710</v>
      </c>
      <c r="B5204" t="s">
        <v>13960</v>
      </c>
      <c r="C5204" t="s">
        <v>13961</v>
      </c>
      <c r="D5204" t="s">
        <v>14909</v>
      </c>
    </row>
    <row r="5205" spans="1:4" x14ac:dyDescent="0.25">
      <c r="A5205" s="180">
        <f t="shared" si="81"/>
        <v>5101710</v>
      </c>
      <c r="B5205" t="s">
        <v>13960</v>
      </c>
      <c r="C5205" t="s">
        <v>13961</v>
      </c>
      <c r="D5205" t="s">
        <v>14909</v>
      </c>
    </row>
    <row r="5206" spans="1:4" x14ac:dyDescent="0.25">
      <c r="A5206" s="180">
        <f t="shared" si="81"/>
        <v>5101710</v>
      </c>
      <c r="B5206" t="s">
        <v>13960</v>
      </c>
      <c r="C5206" t="s">
        <v>13961</v>
      </c>
      <c r="D5206" t="s">
        <v>14909</v>
      </c>
    </row>
    <row r="5207" spans="1:4" x14ac:dyDescent="0.25">
      <c r="A5207" s="180">
        <f t="shared" si="81"/>
        <v>5101750</v>
      </c>
      <c r="B5207" t="s">
        <v>2354</v>
      </c>
      <c r="C5207" t="s">
        <v>14267</v>
      </c>
      <c r="D5207" t="s">
        <v>14909</v>
      </c>
    </row>
    <row r="5208" spans="1:4" x14ac:dyDescent="0.25">
      <c r="A5208" s="180">
        <f t="shared" si="81"/>
        <v>5101750</v>
      </c>
      <c r="B5208" t="s">
        <v>2354</v>
      </c>
      <c r="C5208" t="s">
        <v>14267</v>
      </c>
      <c r="D5208" t="s">
        <v>14909</v>
      </c>
    </row>
    <row r="5209" spans="1:4" x14ac:dyDescent="0.25">
      <c r="A5209" s="180">
        <f t="shared" si="81"/>
        <v>5101750</v>
      </c>
      <c r="B5209" t="s">
        <v>2354</v>
      </c>
      <c r="C5209" t="s">
        <v>14267</v>
      </c>
      <c r="D5209" t="s">
        <v>14909</v>
      </c>
    </row>
    <row r="5210" spans="1:4" x14ac:dyDescent="0.25">
      <c r="A5210" s="180">
        <f t="shared" si="81"/>
        <v>5101750</v>
      </c>
      <c r="B5210" t="s">
        <v>2354</v>
      </c>
      <c r="C5210" t="s">
        <v>14267</v>
      </c>
      <c r="D5210" t="s">
        <v>14909</v>
      </c>
    </row>
    <row r="5211" spans="1:4" x14ac:dyDescent="0.25">
      <c r="A5211" s="180">
        <f t="shared" si="81"/>
        <v>5101750</v>
      </c>
      <c r="B5211" t="s">
        <v>2354</v>
      </c>
      <c r="C5211" t="s">
        <v>14267</v>
      </c>
      <c r="D5211" t="s">
        <v>14909</v>
      </c>
    </row>
    <row r="5212" spans="1:4" x14ac:dyDescent="0.25">
      <c r="A5212" s="180">
        <f t="shared" si="81"/>
        <v>5101750</v>
      </c>
      <c r="B5212" t="s">
        <v>2354</v>
      </c>
      <c r="C5212" t="s">
        <v>14267</v>
      </c>
      <c r="D5212" t="s">
        <v>14909</v>
      </c>
    </row>
    <row r="5213" spans="1:4" x14ac:dyDescent="0.25">
      <c r="A5213" s="180">
        <f t="shared" si="81"/>
        <v>5101750</v>
      </c>
      <c r="B5213" t="s">
        <v>2354</v>
      </c>
      <c r="C5213" t="s">
        <v>14267</v>
      </c>
      <c r="D5213" t="s">
        <v>14909</v>
      </c>
    </row>
    <row r="5214" spans="1:4" x14ac:dyDescent="0.25">
      <c r="A5214" s="180">
        <f t="shared" si="81"/>
        <v>5101750</v>
      </c>
      <c r="B5214" t="s">
        <v>2354</v>
      </c>
      <c r="C5214" t="s">
        <v>14267</v>
      </c>
      <c r="D5214" t="s">
        <v>14909</v>
      </c>
    </row>
    <row r="5215" spans="1:4" x14ac:dyDescent="0.25">
      <c r="A5215" s="180">
        <f t="shared" si="81"/>
        <v>5101750</v>
      </c>
      <c r="B5215" t="s">
        <v>2354</v>
      </c>
      <c r="C5215" t="s">
        <v>14267</v>
      </c>
      <c r="D5215" t="s">
        <v>14909</v>
      </c>
    </row>
    <row r="5216" spans="1:4" x14ac:dyDescent="0.25">
      <c r="A5216" s="180">
        <f t="shared" si="81"/>
        <v>5101751</v>
      </c>
      <c r="B5216" t="s">
        <v>6886</v>
      </c>
      <c r="C5216" t="s">
        <v>6887</v>
      </c>
    </row>
    <row r="5217" spans="1:4" x14ac:dyDescent="0.25">
      <c r="A5217" s="180">
        <f t="shared" si="81"/>
        <v>5101752</v>
      </c>
      <c r="B5217" t="s">
        <v>6888</v>
      </c>
      <c r="C5217" t="s">
        <v>6889</v>
      </c>
    </row>
    <row r="5218" spans="1:4" x14ac:dyDescent="0.25">
      <c r="A5218" s="180">
        <f t="shared" si="81"/>
        <v>5101753</v>
      </c>
      <c r="B5218" t="s">
        <v>2355</v>
      </c>
      <c r="C5218" t="s">
        <v>2356</v>
      </c>
    </row>
    <row r="5219" spans="1:4" x14ac:dyDescent="0.25">
      <c r="A5219" s="180">
        <f t="shared" si="81"/>
        <v>5101754</v>
      </c>
      <c r="B5219" t="s">
        <v>2357</v>
      </c>
      <c r="C5219" t="s">
        <v>2358</v>
      </c>
    </row>
    <row r="5220" spans="1:4" x14ac:dyDescent="0.25">
      <c r="A5220" s="180">
        <f t="shared" si="81"/>
        <v>5101775</v>
      </c>
      <c r="B5220" t="s">
        <v>12799</v>
      </c>
      <c r="C5220" t="s">
        <v>12800</v>
      </c>
      <c r="D5220" t="s">
        <v>14909</v>
      </c>
    </row>
    <row r="5221" spans="1:4" x14ac:dyDescent="0.25">
      <c r="A5221" s="180">
        <f t="shared" si="81"/>
        <v>5101775</v>
      </c>
      <c r="B5221" t="s">
        <v>12799</v>
      </c>
      <c r="C5221" t="s">
        <v>12800</v>
      </c>
      <c r="D5221" t="s">
        <v>14909</v>
      </c>
    </row>
    <row r="5222" spans="1:4" x14ac:dyDescent="0.25">
      <c r="A5222" s="180">
        <f t="shared" si="81"/>
        <v>5101775</v>
      </c>
      <c r="B5222" t="s">
        <v>12799</v>
      </c>
      <c r="C5222" t="s">
        <v>12800</v>
      </c>
      <c r="D5222" t="s">
        <v>14909</v>
      </c>
    </row>
    <row r="5223" spans="1:4" x14ac:dyDescent="0.25">
      <c r="A5223" s="180">
        <f t="shared" si="81"/>
        <v>5101775</v>
      </c>
      <c r="B5223" t="s">
        <v>12799</v>
      </c>
      <c r="C5223" t="s">
        <v>12800</v>
      </c>
      <c r="D5223" t="s">
        <v>14909</v>
      </c>
    </row>
    <row r="5224" spans="1:4" x14ac:dyDescent="0.25">
      <c r="A5224" s="180">
        <f t="shared" si="81"/>
        <v>5101775</v>
      </c>
      <c r="B5224" t="s">
        <v>12799</v>
      </c>
      <c r="C5224" t="s">
        <v>12800</v>
      </c>
      <c r="D5224" t="s">
        <v>14909</v>
      </c>
    </row>
    <row r="5225" spans="1:4" x14ac:dyDescent="0.25">
      <c r="A5225" s="180">
        <f t="shared" si="81"/>
        <v>5101775</v>
      </c>
      <c r="B5225" t="s">
        <v>12799</v>
      </c>
      <c r="C5225" t="s">
        <v>12800</v>
      </c>
      <c r="D5225" t="s">
        <v>14909</v>
      </c>
    </row>
    <row r="5226" spans="1:4" x14ac:dyDescent="0.25">
      <c r="A5226" s="180">
        <f t="shared" si="81"/>
        <v>5101776</v>
      </c>
      <c r="B5226" t="s">
        <v>12801</v>
      </c>
      <c r="C5226" t="s">
        <v>12802</v>
      </c>
      <c r="D5226" t="s">
        <v>14909</v>
      </c>
    </row>
    <row r="5227" spans="1:4" x14ac:dyDescent="0.25">
      <c r="A5227" s="180">
        <f t="shared" si="81"/>
        <v>5101776</v>
      </c>
      <c r="B5227" t="s">
        <v>12801</v>
      </c>
      <c r="C5227" t="s">
        <v>12802</v>
      </c>
      <c r="D5227" t="s">
        <v>14909</v>
      </c>
    </row>
    <row r="5228" spans="1:4" x14ac:dyDescent="0.25">
      <c r="A5228" s="180">
        <f t="shared" si="81"/>
        <v>5101776</v>
      </c>
      <c r="B5228" t="s">
        <v>12801</v>
      </c>
      <c r="C5228" t="s">
        <v>12802</v>
      </c>
      <c r="D5228" t="s">
        <v>14909</v>
      </c>
    </row>
    <row r="5229" spans="1:4" x14ac:dyDescent="0.25">
      <c r="A5229" s="180">
        <f t="shared" si="81"/>
        <v>5101777</v>
      </c>
      <c r="B5229" t="s">
        <v>2359</v>
      </c>
      <c r="C5229" t="s">
        <v>2360</v>
      </c>
      <c r="D5229" t="s">
        <v>14909</v>
      </c>
    </row>
    <row r="5230" spans="1:4" x14ac:dyDescent="0.25">
      <c r="A5230" s="180">
        <f t="shared" si="81"/>
        <v>5101777</v>
      </c>
      <c r="B5230" t="s">
        <v>2359</v>
      </c>
      <c r="C5230" t="s">
        <v>2360</v>
      </c>
      <c r="D5230" t="s">
        <v>14909</v>
      </c>
    </row>
    <row r="5231" spans="1:4" x14ac:dyDescent="0.25">
      <c r="A5231" s="180">
        <f t="shared" si="81"/>
        <v>5101777</v>
      </c>
      <c r="B5231" t="s">
        <v>2359</v>
      </c>
      <c r="C5231" t="s">
        <v>2360</v>
      </c>
      <c r="D5231" t="s">
        <v>14909</v>
      </c>
    </row>
    <row r="5232" spans="1:4" x14ac:dyDescent="0.25">
      <c r="A5232" s="180">
        <f t="shared" si="81"/>
        <v>5101777</v>
      </c>
      <c r="B5232" t="s">
        <v>2359</v>
      </c>
      <c r="C5232" t="s">
        <v>2360</v>
      </c>
      <c r="D5232" t="s">
        <v>14909</v>
      </c>
    </row>
    <row r="5233" spans="1:4" x14ac:dyDescent="0.25">
      <c r="A5233" s="180">
        <f t="shared" si="81"/>
        <v>5101777</v>
      </c>
      <c r="B5233" t="s">
        <v>2359</v>
      </c>
      <c r="C5233" t="s">
        <v>2360</v>
      </c>
      <c r="D5233" t="s">
        <v>14909</v>
      </c>
    </row>
    <row r="5234" spans="1:4" x14ac:dyDescent="0.25">
      <c r="A5234" s="180">
        <f t="shared" si="81"/>
        <v>5101777</v>
      </c>
      <c r="B5234" t="s">
        <v>2359</v>
      </c>
      <c r="C5234" t="s">
        <v>2360</v>
      </c>
      <c r="D5234" t="s">
        <v>14909</v>
      </c>
    </row>
    <row r="5235" spans="1:4" x14ac:dyDescent="0.25">
      <c r="A5235" s="180">
        <f t="shared" si="81"/>
        <v>5101777</v>
      </c>
      <c r="B5235" t="s">
        <v>2359</v>
      </c>
      <c r="C5235" t="s">
        <v>2360</v>
      </c>
      <c r="D5235" t="s">
        <v>14909</v>
      </c>
    </row>
    <row r="5236" spans="1:4" x14ac:dyDescent="0.25">
      <c r="A5236" s="180">
        <f t="shared" si="81"/>
        <v>5101777</v>
      </c>
      <c r="B5236" t="s">
        <v>2359</v>
      </c>
      <c r="C5236" t="s">
        <v>2360</v>
      </c>
      <c r="D5236" t="s">
        <v>14909</v>
      </c>
    </row>
    <row r="5237" spans="1:4" x14ac:dyDescent="0.25">
      <c r="A5237" s="180">
        <f t="shared" si="81"/>
        <v>510177707</v>
      </c>
      <c r="B5237" t="s">
        <v>2361</v>
      </c>
      <c r="C5237" t="s">
        <v>2362</v>
      </c>
    </row>
    <row r="5238" spans="1:4" x14ac:dyDescent="0.25">
      <c r="A5238" s="180">
        <f t="shared" si="81"/>
        <v>5101778</v>
      </c>
      <c r="B5238" t="s">
        <v>2363</v>
      </c>
      <c r="C5238" t="s">
        <v>2364</v>
      </c>
      <c r="D5238" t="s">
        <v>14909</v>
      </c>
    </row>
    <row r="5239" spans="1:4" x14ac:dyDescent="0.25">
      <c r="A5239" s="180">
        <f t="shared" si="81"/>
        <v>5101778</v>
      </c>
      <c r="B5239" t="s">
        <v>2363</v>
      </c>
      <c r="C5239" t="s">
        <v>2364</v>
      </c>
      <c r="D5239" t="s">
        <v>14909</v>
      </c>
    </row>
    <row r="5240" spans="1:4" x14ac:dyDescent="0.25">
      <c r="A5240" s="180">
        <f t="shared" si="81"/>
        <v>5101778</v>
      </c>
      <c r="B5240" t="s">
        <v>2363</v>
      </c>
      <c r="C5240" t="s">
        <v>2364</v>
      </c>
      <c r="D5240" t="s">
        <v>14909</v>
      </c>
    </row>
    <row r="5241" spans="1:4" x14ac:dyDescent="0.25">
      <c r="A5241" s="180">
        <f t="shared" si="81"/>
        <v>5101799</v>
      </c>
      <c r="B5241" t="s">
        <v>2365</v>
      </c>
      <c r="C5241" t="s">
        <v>2366</v>
      </c>
    </row>
    <row r="5242" spans="1:4" x14ac:dyDescent="0.25">
      <c r="A5242" s="180">
        <f t="shared" si="81"/>
        <v>5101845</v>
      </c>
      <c r="B5242" t="s">
        <v>2367</v>
      </c>
      <c r="C5242" t="s">
        <v>2368</v>
      </c>
      <c r="D5242" t="s">
        <v>13411</v>
      </c>
    </row>
    <row r="5243" spans="1:4" x14ac:dyDescent="0.25">
      <c r="A5243" s="180">
        <f t="shared" si="81"/>
        <v>5101845</v>
      </c>
      <c r="B5243" t="s">
        <v>2367</v>
      </c>
      <c r="C5243" t="s">
        <v>2368</v>
      </c>
      <c r="D5243" t="s">
        <v>13411</v>
      </c>
    </row>
    <row r="5244" spans="1:4" x14ac:dyDescent="0.25">
      <c r="A5244" s="180">
        <f t="shared" si="81"/>
        <v>5101845</v>
      </c>
      <c r="B5244" t="s">
        <v>2367</v>
      </c>
      <c r="C5244" t="s">
        <v>2368</v>
      </c>
      <c r="D5244" t="s">
        <v>13411</v>
      </c>
    </row>
    <row r="5245" spans="1:4" x14ac:dyDescent="0.25">
      <c r="A5245" s="180">
        <f t="shared" si="81"/>
        <v>5101845</v>
      </c>
      <c r="B5245" t="s">
        <v>2367</v>
      </c>
      <c r="C5245" t="s">
        <v>2368</v>
      </c>
      <c r="D5245" t="s">
        <v>13411</v>
      </c>
    </row>
    <row r="5246" spans="1:4" x14ac:dyDescent="0.25">
      <c r="A5246" s="180">
        <f t="shared" si="81"/>
        <v>5101845</v>
      </c>
      <c r="B5246" t="s">
        <v>2367</v>
      </c>
      <c r="C5246" t="s">
        <v>2368</v>
      </c>
      <c r="D5246" t="s">
        <v>13411</v>
      </c>
    </row>
    <row r="5247" spans="1:4" x14ac:dyDescent="0.25">
      <c r="A5247" s="180">
        <f t="shared" ref="A5247:A5310" si="82">IFERROR(B5247*1,"")</f>
        <v>5101845</v>
      </c>
      <c r="B5247" t="s">
        <v>2367</v>
      </c>
      <c r="C5247" t="s">
        <v>2368</v>
      </c>
      <c r="D5247" t="s">
        <v>13411</v>
      </c>
    </row>
    <row r="5248" spans="1:4" x14ac:dyDescent="0.25">
      <c r="A5248" s="180">
        <f t="shared" si="82"/>
        <v>5101846</v>
      </c>
      <c r="B5248" t="s">
        <v>2369</v>
      </c>
      <c r="C5248" t="s">
        <v>2370</v>
      </c>
      <c r="D5248" t="s">
        <v>13411</v>
      </c>
    </row>
    <row r="5249" spans="1:4" x14ac:dyDescent="0.25">
      <c r="A5249" s="180">
        <f t="shared" si="82"/>
        <v>5101846</v>
      </c>
      <c r="B5249" t="s">
        <v>2369</v>
      </c>
      <c r="C5249" t="s">
        <v>2370</v>
      </c>
      <c r="D5249" t="s">
        <v>13411</v>
      </c>
    </row>
    <row r="5250" spans="1:4" x14ac:dyDescent="0.25">
      <c r="A5250" s="180">
        <f t="shared" si="82"/>
        <v>5101850</v>
      </c>
      <c r="B5250" t="s">
        <v>2371</v>
      </c>
      <c r="C5250" t="s">
        <v>2372</v>
      </c>
      <c r="D5250" t="s">
        <v>13412</v>
      </c>
    </row>
    <row r="5251" spans="1:4" x14ac:dyDescent="0.25">
      <c r="A5251" s="180">
        <f t="shared" si="82"/>
        <v>5101850</v>
      </c>
      <c r="B5251" t="s">
        <v>2371</v>
      </c>
      <c r="C5251" t="s">
        <v>2372</v>
      </c>
      <c r="D5251" t="s">
        <v>13412</v>
      </c>
    </row>
    <row r="5252" spans="1:4" x14ac:dyDescent="0.25">
      <c r="A5252" s="180">
        <f t="shared" si="82"/>
        <v>5101850</v>
      </c>
      <c r="B5252" t="s">
        <v>2371</v>
      </c>
      <c r="C5252" t="s">
        <v>2372</v>
      </c>
      <c r="D5252" t="s">
        <v>13412</v>
      </c>
    </row>
    <row r="5253" spans="1:4" x14ac:dyDescent="0.25">
      <c r="A5253" s="180">
        <f t="shared" si="82"/>
        <v>5101850</v>
      </c>
      <c r="B5253" t="s">
        <v>2371</v>
      </c>
      <c r="C5253" t="s">
        <v>2372</v>
      </c>
      <c r="D5253" t="s">
        <v>13412</v>
      </c>
    </row>
    <row r="5254" spans="1:4" x14ac:dyDescent="0.25">
      <c r="A5254" s="180">
        <f t="shared" si="82"/>
        <v>5101850</v>
      </c>
      <c r="B5254" t="s">
        <v>2371</v>
      </c>
      <c r="C5254" t="s">
        <v>2372</v>
      </c>
      <c r="D5254" t="s">
        <v>13412</v>
      </c>
    </row>
    <row r="5255" spans="1:4" x14ac:dyDescent="0.25">
      <c r="A5255" s="180">
        <f t="shared" si="82"/>
        <v>5101850</v>
      </c>
      <c r="B5255" t="s">
        <v>2371</v>
      </c>
      <c r="C5255" t="s">
        <v>2372</v>
      </c>
      <c r="D5255" t="s">
        <v>13412</v>
      </c>
    </row>
    <row r="5256" spans="1:4" x14ac:dyDescent="0.25">
      <c r="A5256" s="180">
        <f t="shared" si="82"/>
        <v>5101850</v>
      </c>
      <c r="B5256" t="s">
        <v>2371</v>
      </c>
      <c r="C5256" t="s">
        <v>2372</v>
      </c>
      <c r="D5256" t="s">
        <v>13412</v>
      </c>
    </row>
    <row r="5257" spans="1:4" x14ac:dyDescent="0.25">
      <c r="A5257" s="180">
        <f t="shared" si="82"/>
        <v>5101850</v>
      </c>
      <c r="B5257" t="s">
        <v>2371</v>
      </c>
      <c r="C5257" t="s">
        <v>2372</v>
      </c>
      <c r="D5257" t="s">
        <v>13412</v>
      </c>
    </row>
    <row r="5258" spans="1:4" x14ac:dyDescent="0.25">
      <c r="A5258" s="180">
        <f t="shared" si="82"/>
        <v>5101850</v>
      </c>
      <c r="B5258" t="s">
        <v>2371</v>
      </c>
      <c r="C5258" t="s">
        <v>2372</v>
      </c>
      <c r="D5258" t="s">
        <v>13412</v>
      </c>
    </row>
    <row r="5259" spans="1:4" x14ac:dyDescent="0.25">
      <c r="A5259" s="180">
        <f t="shared" si="82"/>
        <v>5101850</v>
      </c>
      <c r="B5259" t="s">
        <v>2371</v>
      </c>
      <c r="C5259" t="s">
        <v>2372</v>
      </c>
      <c r="D5259" t="s">
        <v>13412</v>
      </c>
    </row>
    <row r="5260" spans="1:4" x14ac:dyDescent="0.25">
      <c r="A5260" s="180">
        <f t="shared" si="82"/>
        <v>5101852</v>
      </c>
      <c r="B5260" t="s">
        <v>2373</v>
      </c>
      <c r="C5260" t="s">
        <v>2374</v>
      </c>
      <c r="D5260" t="s">
        <v>13411</v>
      </c>
    </row>
    <row r="5261" spans="1:4" x14ac:dyDescent="0.25">
      <c r="A5261" s="180">
        <f t="shared" si="82"/>
        <v>5101852</v>
      </c>
      <c r="B5261" t="s">
        <v>2373</v>
      </c>
      <c r="C5261" t="s">
        <v>2374</v>
      </c>
      <c r="D5261" t="s">
        <v>13411</v>
      </c>
    </row>
    <row r="5262" spans="1:4" x14ac:dyDescent="0.25">
      <c r="A5262" s="180">
        <f t="shared" si="82"/>
        <v>5101852</v>
      </c>
      <c r="B5262" t="s">
        <v>2373</v>
      </c>
      <c r="C5262" t="s">
        <v>2374</v>
      </c>
      <c r="D5262" t="s">
        <v>13411</v>
      </c>
    </row>
    <row r="5263" spans="1:4" x14ac:dyDescent="0.25">
      <c r="A5263" s="180">
        <f t="shared" si="82"/>
        <v>5101852</v>
      </c>
      <c r="B5263" t="s">
        <v>2373</v>
      </c>
      <c r="C5263" t="s">
        <v>2374</v>
      </c>
      <c r="D5263" t="s">
        <v>13411</v>
      </c>
    </row>
    <row r="5264" spans="1:4" x14ac:dyDescent="0.25">
      <c r="A5264" s="180">
        <f t="shared" si="82"/>
        <v>5101852</v>
      </c>
      <c r="B5264" t="s">
        <v>2373</v>
      </c>
      <c r="C5264" t="s">
        <v>2374</v>
      </c>
      <c r="D5264" t="s">
        <v>13411</v>
      </c>
    </row>
    <row r="5265" spans="1:4" x14ac:dyDescent="0.25">
      <c r="A5265" s="180">
        <f t="shared" si="82"/>
        <v>5101852</v>
      </c>
      <c r="B5265" t="s">
        <v>2373</v>
      </c>
      <c r="C5265" t="s">
        <v>2374</v>
      </c>
      <c r="D5265" t="s">
        <v>13411</v>
      </c>
    </row>
    <row r="5266" spans="1:4" x14ac:dyDescent="0.25">
      <c r="A5266" s="180">
        <f t="shared" si="82"/>
        <v>5101852</v>
      </c>
      <c r="B5266" t="s">
        <v>2373</v>
      </c>
      <c r="C5266" t="s">
        <v>2374</v>
      </c>
      <c r="D5266" t="s">
        <v>13411</v>
      </c>
    </row>
    <row r="5267" spans="1:4" x14ac:dyDescent="0.25">
      <c r="A5267" s="180">
        <f t="shared" si="82"/>
        <v>5101852</v>
      </c>
      <c r="B5267" t="s">
        <v>2373</v>
      </c>
      <c r="C5267" t="s">
        <v>2374</v>
      </c>
      <c r="D5267" t="s">
        <v>13411</v>
      </c>
    </row>
    <row r="5268" spans="1:4" x14ac:dyDescent="0.25">
      <c r="A5268" s="180">
        <f t="shared" si="82"/>
        <v>5101853</v>
      </c>
      <c r="B5268" t="s">
        <v>2375</v>
      </c>
      <c r="C5268" t="s">
        <v>2376</v>
      </c>
      <c r="D5268" t="s">
        <v>13411</v>
      </c>
    </row>
    <row r="5269" spans="1:4" x14ac:dyDescent="0.25">
      <c r="A5269" s="180">
        <f t="shared" si="82"/>
        <v>5101853</v>
      </c>
      <c r="B5269" t="s">
        <v>2375</v>
      </c>
      <c r="C5269" t="s">
        <v>2376</v>
      </c>
      <c r="D5269" t="s">
        <v>13411</v>
      </c>
    </row>
    <row r="5270" spans="1:4" x14ac:dyDescent="0.25">
      <c r="A5270" s="180">
        <f t="shared" si="82"/>
        <v>5101853</v>
      </c>
      <c r="B5270" t="s">
        <v>2375</v>
      </c>
      <c r="C5270" t="s">
        <v>2376</v>
      </c>
      <c r="D5270" t="s">
        <v>13411</v>
      </c>
    </row>
    <row r="5271" spans="1:4" x14ac:dyDescent="0.25">
      <c r="A5271" s="180">
        <f t="shared" si="82"/>
        <v>5101854</v>
      </c>
      <c r="B5271" t="s">
        <v>12803</v>
      </c>
      <c r="C5271" t="s">
        <v>12804</v>
      </c>
    </row>
    <row r="5272" spans="1:4" x14ac:dyDescent="0.25">
      <c r="A5272" s="180">
        <f t="shared" si="82"/>
        <v>5101855</v>
      </c>
      <c r="B5272" t="s">
        <v>2377</v>
      </c>
      <c r="C5272" t="s">
        <v>2378</v>
      </c>
      <c r="D5272" t="s">
        <v>13411</v>
      </c>
    </row>
    <row r="5273" spans="1:4" x14ac:dyDescent="0.25">
      <c r="A5273" s="180">
        <f t="shared" si="82"/>
        <v>5101855</v>
      </c>
      <c r="B5273" t="s">
        <v>2377</v>
      </c>
      <c r="C5273" t="s">
        <v>2378</v>
      </c>
      <c r="D5273" t="s">
        <v>13411</v>
      </c>
    </row>
    <row r="5274" spans="1:4" x14ac:dyDescent="0.25">
      <c r="A5274" s="180">
        <f t="shared" si="82"/>
        <v>5101855</v>
      </c>
      <c r="B5274" t="s">
        <v>2377</v>
      </c>
      <c r="C5274" t="s">
        <v>2378</v>
      </c>
      <c r="D5274" t="s">
        <v>13411</v>
      </c>
    </row>
    <row r="5275" spans="1:4" x14ac:dyDescent="0.25">
      <c r="A5275" s="180">
        <f t="shared" si="82"/>
        <v>5101855</v>
      </c>
      <c r="B5275" t="s">
        <v>2377</v>
      </c>
      <c r="C5275" t="s">
        <v>2378</v>
      </c>
      <c r="D5275" t="s">
        <v>13411</v>
      </c>
    </row>
    <row r="5276" spans="1:4" x14ac:dyDescent="0.25">
      <c r="A5276" s="180">
        <f t="shared" si="82"/>
        <v>5101855</v>
      </c>
      <c r="B5276" t="s">
        <v>2377</v>
      </c>
      <c r="C5276" t="s">
        <v>2378</v>
      </c>
      <c r="D5276" t="s">
        <v>13411</v>
      </c>
    </row>
    <row r="5277" spans="1:4" x14ac:dyDescent="0.25">
      <c r="A5277" s="180">
        <f t="shared" si="82"/>
        <v>5101855</v>
      </c>
      <c r="B5277" t="s">
        <v>2377</v>
      </c>
      <c r="C5277" t="s">
        <v>2378</v>
      </c>
      <c r="D5277" t="s">
        <v>13411</v>
      </c>
    </row>
    <row r="5278" spans="1:4" x14ac:dyDescent="0.25">
      <c r="A5278" s="180">
        <f t="shared" si="82"/>
        <v>5101855</v>
      </c>
      <c r="B5278" t="s">
        <v>2377</v>
      </c>
      <c r="C5278" t="s">
        <v>2378</v>
      </c>
      <c r="D5278" t="s">
        <v>13411</v>
      </c>
    </row>
    <row r="5279" spans="1:4" x14ac:dyDescent="0.25">
      <c r="A5279" s="180">
        <f t="shared" si="82"/>
        <v>5101855</v>
      </c>
      <c r="B5279" t="s">
        <v>2377</v>
      </c>
      <c r="C5279" t="s">
        <v>2378</v>
      </c>
      <c r="D5279" t="s">
        <v>13411</v>
      </c>
    </row>
    <row r="5280" spans="1:4" x14ac:dyDescent="0.25">
      <c r="A5280" s="180">
        <f t="shared" si="82"/>
        <v>5101856</v>
      </c>
      <c r="B5280" t="s">
        <v>2379</v>
      </c>
      <c r="C5280" t="s">
        <v>2380</v>
      </c>
      <c r="D5280" t="s">
        <v>13411</v>
      </c>
    </row>
    <row r="5281" spans="1:4" x14ac:dyDescent="0.25">
      <c r="A5281" s="180">
        <f t="shared" si="82"/>
        <v>5101856</v>
      </c>
      <c r="B5281" t="s">
        <v>2379</v>
      </c>
      <c r="C5281" t="s">
        <v>2380</v>
      </c>
      <c r="D5281" t="s">
        <v>13411</v>
      </c>
    </row>
    <row r="5282" spans="1:4" x14ac:dyDescent="0.25">
      <c r="A5282" s="180">
        <f t="shared" si="82"/>
        <v>5101856</v>
      </c>
      <c r="B5282" t="s">
        <v>2379</v>
      </c>
      <c r="C5282" t="s">
        <v>2380</v>
      </c>
      <c r="D5282" t="s">
        <v>13411</v>
      </c>
    </row>
    <row r="5283" spans="1:4" x14ac:dyDescent="0.25">
      <c r="A5283" s="180">
        <f t="shared" si="82"/>
        <v>5101857</v>
      </c>
      <c r="B5283" t="s">
        <v>13461</v>
      </c>
      <c r="C5283" t="s">
        <v>13462</v>
      </c>
      <c r="D5283" t="s">
        <v>13411</v>
      </c>
    </row>
    <row r="5284" spans="1:4" x14ac:dyDescent="0.25">
      <c r="A5284" s="180">
        <f t="shared" si="82"/>
        <v>5101857</v>
      </c>
      <c r="B5284" t="s">
        <v>13461</v>
      </c>
      <c r="C5284" t="s">
        <v>13462</v>
      </c>
      <c r="D5284" t="s">
        <v>13411</v>
      </c>
    </row>
    <row r="5285" spans="1:4" x14ac:dyDescent="0.25">
      <c r="A5285" s="180">
        <f t="shared" si="82"/>
        <v>5101857</v>
      </c>
      <c r="B5285" t="s">
        <v>13461</v>
      </c>
      <c r="C5285" t="s">
        <v>13462</v>
      </c>
      <c r="D5285" t="s">
        <v>13411</v>
      </c>
    </row>
    <row r="5286" spans="1:4" x14ac:dyDescent="0.25">
      <c r="A5286" s="180">
        <f t="shared" si="82"/>
        <v>5101857</v>
      </c>
      <c r="B5286" t="s">
        <v>13461</v>
      </c>
      <c r="C5286" t="s">
        <v>13462</v>
      </c>
      <c r="D5286" t="s">
        <v>13411</v>
      </c>
    </row>
    <row r="5287" spans="1:4" x14ac:dyDescent="0.25">
      <c r="A5287" s="180">
        <f t="shared" si="82"/>
        <v>5101857</v>
      </c>
      <c r="B5287" t="s">
        <v>13461</v>
      </c>
      <c r="C5287" t="s">
        <v>13462</v>
      </c>
      <c r="D5287" t="s">
        <v>13411</v>
      </c>
    </row>
    <row r="5288" spans="1:4" x14ac:dyDescent="0.25">
      <c r="A5288" s="180">
        <f t="shared" si="82"/>
        <v>5101857</v>
      </c>
      <c r="B5288" t="s">
        <v>13461</v>
      </c>
      <c r="C5288" t="s">
        <v>13462</v>
      </c>
      <c r="D5288" t="s">
        <v>13411</v>
      </c>
    </row>
    <row r="5289" spans="1:4" x14ac:dyDescent="0.25">
      <c r="A5289" s="180">
        <f t="shared" si="82"/>
        <v>5101857</v>
      </c>
      <c r="B5289" t="s">
        <v>13461</v>
      </c>
      <c r="C5289" t="s">
        <v>13462</v>
      </c>
      <c r="D5289" t="s">
        <v>13411</v>
      </c>
    </row>
    <row r="5290" spans="1:4" x14ac:dyDescent="0.25">
      <c r="A5290" s="180">
        <f t="shared" si="82"/>
        <v>5101858</v>
      </c>
      <c r="B5290" t="s">
        <v>13463</v>
      </c>
      <c r="C5290" t="s">
        <v>13464</v>
      </c>
      <c r="D5290" t="s">
        <v>13411</v>
      </c>
    </row>
    <row r="5291" spans="1:4" x14ac:dyDescent="0.25">
      <c r="A5291" s="180">
        <f t="shared" si="82"/>
        <v>5101858</v>
      </c>
      <c r="B5291" t="s">
        <v>13463</v>
      </c>
      <c r="C5291" t="s">
        <v>13464</v>
      </c>
      <c r="D5291" t="s">
        <v>13411</v>
      </c>
    </row>
    <row r="5292" spans="1:4" x14ac:dyDescent="0.25">
      <c r="A5292" s="180">
        <f t="shared" si="82"/>
        <v>5101863</v>
      </c>
      <c r="B5292" t="s">
        <v>2381</v>
      </c>
      <c r="C5292" t="s">
        <v>2382</v>
      </c>
      <c r="D5292" t="s">
        <v>13411</v>
      </c>
    </row>
    <row r="5293" spans="1:4" x14ac:dyDescent="0.25">
      <c r="A5293" s="180">
        <f t="shared" si="82"/>
        <v>5101863</v>
      </c>
      <c r="B5293" t="s">
        <v>2381</v>
      </c>
      <c r="C5293" t="s">
        <v>2382</v>
      </c>
      <c r="D5293" t="s">
        <v>13411</v>
      </c>
    </row>
    <row r="5294" spans="1:4" x14ac:dyDescent="0.25">
      <c r="A5294" s="180">
        <f t="shared" si="82"/>
        <v>5101863</v>
      </c>
      <c r="B5294" t="s">
        <v>2381</v>
      </c>
      <c r="C5294" t="s">
        <v>2382</v>
      </c>
      <c r="D5294" t="s">
        <v>13411</v>
      </c>
    </row>
    <row r="5295" spans="1:4" x14ac:dyDescent="0.25">
      <c r="A5295" s="180">
        <f t="shared" si="82"/>
        <v>5101863</v>
      </c>
      <c r="B5295" t="s">
        <v>2381</v>
      </c>
      <c r="C5295" t="s">
        <v>2382</v>
      </c>
      <c r="D5295" t="s">
        <v>13411</v>
      </c>
    </row>
    <row r="5296" spans="1:4" x14ac:dyDescent="0.25">
      <c r="A5296" s="180">
        <f t="shared" si="82"/>
        <v>5101863</v>
      </c>
      <c r="B5296" t="s">
        <v>2381</v>
      </c>
      <c r="C5296" t="s">
        <v>2382</v>
      </c>
      <c r="D5296" t="s">
        <v>13411</v>
      </c>
    </row>
    <row r="5297" spans="1:4" x14ac:dyDescent="0.25">
      <c r="A5297" s="180">
        <f t="shared" si="82"/>
        <v>5101863</v>
      </c>
      <c r="B5297" t="s">
        <v>2381</v>
      </c>
      <c r="C5297" t="s">
        <v>2382</v>
      </c>
      <c r="D5297" t="s">
        <v>13411</v>
      </c>
    </row>
    <row r="5298" spans="1:4" x14ac:dyDescent="0.25">
      <c r="A5298" s="180">
        <f t="shared" si="82"/>
        <v>5101863</v>
      </c>
      <c r="B5298" t="s">
        <v>2381</v>
      </c>
      <c r="C5298" t="s">
        <v>2382</v>
      </c>
      <c r="D5298" t="s">
        <v>13411</v>
      </c>
    </row>
    <row r="5299" spans="1:4" x14ac:dyDescent="0.25">
      <c r="A5299" s="180">
        <f t="shared" si="82"/>
        <v>5101863</v>
      </c>
      <c r="B5299" t="s">
        <v>2381</v>
      </c>
      <c r="C5299" t="s">
        <v>2382</v>
      </c>
      <c r="D5299" t="s">
        <v>13411</v>
      </c>
    </row>
    <row r="5300" spans="1:4" x14ac:dyDescent="0.25">
      <c r="A5300" s="180">
        <f t="shared" si="82"/>
        <v>5101864</v>
      </c>
      <c r="B5300" t="s">
        <v>2383</v>
      </c>
      <c r="C5300" t="s">
        <v>2384</v>
      </c>
      <c r="D5300" t="s">
        <v>13411</v>
      </c>
    </row>
    <row r="5301" spans="1:4" x14ac:dyDescent="0.25">
      <c r="A5301" s="180">
        <f t="shared" si="82"/>
        <v>5101864</v>
      </c>
      <c r="B5301" t="s">
        <v>2383</v>
      </c>
      <c r="C5301" t="s">
        <v>2384</v>
      </c>
      <c r="D5301" t="s">
        <v>13411</v>
      </c>
    </row>
    <row r="5302" spans="1:4" x14ac:dyDescent="0.25">
      <c r="A5302" s="180">
        <f t="shared" si="82"/>
        <v>5101864</v>
      </c>
      <c r="B5302" t="s">
        <v>2383</v>
      </c>
      <c r="C5302" t="s">
        <v>2384</v>
      </c>
      <c r="D5302" t="s">
        <v>13411</v>
      </c>
    </row>
    <row r="5303" spans="1:4" x14ac:dyDescent="0.25">
      <c r="A5303" s="180">
        <f t="shared" si="82"/>
        <v>5101864</v>
      </c>
      <c r="B5303" t="s">
        <v>2383</v>
      </c>
      <c r="C5303" t="s">
        <v>2384</v>
      </c>
      <c r="D5303" t="s">
        <v>13411</v>
      </c>
    </row>
    <row r="5304" spans="1:4" x14ac:dyDescent="0.25">
      <c r="A5304" s="180">
        <f t="shared" si="82"/>
        <v>5101864</v>
      </c>
      <c r="B5304" t="s">
        <v>2383</v>
      </c>
      <c r="C5304" t="s">
        <v>2384</v>
      </c>
      <c r="D5304" t="s">
        <v>13411</v>
      </c>
    </row>
    <row r="5305" spans="1:4" x14ac:dyDescent="0.25">
      <c r="A5305" s="180">
        <f t="shared" si="82"/>
        <v>5101870</v>
      </c>
      <c r="B5305" t="s">
        <v>2385</v>
      </c>
      <c r="C5305" t="s">
        <v>2386</v>
      </c>
      <c r="D5305" t="s">
        <v>13411</v>
      </c>
    </row>
    <row r="5306" spans="1:4" x14ac:dyDescent="0.25">
      <c r="A5306" s="180">
        <f t="shared" si="82"/>
        <v>5101870</v>
      </c>
      <c r="B5306" t="s">
        <v>2385</v>
      </c>
      <c r="C5306" t="s">
        <v>2386</v>
      </c>
      <c r="D5306" t="s">
        <v>13411</v>
      </c>
    </row>
    <row r="5307" spans="1:4" x14ac:dyDescent="0.25">
      <c r="A5307" s="180">
        <f t="shared" si="82"/>
        <v>5101870</v>
      </c>
      <c r="B5307" t="s">
        <v>2385</v>
      </c>
      <c r="C5307" t="s">
        <v>2386</v>
      </c>
      <c r="D5307" t="s">
        <v>13411</v>
      </c>
    </row>
    <row r="5308" spans="1:4" x14ac:dyDescent="0.25">
      <c r="A5308" s="180">
        <f t="shared" si="82"/>
        <v>5101870</v>
      </c>
      <c r="B5308" t="s">
        <v>2385</v>
      </c>
      <c r="C5308" t="s">
        <v>2386</v>
      </c>
      <c r="D5308" t="s">
        <v>13411</v>
      </c>
    </row>
    <row r="5309" spans="1:4" x14ac:dyDescent="0.25">
      <c r="A5309" s="180">
        <f t="shared" si="82"/>
        <v>5101870</v>
      </c>
      <c r="B5309" t="s">
        <v>2385</v>
      </c>
      <c r="C5309" t="s">
        <v>2386</v>
      </c>
      <c r="D5309" t="s">
        <v>13411</v>
      </c>
    </row>
    <row r="5310" spans="1:4" x14ac:dyDescent="0.25">
      <c r="A5310" s="180">
        <f t="shared" si="82"/>
        <v>5101871</v>
      </c>
      <c r="B5310" t="s">
        <v>2387</v>
      </c>
      <c r="C5310" t="s">
        <v>2388</v>
      </c>
      <c r="D5310" t="s">
        <v>13411</v>
      </c>
    </row>
    <row r="5311" spans="1:4" x14ac:dyDescent="0.25">
      <c r="A5311" s="180">
        <f t="shared" ref="A5311:A5374" si="83">IFERROR(B5311*1,"")</f>
        <v>5101871</v>
      </c>
      <c r="B5311" t="s">
        <v>2387</v>
      </c>
      <c r="C5311" t="s">
        <v>2388</v>
      </c>
      <c r="D5311" t="s">
        <v>13411</v>
      </c>
    </row>
    <row r="5312" spans="1:4" x14ac:dyDescent="0.25">
      <c r="A5312" s="180">
        <f t="shared" si="83"/>
        <v>5101871</v>
      </c>
      <c r="B5312" t="s">
        <v>2387</v>
      </c>
      <c r="C5312" t="s">
        <v>2388</v>
      </c>
      <c r="D5312" t="s">
        <v>13411</v>
      </c>
    </row>
    <row r="5313" spans="1:4" x14ac:dyDescent="0.25">
      <c r="A5313" s="180">
        <f t="shared" si="83"/>
        <v>5101873</v>
      </c>
      <c r="B5313" t="s">
        <v>2389</v>
      </c>
      <c r="C5313" t="s">
        <v>2390</v>
      </c>
      <c r="D5313" t="s">
        <v>13411</v>
      </c>
    </row>
    <row r="5314" spans="1:4" x14ac:dyDescent="0.25">
      <c r="A5314" s="180">
        <f t="shared" si="83"/>
        <v>5101873</v>
      </c>
      <c r="B5314" t="s">
        <v>2389</v>
      </c>
      <c r="C5314" t="s">
        <v>2390</v>
      </c>
      <c r="D5314" t="s">
        <v>13411</v>
      </c>
    </row>
    <row r="5315" spans="1:4" x14ac:dyDescent="0.25">
      <c r="A5315" s="180">
        <f t="shared" si="83"/>
        <v>5101873</v>
      </c>
      <c r="B5315" t="s">
        <v>2389</v>
      </c>
      <c r="C5315" t="s">
        <v>2390</v>
      </c>
      <c r="D5315" t="s">
        <v>13411</v>
      </c>
    </row>
    <row r="5316" spans="1:4" x14ac:dyDescent="0.25">
      <c r="A5316" s="180">
        <f t="shared" si="83"/>
        <v>5101873</v>
      </c>
      <c r="B5316" t="s">
        <v>2389</v>
      </c>
      <c r="C5316" t="s">
        <v>2390</v>
      </c>
      <c r="D5316" t="s">
        <v>13411</v>
      </c>
    </row>
    <row r="5317" spans="1:4" x14ac:dyDescent="0.25">
      <c r="A5317" s="180">
        <f t="shared" si="83"/>
        <v>5101873</v>
      </c>
      <c r="B5317" t="s">
        <v>2389</v>
      </c>
      <c r="C5317" t="s">
        <v>2390</v>
      </c>
      <c r="D5317" t="s">
        <v>13411</v>
      </c>
    </row>
    <row r="5318" spans="1:4" x14ac:dyDescent="0.25">
      <c r="A5318" s="180">
        <f t="shared" si="83"/>
        <v>5101873</v>
      </c>
      <c r="B5318" t="s">
        <v>2389</v>
      </c>
      <c r="C5318" t="s">
        <v>2390</v>
      </c>
      <c r="D5318" t="s">
        <v>13411</v>
      </c>
    </row>
    <row r="5319" spans="1:4" x14ac:dyDescent="0.25">
      <c r="A5319" s="180">
        <f t="shared" si="83"/>
        <v>5101873</v>
      </c>
      <c r="B5319" t="s">
        <v>2389</v>
      </c>
      <c r="C5319" t="s">
        <v>2390</v>
      </c>
      <c r="D5319" t="s">
        <v>13411</v>
      </c>
    </row>
    <row r="5320" spans="1:4" x14ac:dyDescent="0.25">
      <c r="A5320" s="180">
        <f t="shared" si="83"/>
        <v>5101874</v>
      </c>
      <c r="B5320" t="s">
        <v>2391</v>
      </c>
      <c r="C5320" t="s">
        <v>2392</v>
      </c>
      <c r="D5320" t="s">
        <v>13411</v>
      </c>
    </row>
    <row r="5321" spans="1:4" x14ac:dyDescent="0.25">
      <c r="A5321" s="180">
        <f t="shared" si="83"/>
        <v>5101874</v>
      </c>
      <c r="B5321" t="s">
        <v>2391</v>
      </c>
      <c r="C5321" t="s">
        <v>2392</v>
      </c>
      <c r="D5321" t="s">
        <v>13411</v>
      </c>
    </row>
    <row r="5322" spans="1:4" x14ac:dyDescent="0.25">
      <c r="A5322" s="180">
        <f t="shared" si="83"/>
        <v>5101874</v>
      </c>
      <c r="B5322" t="s">
        <v>2391</v>
      </c>
      <c r="C5322" t="s">
        <v>2392</v>
      </c>
      <c r="D5322" t="s">
        <v>13411</v>
      </c>
    </row>
    <row r="5323" spans="1:4" x14ac:dyDescent="0.25">
      <c r="A5323" s="180">
        <f t="shared" si="83"/>
        <v>5101875</v>
      </c>
      <c r="B5323" t="s">
        <v>2393</v>
      </c>
      <c r="C5323" t="s">
        <v>2394</v>
      </c>
      <c r="D5323" t="s">
        <v>13411</v>
      </c>
    </row>
    <row r="5324" spans="1:4" x14ac:dyDescent="0.25">
      <c r="A5324" s="180">
        <f t="shared" si="83"/>
        <v>5101875</v>
      </c>
      <c r="B5324" t="s">
        <v>2393</v>
      </c>
      <c r="C5324" t="s">
        <v>2394</v>
      </c>
      <c r="D5324" t="s">
        <v>13411</v>
      </c>
    </row>
    <row r="5325" spans="1:4" x14ac:dyDescent="0.25">
      <c r="A5325" s="180">
        <f t="shared" si="83"/>
        <v>5101875</v>
      </c>
      <c r="B5325" t="s">
        <v>2393</v>
      </c>
      <c r="C5325" t="s">
        <v>2394</v>
      </c>
      <c r="D5325" t="s">
        <v>13411</v>
      </c>
    </row>
    <row r="5326" spans="1:4" x14ac:dyDescent="0.25">
      <c r="A5326" s="180">
        <f t="shared" si="83"/>
        <v>5101875</v>
      </c>
      <c r="B5326" t="s">
        <v>2393</v>
      </c>
      <c r="C5326" t="s">
        <v>2394</v>
      </c>
      <c r="D5326" t="s">
        <v>13411</v>
      </c>
    </row>
    <row r="5327" spans="1:4" x14ac:dyDescent="0.25">
      <c r="A5327" s="180">
        <f t="shared" si="83"/>
        <v>5101876</v>
      </c>
      <c r="B5327" t="s">
        <v>2395</v>
      </c>
      <c r="C5327" t="s">
        <v>2396</v>
      </c>
      <c r="D5327" t="s">
        <v>13411</v>
      </c>
    </row>
    <row r="5328" spans="1:4" x14ac:dyDescent="0.25">
      <c r="A5328" s="180">
        <f t="shared" si="83"/>
        <v>5101876</v>
      </c>
      <c r="B5328" t="s">
        <v>2395</v>
      </c>
      <c r="C5328" t="s">
        <v>2396</v>
      </c>
      <c r="D5328" t="s">
        <v>13411</v>
      </c>
    </row>
    <row r="5329" spans="1:4" x14ac:dyDescent="0.25">
      <c r="A5329" s="180">
        <f t="shared" si="83"/>
        <v>5101876</v>
      </c>
      <c r="B5329" t="s">
        <v>2395</v>
      </c>
      <c r="C5329" t="s">
        <v>2396</v>
      </c>
      <c r="D5329" t="s">
        <v>13411</v>
      </c>
    </row>
    <row r="5330" spans="1:4" x14ac:dyDescent="0.25">
      <c r="A5330" s="180">
        <f t="shared" si="83"/>
        <v>5101876</v>
      </c>
      <c r="B5330" t="s">
        <v>2395</v>
      </c>
      <c r="C5330" t="s">
        <v>2396</v>
      </c>
      <c r="D5330" t="s">
        <v>13411</v>
      </c>
    </row>
    <row r="5331" spans="1:4" x14ac:dyDescent="0.25">
      <c r="A5331" s="180">
        <f t="shared" si="83"/>
        <v>5101876</v>
      </c>
      <c r="B5331" t="s">
        <v>2395</v>
      </c>
      <c r="C5331" t="s">
        <v>2396</v>
      </c>
      <c r="D5331" t="s">
        <v>13411</v>
      </c>
    </row>
    <row r="5332" spans="1:4" x14ac:dyDescent="0.25">
      <c r="A5332" s="180">
        <f t="shared" si="83"/>
        <v>5101876</v>
      </c>
      <c r="B5332" t="s">
        <v>2395</v>
      </c>
      <c r="C5332" t="s">
        <v>2396</v>
      </c>
      <c r="D5332" t="s">
        <v>13411</v>
      </c>
    </row>
    <row r="5333" spans="1:4" x14ac:dyDescent="0.25">
      <c r="A5333" s="180">
        <f t="shared" si="83"/>
        <v>5101876</v>
      </c>
      <c r="B5333" t="s">
        <v>2395</v>
      </c>
      <c r="C5333" t="s">
        <v>2396</v>
      </c>
      <c r="D5333" t="s">
        <v>13411</v>
      </c>
    </row>
    <row r="5334" spans="1:4" x14ac:dyDescent="0.25">
      <c r="A5334" s="180">
        <f t="shared" si="83"/>
        <v>5101876</v>
      </c>
      <c r="B5334" t="s">
        <v>2395</v>
      </c>
      <c r="C5334" t="s">
        <v>2396</v>
      </c>
      <c r="D5334" t="s">
        <v>13411</v>
      </c>
    </row>
    <row r="5335" spans="1:4" x14ac:dyDescent="0.25">
      <c r="A5335" s="180">
        <f t="shared" si="83"/>
        <v>5101877</v>
      </c>
      <c r="B5335" t="s">
        <v>2397</v>
      </c>
      <c r="C5335" t="s">
        <v>2398</v>
      </c>
      <c r="D5335" t="s">
        <v>13411</v>
      </c>
    </row>
    <row r="5336" spans="1:4" x14ac:dyDescent="0.25">
      <c r="A5336" s="180">
        <f t="shared" si="83"/>
        <v>5101877</v>
      </c>
      <c r="B5336" t="s">
        <v>2397</v>
      </c>
      <c r="C5336" t="s">
        <v>2398</v>
      </c>
      <c r="D5336" t="s">
        <v>13411</v>
      </c>
    </row>
    <row r="5337" spans="1:4" x14ac:dyDescent="0.25">
      <c r="A5337" s="180">
        <f t="shared" si="83"/>
        <v>5101877</v>
      </c>
      <c r="B5337" t="s">
        <v>2397</v>
      </c>
      <c r="C5337" t="s">
        <v>2398</v>
      </c>
      <c r="D5337" t="s">
        <v>13411</v>
      </c>
    </row>
    <row r="5338" spans="1:4" x14ac:dyDescent="0.25">
      <c r="A5338" s="180">
        <f t="shared" si="83"/>
        <v>5101877</v>
      </c>
      <c r="B5338" t="s">
        <v>2397</v>
      </c>
      <c r="C5338" t="s">
        <v>2398</v>
      </c>
      <c r="D5338" t="s">
        <v>13411</v>
      </c>
    </row>
    <row r="5339" spans="1:4" x14ac:dyDescent="0.25">
      <c r="A5339" s="180">
        <f t="shared" si="83"/>
        <v>5101877</v>
      </c>
      <c r="B5339" t="s">
        <v>2397</v>
      </c>
      <c r="C5339" t="s">
        <v>2398</v>
      </c>
      <c r="D5339" t="s">
        <v>13411</v>
      </c>
    </row>
    <row r="5340" spans="1:4" x14ac:dyDescent="0.25">
      <c r="A5340" s="180">
        <f t="shared" si="83"/>
        <v>5101877</v>
      </c>
      <c r="B5340" t="s">
        <v>2397</v>
      </c>
      <c r="C5340" t="s">
        <v>2398</v>
      </c>
      <c r="D5340" t="s">
        <v>13411</v>
      </c>
    </row>
    <row r="5341" spans="1:4" x14ac:dyDescent="0.25">
      <c r="A5341" s="180">
        <f t="shared" si="83"/>
        <v>5101877</v>
      </c>
      <c r="B5341" t="s">
        <v>2397</v>
      </c>
      <c r="C5341" t="s">
        <v>2398</v>
      </c>
      <c r="D5341" t="s">
        <v>13411</v>
      </c>
    </row>
    <row r="5342" spans="1:4" x14ac:dyDescent="0.25">
      <c r="A5342" s="180">
        <f t="shared" si="83"/>
        <v>5101878</v>
      </c>
      <c r="B5342" t="s">
        <v>2399</v>
      </c>
      <c r="C5342" t="s">
        <v>2400</v>
      </c>
      <c r="D5342" t="s">
        <v>13411</v>
      </c>
    </row>
    <row r="5343" spans="1:4" x14ac:dyDescent="0.25">
      <c r="A5343" s="180">
        <f t="shared" si="83"/>
        <v>5101878</v>
      </c>
      <c r="B5343" t="s">
        <v>2399</v>
      </c>
      <c r="C5343" t="s">
        <v>2400</v>
      </c>
      <c r="D5343" t="s">
        <v>13411</v>
      </c>
    </row>
    <row r="5344" spans="1:4" x14ac:dyDescent="0.25">
      <c r="A5344" s="180">
        <f t="shared" si="83"/>
        <v>5101878</v>
      </c>
      <c r="B5344" t="s">
        <v>2399</v>
      </c>
      <c r="C5344" t="s">
        <v>2400</v>
      </c>
      <c r="D5344" t="s">
        <v>13411</v>
      </c>
    </row>
    <row r="5345" spans="1:4" x14ac:dyDescent="0.25">
      <c r="A5345" s="180">
        <f t="shared" si="83"/>
        <v>5101878</v>
      </c>
      <c r="B5345" t="s">
        <v>2399</v>
      </c>
      <c r="C5345" t="s">
        <v>2400</v>
      </c>
      <c r="D5345" t="s">
        <v>13411</v>
      </c>
    </row>
    <row r="5346" spans="1:4" x14ac:dyDescent="0.25">
      <c r="A5346" s="180">
        <f t="shared" si="83"/>
        <v>5101878</v>
      </c>
      <c r="B5346" t="s">
        <v>2399</v>
      </c>
      <c r="C5346" t="s">
        <v>2400</v>
      </c>
      <c r="D5346" t="s">
        <v>13411</v>
      </c>
    </row>
    <row r="5347" spans="1:4" x14ac:dyDescent="0.25">
      <c r="A5347" s="180">
        <f t="shared" si="83"/>
        <v>5101878</v>
      </c>
      <c r="B5347" t="s">
        <v>2399</v>
      </c>
      <c r="C5347" t="s">
        <v>2400</v>
      </c>
      <c r="D5347" t="s">
        <v>13411</v>
      </c>
    </row>
    <row r="5348" spans="1:4" x14ac:dyDescent="0.25">
      <c r="A5348" s="180">
        <f t="shared" si="83"/>
        <v>5101879</v>
      </c>
      <c r="B5348" t="s">
        <v>2401</v>
      </c>
      <c r="C5348" t="s">
        <v>2402</v>
      </c>
    </row>
    <row r="5349" spans="1:4" x14ac:dyDescent="0.25">
      <c r="A5349" s="180">
        <f t="shared" si="83"/>
        <v>5101880</v>
      </c>
      <c r="B5349" t="s">
        <v>2403</v>
      </c>
      <c r="C5349" t="s">
        <v>2404</v>
      </c>
      <c r="D5349" t="s">
        <v>13411</v>
      </c>
    </row>
    <row r="5350" spans="1:4" x14ac:dyDescent="0.25">
      <c r="A5350" s="180">
        <f t="shared" si="83"/>
        <v>5101880</v>
      </c>
      <c r="B5350" t="s">
        <v>2403</v>
      </c>
      <c r="C5350" t="s">
        <v>2404</v>
      </c>
      <c r="D5350" t="s">
        <v>13411</v>
      </c>
    </row>
    <row r="5351" spans="1:4" x14ac:dyDescent="0.25">
      <c r="A5351" s="180">
        <f t="shared" si="83"/>
        <v>5101880</v>
      </c>
      <c r="B5351" t="s">
        <v>2403</v>
      </c>
      <c r="C5351" t="s">
        <v>2404</v>
      </c>
      <c r="D5351" t="s">
        <v>13411</v>
      </c>
    </row>
    <row r="5352" spans="1:4" x14ac:dyDescent="0.25">
      <c r="A5352" s="180">
        <f t="shared" si="83"/>
        <v>5101880</v>
      </c>
      <c r="B5352" t="s">
        <v>2403</v>
      </c>
      <c r="C5352" t="s">
        <v>2404</v>
      </c>
      <c r="D5352" t="s">
        <v>13411</v>
      </c>
    </row>
    <row r="5353" spans="1:4" x14ac:dyDescent="0.25">
      <c r="A5353" s="180">
        <f t="shared" si="83"/>
        <v>5101880</v>
      </c>
      <c r="B5353" t="s">
        <v>2403</v>
      </c>
      <c r="C5353" t="s">
        <v>2404</v>
      </c>
      <c r="D5353" t="s">
        <v>13411</v>
      </c>
    </row>
    <row r="5354" spans="1:4" x14ac:dyDescent="0.25">
      <c r="A5354" s="180">
        <f t="shared" si="83"/>
        <v>5101880</v>
      </c>
      <c r="B5354" t="s">
        <v>2403</v>
      </c>
      <c r="C5354" t="s">
        <v>2404</v>
      </c>
      <c r="D5354" t="s">
        <v>13411</v>
      </c>
    </row>
    <row r="5355" spans="1:4" x14ac:dyDescent="0.25">
      <c r="A5355" s="180">
        <f t="shared" si="83"/>
        <v>5101881</v>
      </c>
      <c r="B5355" t="s">
        <v>2405</v>
      </c>
      <c r="C5355" t="s">
        <v>2406</v>
      </c>
      <c r="D5355" t="s">
        <v>13411</v>
      </c>
    </row>
    <row r="5356" spans="1:4" x14ac:dyDescent="0.25">
      <c r="A5356" s="180">
        <f t="shared" si="83"/>
        <v>5101881</v>
      </c>
      <c r="B5356" t="s">
        <v>2405</v>
      </c>
      <c r="C5356" t="s">
        <v>2406</v>
      </c>
      <c r="D5356" t="s">
        <v>13411</v>
      </c>
    </row>
    <row r="5357" spans="1:4" x14ac:dyDescent="0.25">
      <c r="A5357" s="180">
        <f t="shared" si="83"/>
        <v>5101882</v>
      </c>
      <c r="B5357" t="s">
        <v>2407</v>
      </c>
      <c r="C5357" t="s">
        <v>2408</v>
      </c>
    </row>
    <row r="5358" spans="1:4" x14ac:dyDescent="0.25">
      <c r="A5358" s="180">
        <f t="shared" si="83"/>
        <v>5101883</v>
      </c>
      <c r="B5358" t="s">
        <v>2409</v>
      </c>
      <c r="C5358" t="s">
        <v>2410</v>
      </c>
      <c r="D5358" t="s">
        <v>13411</v>
      </c>
    </row>
    <row r="5359" spans="1:4" x14ac:dyDescent="0.25">
      <c r="A5359" s="180">
        <f t="shared" si="83"/>
        <v>5101883</v>
      </c>
      <c r="B5359" t="s">
        <v>2409</v>
      </c>
      <c r="C5359" t="s">
        <v>2410</v>
      </c>
      <c r="D5359" t="s">
        <v>13411</v>
      </c>
    </row>
    <row r="5360" spans="1:4" x14ac:dyDescent="0.25">
      <c r="A5360" s="180">
        <f t="shared" si="83"/>
        <v>5101883</v>
      </c>
      <c r="B5360" t="s">
        <v>2409</v>
      </c>
      <c r="C5360" t="s">
        <v>2410</v>
      </c>
      <c r="D5360" t="s">
        <v>13411</v>
      </c>
    </row>
    <row r="5361" spans="1:4" x14ac:dyDescent="0.25">
      <c r="A5361" s="180">
        <f t="shared" si="83"/>
        <v>5101883</v>
      </c>
      <c r="B5361" t="s">
        <v>2409</v>
      </c>
      <c r="C5361" t="s">
        <v>2410</v>
      </c>
      <c r="D5361" t="s">
        <v>13411</v>
      </c>
    </row>
    <row r="5362" spans="1:4" x14ac:dyDescent="0.25">
      <c r="A5362" s="180">
        <f t="shared" si="83"/>
        <v>5101883</v>
      </c>
      <c r="B5362" t="s">
        <v>2409</v>
      </c>
      <c r="C5362" t="s">
        <v>2410</v>
      </c>
      <c r="D5362" t="s">
        <v>13411</v>
      </c>
    </row>
    <row r="5363" spans="1:4" x14ac:dyDescent="0.25">
      <c r="A5363" s="180">
        <f t="shared" si="83"/>
        <v>5101883</v>
      </c>
      <c r="B5363" t="s">
        <v>2409</v>
      </c>
      <c r="C5363" t="s">
        <v>2410</v>
      </c>
      <c r="D5363" t="s">
        <v>13411</v>
      </c>
    </row>
    <row r="5364" spans="1:4" x14ac:dyDescent="0.25">
      <c r="A5364" s="180">
        <f t="shared" si="83"/>
        <v>5101884</v>
      </c>
      <c r="B5364" t="s">
        <v>2411</v>
      </c>
      <c r="C5364" t="s">
        <v>2412</v>
      </c>
    </row>
    <row r="5365" spans="1:4" x14ac:dyDescent="0.25">
      <c r="A5365" s="180">
        <f t="shared" si="83"/>
        <v>5101885</v>
      </c>
      <c r="B5365" t="s">
        <v>2413</v>
      </c>
      <c r="C5365" t="s">
        <v>2414</v>
      </c>
      <c r="D5365" t="s">
        <v>13411</v>
      </c>
    </row>
    <row r="5366" spans="1:4" x14ac:dyDescent="0.25">
      <c r="A5366" s="180">
        <f t="shared" si="83"/>
        <v>5101885</v>
      </c>
      <c r="B5366" t="s">
        <v>2413</v>
      </c>
      <c r="C5366" t="s">
        <v>2414</v>
      </c>
      <c r="D5366" t="s">
        <v>13411</v>
      </c>
    </row>
    <row r="5367" spans="1:4" x14ac:dyDescent="0.25">
      <c r="A5367" s="180">
        <f t="shared" si="83"/>
        <v>5101886</v>
      </c>
      <c r="B5367" t="s">
        <v>2415</v>
      </c>
      <c r="C5367" t="s">
        <v>2416</v>
      </c>
      <c r="D5367" t="s">
        <v>13411</v>
      </c>
    </row>
    <row r="5368" spans="1:4" x14ac:dyDescent="0.25">
      <c r="A5368" s="180">
        <f t="shared" si="83"/>
        <v>5101886</v>
      </c>
      <c r="B5368" t="s">
        <v>2415</v>
      </c>
      <c r="C5368" t="s">
        <v>2416</v>
      </c>
      <c r="D5368" t="s">
        <v>13411</v>
      </c>
    </row>
    <row r="5369" spans="1:4" x14ac:dyDescent="0.25">
      <c r="A5369" s="180">
        <f t="shared" si="83"/>
        <v>5101887</v>
      </c>
      <c r="B5369" t="s">
        <v>2417</v>
      </c>
      <c r="C5369" t="s">
        <v>2418</v>
      </c>
    </row>
    <row r="5370" spans="1:4" x14ac:dyDescent="0.25">
      <c r="A5370" s="180">
        <f t="shared" si="83"/>
        <v>5101888</v>
      </c>
      <c r="B5370" t="s">
        <v>2419</v>
      </c>
      <c r="C5370" t="s">
        <v>2420</v>
      </c>
      <c r="D5370" t="s">
        <v>14952</v>
      </c>
    </row>
    <row r="5371" spans="1:4" x14ac:dyDescent="0.25">
      <c r="A5371" s="180">
        <f t="shared" si="83"/>
        <v>5101888</v>
      </c>
      <c r="B5371" t="s">
        <v>2419</v>
      </c>
      <c r="C5371" t="s">
        <v>2420</v>
      </c>
      <c r="D5371" t="s">
        <v>14952</v>
      </c>
    </row>
    <row r="5372" spans="1:4" x14ac:dyDescent="0.25">
      <c r="A5372" s="180">
        <f t="shared" si="83"/>
        <v>5101888</v>
      </c>
      <c r="B5372" t="s">
        <v>2419</v>
      </c>
      <c r="C5372" t="s">
        <v>2420</v>
      </c>
      <c r="D5372" t="s">
        <v>14952</v>
      </c>
    </row>
    <row r="5373" spans="1:4" x14ac:dyDescent="0.25">
      <c r="A5373" s="180">
        <f t="shared" si="83"/>
        <v>5101888</v>
      </c>
      <c r="B5373" t="s">
        <v>2419</v>
      </c>
      <c r="C5373" t="s">
        <v>2420</v>
      </c>
      <c r="D5373" t="s">
        <v>14952</v>
      </c>
    </row>
    <row r="5374" spans="1:4" x14ac:dyDescent="0.25">
      <c r="A5374" s="180">
        <f t="shared" si="83"/>
        <v>5101888</v>
      </c>
      <c r="B5374" t="s">
        <v>2419</v>
      </c>
      <c r="C5374" t="s">
        <v>2420</v>
      </c>
      <c r="D5374" t="s">
        <v>14952</v>
      </c>
    </row>
    <row r="5375" spans="1:4" x14ac:dyDescent="0.25">
      <c r="A5375" s="180">
        <f t="shared" ref="A5375:A5438" si="84">IFERROR(B5375*1,"")</f>
        <v>5101888</v>
      </c>
      <c r="B5375" t="s">
        <v>2419</v>
      </c>
      <c r="C5375" t="s">
        <v>2420</v>
      </c>
      <c r="D5375" t="s">
        <v>14952</v>
      </c>
    </row>
    <row r="5376" spans="1:4" x14ac:dyDescent="0.25">
      <c r="A5376" s="180">
        <f t="shared" si="84"/>
        <v>5101888</v>
      </c>
      <c r="B5376" t="s">
        <v>2419</v>
      </c>
      <c r="C5376" t="s">
        <v>2420</v>
      </c>
      <c r="D5376" t="s">
        <v>14952</v>
      </c>
    </row>
    <row r="5377" spans="1:4" x14ac:dyDescent="0.25">
      <c r="A5377" s="180">
        <f t="shared" si="84"/>
        <v>5101888</v>
      </c>
      <c r="B5377" t="s">
        <v>2419</v>
      </c>
      <c r="C5377" t="s">
        <v>2420</v>
      </c>
      <c r="D5377" t="s">
        <v>14952</v>
      </c>
    </row>
    <row r="5378" spans="1:4" x14ac:dyDescent="0.25">
      <c r="A5378" s="180">
        <f t="shared" si="84"/>
        <v>5101888</v>
      </c>
      <c r="B5378" t="s">
        <v>2419</v>
      </c>
      <c r="C5378" t="s">
        <v>2420</v>
      </c>
      <c r="D5378" t="s">
        <v>14952</v>
      </c>
    </row>
    <row r="5379" spans="1:4" x14ac:dyDescent="0.25">
      <c r="A5379" s="180">
        <f t="shared" si="84"/>
        <v>5101888</v>
      </c>
      <c r="B5379" t="s">
        <v>2419</v>
      </c>
      <c r="C5379" t="s">
        <v>2420</v>
      </c>
      <c r="D5379" t="s">
        <v>14952</v>
      </c>
    </row>
    <row r="5380" spans="1:4" x14ac:dyDescent="0.25">
      <c r="A5380" s="180">
        <f t="shared" si="84"/>
        <v>5101889</v>
      </c>
      <c r="B5380" t="s">
        <v>2421</v>
      </c>
      <c r="C5380" t="s">
        <v>2422</v>
      </c>
      <c r="D5380" t="s">
        <v>14952</v>
      </c>
    </row>
    <row r="5381" spans="1:4" x14ac:dyDescent="0.25">
      <c r="A5381" s="180">
        <f t="shared" si="84"/>
        <v>5101889</v>
      </c>
      <c r="B5381" t="s">
        <v>2421</v>
      </c>
      <c r="C5381" t="s">
        <v>2422</v>
      </c>
      <c r="D5381" t="s">
        <v>14952</v>
      </c>
    </row>
    <row r="5382" spans="1:4" x14ac:dyDescent="0.25">
      <c r="A5382" s="180">
        <f t="shared" si="84"/>
        <v>5101889</v>
      </c>
      <c r="B5382" t="s">
        <v>2421</v>
      </c>
      <c r="C5382" t="s">
        <v>2422</v>
      </c>
      <c r="D5382" t="s">
        <v>14952</v>
      </c>
    </row>
    <row r="5383" spans="1:4" x14ac:dyDescent="0.25">
      <c r="A5383" s="180">
        <f t="shared" si="84"/>
        <v>5101889</v>
      </c>
      <c r="B5383" t="s">
        <v>2421</v>
      </c>
      <c r="C5383" t="s">
        <v>2422</v>
      </c>
      <c r="D5383" t="s">
        <v>14952</v>
      </c>
    </row>
    <row r="5384" spans="1:4" x14ac:dyDescent="0.25">
      <c r="A5384" s="180">
        <f t="shared" si="84"/>
        <v>5101900</v>
      </c>
      <c r="B5384" t="s">
        <v>2423</v>
      </c>
      <c r="C5384" t="s">
        <v>2424</v>
      </c>
      <c r="D5384" t="s">
        <v>13412</v>
      </c>
    </row>
    <row r="5385" spans="1:4" x14ac:dyDescent="0.25">
      <c r="A5385" s="180">
        <f t="shared" si="84"/>
        <v>5101900</v>
      </c>
      <c r="B5385" t="s">
        <v>2423</v>
      </c>
      <c r="C5385" t="s">
        <v>2424</v>
      </c>
      <c r="D5385" t="s">
        <v>13412</v>
      </c>
    </row>
    <row r="5386" spans="1:4" x14ac:dyDescent="0.25">
      <c r="A5386" s="180">
        <f t="shared" si="84"/>
        <v>5101900</v>
      </c>
      <c r="B5386" t="s">
        <v>2423</v>
      </c>
      <c r="C5386" t="s">
        <v>2424</v>
      </c>
      <c r="D5386" t="s">
        <v>13412</v>
      </c>
    </row>
    <row r="5387" spans="1:4" x14ac:dyDescent="0.25">
      <c r="A5387" s="180">
        <f t="shared" si="84"/>
        <v>5101900</v>
      </c>
      <c r="B5387" t="s">
        <v>2423</v>
      </c>
      <c r="C5387" t="s">
        <v>2424</v>
      </c>
      <c r="D5387" t="s">
        <v>13412</v>
      </c>
    </row>
    <row r="5388" spans="1:4" x14ac:dyDescent="0.25">
      <c r="A5388" s="180">
        <f t="shared" si="84"/>
        <v>5101900</v>
      </c>
      <c r="B5388" t="s">
        <v>2423</v>
      </c>
      <c r="C5388" t="s">
        <v>2424</v>
      </c>
      <c r="D5388" t="s">
        <v>13412</v>
      </c>
    </row>
    <row r="5389" spans="1:4" x14ac:dyDescent="0.25">
      <c r="A5389" s="180">
        <f t="shared" si="84"/>
        <v>5101900</v>
      </c>
      <c r="B5389" t="s">
        <v>2423</v>
      </c>
      <c r="C5389" t="s">
        <v>2424</v>
      </c>
      <c r="D5389" t="s">
        <v>13412</v>
      </c>
    </row>
    <row r="5390" spans="1:4" x14ac:dyDescent="0.25">
      <c r="A5390" s="180">
        <f t="shared" si="84"/>
        <v>5101900</v>
      </c>
      <c r="B5390" t="s">
        <v>2423</v>
      </c>
      <c r="C5390" t="s">
        <v>2424</v>
      </c>
      <c r="D5390" t="s">
        <v>13412</v>
      </c>
    </row>
    <row r="5391" spans="1:4" x14ac:dyDescent="0.25">
      <c r="A5391" s="180">
        <f t="shared" si="84"/>
        <v>5101900</v>
      </c>
      <c r="B5391" t="s">
        <v>2423</v>
      </c>
      <c r="C5391" t="s">
        <v>2424</v>
      </c>
      <c r="D5391" t="s">
        <v>13412</v>
      </c>
    </row>
    <row r="5392" spans="1:4" x14ac:dyDescent="0.25">
      <c r="A5392" s="180">
        <f t="shared" si="84"/>
        <v>5101900</v>
      </c>
      <c r="B5392" t="s">
        <v>2423</v>
      </c>
      <c r="C5392" t="s">
        <v>2424</v>
      </c>
      <c r="D5392" t="s">
        <v>13412</v>
      </c>
    </row>
    <row r="5393" spans="1:4" x14ac:dyDescent="0.25">
      <c r="A5393" s="180">
        <f t="shared" si="84"/>
        <v>5101901</v>
      </c>
      <c r="B5393" t="s">
        <v>2425</v>
      </c>
      <c r="C5393" t="s">
        <v>2426</v>
      </c>
      <c r="D5393" t="s">
        <v>13412</v>
      </c>
    </row>
    <row r="5394" spans="1:4" x14ac:dyDescent="0.25">
      <c r="A5394" s="180">
        <f t="shared" si="84"/>
        <v>5101901</v>
      </c>
      <c r="B5394" t="s">
        <v>2425</v>
      </c>
      <c r="C5394" t="s">
        <v>2426</v>
      </c>
      <c r="D5394" t="s">
        <v>13412</v>
      </c>
    </row>
    <row r="5395" spans="1:4" x14ac:dyDescent="0.25">
      <c r="A5395" s="180">
        <f t="shared" si="84"/>
        <v>5101901</v>
      </c>
      <c r="B5395" t="s">
        <v>2425</v>
      </c>
      <c r="C5395" t="s">
        <v>2426</v>
      </c>
      <c r="D5395" t="s">
        <v>13412</v>
      </c>
    </row>
    <row r="5396" spans="1:4" x14ac:dyDescent="0.25">
      <c r="A5396" s="180">
        <f t="shared" si="84"/>
        <v>5101901</v>
      </c>
      <c r="B5396" t="s">
        <v>2425</v>
      </c>
      <c r="C5396" t="s">
        <v>2426</v>
      </c>
      <c r="D5396" t="s">
        <v>13412</v>
      </c>
    </row>
    <row r="5397" spans="1:4" x14ac:dyDescent="0.25">
      <c r="A5397" s="180">
        <f t="shared" si="84"/>
        <v>5101902</v>
      </c>
      <c r="B5397" t="s">
        <v>2427</v>
      </c>
      <c r="C5397" t="s">
        <v>2428</v>
      </c>
      <c r="D5397" t="s">
        <v>14909</v>
      </c>
    </row>
    <row r="5398" spans="1:4" x14ac:dyDescent="0.25">
      <c r="A5398" s="180">
        <f t="shared" si="84"/>
        <v>5101902</v>
      </c>
      <c r="B5398" t="s">
        <v>2427</v>
      </c>
      <c r="C5398" t="s">
        <v>2428</v>
      </c>
      <c r="D5398" t="s">
        <v>14909</v>
      </c>
    </row>
    <row r="5399" spans="1:4" x14ac:dyDescent="0.25">
      <c r="A5399" s="180">
        <f t="shared" si="84"/>
        <v>5101902</v>
      </c>
      <c r="B5399" t="s">
        <v>2427</v>
      </c>
      <c r="C5399" t="s">
        <v>2428</v>
      </c>
      <c r="D5399" t="s">
        <v>14909</v>
      </c>
    </row>
    <row r="5400" spans="1:4" x14ac:dyDescent="0.25">
      <c r="A5400" s="180">
        <f t="shared" si="84"/>
        <v>5101902</v>
      </c>
      <c r="B5400" t="s">
        <v>2427</v>
      </c>
      <c r="C5400" t="s">
        <v>2428</v>
      </c>
      <c r="D5400" t="s">
        <v>14909</v>
      </c>
    </row>
    <row r="5401" spans="1:4" x14ac:dyDescent="0.25">
      <c r="A5401" s="180">
        <f t="shared" si="84"/>
        <v>5101902</v>
      </c>
      <c r="B5401" t="s">
        <v>2427</v>
      </c>
      <c r="C5401" t="s">
        <v>2428</v>
      </c>
      <c r="D5401" t="s">
        <v>14909</v>
      </c>
    </row>
    <row r="5402" spans="1:4" x14ac:dyDescent="0.25">
      <c r="A5402" s="180">
        <f t="shared" si="84"/>
        <v>5101902</v>
      </c>
      <c r="B5402" t="s">
        <v>2427</v>
      </c>
      <c r="C5402" t="s">
        <v>2428</v>
      </c>
      <c r="D5402" t="s">
        <v>14909</v>
      </c>
    </row>
    <row r="5403" spans="1:4" x14ac:dyDescent="0.25">
      <c r="A5403" s="180">
        <f t="shared" si="84"/>
        <v>5101902</v>
      </c>
      <c r="B5403" t="s">
        <v>2427</v>
      </c>
      <c r="C5403" t="s">
        <v>2428</v>
      </c>
      <c r="D5403" t="s">
        <v>14909</v>
      </c>
    </row>
    <row r="5404" spans="1:4" x14ac:dyDescent="0.25">
      <c r="A5404" s="180">
        <f t="shared" si="84"/>
        <v>5101902</v>
      </c>
      <c r="B5404" t="s">
        <v>2427</v>
      </c>
      <c r="C5404" t="s">
        <v>2428</v>
      </c>
      <c r="D5404" t="s">
        <v>14909</v>
      </c>
    </row>
    <row r="5405" spans="1:4" x14ac:dyDescent="0.25">
      <c r="A5405" s="180">
        <f t="shared" si="84"/>
        <v>5101903</v>
      </c>
      <c r="B5405" t="s">
        <v>13290</v>
      </c>
      <c r="C5405" t="s">
        <v>13291</v>
      </c>
      <c r="D5405" t="s">
        <v>13412</v>
      </c>
    </row>
    <row r="5406" spans="1:4" x14ac:dyDescent="0.25">
      <c r="A5406" s="180">
        <f t="shared" si="84"/>
        <v>5101903</v>
      </c>
      <c r="B5406" t="s">
        <v>13290</v>
      </c>
      <c r="C5406" t="s">
        <v>13291</v>
      </c>
      <c r="D5406" t="s">
        <v>13412</v>
      </c>
    </row>
    <row r="5407" spans="1:4" x14ac:dyDescent="0.25">
      <c r="A5407" s="180">
        <f t="shared" si="84"/>
        <v>5101906</v>
      </c>
      <c r="B5407" t="s">
        <v>2429</v>
      </c>
      <c r="C5407" t="s">
        <v>2430</v>
      </c>
      <c r="D5407" t="s">
        <v>14909</v>
      </c>
    </row>
    <row r="5408" spans="1:4" x14ac:dyDescent="0.25">
      <c r="A5408" s="180">
        <f t="shared" si="84"/>
        <v>5101906</v>
      </c>
      <c r="B5408" t="s">
        <v>2429</v>
      </c>
      <c r="C5408" t="s">
        <v>2430</v>
      </c>
      <c r="D5408" t="s">
        <v>14909</v>
      </c>
    </row>
    <row r="5409" spans="1:4" x14ac:dyDescent="0.25">
      <c r="A5409" s="180">
        <f t="shared" si="84"/>
        <v>5101906</v>
      </c>
      <c r="B5409" t="s">
        <v>2429</v>
      </c>
      <c r="C5409" t="s">
        <v>2430</v>
      </c>
      <c r="D5409" t="s">
        <v>14909</v>
      </c>
    </row>
    <row r="5410" spans="1:4" x14ac:dyDescent="0.25">
      <c r="A5410" s="180">
        <f t="shared" si="84"/>
        <v>5101906</v>
      </c>
      <c r="B5410" t="s">
        <v>2429</v>
      </c>
      <c r="C5410" t="s">
        <v>2430</v>
      </c>
      <c r="D5410" t="s">
        <v>14909</v>
      </c>
    </row>
    <row r="5411" spans="1:4" x14ac:dyDescent="0.25">
      <c r="A5411" s="180">
        <f t="shared" si="84"/>
        <v>5101906</v>
      </c>
      <c r="B5411" t="s">
        <v>2429</v>
      </c>
      <c r="C5411" t="s">
        <v>2430</v>
      </c>
      <c r="D5411" t="s">
        <v>14909</v>
      </c>
    </row>
    <row r="5412" spans="1:4" x14ac:dyDescent="0.25">
      <c r="A5412" s="180">
        <f t="shared" si="84"/>
        <v>5101907</v>
      </c>
      <c r="B5412" t="s">
        <v>2431</v>
      </c>
      <c r="C5412" t="s">
        <v>2432</v>
      </c>
      <c r="D5412" t="s">
        <v>14909</v>
      </c>
    </row>
    <row r="5413" spans="1:4" x14ac:dyDescent="0.25">
      <c r="A5413" s="180">
        <f t="shared" si="84"/>
        <v>5101907</v>
      </c>
      <c r="B5413" t="s">
        <v>2431</v>
      </c>
      <c r="C5413" t="s">
        <v>2432</v>
      </c>
      <c r="D5413" t="s">
        <v>14909</v>
      </c>
    </row>
    <row r="5414" spans="1:4" x14ac:dyDescent="0.25">
      <c r="A5414" s="180">
        <f t="shared" si="84"/>
        <v>5101907</v>
      </c>
      <c r="B5414" t="s">
        <v>2431</v>
      </c>
      <c r="C5414" t="s">
        <v>2432</v>
      </c>
      <c r="D5414" t="s">
        <v>14909</v>
      </c>
    </row>
    <row r="5415" spans="1:4" x14ac:dyDescent="0.25">
      <c r="A5415" s="180">
        <f t="shared" si="84"/>
        <v>5101911</v>
      </c>
      <c r="B5415" t="s">
        <v>2433</v>
      </c>
      <c r="C5415" t="s">
        <v>2434</v>
      </c>
      <c r="D5415" t="s">
        <v>14909</v>
      </c>
    </row>
    <row r="5416" spans="1:4" x14ac:dyDescent="0.25">
      <c r="A5416" s="180">
        <f t="shared" si="84"/>
        <v>5101912</v>
      </c>
      <c r="B5416" t="s">
        <v>2435</v>
      </c>
      <c r="C5416" t="s">
        <v>2436</v>
      </c>
      <c r="D5416" t="s">
        <v>14909</v>
      </c>
    </row>
    <row r="5417" spans="1:4" x14ac:dyDescent="0.25">
      <c r="A5417" s="180">
        <f t="shared" si="84"/>
        <v>5101915</v>
      </c>
      <c r="B5417" t="s">
        <v>2437</v>
      </c>
      <c r="C5417" t="s">
        <v>2438</v>
      </c>
      <c r="D5417" t="s">
        <v>14909</v>
      </c>
    </row>
    <row r="5418" spans="1:4" x14ac:dyDescent="0.25">
      <c r="A5418" s="180">
        <f t="shared" si="84"/>
        <v>5101915</v>
      </c>
      <c r="B5418" t="s">
        <v>2437</v>
      </c>
      <c r="C5418" t="s">
        <v>2438</v>
      </c>
      <c r="D5418" t="s">
        <v>14909</v>
      </c>
    </row>
    <row r="5419" spans="1:4" x14ac:dyDescent="0.25">
      <c r="A5419" s="180">
        <f t="shared" si="84"/>
        <v>5101915</v>
      </c>
      <c r="B5419" t="s">
        <v>2437</v>
      </c>
      <c r="C5419" t="s">
        <v>2438</v>
      </c>
      <c r="D5419" t="s">
        <v>14909</v>
      </c>
    </row>
    <row r="5420" spans="1:4" x14ac:dyDescent="0.25">
      <c r="A5420" s="180">
        <f t="shared" si="84"/>
        <v>5101917</v>
      </c>
      <c r="B5420" t="s">
        <v>2439</v>
      </c>
      <c r="C5420" t="s">
        <v>2440</v>
      </c>
      <c r="D5420" t="s">
        <v>14909</v>
      </c>
    </row>
    <row r="5421" spans="1:4" x14ac:dyDescent="0.25">
      <c r="A5421" s="180">
        <f t="shared" si="84"/>
        <v>5101917</v>
      </c>
      <c r="B5421" t="s">
        <v>2439</v>
      </c>
      <c r="C5421" t="s">
        <v>2440</v>
      </c>
      <c r="D5421" t="s">
        <v>14909</v>
      </c>
    </row>
    <row r="5422" spans="1:4" x14ac:dyDescent="0.25">
      <c r="A5422" s="180">
        <f t="shared" si="84"/>
        <v>5101917</v>
      </c>
      <c r="B5422" t="s">
        <v>2439</v>
      </c>
      <c r="C5422" t="s">
        <v>2440</v>
      </c>
      <c r="D5422" t="s">
        <v>14909</v>
      </c>
    </row>
    <row r="5423" spans="1:4" x14ac:dyDescent="0.25">
      <c r="A5423" s="180">
        <f t="shared" si="84"/>
        <v>5101919</v>
      </c>
      <c r="B5423" t="s">
        <v>2441</v>
      </c>
      <c r="C5423" t="s">
        <v>2442</v>
      </c>
      <c r="D5423" t="s">
        <v>14909</v>
      </c>
    </row>
    <row r="5424" spans="1:4" x14ac:dyDescent="0.25">
      <c r="A5424" s="180">
        <f t="shared" si="84"/>
        <v>5101919</v>
      </c>
      <c r="B5424" t="s">
        <v>2441</v>
      </c>
      <c r="C5424" t="s">
        <v>2442</v>
      </c>
      <c r="D5424" t="s">
        <v>14909</v>
      </c>
    </row>
    <row r="5425" spans="1:4" x14ac:dyDescent="0.25">
      <c r="A5425" s="180">
        <f t="shared" si="84"/>
        <v>5101919</v>
      </c>
      <c r="B5425" t="s">
        <v>2441</v>
      </c>
      <c r="C5425" t="s">
        <v>2442</v>
      </c>
      <c r="D5425" t="s">
        <v>14909</v>
      </c>
    </row>
    <row r="5426" spans="1:4" x14ac:dyDescent="0.25">
      <c r="A5426" s="180">
        <f t="shared" si="84"/>
        <v>5101919</v>
      </c>
      <c r="B5426" t="s">
        <v>2441</v>
      </c>
      <c r="C5426" t="s">
        <v>2442</v>
      </c>
      <c r="D5426" t="s">
        <v>14909</v>
      </c>
    </row>
    <row r="5427" spans="1:4" x14ac:dyDescent="0.25">
      <c r="A5427" s="180">
        <f t="shared" si="84"/>
        <v>5101919</v>
      </c>
      <c r="B5427" t="s">
        <v>2441</v>
      </c>
      <c r="C5427" t="s">
        <v>2442</v>
      </c>
      <c r="D5427" t="s">
        <v>14909</v>
      </c>
    </row>
    <row r="5428" spans="1:4" x14ac:dyDescent="0.25">
      <c r="A5428" s="180">
        <f t="shared" si="84"/>
        <v>5101925</v>
      </c>
      <c r="B5428" t="s">
        <v>2443</v>
      </c>
      <c r="C5428" t="s">
        <v>2444</v>
      </c>
      <c r="D5428" t="s">
        <v>14909</v>
      </c>
    </row>
    <row r="5429" spans="1:4" x14ac:dyDescent="0.25">
      <c r="A5429" s="180">
        <f t="shared" si="84"/>
        <v>5101925</v>
      </c>
      <c r="B5429" t="s">
        <v>2443</v>
      </c>
      <c r="C5429" t="s">
        <v>2444</v>
      </c>
      <c r="D5429" t="s">
        <v>14909</v>
      </c>
    </row>
    <row r="5430" spans="1:4" x14ac:dyDescent="0.25">
      <c r="A5430" s="180">
        <f t="shared" si="84"/>
        <v>5101925</v>
      </c>
      <c r="B5430" t="s">
        <v>2443</v>
      </c>
      <c r="C5430" t="s">
        <v>2444</v>
      </c>
      <c r="D5430" t="s">
        <v>14909</v>
      </c>
    </row>
    <row r="5431" spans="1:4" x14ac:dyDescent="0.25">
      <c r="A5431" s="180">
        <f t="shared" si="84"/>
        <v>5101929</v>
      </c>
      <c r="B5431" t="s">
        <v>2445</v>
      </c>
      <c r="C5431" t="s">
        <v>2446</v>
      </c>
    </row>
    <row r="5432" spans="1:4" x14ac:dyDescent="0.25">
      <c r="A5432" s="180">
        <f t="shared" si="84"/>
        <v>5101951</v>
      </c>
      <c r="B5432" t="s">
        <v>2447</v>
      </c>
      <c r="C5432" t="s">
        <v>2448</v>
      </c>
      <c r="D5432" t="s">
        <v>13411</v>
      </c>
    </row>
    <row r="5433" spans="1:4" x14ac:dyDescent="0.25">
      <c r="A5433" s="180">
        <f t="shared" si="84"/>
        <v>5101951</v>
      </c>
      <c r="B5433" t="s">
        <v>2447</v>
      </c>
      <c r="C5433" t="s">
        <v>2448</v>
      </c>
      <c r="D5433" t="s">
        <v>13411</v>
      </c>
    </row>
    <row r="5434" spans="1:4" x14ac:dyDescent="0.25">
      <c r="A5434" s="180">
        <f t="shared" si="84"/>
        <v>5101951</v>
      </c>
      <c r="B5434" t="s">
        <v>2447</v>
      </c>
      <c r="C5434" t="s">
        <v>2448</v>
      </c>
      <c r="D5434" t="s">
        <v>13411</v>
      </c>
    </row>
    <row r="5435" spans="1:4" x14ac:dyDescent="0.25">
      <c r="A5435" s="180">
        <f t="shared" si="84"/>
        <v>5101951</v>
      </c>
      <c r="B5435" t="s">
        <v>2447</v>
      </c>
      <c r="C5435" t="s">
        <v>2448</v>
      </c>
      <c r="D5435" t="s">
        <v>13411</v>
      </c>
    </row>
    <row r="5436" spans="1:4" x14ac:dyDescent="0.25">
      <c r="A5436" s="180">
        <f t="shared" si="84"/>
        <v>5101952</v>
      </c>
      <c r="B5436" t="s">
        <v>2449</v>
      </c>
      <c r="C5436" t="s">
        <v>2450</v>
      </c>
    </row>
    <row r="5437" spans="1:4" x14ac:dyDescent="0.25">
      <c r="A5437" s="180">
        <f t="shared" si="84"/>
        <v>5101954</v>
      </c>
      <c r="B5437" t="s">
        <v>2451</v>
      </c>
      <c r="C5437" t="s">
        <v>2452</v>
      </c>
    </row>
    <row r="5438" spans="1:4" x14ac:dyDescent="0.25">
      <c r="A5438" s="180">
        <f t="shared" si="84"/>
        <v>5101955</v>
      </c>
      <c r="B5438" t="s">
        <v>2453</v>
      </c>
      <c r="C5438" t="s">
        <v>2454</v>
      </c>
      <c r="D5438" t="s">
        <v>13411</v>
      </c>
    </row>
    <row r="5439" spans="1:4" x14ac:dyDescent="0.25">
      <c r="A5439" s="180">
        <f t="shared" ref="A5439:A5502" si="85">IFERROR(B5439*1,"")</f>
        <v>5101955</v>
      </c>
      <c r="B5439" t="s">
        <v>2453</v>
      </c>
      <c r="C5439" t="s">
        <v>2454</v>
      </c>
      <c r="D5439" t="s">
        <v>13411</v>
      </c>
    </row>
    <row r="5440" spans="1:4" x14ac:dyDescent="0.25">
      <c r="A5440" s="180">
        <f t="shared" si="85"/>
        <v>5101955</v>
      </c>
      <c r="B5440" t="s">
        <v>2453</v>
      </c>
      <c r="C5440" t="s">
        <v>2454</v>
      </c>
      <c r="D5440" t="s">
        <v>13411</v>
      </c>
    </row>
    <row r="5441" spans="1:4" x14ac:dyDescent="0.25">
      <c r="A5441" s="180">
        <f t="shared" si="85"/>
        <v>5101955</v>
      </c>
      <c r="B5441" t="s">
        <v>2453</v>
      </c>
      <c r="C5441" t="s">
        <v>2454</v>
      </c>
      <c r="D5441" t="s">
        <v>13411</v>
      </c>
    </row>
    <row r="5442" spans="1:4" x14ac:dyDescent="0.25">
      <c r="A5442" s="180">
        <f t="shared" si="85"/>
        <v>5101955</v>
      </c>
      <c r="B5442" t="s">
        <v>2453</v>
      </c>
      <c r="C5442" t="s">
        <v>2454</v>
      </c>
      <c r="D5442" t="s">
        <v>13411</v>
      </c>
    </row>
    <row r="5443" spans="1:4" x14ac:dyDescent="0.25">
      <c r="A5443" s="180">
        <f t="shared" si="85"/>
        <v>5101980</v>
      </c>
      <c r="B5443" t="s">
        <v>6890</v>
      </c>
      <c r="C5443" t="s">
        <v>6891</v>
      </c>
      <c r="D5443" t="s">
        <v>14909</v>
      </c>
    </row>
    <row r="5444" spans="1:4" x14ac:dyDescent="0.25">
      <c r="A5444" s="180">
        <f t="shared" si="85"/>
        <v>5101980</v>
      </c>
      <c r="B5444" t="s">
        <v>6890</v>
      </c>
      <c r="C5444" t="s">
        <v>6891</v>
      </c>
      <c r="D5444" t="s">
        <v>14909</v>
      </c>
    </row>
    <row r="5445" spans="1:4" x14ac:dyDescent="0.25">
      <c r="A5445" s="180">
        <f t="shared" si="85"/>
        <v>5101980</v>
      </c>
      <c r="B5445" t="s">
        <v>6890</v>
      </c>
      <c r="C5445" t="s">
        <v>6891</v>
      </c>
      <c r="D5445" t="s">
        <v>14909</v>
      </c>
    </row>
    <row r="5446" spans="1:4" x14ac:dyDescent="0.25">
      <c r="A5446" s="180">
        <f t="shared" si="85"/>
        <v>5101980</v>
      </c>
      <c r="B5446" t="s">
        <v>6890</v>
      </c>
      <c r="C5446" t="s">
        <v>6891</v>
      </c>
      <c r="D5446" t="s">
        <v>14909</v>
      </c>
    </row>
    <row r="5447" spans="1:4" x14ac:dyDescent="0.25">
      <c r="A5447" s="180">
        <f t="shared" si="85"/>
        <v>5101980</v>
      </c>
      <c r="B5447" t="s">
        <v>6890</v>
      </c>
      <c r="C5447" t="s">
        <v>6891</v>
      </c>
      <c r="D5447" t="s">
        <v>14909</v>
      </c>
    </row>
    <row r="5448" spans="1:4" x14ac:dyDescent="0.25">
      <c r="A5448" s="180">
        <f t="shared" si="85"/>
        <v>5101980</v>
      </c>
      <c r="B5448" t="s">
        <v>6890</v>
      </c>
      <c r="C5448" t="s">
        <v>6891</v>
      </c>
      <c r="D5448" t="s">
        <v>14909</v>
      </c>
    </row>
    <row r="5449" spans="1:4" x14ac:dyDescent="0.25">
      <c r="A5449" s="180">
        <f t="shared" si="85"/>
        <v>5101980</v>
      </c>
      <c r="B5449" t="s">
        <v>6890</v>
      </c>
      <c r="C5449" t="s">
        <v>6891</v>
      </c>
      <c r="D5449" t="s">
        <v>14909</v>
      </c>
    </row>
    <row r="5450" spans="1:4" x14ac:dyDescent="0.25">
      <c r="A5450" s="180">
        <f t="shared" si="85"/>
        <v>5101983</v>
      </c>
      <c r="B5450" t="s">
        <v>14496</v>
      </c>
      <c r="C5450" t="s">
        <v>14497</v>
      </c>
      <c r="D5450" t="s">
        <v>14909</v>
      </c>
    </row>
    <row r="5451" spans="1:4" x14ac:dyDescent="0.25">
      <c r="A5451" s="180">
        <f t="shared" si="85"/>
        <v>5101983</v>
      </c>
      <c r="B5451" t="s">
        <v>14496</v>
      </c>
      <c r="C5451" t="s">
        <v>14497</v>
      </c>
      <c r="D5451" t="s">
        <v>14909</v>
      </c>
    </row>
    <row r="5452" spans="1:4" x14ac:dyDescent="0.25">
      <c r="A5452" s="180">
        <f t="shared" si="85"/>
        <v>5101985</v>
      </c>
      <c r="B5452" t="s">
        <v>2455</v>
      </c>
      <c r="C5452" t="s">
        <v>2456</v>
      </c>
      <c r="D5452" t="s">
        <v>13412</v>
      </c>
    </row>
    <row r="5453" spans="1:4" x14ac:dyDescent="0.25">
      <c r="A5453" s="180">
        <f t="shared" si="85"/>
        <v>5101985</v>
      </c>
      <c r="B5453" t="s">
        <v>2455</v>
      </c>
      <c r="C5453" t="s">
        <v>2456</v>
      </c>
      <c r="D5453" t="s">
        <v>13412</v>
      </c>
    </row>
    <row r="5454" spans="1:4" x14ac:dyDescent="0.25">
      <c r="A5454" s="180">
        <f t="shared" si="85"/>
        <v>5101985</v>
      </c>
      <c r="B5454" t="s">
        <v>2455</v>
      </c>
      <c r="C5454" t="s">
        <v>2456</v>
      </c>
      <c r="D5454" t="s">
        <v>13412</v>
      </c>
    </row>
    <row r="5455" spans="1:4" x14ac:dyDescent="0.25">
      <c r="A5455" s="180">
        <f t="shared" si="85"/>
        <v>5101985</v>
      </c>
      <c r="B5455" t="s">
        <v>2455</v>
      </c>
      <c r="C5455" t="s">
        <v>2456</v>
      </c>
      <c r="D5455" t="s">
        <v>13412</v>
      </c>
    </row>
    <row r="5456" spans="1:4" x14ac:dyDescent="0.25">
      <c r="A5456" s="180">
        <f t="shared" si="85"/>
        <v>5101985</v>
      </c>
      <c r="B5456" t="s">
        <v>2455</v>
      </c>
      <c r="C5456" t="s">
        <v>2456</v>
      </c>
      <c r="D5456" t="s">
        <v>13412</v>
      </c>
    </row>
    <row r="5457" spans="1:4" x14ac:dyDescent="0.25">
      <c r="A5457" s="180">
        <f t="shared" si="85"/>
        <v>5101985</v>
      </c>
      <c r="B5457" t="s">
        <v>2455</v>
      </c>
      <c r="C5457" t="s">
        <v>2456</v>
      </c>
      <c r="D5457" t="s">
        <v>13412</v>
      </c>
    </row>
    <row r="5458" spans="1:4" x14ac:dyDescent="0.25">
      <c r="A5458" s="180">
        <f t="shared" si="85"/>
        <v>5101985</v>
      </c>
      <c r="B5458" t="s">
        <v>2455</v>
      </c>
      <c r="C5458" t="s">
        <v>2456</v>
      </c>
      <c r="D5458" t="s">
        <v>13412</v>
      </c>
    </row>
    <row r="5459" spans="1:4" x14ac:dyDescent="0.25">
      <c r="A5459" s="180">
        <f t="shared" si="85"/>
        <v>5101985</v>
      </c>
      <c r="B5459" t="s">
        <v>2455</v>
      </c>
      <c r="C5459" t="s">
        <v>2456</v>
      </c>
      <c r="D5459" t="s">
        <v>13412</v>
      </c>
    </row>
    <row r="5460" spans="1:4" x14ac:dyDescent="0.25">
      <c r="A5460" s="180">
        <f t="shared" si="85"/>
        <v>5101986</v>
      </c>
      <c r="B5460" t="s">
        <v>2457</v>
      </c>
      <c r="C5460" t="s">
        <v>2458</v>
      </c>
      <c r="D5460" t="s">
        <v>13412</v>
      </c>
    </row>
    <row r="5461" spans="1:4" x14ac:dyDescent="0.25">
      <c r="A5461" s="180">
        <f t="shared" si="85"/>
        <v>5101986</v>
      </c>
      <c r="B5461" t="s">
        <v>2457</v>
      </c>
      <c r="C5461" t="s">
        <v>2458</v>
      </c>
      <c r="D5461" t="s">
        <v>13412</v>
      </c>
    </row>
    <row r="5462" spans="1:4" x14ac:dyDescent="0.25">
      <c r="A5462" s="180">
        <f t="shared" si="85"/>
        <v>5101986</v>
      </c>
      <c r="B5462" t="s">
        <v>2457</v>
      </c>
      <c r="C5462" t="s">
        <v>2458</v>
      </c>
      <c r="D5462" t="s">
        <v>13412</v>
      </c>
    </row>
    <row r="5463" spans="1:4" x14ac:dyDescent="0.25">
      <c r="A5463" s="180">
        <f t="shared" si="85"/>
        <v>5101986</v>
      </c>
      <c r="B5463" t="s">
        <v>2457</v>
      </c>
      <c r="C5463" t="s">
        <v>2458</v>
      </c>
      <c r="D5463" t="s">
        <v>13412</v>
      </c>
    </row>
    <row r="5464" spans="1:4" x14ac:dyDescent="0.25">
      <c r="A5464" s="180">
        <f t="shared" si="85"/>
        <v>5101987</v>
      </c>
      <c r="B5464" t="s">
        <v>6892</v>
      </c>
      <c r="C5464" t="s">
        <v>6893</v>
      </c>
      <c r="D5464" t="s">
        <v>14909</v>
      </c>
    </row>
    <row r="5465" spans="1:4" x14ac:dyDescent="0.25">
      <c r="A5465" s="180">
        <f t="shared" si="85"/>
        <v>5101990</v>
      </c>
      <c r="B5465" t="s">
        <v>14096</v>
      </c>
      <c r="C5465" t="s">
        <v>14097</v>
      </c>
      <c r="D5465" t="s">
        <v>14909</v>
      </c>
    </row>
    <row r="5466" spans="1:4" x14ac:dyDescent="0.25">
      <c r="A5466" s="180">
        <f t="shared" si="85"/>
        <v>5101990</v>
      </c>
      <c r="B5466" t="s">
        <v>14096</v>
      </c>
      <c r="C5466" t="s">
        <v>14097</v>
      </c>
      <c r="D5466" t="s">
        <v>14909</v>
      </c>
    </row>
    <row r="5467" spans="1:4" x14ac:dyDescent="0.25">
      <c r="A5467" s="180">
        <f t="shared" si="85"/>
        <v>5101991</v>
      </c>
      <c r="B5467" t="s">
        <v>14098</v>
      </c>
      <c r="C5467" t="s">
        <v>14099</v>
      </c>
      <c r="D5467" t="s">
        <v>14909</v>
      </c>
    </row>
    <row r="5468" spans="1:4" x14ac:dyDescent="0.25">
      <c r="A5468" s="180">
        <f t="shared" si="85"/>
        <v>5101998</v>
      </c>
      <c r="B5468" t="s">
        <v>2459</v>
      </c>
      <c r="C5468" t="s">
        <v>2460</v>
      </c>
      <c r="D5468" t="s">
        <v>14952</v>
      </c>
    </row>
    <row r="5469" spans="1:4" x14ac:dyDescent="0.25">
      <c r="A5469" s="180">
        <f t="shared" si="85"/>
        <v>5101998</v>
      </c>
      <c r="B5469" t="s">
        <v>2459</v>
      </c>
      <c r="C5469" t="s">
        <v>2460</v>
      </c>
      <c r="D5469" t="s">
        <v>14952</v>
      </c>
    </row>
    <row r="5470" spans="1:4" x14ac:dyDescent="0.25">
      <c r="A5470" s="180">
        <f t="shared" si="85"/>
        <v>5101998</v>
      </c>
      <c r="B5470" t="s">
        <v>2459</v>
      </c>
      <c r="C5470" t="s">
        <v>2460</v>
      </c>
      <c r="D5470" t="s">
        <v>14952</v>
      </c>
    </row>
    <row r="5471" spans="1:4" x14ac:dyDescent="0.25">
      <c r="A5471" s="180">
        <f t="shared" si="85"/>
        <v>5101999</v>
      </c>
      <c r="B5471" t="s">
        <v>2461</v>
      </c>
      <c r="C5471" t="s">
        <v>2462</v>
      </c>
      <c r="D5471" t="s">
        <v>14952</v>
      </c>
    </row>
    <row r="5472" spans="1:4" x14ac:dyDescent="0.25">
      <c r="A5472" s="180">
        <f t="shared" si="85"/>
        <v>5101999</v>
      </c>
      <c r="B5472" t="s">
        <v>2461</v>
      </c>
      <c r="C5472" t="s">
        <v>2462</v>
      </c>
      <c r="D5472" t="s">
        <v>14952</v>
      </c>
    </row>
    <row r="5473" spans="1:4" x14ac:dyDescent="0.25">
      <c r="A5473" s="180">
        <f t="shared" si="85"/>
        <v>5101999</v>
      </c>
      <c r="B5473" t="s">
        <v>2461</v>
      </c>
      <c r="C5473" t="s">
        <v>2462</v>
      </c>
      <c r="D5473" t="s">
        <v>14952</v>
      </c>
    </row>
    <row r="5474" spans="1:4" x14ac:dyDescent="0.25">
      <c r="A5474" s="180">
        <f t="shared" si="85"/>
        <v>5101999</v>
      </c>
      <c r="B5474" t="s">
        <v>2461</v>
      </c>
      <c r="C5474" t="s">
        <v>2462</v>
      </c>
      <c r="D5474" t="s">
        <v>14952</v>
      </c>
    </row>
    <row r="5475" spans="1:4" x14ac:dyDescent="0.25">
      <c r="A5475" s="180">
        <f t="shared" si="85"/>
        <v>5101999</v>
      </c>
      <c r="B5475" t="s">
        <v>2461</v>
      </c>
      <c r="C5475" t="s">
        <v>2462</v>
      </c>
      <c r="D5475" t="s">
        <v>14952</v>
      </c>
    </row>
    <row r="5476" spans="1:4" x14ac:dyDescent="0.25">
      <c r="A5476" s="180">
        <f t="shared" si="85"/>
        <v>5101999</v>
      </c>
      <c r="B5476" t="s">
        <v>2461</v>
      </c>
      <c r="C5476" t="s">
        <v>2462</v>
      </c>
      <c r="D5476" t="s">
        <v>14952</v>
      </c>
    </row>
    <row r="5477" spans="1:4" x14ac:dyDescent="0.25">
      <c r="A5477" s="180">
        <f t="shared" si="85"/>
        <v>5101999</v>
      </c>
      <c r="B5477" t="s">
        <v>2461</v>
      </c>
      <c r="C5477" t="s">
        <v>2462</v>
      </c>
      <c r="D5477" t="s">
        <v>14952</v>
      </c>
    </row>
    <row r="5478" spans="1:4" x14ac:dyDescent="0.25">
      <c r="A5478" s="180">
        <f t="shared" si="85"/>
        <v>5101999</v>
      </c>
      <c r="B5478" t="s">
        <v>2461</v>
      </c>
      <c r="C5478" t="s">
        <v>2462</v>
      </c>
      <c r="D5478" t="s">
        <v>14952</v>
      </c>
    </row>
    <row r="5479" spans="1:4" x14ac:dyDescent="0.25">
      <c r="A5479" s="180">
        <f t="shared" si="85"/>
        <v>5101999</v>
      </c>
      <c r="B5479" t="s">
        <v>2461</v>
      </c>
      <c r="C5479" t="s">
        <v>2462</v>
      </c>
      <c r="D5479" t="s">
        <v>14952</v>
      </c>
    </row>
    <row r="5480" spans="1:4" x14ac:dyDescent="0.25">
      <c r="A5480" s="180">
        <f t="shared" si="85"/>
        <v>5101999</v>
      </c>
      <c r="B5480" t="s">
        <v>2461</v>
      </c>
      <c r="C5480" t="s">
        <v>2462</v>
      </c>
      <c r="D5480" t="s">
        <v>14952</v>
      </c>
    </row>
    <row r="5481" spans="1:4" x14ac:dyDescent="0.25">
      <c r="A5481" s="180">
        <f t="shared" si="85"/>
        <v>5102000</v>
      </c>
      <c r="B5481" t="s">
        <v>6894</v>
      </c>
      <c r="C5481" t="s">
        <v>6895</v>
      </c>
    </row>
    <row r="5482" spans="1:4" x14ac:dyDescent="0.25">
      <c r="A5482" s="180">
        <f t="shared" si="85"/>
        <v>5102001</v>
      </c>
      <c r="B5482" t="s">
        <v>2463</v>
      </c>
      <c r="C5482" t="s">
        <v>2464</v>
      </c>
      <c r="D5482" t="s">
        <v>13412</v>
      </c>
    </row>
    <row r="5483" spans="1:4" x14ac:dyDescent="0.25">
      <c r="A5483" s="180">
        <f t="shared" si="85"/>
        <v>5102001</v>
      </c>
      <c r="B5483" t="s">
        <v>2463</v>
      </c>
      <c r="C5483" t="s">
        <v>2464</v>
      </c>
      <c r="D5483" t="s">
        <v>13412</v>
      </c>
    </row>
    <row r="5484" spans="1:4" x14ac:dyDescent="0.25">
      <c r="A5484" s="180">
        <f t="shared" si="85"/>
        <v>5102001</v>
      </c>
      <c r="B5484" t="s">
        <v>2463</v>
      </c>
      <c r="C5484" t="s">
        <v>2464</v>
      </c>
      <c r="D5484" t="s">
        <v>13412</v>
      </c>
    </row>
    <row r="5485" spans="1:4" x14ac:dyDescent="0.25">
      <c r="A5485" s="180">
        <f t="shared" si="85"/>
        <v>5102001</v>
      </c>
      <c r="B5485" t="s">
        <v>2463</v>
      </c>
      <c r="C5485" t="s">
        <v>2464</v>
      </c>
      <c r="D5485" t="s">
        <v>13412</v>
      </c>
    </row>
    <row r="5486" spans="1:4" x14ac:dyDescent="0.25">
      <c r="A5486" s="180">
        <f t="shared" si="85"/>
        <v>5102001</v>
      </c>
      <c r="B5486" t="s">
        <v>2463</v>
      </c>
      <c r="C5486" t="s">
        <v>2464</v>
      </c>
      <c r="D5486" t="s">
        <v>13412</v>
      </c>
    </row>
    <row r="5487" spans="1:4" x14ac:dyDescent="0.25">
      <c r="A5487" s="180">
        <f t="shared" si="85"/>
        <v>5102001</v>
      </c>
      <c r="B5487" t="s">
        <v>2463</v>
      </c>
      <c r="C5487" t="s">
        <v>2464</v>
      </c>
      <c r="D5487" t="s">
        <v>13412</v>
      </c>
    </row>
    <row r="5488" spans="1:4" x14ac:dyDescent="0.25">
      <c r="A5488" s="180">
        <f t="shared" si="85"/>
        <v>5102001</v>
      </c>
      <c r="B5488" t="s">
        <v>2463</v>
      </c>
      <c r="C5488" t="s">
        <v>2464</v>
      </c>
      <c r="D5488" t="s">
        <v>13412</v>
      </c>
    </row>
    <row r="5489" spans="1:4" x14ac:dyDescent="0.25">
      <c r="A5489" s="180">
        <f t="shared" si="85"/>
        <v>5102247</v>
      </c>
      <c r="B5489" t="s">
        <v>2465</v>
      </c>
      <c r="C5489" t="s">
        <v>2466</v>
      </c>
      <c r="D5489" t="s">
        <v>13412</v>
      </c>
    </row>
    <row r="5490" spans="1:4" x14ac:dyDescent="0.25">
      <c r="A5490" s="180">
        <f t="shared" si="85"/>
        <v>5102247</v>
      </c>
      <c r="B5490" t="s">
        <v>2465</v>
      </c>
      <c r="C5490" t="s">
        <v>2466</v>
      </c>
      <c r="D5490" t="s">
        <v>13412</v>
      </c>
    </row>
    <row r="5491" spans="1:4" x14ac:dyDescent="0.25">
      <c r="A5491" s="180">
        <f t="shared" si="85"/>
        <v>5102248</v>
      </c>
      <c r="B5491" t="s">
        <v>2467</v>
      </c>
      <c r="C5491" t="s">
        <v>2468</v>
      </c>
      <c r="D5491" t="s">
        <v>13412</v>
      </c>
    </row>
    <row r="5492" spans="1:4" x14ac:dyDescent="0.25">
      <c r="A5492" s="180">
        <f t="shared" si="85"/>
        <v>5102248</v>
      </c>
      <c r="B5492" t="s">
        <v>2467</v>
      </c>
      <c r="C5492" t="s">
        <v>2468</v>
      </c>
      <c r="D5492" t="s">
        <v>13412</v>
      </c>
    </row>
    <row r="5493" spans="1:4" x14ac:dyDescent="0.25">
      <c r="A5493" s="180">
        <f t="shared" si="85"/>
        <v>5102249</v>
      </c>
      <c r="B5493" t="s">
        <v>2469</v>
      </c>
      <c r="C5493" t="s">
        <v>2470</v>
      </c>
    </row>
    <row r="5494" spans="1:4" x14ac:dyDescent="0.25">
      <c r="A5494" s="180">
        <f t="shared" si="85"/>
        <v>5103444</v>
      </c>
      <c r="B5494" t="s">
        <v>2471</v>
      </c>
      <c r="C5494" t="s">
        <v>2472</v>
      </c>
    </row>
    <row r="5495" spans="1:4" x14ac:dyDescent="0.25">
      <c r="A5495" s="180">
        <f t="shared" si="85"/>
        <v>5103555</v>
      </c>
      <c r="B5495" t="s">
        <v>2473</v>
      </c>
      <c r="C5495" t="s">
        <v>2474</v>
      </c>
    </row>
    <row r="5496" spans="1:4" x14ac:dyDescent="0.25">
      <c r="A5496" s="180">
        <f t="shared" si="85"/>
        <v>5103777</v>
      </c>
      <c r="B5496" t="s">
        <v>13292</v>
      </c>
      <c r="C5496" t="s">
        <v>13293</v>
      </c>
    </row>
    <row r="5497" spans="1:4" x14ac:dyDescent="0.25">
      <c r="A5497" s="180">
        <f t="shared" si="85"/>
        <v>5320027</v>
      </c>
      <c r="B5497" t="s">
        <v>2475</v>
      </c>
      <c r="C5497" t="s">
        <v>2476</v>
      </c>
      <c r="D5497" t="s">
        <v>14909</v>
      </c>
    </row>
    <row r="5498" spans="1:4" x14ac:dyDescent="0.25">
      <c r="A5498" s="180">
        <f t="shared" si="85"/>
        <v>5320027</v>
      </c>
      <c r="B5498" t="s">
        <v>2475</v>
      </c>
      <c r="C5498" t="s">
        <v>2476</v>
      </c>
      <c r="D5498" t="s">
        <v>14909</v>
      </c>
    </row>
    <row r="5499" spans="1:4" x14ac:dyDescent="0.25">
      <c r="A5499" s="180">
        <f t="shared" si="85"/>
        <v>5320027</v>
      </c>
      <c r="B5499" t="s">
        <v>2475</v>
      </c>
      <c r="C5499" t="s">
        <v>2476</v>
      </c>
      <c r="D5499" t="s">
        <v>14909</v>
      </c>
    </row>
    <row r="5500" spans="1:4" x14ac:dyDescent="0.25">
      <c r="A5500" s="180">
        <f t="shared" si="85"/>
        <v>5320151</v>
      </c>
      <c r="B5500" t="s">
        <v>2477</v>
      </c>
      <c r="C5500" t="s">
        <v>2478</v>
      </c>
      <c r="D5500" t="s">
        <v>14909</v>
      </c>
    </row>
    <row r="5501" spans="1:4" x14ac:dyDescent="0.25">
      <c r="A5501" s="180">
        <f t="shared" si="85"/>
        <v>5320151</v>
      </c>
      <c r="B5501" t="s">
        <v>2477</v>
      </c>
      <c r="C5501" t="s">
        <v>2478</v>
      </c>
      <c r="D5501" t="s">
        <v>14909</v>
      </c>
    </row>
    <row r="5502" spans="1:4" x14ac:dyDescent="0.25">
      <c r="A5502" s="180">
        <f t="shared" si="85"/>
        <v>5320151</v>
      </c>
      <c r="B5502" t="s">
        <v>2477</v>
      </c>
      <c r="C5502" t="s">
        <v>2478</v>
      </c>
      <c r="D5502" t="s">
        <v>14909</v>
      </c>
    </row>
    <row r="5503" spans="1:4" x14ac:dyDescent="0.25">
      <c r="A5503" s="180">
        <f t="shared" ref="A5503:A5566" si="86">IFERROR(B5503*1,"")</f>
        <v>5320151</v>
      </c>
      <c r="B5503" t="s">
        <v>2477</v>
      </c>
      <c r="C5503" t="s">
        <v>2478</v>
      </c>
      <c r="D5503" t="s">
        <v>14909</v>
      </c>
    </row>
    <row r="5504" spans="1:4" x14ac:dyDescent="0.25">
      <c r="A5504" s="180">
        <f t="shared" si="86"/>
        <v>5320151</v>
      </c>
      <c r="B5504" t="s">
        <v>2477</v>
      </c>
      <c r="C5504" t="s">
        <v>2478</v>
      </c>
      <c r="D5504" t="s">
        <v>14909</v>
      </c>
    </row>
    <row r="5505" spans="1:4" x14ac:dyDescent="0.25">
      <c r="A5505" s="180">
        <f t="shared" si="86"/>
        <v>5320152</v>
      </c>
      <c r="B5505" t="s">
        <v>13294</v>
      </c>
      <c r="C5505" t="s">
        <v>13295</v>
      </c>
      <c r="D5505" t="s">
        <v>14909</v>
      </c>
    </row>
    <row r="5506" spans="1:4" x14ac:dyDescent="0.25">
      <c r="A5506" s="180">
        <f t="shared" si="86"/>
        <v>5320152</v>
      </c>
      <c r="B5506" t="s">
        <v>13294</v>
      </c>
      <c r="C5506" t="s">
        <v>13295</v>
      </c>
      <c r="D5506" t="s">
        <v>14909</v>
      </c>
    </row>
    <row r="5507" spans="1:4" x14ac:dyDescent="0.25">
      <c r="A5507" s="180">
        <f t="shared" si="86"/>
        <v>5320152</v>
      </c>
      <c r="B5507" t="s">
        <v>13294</v>
      </c>
      <c r="C5507" t="s">
        <v>13295</v>
      </c>
      <c r="D5507" t="s">
        <v>14909</v>
      </c>
    </row>
    <row r="5508" spans="1:4" x14ac:dyDescent="0.25">
      <c r="A5508" s="180">
        <f t="shared" si="86"/>
        <v>5320787</v>
      </c>
      <c r="B5508" t="s">
        <v>2479</v>
      </c>
      <c r="C5508" t="s">
        <v>2480</v>
      </c>
      <c r="D5508" t="s">
        <v>14909</v>
      </c>
    </row>
    <row r="5509" spans="1:4" x14ac:dyDescent="0.25">
      <c r="A5509" s="180">
        <f t="shared" si="86"/>
        <v>5320787</v>
      </c>
      <c r="B5509" t="s">
        <v>2479</v>
      </c>
      <c r="C5509" t="s">
        <v>2480</v>
      </c>
      <c r="D5509" t="s">
        <v>14909</v>
      </c>
    </row>
    <row r="5510" spans="1:4" x14ac:dyDescent="0.25">
      <c r="A5510" s="180">
        <f t="shared" si="86"/>
        <v>5320787</v>
      </c>
      <c r="B5510" t="s">
        <v>2479</v>
      </c>
      <c r="C5510" t="s">
        <v>2480</v>
      </c>
      <c r="D5510" t="s">
        <v>14909</v>
      </c>
    </row>
    <row r="5511" spans="1:4" x14ac:dyDescent="0.25">
      <c r="A5511" s="180">
        <f t="shared" si="86"/>
        <v>5320787</v>
      </c>
      <c r="B5511" t="s">
        <v>2479</v>
      </c>
      <c r="C5511" t="s">
        <v>2480</v>
      </c>
      <c r="D5511" t="s">
        <v>14909</v>
      </c>
    </row>
    <row r="5512" spans="1:4" x14ac:dyDescent="0.25">
      <c r="A5512" s="180">
        <f t="shared" si="86"/>
        <v>5320787</v>
      </c>
      <c r="B5512" t="s">
        <v>2479</v>
      </c>
      <c r="C5512" t="s">
        <v>2480</v>
      </c>
      <c r="D5512" t="s">
        <v>14909</v>
      </c>
    </row>
    <row r="5513" spans="1:4" x14ac:dyDescent="0.25">
      <c r="A5513" s="180">
        <f t="shared" si="86"/>
        <v>5320787</v>
      </c>
      <c r="B5513" t="s">
        <v>2479</v>
      </c>
      <c r="C5513" t="s">
        <v>2480</v>
      </c>
      <c r="D5513" t="s">
        <v>14909</v>
      </c>
    </row>
    <row r="5514" spans="1:4" x14ac:dyDescent="0.25">
      <c r="A5514" s="180">
        <f t="shared" si="86"/>
        <v>5320787</v>
      </c>
      <c r="B5514" t="s">
        <v>2479</v>
      </c>
      <c r="C5514" t="s">
        <v>2480</v>
      </c>
      <c r="D5514" t="s">
        <v>14909</v>
      </c>
    </row>
    <row r="5515" spans="1:4" x14ac:dyDescent="0.25">
      <c r="A5515" s="180">
        <f t="shared" si="86"/>
        <v>5320787</v>
      </c>
      <c r="B5515" t="s">
        <v>2479</v>
      </c>
      <c r="C5515" t="s">
        <v>2480</v>
      </c>
      <c r="D5515" t="s">
        <v>14909</v>
      </c>
    </row>
    <row r="5516" spans="1:4" x14ac:dyDescent="0.25">
      <c r="A5516" s="180">
        <f t="shared" si="86"/>
        <v>5320787</v>
      </c>
      <c r="B5516" t="s">
        <v>2479</v>
      </c>
      <c r="C5516" t="s">
        <v>2480</v>
      </c>
      <c r="D5516" t="s">
        <v>14909</v>
      </c>
    </row>
    <row r="5517" spans="1:4" x14ac:dyDescent="0.25">
      <c r="A5517" s="180">
        <f t="shared" si="86"/>
        <v>5320787</v>
      </c>
      <c r="B5517" t="s">
        <v>2479</v>
      </c>
      <c r="C5517" t="s">
        <v>2480</v>
      </c>
      <c r="D5517" t="s">
        <v>14909</v>
      </c>
    </row>
    <row r="5518" spans="1:4" x14ac:dyDescent="0.25">
      <c r="A5518" s="180">
        <f t="shared" si="86"/>
        <v>5320787</v>
      </c>
      <c r="B5518" t="s">
        <v>2479</v>
      </c>
      <c r="C5518" t="s">
        <v>2480</v>
      </c>
      <c r="D5518" t="s">
        <v>14909</v>
      </c>
    </row>
    <row r="5519" spans="1:4" x14ac:dyDescent="0.25">
      <c r="A5519" s="180">
        <f t="shared" si="86"/>
        <v>5320788</v>
      </c>
      <c r="B5519" t="s">
        <v>13296</v>
      </c>
      <c r="C5519" t="s">
        <v>13297</v>
      </c>
      <c r="D5519" t="s">
        <v>14909</v>
      </c>
    </row>
    <row r="5520" spans="1:4" x14ac:dyDescent="0.25">
      <c r="A5520" s="180">
        <f t="shared" si="86"/>
        <v>5320788</v>
      </c>
      <c r="B5520" t="s">
        <v>13296</v>
      </c>
      <c r="C5520" t="s">
        <v>13297</v>
      </c>
      <c r="D5520" t="s">
        <v>14909</v>
      </c>
    </row>
    <row r="5521" spans="1:4" x14ac:dyDescent="0.25">
      <c r="A5521" s="180">
        <f t="shared" si="86"/>
        <v>5320788</v>
      </c>
      <c r="B5521" t="s">
        <v>13296</v>
      </c>
      <c r="C5521" t="s">
        <v>13297</v>
      </c>
      <c r="D5521" t="s">
        <v>14909</v>
      </c>
    </row>
    <row r="5522" spans="1:4" x14ac:dyDescent="0.25">
      <c r="A5522" s="180">
        <f t="shared" si="86"/>
        <v>5320788</v>
      </c>
      <c r="B5522" t="s">
        <v>13296</v>
      </c>
      <c r="C5522" t="s">
        <v>13297</v>
      </c>
      <c r="D5522" t="s">
        <v>14909</v>
      </c>
    </row>
    <row r="5523" spans="1:4" x14ac:dyDescent="0.25">
      <c r="A5523" s="180">
        <f t="shared" si="86"/>
        <v>5320788</v>
      </c>
      <c r="B5523" t="s">
        <v>13296</v>
      </c>
      <c r="C5523" t="s">
        <v>13297</v>
      </c>
      <c r="D5523" t="s">
        <v>14909</v>
      </c>
    </row>
    <row r="5524" spans="1:4" x14ac:dyDescent="0.25">
      <c r="A5524" s="180">
        <f t="shared" si="86"/>
        <v>5320788</v>
      </c>
      <c r="B5524" t="s">
        <v>13296</v>
      </c>
      <c r="C5524" t="s">
        <v>13297</v>
      </c>
      <c r="D5524" t="s">
        <v>14909</v>
      </c>
    </row>
    <row r="5525" spans="1:4" x14ac:dyDescent="0.25">
      <c r="A5525" s="180">
        <f t="shared" si="86"/>
        <v>5330000</v>
      </c>
      <c r="B5525" t="s">
        <v>2481</v>
      </c>
      <c r="C5525" t="s">
        <v>2482</v>
      </c>
      <c r="D5525" t="s">
        <v>13411</v>
      </c>
    </row>
    <row r="5526" spans="1:4" x14ac:dyDescent="0.25">
      <c r="A5526" s="180">
        <f t="shared" si="86"/>
        <v>5919025</v>
      </c>
      <c r="B5526" t="s">
        <v>2483</v>
      </c>
      <c r="C5526" t="s">
        <v>2484</v>
      </c>
      <c r="D5526" t="s">
        <v>13412</v>
      </c>
    </row>
    <row r="5527" spans="1:4" x14ac:dyDescent="0.25">
      <c r="A5527" s="180">
        <f t="shared" si="86"/>
        <v>5919026</v>
      </c>
      <c r="B5527" t="s">
        <v>2485</v>
      </c>
      <c r="C5527" t="s">
        <v>2486</v>
      </c>
    </row>
    <row r="5528" spans="1:4" x14ac:dyDescent="0.25">
      <c r="A5528" s="180" t="str">
        <f t="shared" si="86"/>
        <v/>
      </c>
      <c r="B5528" t="s">
        <v>13063</v>
      </c>
    </row>
    <row r="5529" spans="1:4" x14ac:dyDescent="0.25">
      <c r="A5529" s="180">
        <f t="shared" si="86"/>
        <v>5919165</v>
      </c>
      <c r="B5529" t="s">
        <v>2487</v>
      </c>
      <c r="C5529" t="s">
        <v>2488</v>
      </c>
      <c r="D5529" t="s">
        <v>13412</v>
      </c>
    </row>
    <row r="5530" spans="1:4" x14ac:dyDescent="0.25">
      <c r="A5530" s="180">
        <f t="shared" si="86"/>
        <v>5919222</v>
      </c>
      <c r="B5530" t="s">
        <v>2489</v>
      </c>
      <c r="C5530" t="s">
        <v>2490</v>
      </c>
    </row>
    <row r="5531" spans="1:4" x14ac:dyDescent="0.25">
      <c r="A5531" s="180">
        <f t="shared" si="86"/>
        <v>5919223</v>
      </c>
      <c r="B5531" t="s">
        <v>2491</v>
      </c>
      <c r="C5531" t="s">
        <v>2492</v>
      </c>
    </row>
    <row r="5532" spans="1:4" x14ac:dyDescent="0.25">
      <c r="A5532" s="180">
        <f t="shared" si="86"/>
        <v>5919321</v>
      </c>
      <c r="B5532" t="s">
        <v>2493</v>
      </c>
      <c r="C5532" t="s">
        <v>2494</v>
      </c>
    </row>
    <row r="5533" spans="1:4" x14ac:dyDescent="0.25">
      <c r="A5533" s="180">
        <f t="shared" si="86"/>
        <v>5919325</v>
      </c>
      <c r="B5533" t="s">
        <v>2495</v>
      </c>
      <c r="C5533" t="s">
        <v>2496</v>
      </c>
    </row>
    <row r="5534" spans="1:4" x14ac:dyDescent="0.25">
      <c r="A5534" s="180">
        <f t="shared" si="86"/>
        <v>6000003</v>
      </c>
      <c r="B5534" t="s">
        <v>2497</v>
      </c>
      <c r="C5534" t="s">
        <v>2498</v>
      </c>
    </row>
    <row r="5535" spans="1:4" x14ac:dyDescent="0.25">
      <c r="A5535" s="180">
        <f t="shared" si="86"/>
        <v>6000004</v>
      </c>
      <c r="B5535" t="s">
        <v>2499</v>
      </c>
      <c r="C5535" t="s">
        <v>2500</v>
      </c>
    </row>
    <row r="5536" spans="1:4" x14ac:dyDescent="0.25">
      <c r="A5536" s="180">
        <f t="shared" si="86"/>
        <v>6000005</v>
      </c>
      <c r="B5536" t="s">
        <v>2501</v>
      </c>
      <c r="C5536" t="s">
        <v>2502</v>
      </c>
    </row>
    <row r="5537" spans="1:3" x14ac:dyDescent="0.25">
      <c r="A5537" s="180">
        <f t="shared" si="86"/>
        <v>6000006</v>
      </c>
      <c r="B5537" t="s">
        <v>2503</v>
      </c>
      <c r="C5537" t="s">
        <v>6896</v>
      </c>
    </row>
    <row r="5538" spans="1:3" x14ac:dyDescent="0.25">
      <c r="A5538" s="180">
        <f t="shared" si="86"/>
        <v>6000007</v>
      </c>
      <c r="B5538" t="s">
        <v>2504</v>
      </c>
      <c r="C5538" t="s">
        <v>6897</v>
      </c>
    </row>
    <row r="5539" spans="1:3" x14ac:dyDescent="0.25">
      <c r="A5539" s="180">
        <f t="shared" si="86"/>
        <v>6000008</v>
      </c>
      <c r="B5539" t="s">
        <v>2505</v>
      </c>
      <c r="C5539" t="s">
        <v>6898</v>
      </c>
    </row>
    <row r="5540" spans="1:3" x14ac:dyDescent="0.25">
      <c r="A5540" s="180">
        <f t="shared" si="86"/>
        <v>6000009</v>
      </c>
      <c r="B5540" t="s">
        <v>2506</v>
      </c>
      <c r="C5540" t="s">
        <v>6899</v>
      </c>
    </row>
    <row r="5541" spans="1:3" x14ac:dyDescent="0.25">
      <c r="A5541" s="180">
        <f t="shared" si="86"/>
        <v>6000010</v>
      </c>
      <c r="B5541" t="s">
        <v>2507</v>
      </c>
      <c r="C5541" t="s">
        <v>6900</v>
      </c>
    </row>
    <row r="5542" spans="1:3" x14ac:dyDescent="0.25">
      <c r="A5542" s="180">
        <f t="shared" si="86"/>
        <v>6000011</v>
      </c>
      <c r="B5542" t="s">
        <v>2508</v>
      </c>
      <c r="C5542" t="s">
        <v>6901</v>
      </c>
    </row>
    <row r="5543" spans="1:3" x14ac:dyDescent="0.25">
      <c r="A5543" s="180">
        <f t="shared" si="86"/>
        <v>6000013</v>
      </c>
      <c r="B5543" t="s">
        <v>2509</v>
      </c>
      <c r="C5543" t="s">
        <v>6902</v>
      </c>
    </row>
    <row r="5544" spans="1:3" x14ac:dyDescent="0.25">
      <c r="A5544" s="180">
        <f t="shared" si="86"/>
        <v>6000014</v>
      </c>
      <c r="B5544" t="s">
        <v>2510</v>
      </c>
      <c r="C5544" t="s">
        <v>6903</v>
      </c>
    </row>
    <row r="5545" spans="1:3" x14ac:dyDescent="0.25">
      <c r="A5545" s="180">
        <f t="shared" si="86"/>
        <v>6000015</v>
      </c>
      <c r="B5545" t="s">
        <v>2511</v>
      </c>
      <c r="C5545" t="s">
        <v>6904</v>
      </c>
    </row>
    <row r="5546" spans="1:3" x14ac:dyDescent="0.25">
      <c r="A5546" s="180">
        <f t="shared" si="86"/>
        <v>6000016</v>
      </c>
      <c r="B5546" t="s">
        <v>2512</v>
      </c>
      <c r="C5546" t="s">
        <v>6905</v>
      </c>
    </row>
    <row r="5547" spans="1:3" x14ac:dyDescent="0.25">
      <c r="A5547" s="180">
        <f t="shared" si="86"/>
        <v>6000017</v>
      </c>
      <c r="B5547" t="s">
        <v>2513</v>
      </c>
      <c r="C5547" t="s">
        <v>2514</v>
      </c>
    </row>
    <row r="5548" spans="1:3" x14ac:dyDescent="0.25">
      <c r="A5548" s="180">
        <f t="shared" si="86"/>
        <v>6000019</v>
      </c>
      <c r="B5548" t="s">
        <v>6906</v>
      </c>
      <c r="C5548" t="s">
        <v>6907</v>
      </c>
    </row>
    <row r="5549" spans="1:3" x14ac:dyDescent="0.25">
      <c r="A5549" s="180">
        <f t="shared" si="86"/>
        <v>6000020</v>
      </c>
      <c r="B5549" t="s">
        <v>6908</v>
      </c>
      <c r="C5549" t="s">
        <v>6909</v>
      </c>
    </row>
    <row r="5550" spans="1:3" x14ac:dyDescent="0.25">
      <c r="A5550" s="180">
        <f t="shared" si="86"/>
        <v>6000021</v>
      </c>
      <c r="B5550" t="s">
        <v>6910</v>
      </c>
      <c r="C5550" t="s">
        <v>6909</v>
      </c>
    </row>
    <row r="5551" spans="1:3" x14ac:dyDescent="0.25">
      <c r="A5551" s="180">
        <f t="shared" si="86"/>
        <v>6000022</v>
      </c>
      <c r="B5551" t="s">
        <v>6911</v>
      </c>
      <c r="C5551" t="s">
        <v>6912</v>
      </c>
    </row>
    <row r="5552" spans="1:3" x14ac:dyDescent="0.25">
      <c r="A5552" s="180">
        <f t="shared" si="86"/>
        <v>6000023</v>
      </c>
      <c r="B5552" t="s">
        <v>6913</v>
      </c>
      <c r="C5552" t="s">
        <v>6914</v>
      </c>
    </row>
    <row r="5553" spans="1:3" x14ac:dyDescent="0.25">
      <c r="A5553" s="180">
        <f t="shared" si="86"/>
        <v>6000024</v>
      </c>
      <c r="B5553" t="s">
        <v>6915</v>
      </c>
      <c r="C5553" t="s">
        <v>6916</v>
      </c>
    </row>
    <row r="5554" spans="1:3" x14ac:dyDescent="0.25">
      <c r="A5554" s="180">
        <f t="shared" si="86"/>
        <v>6000025</v>
      </c>
      <c r="B5554" t="s">
        <v>6917</v>
      </c>
      <c r="C5554" t="s">
        <v>6918</v>
      </c>
    </row>
    <row r="5555" spans="1:3" x14ac:dyDescent="0.25">
      <c r="A5555" s="180">
        <f t="shared" si="86"/>
        <v>6000026</v>
      </c>
      <c r="B5555" t="s">
        <v>6919</v>
      </c>
      <c r="C5555" t="s">
        <v>6920</v>
      </c>
    </row>
    <row r="5556" spans="1:3" x14ac:dyDescent="0.25">
      <c r="A5556" s="180">
        <f t="shared" si="86"/>
        <v>6000027</v>
      </c>
      <c r="B5556" t="s">
        <v>6921</v>
      </c>
      <c r="C5556" t="s">
        <v>6922</v>
      </c>
    </row>
    <row r="5557" spans="1:3" x14ac:dyDescent="0.25">
      <c r="A5557" s="180">
        <f t="shared" si="86"/>
        <v>6000028</v>
      </c>
      <c r="B5557" t="s">
        <v>6923</v>
      </c>
      <c r="C5557" t="s">
        <v>6920</v>
      </c>
    </row>
    <row r="5558" spans="1:3" x14ac:dyDescent="0.25">
      <c r="A5558" s="180">
        <f t="shared" si="86"/>
        <v>6000029</v>
      </c>
      <c r="B5558" t="s">
        <v>6924</v>
      </c>
      <c r="C5558" t="s">
        <v>6925</v>
      </c>
    </row>
    <row r="5559" spans="1:3" x14ac:dyDescent="0.25">
      <c r="A5559" s="180">
        <f t="shared" si="86"/>
        <v>6000067</v>
      </c>
      <c r="B5559" t="s">
        <v>2515</v>
      </c>
      <c r="C5559" t="s">
        <v>2516</v>
      </c>
    </row>
    <row r="5560" spans="1:3" x14ac:dyDescent="0.25">
      <c r="A5560" s="180">
        <f t="shared" si="86"/>
        <v>6000100</v>
      </c>
      <c r="B5560" t="s">
        <v>2517</v>
      </c>
      <c r="C5560" t="s">
        <v>2518</v>
      </c>
    </row>
    <row r="5561" spans="1:3" x14ac:dyDescent="0.25">
      <c r="A5561" s="180">
        <f t="shared" si="86"/>
        <v>6000129</v>
      </c>
      <c r="B5561" t="s">
        <v>2519</v>
      </c>
      <c r="C5561" t="s">
        <v>2520</v>
      </c>
    </row>
    <row r="5562" spans="1:3" x14ac:dyDescent="0.25">
      <c r="A5562" s="180">
        <f t="shared" si="86"/>
        <v>6000130</v>
      </c>
      <c r="B5562" t="s">
        <v>2521</v>
      </c>
      <c r="C5562" t="s">
        <v>2522</v>
      </c>
    </row>
    <row r="5563" spans="1:3" x14ac:dyDescent="0.25">
      <c r="A5563" s="180">
        <f t="shared" si="86"/>
        <v>6000301</v>
      </c>
      <c r="B5563" t="s">
        <v>2523</v>
      </c>
      <c r="C5563" t="s">
        <v>2524</v>
      </c>
    </row>
    <row r="5564" spans="1:3" x14ac:dyDescent="0.25">
      <c r="A5564" s="180">
        <f t="shared" si="86"/>
        <v>6000551</v>
      </c>
      <c r="B5564" t="s">
        <v>2525</v>
      </c>
      <c r="C5564" t="s">
        <v>2526</v>
      </c>
    </row>
    <row r="5565" spans="1:3" x14ac:dyDescent="0.25">
      <c r="A5565" s="180">
        <f t="shared" si="86"/>
        <v>6000552</v>
      </c>
      <c r="B5565" t="s">
        <v>2527</v>
      </c>
      <c r="C5565" t="s">
        <v>2528</v>
      </c>
    </row>
    <row r="5566" spans="1:3" x14ac:dyDescent="0.25">
      <c r="A5566" s="180">
        <f t="shared" si="86"/>
        <v>6000852</v>
      </c>
      <c r="B5566" t="s">
        <v>2529</v>
      </c>
      <c r="C5566" t="s">
        <v>2530</v>
      </c>
    </row>
    <row r="5567" spans="1:3" x14ac:dyDescent="0.25">
      <c r="A5567" s="180">
        <f t="shared" ref="A5567:A5630" si="87">IFERROR(B5567*1,"")</f>
        <v>6000853</v>
      </c>
      <c r="B5567" t="s">
        <v>2531</v>
      </c>
      <c r="C5567" t="s">
        <v>2532</v>
      </c>
    </row>
    <row r="5568" spans="1:3" x14ac:dyDescent="0.25">
      <c r="A5568" s="180">
        <f t="shared" si="87"/>
        <v>6000855</v>
      </c>
      <c r="B5568" t="s">
        <v>2533</v>
      </c>
      <c r="C5568" t="s">
        <v>6926</v>
      </c>
    </row>
    <row r="5569" spans="1:4" x14ac:dyDescent="0.25">
      <c r="A5569" s="180">
        <f t="shared" si="87"/>
        <v>6000856</v>
      </c>
      <c r="B5569" t="s">
        <v>2534</v>
      </c>
      <c r="C5569" t="s">
        <v>2535</v>
      </c>
    </row>
    <row r="5570" spans="1:4" x14ac:dyDescent="0.25">
      <c r="A5570" s="180">
        <f t="shared" si="87"/>
        <v>6000863</v>
      </c>
      <c r="B5570" t="s">
        <v>2536</v>
      </c>
      <c r="C5570" t="s">
        <v>2537</v>
      </c>
    </row>
    <row r="5571" spans="1:4" x14ac:dyDescent="0.25">
      <c r="A5571" s="180">
        <f t="shared" si="87"/>
        <v>6000864</v>
      </c>
      <c r="B5571" t="s">
        <v>2538</v>
      </c>
      <c r="C5571" t="s">
        <v>2539</v>
      </c>
    </row>
    <row r="5572" spans="1:4" x14ac:dyDescent="0.25">
      <c r="A5572" s="180">
        <f t="shared" si="87"/>
        <v>6000999</v>
      </c>
      <c r="B5572" t="s">
        <v>2540</v>
      </c>
      <c r="C5572" t="s">
        <v>2541</v>
      </c>
    </row>
    <row r="5573" spans="1:4" x14ac:dyDescent="0.25">
      <c r="A5573" s="180">
        <f t="shared" si="87"/>
        <v>6001001</v>
      </c>
      <c r="B5573" t="s">
        <v>2542</v>
      </c>
      <c r="C5573" t="s">
        <v>2543</v>
      </c>
    </row>
    <row r="5574" spans="1:4" x14ac:dyDescent="0.25">
      <c r="A5574" s="180">
        <f t="shared" si="87"/>
        <v>6001004</v>
      </c>
      <c r="B5574" t="s">
        <v>2544</v>
      </c>
      <c r="C5574" t="s">
        <v>2545</v>
      </c>
      <c r="D5574" t="s">
        <v>13412</v>
      </c>
    </row>
    <row r="5575" spans="1:4" x14ac:dyDescent="0.25">
      <c r="A5575" s="180">
        <f t="shared" si="87"/>
        <v>6001005</v>
      </c>
      <c r="B5575" t="s">
        <v>2546</v>
      </c>
      <c r="C5575" t="s">
        <v>2547</v>
      </c>
      <c r="D5575" t="s">
        <v>13412</v>
      </c>
    </row>
    <row r="5576" spans="1:4" x14ac:dyDescent="0.25">
      <c r="A5576" s="180">
        <f t="shared" si="87"/>
        <v>6001006</v>
      </c>
      <c r="B5576" t="s">
        <v>2548</v>
      </c>
      <c r="C5576" t="s">
        <v>6927</v>
      </c>
    </row>
    <row r="5577" spans="1:4" x14ac:dyDescent="0.25">
      <c r="A5577" s="180">
        <f t="shared" si="87"/>
        <v>6001007</v>
      </c>
      <c r="B5577" t="s">
        <v>2549</v>
      </c>
      <c r="C5577" t="s">
        <v>6928</v>
      </c>
    </row>
    <row r="5578" spans="1:4" x14ac:dyDescent="0.25">
      <c r="A5578" s="180">
        <f t="shared" si="87"/>
        <v>6001008</v>
      </c>
      <c r="B5578" t="s">
        <v>6929</v>
      </c>
      <c r="C5578" t="s">
        <v>6930</v>
      </c>
    </row>
    <row r="5579" spans="1:4" x14ac:dyDescent="0.25">
      <c r="A5579" s="180">
        <f t="shared" si="87"/>
        <v>6001265</v>
      </c>
      <c r="B5579" t="s">
        <v>2550</v>
      </c>
      <c r="C5579" t="s">
        <v>2551</v>
      </c>
    </row>
    <row r="5580" spans="1:4" x14ac:dyDescent="0.25">
      <c r="A5580" s="180">
        <f t="shared" si="87"/>
        <v>6001266</v>
      </c>
      <c r="B5580" t="s">
        <v>2552</v>
      </c>
      <c r="C5580" t="s">
        <v>2553</v>
      </c>
    </row>
    <row r="5581" spans="1:4" x14ac:dyDescent="0.25">
      <c r="A5581" s="180">
        <f t="shared" si="87"/>
        <v>6001941</v>
      </c>
      <c r="B5581" t="s">
        <v>2554</v>
      </c>
      <c r="C5581" t="s">
        <v>2555</v>
      </c>
    </row>
    <row r="5582" spans="1:4" x14ac:dyDescent="0.25">
      <c r="A5582" s="180">
        <f t="shared" si="87"/>
        <v>6001942</v>
      </c>
      <c r="B5582" t="s">
        <v>2556</v>
      </c>
      <c r="C5582" t="s">
        <v>2557</v>
      </c>
    </row>
    <row r="5583" spans="1:4" x14ac:dyDescent="0.25">
      <c r="A5583" s="180">
        <f t="shared" si="87"/>
        <v>6001946</v>
      </c>
      <c r="B5583" t="s">
        <v>2558</v>
      </c>
      <c r="C5583" t="s">
        <v>2559</v>
      </c>
    </row>
    <row r="5584" spans="1:4" x14ac:dyDescent="0.25">
      <c r="A5584" s="180">
        <f t="shared" si="87"/>
        <v>6001947</v>
      </c>
      <c r="B5584" t="s">
        <v>2560</v>
      </c>
      <c r="C5584" t="s">
        <v>2561</v>
      </c>
    </row>
    <row r="5585" spans="1:4" x14ac:dyDescent="0.25">
      <c r="A5585" s="180">
        <f t="shared" si="87"/>
        <v>6001948</v>
      </c>
      <c r="B5585" t="s">
        <v>12805</v>
      </c>
      <c r="C5585" t="s">
        <v>12806</v>
      </c>
    </row>
    <row r="5586" spans="1:4" x14ac:dyDescent="0.25">
      <c r="A5586" s="180">
        <f t="shared" si="87"/>
        <v>6401001</v>
      </c>
      <c r="B5586" t="s">
        <v>2562</v>
      </c>
      <c r="C5586" t="s">
        <v>2563</v>
      </c>
      <c r="D5586" t="s">
        <v>13411</v>
      </c>
    </row>
    <row r="5587" spans="1:4" x14ac:dyDescent="0.25">
      <c r="A5587" s="180">
        <f t="shared" si="87"/>
        <v>6401001</v>
      </c>
      <c r="B5587" t="s">
        <v>2562</v>
      </c>
      <c r="C5587" t="s">
        <v>2563</v>
      </c>
      <c r="D5587" t="s">
        <v>13411</v>
      </c>
    </row>
    <row r="5588" spans="1:4" x14ac:dyDescent="0.25">
      <c r="A5588" s="180">
        <f t="shared" si="87"/>
        <v>6401001</v>
      </c>
      <c r="B5588" t="s">
        <v>2562</v>
      </c>
      <c r="C5588" t="s">
        <v>2563</v>
      </c>
      <c r="D5588" t="s">
        <v>13411</v>
      </c>
    </row>
    <row r="5589" spans="1:4" x14ac:dyDescent="0.25">
      <c r="A5589" s="180">
        <f t="shared" si="87"/>
        <v>6401001</v>
      </c>
      <c r="B5589" t="s">
        <v>2562</v>
      </c>
      <c r="C5589" t="s">
        <v>2563</v>
      </c>
      <c r="D5589" t="s">
        <v>13411</v>
      </c>
    </row>
    <row r="5590" spans="1:4" x14ac:dyDescent="0.25">
      <c r="A5590" s="180">
        <f t="shared" si="87"/>
        <v>6401001</v>
      </c>
      <c r="B5590" t="s">
        <v>2562</v>
      </c>
      <c r="C5590" t="s">
        <v>2563</v>
      </c>
      <c r="D5590" t="s">
        <v>13411</v>
      </c>
    </row>
    <row r="5591" spans="1:4" x14ac:dyDescent="0.25">
      <c r="A5591" s="180">
        <f t="shared" si="87"/>
        <v>6401002</v>
      </c>
      <c r="B5591" t="s">
        <v>2564</v>
      </c>
      <c r="C5591" t="s">
        <v>2565</v>
      </c>
      <c r="D5591" t="s">
        <v>13411</v>
      </c>
    </row>
    <row r="5592" spans="1:4" x14ac:dyDescent="0.25">
      <c r="A5592" s="180">
        <f t="shared" si="87"/>
        <v>6401002</v>
      </c>
      <c r="B5592" t="s">
        <v>2564</v>
      </c>
      <c r="C5592" t="s">
        <v>2565</v>
      </c>
      <c r="D5592" t="s">
        <v>13411</v>
      </c>
    </row>
    <row r="5593" spans="1:4" x14ac:dyDescent="0.25">
      <c r="A5593" s="180">
        <f t="shared" si="87"/>
        <v>6401002</v>
      </c>
      <c r="B5593" t="s">
        <v>2564</v>
      </c>
      <c r="C5593" t="s">
        <v>2565</v>
      </c>
      <c r="D5593" t="s">
        <v>13411</v>
      </c>
    </row>
    <row r="5594" spans="1:4" x14ac:dyDescent="0.25">
      <c r="A5594" s="180">
        <f t="shared" si="87"/>
        <v>6401002</v>
      </c>
      <c r="B5594" t="s">
        <v>2564</v>
      </c>
      <c r="C5594" t="s">
        <v>2565</v>
      </c>
      <c r="D5594" t="s">
        <v>13411</v>
      </c>
    </row>
    <row r="5595" spans="1:4" x14ac:dyDescent="0.25">
      <c r="A5595" s="180">
        <f t="shared" si="87"/>
        <v>6401003</v>
      </c>
      <c r="B5595" t="s">
        <v>2566</v>
      </c>
      <c r="C5595" t="s">
        <v>2567</v>
      </c>
      <c r="D5595" t="s">
        <v>13411</v>
      </c>
    </row>
    <row r="5596" spans="1:4" x14ac:dyDescent="0.25">
      <c r="A5596" s="180">
        <f t="shared" si="87"/>
        <v>6401003</v>
      </c>
      <c r="B5596" t="s">
        <v>2566</v>
      </c>
      <c r="C5596" t="s">
        <v>2567</v>
      </c>
      <c r="D5596" t="s">
        <v>13411</v>
      </c>
    </row>
    <row r="5597" spans="1:4" x14ac:dyDescent="0.25">
      <c r="A5597" s="180">
        <f t="shared" si="87"/>
        <v>6401003</v>
      </c>
      <c r="B5597" t="s">
        <v>2566</v>
      </c>
      <c r="C5597" t="s">
        <v>2567</v>
      </c>
      <c r="D5597" t="s">
        <v>13411</v>
      </c>
    </row>
    <row r="5598" spans="1:4" x14ac:dyDescent="0.25">
      <c r="A5598" s="180">
        <f t="shared" si="87"/>
        <v>6401003</v>
      </c>
      <c r="B5598" t="s">
        <v>2566</v>
      </c>
      <c r="C5598" t="s">
        <v>2567</v>
      </c>
      <c r="D5598" t="s">
        <v>13411</v>
      </c>
    </row>
    <row r="5599" spans="1:4" x14ac:dyDescent="0.25">
      <c r="A5599" s="180">
        <f t="shared" si="87"/>
        <v>6401247</v>
      </c>
      <c r="B5599" t="s">
        <v>2568</v>
      </c>
      <c r="C5599" t="s">
        <v>2569</v>
      </c>
      <c r="D5599" t="s">
        <v>13411</v>
      </c>
    </row>
    <row r="5600" spans="1:4" x14ac:dyDescent="0.25">
      <c r="A5600" s="180">
        <f t="shared" si="87"/>
        <v>6401247</v>
      </c>
      <c r="B5600" t="s">
        <v>2568</v>
      </c>
      <c r="C5600" t="s">
        <v>2569</v>
      </c>
      <c r="D5600" t="s">
        <v>13411</v>
      </c>
    </row>
    <row r="5601" spans="1:4" x14ac:dyDescent="0.25">
      <c r="A5601" s="180">
        <f t="shared" si="87"/>
        <v>6401247</v>
      </c>
      <c r="B5601" t="s">
        <v>2568</v>
      </c>
      <c r="C5601" t="s">
        <v>2569</v>
      </c>
      <c r="D5601" t="s">
        <v>13411</v>
      </c>
    </row>
    <row r="5602" spans="1:4" x14ac:dyDescent="0.25">
      <c r="A5602" s="180">
        <f t="shared" si="87"/>
        <v>6401247</v>
      </c>
      <c r="B5602" t="s">
        <v>2568</v>
      </c>
      <c r="C5602" t="s">
        <v>2569</v>
      </c>
      <c r="D5602" t="s">
        <v>13411</v>
      </c>
    </row>
    <row r="5603" spans="1:4" x14ac:dyDescent="0.25">
      <c r="A5603" s="180">
        <f t="shared" si="87"/>
        <v>6401247</v>
      </c>
      <c r="B5603" t="s">
        <v>2568</v>
      </c>
      <c r="C5603" t="s">
        <v>2569</v>
      </c>
      <c r="D5603" t="s">
        <v>13411</v>
      </c>
    </row>
    <row r="5604" spans="1:4" x14ac:dyDescent="0.25">
      <c r="A5604" s="180">
        <f t="shared" si="87"/>
        <v>6401247</v>
      </c>
      <c r="B5604" t="s">
        <v>2568</v>
      </c>
      <c r="C5604" t="s">
        <v>2569</v>
      </c>
      <c r="D5604" t="s">
        <v>13411</v>
      </c>
    </row>
    <row r="5605" spans="1:4" x14ac:dyDescent="0.25">
      <c r="A5605" s="180">
        <f t="shared" si="87"/>
        <v>6401800</v>
      </c>
      <c r="B5605" t="s">
        <v>14100</v>
      </c>
      <c r="C5605" t="s">
        <v>14101</v>
      </c>
      <c r="D5605" t="s">
        <v>13411</v>
      </c>
    </row>
    <row r="5606" spans="1:4" x14ac:dyDescent="0.25">
      <c r="A5606" s="180">
        <f t="shared" si="87"/>
        <v>6401801</v>
      </c>
      <c r="B5606" t="s">
        <v>14102</v>
      </c>
      <c r="C5606" t="s">
        <v>14103</v>
      </c>
      <c r="D5606" t="s">
        <v>13411</v>
      </c>
    </row>
    <row r="5607" spans="1:4" x14ac:dyDescent="0.25">
      <c r="A5607" s="180">
        <f t="shared" si="87"/>
        <v>6401802</v>
      </c>
      <c r="B5607" t="s">
        <v>14104</v>
      </c>
      <c r="C5607" t="s">
        <v>14105</v>
      </c>
      <c r="D5607" t="s">
        <v>13411</v>
      </c>
    </row>
    <row r="5608" spans="1:4" x14ac:dyDescent="0.25">
      <c r="A5608" s="180">
        <f t="shared" si="87"/>
        <v>6401900</v>
      </c>
      <c r="B5608" t="s">
        <v>2570</v>
      </c>
      <c r="C5608" t="s">
        <v>2571</v>
      </c>
    </row>
    <row r="5609" spans="1:4" x14ac:dyDescent="0.25">
      <c r="A5609" s="180">
        <f t="shared" si="87"/>
        <v>6401901</v>
      </c>
      <c r="B5609" t="s">
        <v>2572</v>
      </c>
      <c r="C5609" t="s">
        <v>2573</v>
      </c>
    </row>
    <row r="5610" spans="1:4" x14ac:dyDescent="0.25">
      <c r="A5610" s="180">
        <f t="shared" si="87"/>
        <v>6401902</v>
      </c>
      <c r="B5610" t="s">
        <v>2574</v>
      </c>
      <c r="C5610" t="s">
        <v>2575</v>
      </c>
    </row>
    <row r="5611" spans="1:4" x14ac:dyDescent="0.25">
      <c r="A5611" s="180">
        <f t="shared" si="87"/>
        <v>6402000</v>
      </c>
      <c r="B5611" t="s">
        <v>2576</v>
      </c>
      <c r="C5611" t="s">
        <v>2577</v>
      </c>
    </row>
    <row r="5612" spans="1:4" x14ac:dyDescent="0.25">
      <c r="A5612" s="180" t="str">
        <f t="shared" si="87"/>
        <v/>
      </c>
      <c r="B5612" t="s">
        <v>13064</v>
      </c>
    </row>
    <row r="5613" spans="1:4" x14ac:dyDescent="0.25">
      <c r="A5613" s="180">
        <f t="shared" si="87"/>
        <v>7203001</v>
      </c>
      <c r="B5613" t="s">
        <v>2578</v>
      </c>
      <c r="C5613" t="s">
        <v>2579</v>
      </c>
    </row>
    <row r="5614" spans="1:4" x14ac:dyDescent="0.25">
      <c r="A5614" s="180">
        <f t="shared" si="87"/>
        <v>7203002</v>
      </c>
      <c r="B5614" t="s">
        <v>2580</v>
      </c>
      <c r="C5614" t="s">
        <v>2581</v>
      </c>
      <c r="D5614" t="s">
        <v>14909</v>
      </c>
    </row>
    <row r="5615" spans="1:4" x14ac:dyDescent="0.25">
      <c r="A5615" s="180">
        <f t="shared" si="87"/>
        <v>7203002</v>
      </c>
      <c r="B5615" t="s">
        <v>2580</v>
      </c>
      <c r="C5615" t="s">
        <v>2581</v>
      </c>
      <c r="D5615" t="s">
        <v>14909</v>
      </c>
    </row>
    <row r="5616" spans="1:4" x14ac:dyDescent="0.25">
      <c r="A5616" s="180">
        <f t="shared" si="87"/>
        <v>7700022</v>
      </c>
      <c r="B5616" t="s">
        <v>2582</v>
      </c>
      <c r="C5616" t="s">
        <v>2583</v>
      </c>
    </row>
    <row r="5617" spans="1:4" x14ac:dyDescent="0.25">
      <c r="A5617" s="180">
        <f t="shared" si="87"/>
        <v>7700090</v>
      </c>
      <c r="B5617" t="s">
        <v>2584</v>
      </c>
      <c r="C5617" t="s">
        <v>2585</v>
      </c>
    </row>
    <row r="5618" spans="1:4" x14ac:dyDescent="0.25">
      <c r="A5618" s="180">
        <f t="shared" si="87"/>
        <v>7700091</v>
      </c>
      <c r="B5618" t="s">
        <v>2586</v>
      </c>
      <c r="C5618" t="s">
        <v>2587</v>
      </c>
    </row>
    <row r="5619" spans="1:4" x14ac:dyDescent="0.25">
      <c r="A5619" s="180">
        <f t="shared" si="87"/>
        <v>7700092</v>
      </c>
      <c r="B5619" t="s">
        <v>2588</v>
      </c>
      <c r="C5619" t="s">
        <v>2589</v>
      </c>
    </row>
    <row r="5620" spans="1:4" x14ac:dyDescent="0.25">
      <c r="A5620" s="180">
        <f t="shared" si="87"/>
        <v>7700093</v>
      </c>
      <c r="B5620" t="s">
        <v>2590</v>
      </c>
      <c r="C5620" t="s">
        <v>2591</v>
      </c>
    </row>
    <row r="5621" spans="1:4" x14ac:dyDescent="0.25">
      <c r="A5621" s="180">
        <f t="shared" si="87"/>
        <v>7700094</v>
      </c>
      <c r="B5621" t="s">
        <v>2592</v>
      </c>
      <c r="C5621" t="s">
        <v>2593</v>
      </c>
      <c r="D5621" t="s">
        <v>13411</v>
      </c>
    </row>
    <row r="5622" spans="1:4" x14ac:dyDescent="0.25">
      <c r="A5622" s="180">
        <f t="shared" si="87"/>
        <v>7700095</v>
      </c>
      <c r="B5622" t="s">
        <v>2594</v>
      </c>
      <c r="C5622" t="s">
        <v>2595</v>
      </c>
    </row>
    <row r="5623" spans="1:4" x14ac:dyDescent="0.25">
      <c r="A5623" s="180">
        <f t="shared" si="87"/>
        <v>7700096</v>
      </c>
      <c r="B5623" t="s">
        <v>2596</v>
      </c>
      <c r="C5623" t="s">
        <v>2597</v>
      </c>
      <c r="D5623" t="s">
        <v>13411</v>
      </c>
    </row>
    <row r="5624" spans="1:4" x14ac:dyDescent="0.25">
      <c r="A5624" s="180">
        <f t="shared" si="87"/>
        <v>7700100</v>
      </c>
      <c r="B5624" t="s">
        <v>2598</v>
      </c>
      <c r="C5624" t="s">
        <v>2599</v>
      </c>
      <c r="D5624" t="s">
        <v>13411</v>
      </c>
    </row>
    <row r="5625" spans="1:4" x14ac:dyDescent="0.25">
      <c r="A5625" s="180">
        <f t="shared" si="87"/>
        <v>7700101</v>
      </c>
      <c r="B5625" t="s">
        <v>2600</v>
      </c>
      <c r="C5625" t="s">
        <v>2601</v>
      </c>
      <c r="D5625" t="s">
        <v>13411</v>
      </c>
    </row>
    <row r="5626" spans="1:4" x14ac:dyDescent="0.25">
      <c r="A5626" s="180">
        <f t="shared" si="87"/>
        <v>7700103</v>
      </c>
      <c r="B5626" t="s">
        <v>2602</v>
      </c>
      <c r="C5626" t="s">
        <v>2603</v>
      </c>
      <c r="D5626" t="s">
        <v>13411</v>
      </c>
    </row>
    <row r="5627" spans="1:4" x14ac:dyDescent="0.25">
      <c r="A5627" s="180">
        <f t="shared" si="87"/>
        <v>7700104</v>
      </c>
      <c r="B5627" t="s">
        <v>2604</v>
      </c>
      <c r="C5627" t="s">
        <v>2605</v>
      </c>
      <c r="D5627" t="s">
        <v>13411</v>
      </c>
    </row>
    <row r="5628" spans="1:4" x14ac:dyDescent="0.25">
      <c r="A5628" s="180">
        <f t="shared" si="87"/>
        <v>7700105</v>
      </c>
      <c r="B5628" t="s">
        <v>2606</v>
      </c>
      <c r="C5628" t="s">
        <v>2607</v>
      </c>
      <c r="D5628" t="s">
        <v>13411</v>
      </c>
    </row>
    <row r="5629" spans="1:4" x14ac:dyDescent="0.25">
      <c r="A5629" s="180">
        <f t="shared" si="87"/>
        <v>7700106</v>
      </c>
      <c r="B5629" t="s">
        <v>2608</v>
      </c>
      <c r="C5629" t="s">
        <v>2609</v>
      </c>
      <c r="D5629" t="s">
        <v>13411</v>
      </c>
    </row>
    <row r="5630" spans="1:4" x14ac:dyDescent="0.25">
      <c r="A5630" s="180">
        <f t="shared" si="87"/>
        <v>7700107</v>
      </c>
      <c r="B5630" t="s">
        <v>2610</v>
      </c>
      <c r="C5630" t="s">
        <v>2611</v>
      </c>
      <c r="D5630" t="s">
        <v>13411</v>
      </c>
    </row>
    <row r="5631" spans="1:4" x14ac:dyDescent="0.25">
      <c r="A5631" s="180">
        <f t="shared" ref="A5631:A5694" si="88">IFERROR(B5631*1,"")</f>
        <v>7700200</v>
      </c>
      <c r="B5631" t="s">
        <v>2612</v>
      </c>
      <c r="C5631" t="s">
        <v>2613</v>
      </c>
      <c r="D5631" t="s">
        <v>13411</v>
      </c>
    </row>
    <row r="5632" spans="1:4" x14ac:dyDescent="0.25">
      <c r="A5632" s="180">
        <f t="shared" si="88"/>
        <v>7700202</v>
      </c>
      <c r="B5632" t="s">
        <v>2614</v>
      </c>
      <c r="C5632" t="s">
        <v>2615</v>
      </c>
      <c r="D5632" t="s">
        <v>13411</v>
      </c>
    </row>
    <row r="5633" spans="1:4" x14ac:dyDescent="0.25">
      <c r="A5633" s="180">
        <f t="shared" si="88"/>
        <v>7700203</v>
      </c>
      <c r="B5633" t="s">
        <v>2616</v>
      </c>
      <c r="C5633" t="s">
        <v>2617</v>
      </c>
      <c r="D5633" t="s">
        <v>13411</v>
      </c>
    </row>
    <row r="5634" spans="1:4" x14ac:dyDescent="0.25">
      <c r="A5634" s="180">
        <f t="shared" si="88"/>
        <v>7700204</v>
      </c>
      <c r="B5634" t="s">
        <v>2618</v>
      </c>
      <c r="C5634" t="s">
        <v>2619</v>
      </c>
      <c r="D5634" t="s">
        <v>13411</v>
      </c>
    </row>
    <row r="5635" spans="1:4" x14ac:dyDescent="0.25">
      <c r="A5635" s="180">
        <f t="shared" si="88"/>
        <v>7700205</v>
      </c>
      <c r="B5635" t="s">
        <v>2620</v>
      </c>
      <c r="C5635" t="s">
        <v>2621</v>
      </c>
      <c r="D5635" t="s">
        <v>13411</v>
      </c>
    </row>
    <row r="5636" spans="1:4" x14ac:dyDescent="0.25">
      <c r="A5636" s="180">
        <f t="shared" si="88"/>
        <v>7700206</v>
      </c>
      <c r="B5636" t="s">
        <v>2622</v>
      </c>
      <c r="C5636" t="s">
        <v>2623</v>
      </c>
      <c r="D5636" t="s">
        <v>13411</v>
      </c>
    </row>
    <row r="5637" spans="1:4" x14ac:dyDescent="0.25">
      <c r="A5637" s="180">
        <f t="shared" si="88"/>
        <v>7700207</v>
      </c>
      <c r="B5637" t="s">
        <v>2624</v>
      </c>
      <c r="C5637" t="s">
        <v>2625</v>
      </c>
      <c r="D5637" t="s">
        <v>13411</v>
      </c>
    </row>
    <row r="5638" spans="1:4" x14ac:dyDescent="0.25">
      <c r="A5638" s="180">
        <f t="shared" si="88"/>
        <v>7700220</v>
      </c>
      <c r="B5638" t="s">
        <v>2626</v>
      </c>
      <c r="C5638" t="s">
        <v>2627</v>
      </c>
    </row>
    <row r="5639" spans="1:4" x14ac:dyDescent="0.25">
      <c r="A5639" s="180">
        <f t="shared" si="88"/>
        <v>7700302</v>
      </c>
      <c r="B5639" t="s">
        <v>2628</v>
      </c>
      <c r="C5639" t="s">
        <v>2629</v>
      </c>
    </row>
    <row r="5640" spans="1:4" x14ac:dyDescent="0.25">
      <c r="A5640" s="180" t="str">
        <f t="shared" si="88"/>
        <v/>
      </c>
      <c r="B5640" t="s">
        <v>13065</v>
      </c>
    </row>
    <row r="5641" spans="1:4" x14ac:dyDescent="0.25">
      <c r="A5641" s="180">
        <f t="shared" si="88"/>
        <v>7700303</v>
      </c>
      <c r="B5641" t="s">
        <v>2630</v>
      </c>
      <c r="C5641" t="s">
        <v>2631</v>
      </c>
    </row>
    <row r="5642" spans="1:4" x14ac:dyDescent="0.25">
      <c r="A5642" s="180">
        <f t="shared" si="88"/>
        <v>7700450</v>
      </c>
      <c r="B5642" t="s">
        <v>2632</v>
      </c>
      <c r="C5642" t="s">
        <v>2633</v>
      </c>
      <c r="D5642" t="s">
        <v>13411</v>
      </c>
    </row>
    <row r="5643" spans="1:4" x14ac:dyDescent="0.25">
      <c r="A5643" s="180">
        <f t="shared" si="88"/>
        <v>7700451</v>
      </c>
      <c r="B5643" t="s">
        <v>2634</v>
      </c>
      <c r="C5643" t="s">
        <v>2635</v>
      </c>
      <c r="D5643" t="s">
        <v>13411</v>
      </c>
    </row>
    <row r="5644" spans="1:4" x14ac:dyDescent="0.25">
      <c r="A5644" s="180">
        <f t="shared" si="88"/>
        <v>7700452</v>
      </c>
      <c r="B5644" t="s">
        <v>2636</v>
      </c>
      <c r="C5644" t="s">
        <v>2637</v>
      </c>
      <c r="D5644" t="s">
        <v>13411</v>
      </c>
    </row>
    <row r="5645" spans="1:4" x14ac:dyDescent="0.25">
      <c r="A5645" s="180">
        <f t="shared" si="88"/>
        <v>7700453</v>
      </c>
      <c r="B5645" t="s">
        <v>2638</v>
      </c>
      <c r="C5645" t="s">
        <v>2639</v>
      </c>
      <c r="D5645" t="s">
        <v>13411</v>
      </c>
    </row>
    <row r="5646" spans="1:4" x14ac:dyDescent="0.25">
      <c r="A5646" s="180">
        <f t="shared" si="88"/>
        <v>7700454</v>
      </c>
      <c r="B5646" t="s">
        <v>2640</v>
      </c>
      <c r="C5646" t="s">
        <v>2641</v>
      </c>
      <c r="D5646" t="s">
        <v>13411</v>
      </c>
    </row>
    <row r="5647" spans="1:4" x14ac:dyDescent="0.25">
      <c r="A5647" s="180">
        <f t="shared" si="88"/>
        <v>7700455</v>
      </c>
      <c r="B5647" t="s">
        <v>2642</v>
      </c>
      <c r="C5647" t="s">
        <v>2643</v>
      </c>
      <c r="D5647" t="s">
        <v>13411</v>
      </c>
    </row>
    <row r="5648" spans="1:4" x14ac:dyDescent="0.25">
      <c r="A5648" s="180">
        <f t="shared" si="88"/>
        <v>7700456</v>
      </c>
      <c r="B5648" t="s">
        <v>2644</v>
      </c>
      <c r="C5648" t="s">
        <v>2645</v>
      </c>
      <c r="D5648" t="s">
        <v>13411</v>
      </c>
    </row>
    <row r="5649" spans="1:4" x14ac:dyDescent="0.25">
      <c r="A5649" s="180">
        <f t="shared" si="88"/>
        <v>7700459</v>
      </c>
      <c r="B5649" t="s">
        <v>2646</v>
      </c>
      <c r="C5649" t="s">
        <v>6931</v>
      </c>
      <c r="D5649" t="s">
        <v>13411</v>
      </c>
    </row>
    <row r="5650" spans="1:4" x14ac:dyDescent="0.25">
      <c r="A5650" s="180">
        <f t="shared" si="88"/>
        <v>7700460</v>
      </c>
      <c r="B5650" t="s">
        <v>2647</v>
      </c>
      <c r="C5650" t="s">
        <v>6932</v>
      </c>
      <c r="D5650" t="s">
        <v>13411</v>
      </c>
    </row>
    <row r="5651" spans="1:4" x14ac:dyDescent="0.25">
      <c r="A5651" s="180">
        <f t="shared" si="88"/>
        <v>7700461</v>
      </c>
      <c r="B5651" t="s">
        <v>2648</v>
      </c>
      <c r="C5651" t="s">
        <v>2649</v>
      </c>
      <c r="D5651" t="s">
        <v>13411</v>
      </c>
    </row>
    <row r="5652" spans="1:4" x14ac:dyDescent="0.25">
      <c r="A5652" s="180">
        <f t="shared" si="88"/>
        <v>7700462</v>
      </c>
      <c r="B5652" t="s">
        <v>2650</v>
      </c>
      <c r="C5652" t="s">
        <v>2651</v>
      </c>
      <c r="D5652" t="s">
        <v>13411</v>
      </c>
    </row>
    <row r="5653" spans="1:4" x14ac:dyDescent="0.25">
      <c r="A5653" s="180">
        <f t="shared" si="88"/>
        <v>7700463</v>
      </c>
      <c r="B5653" t="s">
        <v>2652</v>
      </c>
      <c r="C5653" t="s">
        <v>2653</v>
      </c>
      <c r="D5653" t="s">
        <v>13411</v>
      </c>
    </row>
    <row r="5654" spans="1:4" x14ac:dyDescent="0.25">
      <c r="A5654" s="180">
        <f t="shared" si="88"/>
        <v>7700464</v>
      </c>
      <c r="B5654" t="s">
        <v>2654</v>
      </c>
      <c r="C5654" t="s">
        <v>2655</v>
      </c>
      <c r="D5654" t="s">
        <v>13411</v>
      </c>
    </row>
    <row r="5655" spans="1:4" x14ac:dyDescent="0.25">
      <c r="A5655" s="180">
        <f t="shared" si="88"/>
        <v>7700465</v>
      </c>
      <c r="B5655" t="s">
        <v>2656</v>
      </c>
      <c r="C5655" t="s">
        <v>2657</v>
      </c>
      <c r="D5655" t="s">
        <v>13411</v>
      </c>
    </row>
    <row r="5656" spans="1:4" x14ac:dyDescent="0.25">
      <c r="A5656" s="180">
        <f t="shared" si="88"/>
        <v>7700500</v>
      </c>
      <c r="B5656" t="s">
        <v>2658</v>
      </c>
      <c r="C5656" t="s">
        <v>2659</v>
      </c>
    </row>
    <row r="5657" spans="1:4" x14ac:dyDescent="0.25">
      <c r="A5657" s="180">
        <f t="shared" si="88"/>
        <v>7700501</v>
      </c>
      <c r="B5657" t="s">
        <v>2660</v>
      </c>
      <c r="C5657" t="s">
        <v>2661</v>
      </c>
      <c r="D5657" t="s">
        <v>13411</v>
      </c>
    </row>
    <row r="5658" spans="1:4" x14ac:dyDescent="0.25">
      <c r="A5658" s="180">
        <f t="shared" si="88"/>
        <v>7700502</v>
      </c>
      <c r="B5658" t="s">
        <v>2662</v>
      </c>
      <c r="C5658" t="s">
        <v>2663</v>
      </c>
      <c r="D5658" t="s">
        <v>13411</v>
      </c>
    </row>
    <row r="5659" spans="1:4" x14ac:dyDescent="0.25">
      <c r="A5659" s="180">
        <f t="shared" si="88"/>
        <v>7700503</v>
      </c>
      <c r="B5659" t="s">
        <v>2664</v>
      </c>
      <c r="C5659" t="s">
        <v>2665</v>
      </c>
      <c r="D5659" t="s">
        <v>13411</v>
      </c>
    </row>
    <row r="5660" spans="1:4" x14ac:dyDescent="0.25">
      <c r="A5660" s="180">
        <f t="shared" si="88"/>
        <v>7700504</v>
      </c>
      <c r="B5660" t="s">
        <v>2666</v>
      </c>
      <c r="C5660" t="s">
        <v>2667</v>
      </c>
      <c r="D5660" t="s">
        <v>13411</v>
      </c>
    </row>
    <row r="5661" spans="1:4" x14ac:dyDescent="0.25">
      <c r="A5661" s="180">
        <f t="shared" si="88"/>
        <v>7700505</v>
      </c>
      <c r="B5661" t="s">
        <v>2668</v>
      </c>
      <c r="C5661" t="s">
        <v>2669</v>
      </c>
      <c r="D5661" t="s">
        <v>13411</v>
      </c>
    </row>
    <row r="5662" spans="1:4" x14ac:dyDescent="0.25">
      <c r="A5662" s="180">
        <f t="shared" si="88"/>
        <v>7700506</v>
      </c>
      <c r="B5662" t="s">
        <v>2670</v>
      </c>
      <c r="C5662" t="s">
        <v>2671</v>
      </c>
      <c r="D5662" t="s">
        <v>13411</v>
      </c>
    </row>
    <row r="5663" spans="1:4" x14ac:dyDescent="0.25">
      <c r="A5663" s="180">
        <f t="shared" si="88"/>
        <v>7700507</v>
      </c>
      <c r="B5663" t="s">
        <v>2672</v>
      </c>
      <c r="C5663" t="s">
        <v>2673</v>
      </c>
      <c r="D5663" t="s">
        <v>13411</v>
      </c>
    </row>
    <row r="5664" spans="1:4" x14ac:dyDescent="0.25">
      <c r="A5664" s="180">
        <f t="shared" si="88"/>
        <v>7700508</v>
      </c>
      <c r="B5664" t="s">
        <v>2674</v>
      </c>
      <c r="C5664" t="s">
        <v>2675</v>
      </c>
      <c r="D5664" t="s">
        <v>13411</v>
      </c>
    </row>
    <row r="5665" spans="1:4" x14ac:dyDescent="0.25">
      <c r="A5665" s="180">
        <f t="shared" si="88"/>
        <v>7700509</v>
      </c>
      <c r="B5665" t="s">
        <v>2676</v>
      </c>
      <c r="C5665" t="s">
        <v>2677</v>
      </c>
    </row>
    <row r="5666" spans="1:4" x14ac:dyDescent="0.25">
      <c r="A5666" s="180">
        <f t="shared" si="88"/>
        <v>7700510</v>
      </c>
      <c r="B5666" t="s">
        <v>6933</v>
      </c>
      <c r="C5666" t="s">
        <v>6934</v>
      </c>
    </row>
    <row r="5667" spans="1:4" x14ac:dyDescent="0.25">
      <c r="A5667" s="180">
        <f t="shared" si="88"/>
        <v>7700511</v>
      </c>
      <c r="B5667" t="s">
        <v>6935</v>
      </c>
      <c r="C5667" t="s">
        <v>6936</v>
      </c>
    </row>
    <row r="5668" spans="1:4" x14ac:dyDescent="0.25">
      <c r="A5668" s="180">
        <f t="shared" si="88"/>
        <v>7700512</v>
      </c>
      <c r="B5668" t="s">
        <v>6937</v>
      </c>
      <c r="C5668" t="s">
        <v>6938</v>
      </c>
    </row>
    <row r="5669" spans="1:4" x14ac:dyDescent="0.25">
      <c r="A5669" s="180">
        <f t="shared" si="88"/>
        <v>7700515</v>
      </c>
      <c r="B5669" t="s">
        <v>6939</v>
      </c>
      <c r="C5669" t="s">
        <v>6940</v>
      </c>
    </row>
    <row r="5670" spans="1:4" x14ac:dyDescent="0.25">
      <c r="A5670" s="180">
        <f t="shared" si="88"/>
        <v>7700601</v>
      </c>
      <c r="B5670" t="s">
        <v>2678</v>
      </c>
      <c r="C5670" t="s">
        <v>2679</v>
      </c>
    </row>
    <row r="5671" spans="1:4" x14ac:dyDescent="0.25">
      <c r="A5671" s="180">
        <f t="shared" si="88"/>
        <v>7700602</v>
      </c>
      <c r="B5671" t="s">
        <v>2680</v>
      </c>
      <c r="C5671" t="s">
        <v>2681</v>
      </c>
    </row>
    <row r="5672" spans="1:4" x14ac:dyDescent="0.25">
      <c r="A5672" s="180">
        <f t="shared" si="88"/>
        <v>7700603</v>
      </c>
      <c r="B5672" t="s">
        <v>2682</v>
      </c>
      <c r="C5672" t="s">
        <v>2683</v>
      </c>
    </row>
    <row r="5673" spans="1:4" x14ac:dyDescent="0.25">
      <c r="A5673" s="180">
        <f t="shared" si="88"/>
        <v>7700604</v>
      </c>
      <c r="B5673" t="s">
        <v>2684</v>
      </c>
      <c r="C5673" t="s">
        <v>2685</v>
      </c>
    </row>
    <row r="5674" spans="1:4" x14ac:dyDescent="0.25">
      <c r="A5674" s="180">
        <f t="shared" si="88"/>
        <v>7700605</v>
      </c>
      <c r="B5674" t="s">
        <v>2686</v>
      </c>
      <c r="C5674" t="s">
        <v>2687</v>
      </c>
    </row>
    <row r="5675" spans="1:4" x14ac:dyDescent="0.25">
      <c r="A5675" s="180">
        <f t="shared" si="88"/>
        <v>7700606</v>
      </c>
      <c r="B5675" t="s">
        <v>2688</v>
      </c>
      <c r="C5675" t="s">
        <v>2689</v>
      </c>
    </row>
    <row r="5676" spans="1:4" x14ac:dyDescent="0.25">
      <c r="A5676" s="180">
        <f t="shared" si="88"/>
        <v>7700607</v>
      </c>
      <c r="B5676" t="s">
        <v>2690</v>
      </c>
      <c r="C5676" t="s">
        <v>2691</v>
      </c>
      <c r="D5676" t="s">
        <v>13411</v>
      </c>
    </row>
    <row r="5677" spans="1:4" x14ac:dyDescent="0.25">
      <c r="A5677" s="180">
        <f t="shared" si="88"/>
        <v>7700650</v>
      </c>
      <c r="B5677" t="s">
        <v>2692</v>
      </c>
      <c r="C5677" t="s">
        <v>2693</v>
      </c>
    </row>
    <row r="5678" spans="1:4" x14ac:dyDescent="0.25">
      <c r="A5678" s="180">
        <f t="shared" si="88"/>
        <v>7700651</v>
      </c>
      <c r="B5678" t="s">
        <v>2694</v>
      </c>
      <c r="C5678" t="s">
        <v>2695</v>
      </c>
    </row>
    <row r="5679" spans="1:4" x14ac:dyDescent="0.25">
      <c r="A5679" s="180">
        <f t="shared" si="88"/>
        <v>7700652</v>
      </c>
      <c r="B5679" t="s">
        <v>2696</v>
      </c>
      <c r="C5679" t="s">
        <v>2697</v>
      </c>
    </row>
    <row r="5680" spans="1:4" x14ac:dyDescent="0.25">
      <c r="A5680" s="180">
        <f t="shared" si="88"/>
        <v>7700653</v>
      </c>
      <c r="B5680" t="s">
        <v>2698</v>
      </c>
      <c r="C5680" t="s">
        <v>2699</v>
      </c>
      <c r="D5680" t="s">
        <v>13411</v>
      </c>
    </row>
    <row r="5681" spans="1:4" x14ac:dyDescent="0.25">
      <c r="A5681" s="180">
        <f t="shared" si="88"/>
        <v>7700654</v>
      </c>
      <c r="B5681" t="s">
        <v>2700</v>
      </c>
      <c r="C5681" t="s">
        <v>2701</v>
      </c>
    </row>
    <row r="5682" spans="1:4" x14ac:dyDescent="0.25">
      <c r="A5682" s="180">
        <f t="shared" si="88"/>
        <v>7700655</v>
      </c>
      <c r="B5682" t="s">
        <v>2702</v>
      </c>
      <c r="C5682" t="s">
        <v>2703</v>
      </c>
      <c r="D5682" t="s">
        <v>13411</v>
      </c>
    </row>
    <row r="5683" spans="1:4" x14ac:dyDescent="0.25">
      <c r="A5683" s="180">
        <f t="shared" si="88"/>
        <v>7700656</v>
      </c>
      <c r="B5683" t="s">
        <v>2704</v>
      </c>
      <c r="C5683" t="s">
        <v>2705</v>
      </c>
      <c r="D5683" t="s">
        <v>13411</v>
      </c>
    </row>
    <row r="5684" spans="1:4" x14ac:dyDescent="0.25">
      <c r="A5684" s="180">
        <f t="shared" si="88"/>
        <v>7700657</v>
      </c>
      <c r="B5684" t="s">
        <v>2706</v>
      </c>
      <c r="C5684" t="s">
        <v>2707</v>
      </c>
      <c r="D5684" t="s">
        <v>13411</v>
      </c>
    </row>
    <row r="5685" spans="1:4" x14ac:dyDescent="0.25">
      <c r="A5685" s="180">
        <f t="shared" si="88"/>
        <v>7700658</v>
      </c>
      <c r="B5685" t="s">
        <v>2708</v>
      </c>
      <c r="C5685" t="s">
        <v>2709</v>
      </c>
      <c r="D5685" t="s">
        <v>13411</v>
      </c>
    </row>
    <row r="5686" spans="1:4" x14ac:dyDescent="0.25">
      <c r="A5686" s="180">
        <f t="shared" si="88"/>
        <v>7700700</v>
      </c>
      <c r="B5686" t="s">
        <v>2710</v>
      </c>
      <c r="C5686" t="s">
        <v>2711</v>
      </c>
      <c r="D5686" t="s">
        <v>13411</v>
      </c>
    </row>
    <row r="5687" spans="1:4" x14ac:dyDescent="0.25">
      <c r="A5687" s="180">
        <f t="shared" si="88"/>
        <v>7700701</v>
      </c>
      <c r="B5687" t="s">
        <v>2712</v>
      </c>
      <c r="C5687" t="s">
        <v>2713</v>
      </c>
    </row>
    <row r="5688" spans="1:4" x14ac:dyDescent="0.25">
      <c r="A5688" s="180">
        <f t="shared" si="88"/>
        <v>77007014</v>
      </c>
      <c r="B5688" t="s">
        <v>2714</v>
      </c>
      <c r="C5688" t="s">
        <v>2715</v>
      </c>
    </row>
    <row r="5689" spans="1:4" x14ac:dyDescent="0.25">
      <c r="A5689" s="180">
        <f t="shared" si="88"/>
        <v>7700702</v>
      </c>
      <c r="B5689" t="s">
        <v>12662</v>
      </c>
      <c r="C5689" t="s">
        <v>12663</v>
      </c>
      <c r="D5689" t="s">
        <v>13411</v>
      </c>
    </row>
    <row r="5690" spans="1:4" x14ac:dyDescent="0.25">
      <c r="A5690" s="180">
        <f t="shared" si="88"/>
        <v>7700703</v>
      </c>
      <c r="B5690" t="s">
        <v>12664</v>
      </c>
      <c r="C5690" t="s">
        <v>12665</v>
      </c>
      <c r="D5690" t="s">
        <v>13411</v>
      </c>
    </row>
    <row r="5691" spans="1:4" x14ac:dyDescent="0.25">
      <c r="A5691" s="180">
        <f t="shared" si="88"/>
        <v>7700704</v>
      </c>
      <c r="B5691" t="s">
        <v>12666</v>
      </c>
      <c r="C5691" t="s">
        <v>12667</v>
      </c>
    </row>
    <row r="5692" spans="1:4" x14ac:dyDescent="0.25">
      <c r="A5692" s="180">
        <f t="shared" si="88"/>
        <v>7700705</v>
      </c>
      <c r="B5692" t="s">
        <v>12668</v>
      </c>
      <c r="C5692" t="s">
        <v>12669</v>
      </c>
    </row>
    <row r="5693" spans="1:4" x14ac:dyDescent="0.25">
      <c r="A5693" s="180">
        <f t="shared" si="88"/>
        <v>7700900</v>
      </c>
      <c r="B5693" t="s">
        <v>2716</v>
      </c>
      <c r="C5693" t="s">
        <v>2717</v>
      </c>
      <c r="D5693" t="s">
        <v>13411</v>
      </c>
    </row>
    <row r="5694" spans="1:4" x14ac:dyDescent="0.25">
      <c r="A5694" s="180">
        <f t="shared" si="88"/>
        <v>7700901</v>
      </c>
      <c r="B5694" t="s">
        <v>2718</v>
      </c>
      <c r="C5694" t="s">
        <v>2719</v>
      </c>
    </row>
    <row r="5695" spans="1:4" x14ac:dyDescent="0.25">
      <c r="A5695" s="180">
        <f t="shared" ref="A5695:A5758" si="89">IFERROR(B5695*1,"")</f>
        <v>7700902</v>
      </c>
      <c r="B5695" t="s">
        <v>2720</v>
      </c>
      <c r="C5695" t="s">
        <v>2721</v>
      </c>
    </row>
    <row r="5696" spans="1:4" x14ac:dyDescent="0.25">
      <c r="A5696" s="180">
        <f t="shared" si="89"/>
        <v>7700903</v>
      </c>
      <c r="B5696" t="s">
        <v>2722</v>
      </c>
      <c r="C5696" t="s">
        <v>2723</v>
      </c>
    </row>
    <row r="5697" spans="1:4" x14ac:dyDescent="0.25">
      <c r="A5697" s="180">
        <f t="shared" si="89"/>
        <v>7700904</v>
      </c>
      <c r="B5697" t="s">
        <v>2724</v>
      </c>
      <c r="C5697" t="s">
        <v>2725</v>
      </c>
    </row>
    <row r="5698" spans="1:4" x14ac:dyDescent="0.25">
      <c r="A5698" s="180">
        <f t="shared" si="89"/>
        <v>7700905</v>
      </c>
      <c r="B5698" t="s">
        <v>2726</v>
      </c>
      <c r="C5698" t="s">
        <v>2727</v>
      </c>
    </row>
    <row r="5699" spans="1:4" x14ac:dyDescent="0.25">
      <c r="A5699" s="180">
        <f t="shared" si="89"/>
        <v>7700906</v>
      </c>
      <c r="B5699" t="s">
        <v>2728</v>
      </c>
      <c r="C5699" t="s">
        <v>2729</v>
      </c>
    </row>
    <row r="5700" spans="1:4" x14ac:dyDescent="0.25">
      <c r="A5700" s="180">
        <f t="shared" si="89"/>
        <v>7701004</v>
      </c>
      <c r="B5700" t="s">
        <v>2730</v>
      </c>
      <c r="C5700" t="s">
        <v>2731</v>
      </c>
      <c r="D5700" t="s">
        <v>13411</v>
      </c>
    </row>
    <row r="5701" spans="1:4" x14ac:dyDescent="0.25">
      <c r="A5701" s="180">
        <f t="shared" si="89"/>
        <v>7701005</v>
      </c>
      <c r="B5701" t="s">
        <v>2732</v>
      </c>
      <c r="C5701" t="s">
        <v>2733</v>
      </c>
      <c r="D5701" t="s">
        <v>13411</v>
      </c>
    </row>
    <row r="5702" spans="1:4" x14ac:dyDescent="0.25">
      <c r="A5702" s="180">
        <f t="shared" si="89"/>
        <v>7701006</v>
      </c>
      <c r="B5702" t="s">
        <v>2734</v>
      </c>
      <c r="C5702" t="s">
        <v>2735</v>
      </c>
    </row>
    <row r="5703" spans="1:4" x14ac:dyDescent="0.25">
      <c r="A5703" s="180">
        <f t="shared" si="89"/>
        <v>7701093</v>
      </c>
      <c r="B5703" t="s">
        <v>2736</v>
      </c>
      <c r="C5703" t="s">
        <v>13066</v>
      </c>
      <c r="D5703" t="s">
        <v>13411</v>
      </c>
    </row>
    <row r="5704" spans="1:4" x14ac:dyDescent="0.25">
      <c r="A5704" s="180">
        <f t="shared" si="89"/>
        <v>7701094</v>
      </c>
      <c r="B5704" t="s">
        <v>2737</v>
      </c>
      <c r="C5704" t="s">
        <v>13067</v>
      </c>
      <c r="D5704" t="s">
        <v>13411</v>
      </c>
    </row>
    <row r="5705" spans="1:4" x14ac:dyDescent="0.25">
      <c r="A5705" s="180">
        <f t="shared" si="89"/>
        <v>7701095</v>
      </c>
      <c r="B5705" t="s">
        <v>13068</v>
      </c>
      <c r="C5705" t="s">
        <v>13069</v>
      </c>
      <c r="D5705" t="s">
        <v>13411</v>
      </c>
    </row>
    <row r="5706" spans="1:4" x14ac:dyDescent="0.25">
      <c r="A5706" s="180">
        <f t="shared" si="89"/>
        <v>7701096</v>
      </c>
      <c r="B5706" t="s">
        <v>13070</v>
      </c>
      <c r="C5706" t="s">
        <v>13071</v>
      </c>
      <c r="D5706" t="s">
        <v>13411</v>
      </c>
    </row>
    <row r="5707" spans="1:4" x14ac:dyDescent="0.25">
      <c r="A5707" s="180">
        <f t="shared" si="89"/>
        <v>7701097</v>
      </c>
      <c r="B5707" t="s">
        <v>13072</v>
      </c>
      <c r="C5707" t="s">
        <v>13073</v>
      </c>
      <c r="D5707" t="s">
        <v>13411</v>
      </c>
    </row>
    <row r="5708" spans="1:4" x14ac:dyDescent="0.25">
      <c r="A5708" s="180">
        <f t="shared" si="89"/>
        <v>7701098</v>
      </c>
      <c r="B5708" t="s">
        <v>13074</v>
      </c>
      <c r="C5708" t="s">
        <v>13075</v>
      </c>
      <c r="D5708" t="s">
        <v>13411</v>
      </c>
    </row>
    <row r="5709" spans="1:4" x14ac:dyDescent="0.25">
      <c r="A5709" s="180">
        <f t="shared" si="89"/>
        <v>7701099</v>
      </c>
      <c r="B5709" t="s">
        <v>13076</v>
      </c>
      <c r="C5709" t="s">
        <v>13077</v>
      </c>
      <c r="D5709" t="s">
        <v>13411</v>
      </c>
    </row>
    <row r="5710" spans="1:4" x14ac:dyDescent="0.25">
      <c r="A5710" s="180">
        <f t="shared" si="89"/>
        <v>7701100</v>
      </c>
      <c r="B5710" t="s">
        <v>2738</v>
      </c>
      <c r="C5710" t="s">
        <v>13078</v>
      </c>
      <c r="D5710" t="s">
        <v>13411</v>
      </c>
    </row>
    <row r="5711" spans="1:4" x14ac:dyDescent="0.25">
      <c r="A5711" s="180">
        <f t="shared" si="89"/>
        <v>7701101</v>
      </c>
      <c r="B5711" t="s">
        <v>2739</v>
      </c>
      <c r="C5711" t="s">
        <v>2740</v>
      </c>
    </row>
    <row r="5712" spans="1:4" x14ac:dyDescent="0.25">
      <c r="A5712" s="180">
        <f t="shared" si="89"/>
        <v>7701102</v>
      </c>
      <c r="B5712" t="s">
        <v>2741</v>
      </c>
      <c r="C5712" t="s">
        <v>13079</v>
      </c>
      <c r="D5712" t="s">
        <v>13411</v>
      </c>
    </row>
    <row r="5713" spans="1:4" x14ac:dyDescent="0.25">
      <c r="A5713" s="180">
        <f t="shared" si="89"/>
        <v>7701103</v>
      </c>
      <c r="B5713" t="s">
        <v>2742</v>
      </c>
      <c r="C5713" t="s">
        <v>13080</v>
      </c>
      <c r="D5713" t="s">
        <v>13411</v>
      </c>
    </row>
    <row r="5714" spans="1:4" x14ac:dyDescent="0.25">
      <c r="A5714" s="180">
        <f t="shared" si="89"/>
        <v>7701104</v>
      </c>
      <c r="B5714" t="s">
        <v>2743</v>
      </c>
      <c r="C5714" t="s">
        <v>13081</v>
      </c>
      <c r="D5714" t="s">
        <v>13411</v>
      </c>
    </row>
    <row r="5715" spans="1:4" x14ac:dyDescent="0.25">
      <c r="A5715" s="180">
        <f t="shared" si="89"/>
        <v>7701105</v>
      </c>
      <c r="B5715" t="s">
        <v>2744</v>
      </c>
      <c r="C5715" t="s">
        <v>13082</v>
      </c>
      <c r="D5715" t="s">
        <v>13411</v>
      </c>
    </row>
    <row r="5716" spans="1:4" x14ac:dyDescent="0.25">
      <c r="A5716" s="180">
        <f t="shared" si="89"/>
        <v>7701106</v>
      </c>
      <c r="B5716" t="s">
        <v>13083</v>
      </c>
      <c r="C5716" t="s">
        <v>13084</v>
      </c>
      <c r="D5716" t="s">
        <v>13411</v>
      </c>
    </row>
    <row r="5717" spans="1:4" x14ac:dyDescent="0.25">
      <c r="A5717" s="180">
        <f t="shared" si="89"/>
        <v>7701107</v>
      </c>
      <c r="B5717" t="s">
        <v>13962</v>
      </c>
      <c r="C5717" t="s">
        <v>13963</v>
      </c>
      <c r="D5717" t="s">
        <v>13411</v>
      </c>
    </row>
    <row r="5718" spans="1:4" x14ac:dyDescent="0.25">
      <c r="A5718" s="180">
        <f t="shared" si="89"/>
        <v>7701136</v>
      </c>
      <c r="B5718" t="s">
        <v>2745</v>
      </c>
      <c r="C5718" t="s">
        <v>2746</v>
      </c>
      <c r="D5718" t="s">
        <v>13411</v>
      </c>
    </row>
    <row r="5719" spans="1:4" x14ac:dyDescent="0.25">
      <c r="A5719" s="180">
        <f t="shared" si="89"/>
        <v>7701137</v>
      </c>
      <c r="B5719" t="s">
        <v>2747</v>
      </c>
      <c r="C5719" t="s">
        <v>2748</v>
      </c>
      <c r="D5719" t="s">
        <v>13411</v>
      </c>
    </row>
    <row r="5720" spans="1:4" x14ac:dyDescent="0.25">
      <c r="A5720" s="180">
        <f t="shared" si="89"/>
        <v>7701200</v>
      </c>
      <c r="B5720" t="s">
        <v>2749</v>
      </c>
      <c r="C5720" t="s">
        <v>2750</v>
      </c>
    </row>
    <row r="5721" spans="1:4" x14ac:dyDescent="0.25">
      <c r="A5721" s="180">
        <f t="shared" si="89"/>
        <v>7701201</v>
      </c>
      <c r="B5721" t="s">
        <v>2751</v>
      </c>
      <c r="C5721" t="s">
        <v>2752</v>
      </c>
    </row>
    <row r="5722" spans="1:4" x14ac:dyDescent="0.25">
      <c r="A5722" s="180">
        <f t="shared" si="89"/>
        <v>7701202</v>
      </c>
      <c r="B5722" t="s">
        <v>2753</v>
      </c>
      <c r="C5722" t="s">
        <v>2754</v>
      </c>
    </row>
    <row r="5723" spans="1:4" x14ac:dyDescent="0.25">
      <c r="A5723" s="180">
        <f t="shared" si="89"/>
        <v>7701203</v>
      </c>
      <c r="B5723" t="s">
        <v>2755</v>
      </c>
      <c r="C5723" t="s">
        <v>2756</v>
      </c>
    </row>
    <row r="5724" spans="1:4" x14ac:dyDescent="0.25">
      <c r="A5724" s="180">
        <f t="shared" si="89"/>
        <v>7701394</v>
      </c>
      <c r="B5724" t="s">
        <v>2757</v>
      </c>
      <c r="C5724" t="s">
        <v>2758</v>
      </c>
    </row>
    <row r="5725" spans="1:4" x14ac:dyDescent="0.25">
      <c r="A5725" s="180">
        <f t="shared" si="89"/>
        <v>7701397</v>
      </c>
      <c r="B5725" t="s">
        <v>2759</v>
      </c>
      <c r="C5725" t="s">
        <v>2760</v>
      </c>
    </row>
    <row r="5726" spans="1:4" x14ac:dyDescent="0.25">
      <c r="A5726" s="180">
        <f t="shared" si="89"/>
        <v>7701655</v>
      </c>
      <c r="B5726" t="s">
        <v>2761</v>
      </c>
      <c r="C5726" t="s">
        <v>2762</v>
      </c>
    </row>
    <row r="5727" spans="1:4" x14ac:dyDescent="0.25">
      <c r="A5727" s="180">
        <f t="shared" si="89"/>
        <v>7703000</v>
      </c>
      <c r="B5727" t="s">
        <v>12807</v>
      </c>
      <c r="C5727" t="s">
        <v>12808</v>
      </c>
      <c r="D5727" t="s">
        <v>13411</v>
      </c>
    </row>
    <row r="5728" spans="1:4" x14ac:dyDescent="0.25">
      <c r="A5728" s="180">
        <f t="shared" si="89"/>
        <v>7703001</v>
      </c>
      <c r="B5728" t="s">
        <v>2763</v>
      </c>
      <c r="C5728" t="s">
        <v>2764</v>
      </c>
      <c r="D5728" t="s">
        <v>13411</v>
      </c>
    </row>
    <row r="5729" spans="1:4" x14ac:dyDescent="0.25">
      <c r="A5729" s="180">
        <f t="shared" si="89"/>
        <v>7703002</v>
      </c>
      <c r="B5729" t="s">
        <v>2765</v>
      </c>
      <c r="C5729" t="s">
        <v>2766</v>
      </c>
      <c r="D5729" t="s">
        <v>13411</v>
      </c>
    </row>
    <row r="5730" spans="1:4" x14ac:dyDescent="0.25">
      <c r="A5730" s="180">
        <f t="shared" si="89"/>
        <v>7703003</v>
      </c>
      <c r="B5730" t="s">
        <v>2767</v>
      </c>
      <c r="C5730" t="s">
        <v>2768</v>
      </c>
    </row>
    <row r="5731" spans="1:4" x14ac:dyDescent="0.25">
      <c r="A5731" s="180">
        <f t="shared" si="89"/>
        <v>7703004</v>
      </c>
      <c r="B5731" t="s">
        <v>2769</v>
      </c>
      <c r="C5731" t="s">
        <v>2770</v>
      </c>
    </row>
    <row r="5732" spans="1:4" x14ac:dyDescent="0.25">
      <c r="A5732" s="180">
        <f t="shared" si="89"/>
        <v>7703005</v>
      </c>
      <c r="B5732" t="s">
        <v>2771</v>
      </c>
      <c r="C5732" t="s">
        <v>2772</v>
      </c>
      <c r="D5732" t="s">
        <v>13411</v>
      </c>
    </row>
    <row r="5733" spans="1:4" x14ac:dyDescent="0.25">
      <c r="A5733" s="180">
        <f t="shared" si="89"/>
        <v>7703006</v>
      </c>
      <c r="B5733" t="s">
        <v>13465</v>
      </c>
      <c r="C5733" t="s">
        <v>13466</v>
      </c>
    </row>
    <row r="5734" spans="1:4" x14ac:dyDescent="0.25">
      <c r="A5734" s="180">
        <f t="shared" si="89"/>
        <v>7703010</v>
      </c>
      <c r="B5734" t="s">
        <v>13298</v>
      </c>
      <c r="C5734" t="s">
        <v>13299</v>
      </c>
      <c r="D5734" t="s">
        <v>13411</v>
      </c>
    </row>
    <row r="5735" spans="1:4" x14ac:dyDescent="0.25">
      <c r="A5735" s="180">
        <f t="shared" si="89"/>
        <v>7703019</v>
      </c>
      <c r="B5735" t="s">
        <v>2773</v>
      </c>
      <c r="C5735" t="s">
        <v>2774</v>
      </c>
      <c r="D5735" t="s">
        <v>13411</v>
      </c>
    </row>
    <row r="5736" spans="1:4" x14ac:dyDescent="0.25">
      <c r="A5736" s="180">
        <f t="shared" si="89"/>
        <v>7703020</v>
      </c>
      <c r="B5736" t="s">
        <v>2775</v>
      </c>
      <c r="C5736" t="s">
        <v>2776</v>
      </c>
      <c r="D5736" t="s">
        <v>13411</v>
      </c>
    </row>
    <row r="5737" spans="1:4" x14ac:dyDescent="0.25">
      <c r="A5737" s="180">
        <f t="shared" si="89"/>
        <v>7703021</v>
      </c>
      <c r="B5737" t="s">
        <v>2777</v>
      </c>
      <c r="C5737" t="s">
        <v>2778</v>
      </c>
      <c r="D5737" t="s">
        <v>13411</v>
      </c>
    </row>
    <row r="5738" spans="1:4" x14ac:dyDescent="0.25">
      <c r="A5738" s="180">
        <f t="shared" si="89"/>
        <v>7703022</v>
      </c>
      <c r="B5738" t="s">
        <v>2779</v>
      </c>
      <c r="C5738" t="s">
        <v>2780</v>
      </c>
      <c r="D5738" t="s">
        <v>13411</v>
      </c>
    </row>
    <row r="5739" spans="1:4" x14ac:dyDescent="0.25">
      <c r="A5739" s="180">
        <f t="shared" si="89"/>
        <v>7703023</v>
      </c>
      <c r="B5739" t="s">
        <v>2781</v>
      </c>
      <c r="C5739" t="s">
        <v>2782</v>
      </c>
      <c r="D5739" t="s">
        <v>13411</v>
      </c>
    </row>
    <row r="5740" spans="1:4" x14ac:dyDescent="0.25">
      <c r="A5740" s="180">
        <f t="shared" si="89"/>
        <v>7703024</v>
      </c>
      <c r="B5740" t="s">
        <v>2783</v>
      </c>
      <c r="C5740" t="s">
        <v>2784</v>
      </c>
      <c r="D5740" t="s">
        <v>13411</v>
      </c>
    </row>
    <row r="5741" spans="1:4" x14ac:dyDescent="0.25">
      <c r="A5741" s="180">
        <f t="shared" si="89"/>
        <v>7703025</v>
      </c>
      <c r="B5741" t="s">
        <v>2785</v>
      </c>
      <c r="C5741" t="s">
        <v>2786</v>
      </c>
    </row>
    <row r="5742" spans="1:4" x14ac:dyDescent="0.25">
      <c r="A5742" s="180">
        <f t="shared" si="89"/>
        <v>7703026</v>
      </c>
      <c r="B5742" t="s">
        <v>2787</v>
      </c>
      <c r="C5742" t="s">
        <v>2788</v>
      </c>
    </row>
    <row r="5743" spans="1:4" x14ac:dyDescent="0.25">
      <c r="A5743" s="180">
        <f t="shared" si="89"/>
        <v>7703029</v>
      </c>
      <c r="B5743" t="s">
        <v>2789</v>
      </c>
      <c r="C5743" t="s">
        <v>2790</v>
      </c>
    </row>
    <row r="5744" spans="1:4" x14ac:dyDescent="0.25">
      <c r="A5744" s="180">
        <f t="shared" si="89"/>
        <v>7703030</v>
      </c>
      <c r="B5744" t="s">
        <v>2791</v>
      </c>
      <c r="C5744" t="s">
        <v>2792</v>
      </c>
      <c r="D5744" t="s">
        <v>13411</v>
      </c>
    </row>
    <row r="5745" spans="1:4" x14ac:dyDescent="0.25">
      <c r="A5745" s="180">
        <f t="shared" si="89"/>
        <v>7703031</v>
      </c>
      <c r="B5745" t="s">
        <v>2793</v>
      </c>
      <c r="C5745" t="s">
        <v>2794</v>
      </c>
      <c r="D5745" t="s">
        <v>13411</v>
      </c>
    </row>
    <row r="5746" spans="1:4" x14ac:dyDescent="0.25">
      <c r="A5746" s="180">
        <f t="shared" si="89"/>
        <v>7703033</v>
      </c>
      <c r="B5746" t="s">
        <v>2795</v>
      </c>
      <c r="C5746" t="s">
        <v>2796</v>
      </c>
    </row>
    <row r="5747" spans="1:4" x14ac:dyDescent="0.25">
      <c r="A5747" s="180">
        <f t="shared" si="89"/>
        <v>7703035</v>
      </c>
      <c r="B5747" t="s">
        <v>2797</v>
      </c>
      <c r="C5747" t="s">
        <v>2798</v>
      </c>
    </row>
    <row r="5748" spans="1:4" x14ac:dyDescent="0.25">
      <c r="A5748" s="180">
        <f t="shared" si="89"/>
        <v>7703036</v>
      </c>
      <c r="B5748" t="s">
        <v>2799</v>
      </c>
      <c r="C5748" t="s">
        <v>2800</v>
      </c>
      <c r="D5748" t="s">
        <v>13411</v>
      </c>
    </row>
    <row r="5749" spans="1:4" x14ac:dyDescent="0.25">
      <c r="A5749" s="180">
        <f t="shared" si="89"/>
        <v>7703037</v>
      </c>
      <c r="B5749" t="s">
        <v>2801</v>
      </c>
      <c r="C5749" t="s">
        <v>2802</v>
      </c>
      <c r="D5749" t="s">
        <v>13411</v>
      </c>
    </row>
    <row r="5750" spans="1:4" x14ac:dyDescent="0.25">
      <c r="A5750" s="180">
        <f t="shared" si="89"/>
        <v>7703038</v>
      </c>
      <c r="B5750" t="s">
        <v>2803</v>
      </c>
      <c r="C5750" t="s">
        <v>2804</v>
      </c>
      <c r="D5750" t="s">
        <v>13411</v>
      </c>
    </row>
    <row r="5751" spans="1:4" x14ac:dyDescent="0.25">
      <c r="A5751" s="180">
        <f t="shared" si="89"/>
        <v>7703039</v>
      </c>
      <c r="B5751" t="s">
        <v>2805</v>
      </c>
      <c r="C5751" t="s">
        <v>2806</v>
      </c>
      <c r="D5751" t="s">
        <v>13411</v>
      </c>
    </row>
    <row r="5752" spans="1:4" x14ac:dyDescent="0.25">
      <c r="A5752" s="180">
        <f t="shared" si="89"/>
        <v>7703047</v>
      </c>
      <c r="B5752" t="s">
        <v>2807</v>
      </c>
      <c r="C5752" t="s">
        <v>2808</v>
      </c>
      <c r="D5752" t="s">
        <v>13411</v>
      </c>
    </row>
    <row r="5753" spans="1:4" x14ac:dyDescent="0.25">
      <c r="A5753" s="180">
        <f t="shared" si="89"/>
        <v>7703050</v>
      </c>
      <c r="B5753" t="s">
        <v>2809</v>
      </c>
      <c r="C5753" t="s">
        <v>13889</v>
      </c>
      <c r="D5753" t="s">
        <v>13411</v>
      </c>
    </row>
    <row r="5754" spans="1:4" x14ac:dyDescent="0.25">
      <c r="A5754" s="180">
        <f t="shared" si="89"/>
        <v>7703051</v>
      </c>
      <c r="B5754" t="s">
        <v>2810</v>
      </c>
      <c r="C5754" t="s">
        <v>13890</v>
      </c>
      <c r="D5754" t="s">
        <v>13411</v>
      </c>
    </row>
    <row r="5755" spans="1:4" x14ac:dyDescent="0.25">
      <c r="A5755" s="180">
        <f t="shared" si="89"/>
        <v>7703052</v>
      </c>
      <c r="B5755" t="s">
        <v>2811</v>
      </c>
      <c r="C5755" t="s">
        <v>13891</v>
      </c>
      <c r="D5755" t="s">
        <v>13411</v>
      </c>
    </row>
    <row r="5756" spans="1:4" x14ac:dyDescent="0.25">
      <c r="A5756" s="180">
        <f t="shared" si="89"/>
        <v>7703053</v>
      </c>
      <c r="B5756" t="s">
        <v>2812</v>
      </c>
      <c r="C5756" t="s">
        <v>13892</v>
      </c>
      <c r="D5756" t="s">
        <v>13411</v>
      </c>
    </row>
    <row r="5757" spans="1:4" x14ac:dyDescent="0.25">
      <c r="A5757" s="180">
        <f t="shared" si="89"/>
        <v>7703054</v>
      </c>
      <c r="B5757" t="s">
        <v>2813</v>
      </c>
      <c r="C5757" t="s">
        <v>14498</v>
      </c>
      <c r="D5757" t="s">
        <v>13411</v>
      </c>
    </row>
    <row r="5758" spans="1:4" x14ac:dyDescent="0.25">
      <c r="A5758" s="180">
        <f t="shared" si="89"/>
        <v>7703056</v>
      </c>
      <c r="B5758" t="s">
        <v>2814</v>
      </c>
      <c r="C5758" t="s">
        <v>13893</v>
      </c>
      <c r="D5758" t="s">
        <v>13411</v>
      </c>
    </row>
    <row r="5759" spans="1:4" x14ac:dyDescent="0.25">
      <c r="A5759" s="180">
        <f t="shared" ref="A5759:A5822" si="90">IFERROR(B5759*1,"")</f>
        <v>7703057</v>
      </c>
      <c r="B5759" t="s">
        <v>2815</v>
      </c>
      <c r="C5759" t="s">
        <v>13894</v>
      </c>
      <c r="D5759" t="s">
        <v>13411</v>
      </c>
    </row>
    <row r="5760" spans="1:4" x14ac:dyDescent="0.25">
      <c r="A5760" s="180">
        <f t="shared" si="90"/>
        <v>7703060</v>
      </c>
      <c r="B5760" t="s">
        <v>2816</v>
      </c>
      <c r="C5760" t="s">
        <v>2817</v>
      </c>
      <c r="D5760" t="s">
        <v>13411</v>
      </c>
    </row>
    <row r="5761" spans="1:4" x14ac:dyDescent="0.25">
      <c r="A5761" s="180">
        <f t="shared" si="90"/>
        <v>7703061</v>
      </c>
      <c r="B5761" t="s">
        <v>2818</v>
      </c>
      <c r="C5761" t="s">
        <v>2819</v>
      </c>
      <c r="D5761" t="s">
        <v>13411</v>
      </c>
    </row>
    <row r="5762" spans="1:4" x14ac:dyDescent="0.25">
      <c r="A5762" s="180">
        <f t="shared" si="90"/>
        <v>7703062</v>
      </c>
      <c r="B5762" t="s">
        <v>2820</v>
      </c>
      <c r="C5762" t="s">
        <v>6941</v>
      </c>
      <c r="D5762" t="s">
        <v>13411</v>
      </c>
    </row>
    <row r="5763" spans="1:4" x14ac:dyDescent="0.25">
      <c r="A5763" s="180">
        <f t="shared" si="90"/>
        <v>7703065</v>
      </c>
      <c r="B5763" t="s">
        <v>2821</v>
      </c>
      <c r="C5763" t="s">
        <v>2822</v>
      </c>
      <c r="D5763" t="s">
        <v>13411</v>
      </c>
    </row>
    <row r="5764" spans="1:4" x14ac:dyDescent="0.25">
      <c r="A5764" s="180">
        <f t="shared" si="90"/>
        <v>7703066</v>
      </c>
      <c r="B5764" t="s">
        <v>2823</v>
      </c>
      <c r="C5764" t="s">
        <v>2824</v>
      </c>
      <c r="D5764" t="s">
        <v>13411</v>
      </c>
    </row>
    <row r="5765" spans="1:4" x14ac:dyDescent="0.25">
      <c r="A5765" s="180">
        <f t="shared" si="90"/>
        <v>7703067</v>
      </c>
      <c r="B5765" t="s">
        <v>2825</v>
      </c>
      <c r="C5765" t="s">
        <v>2826</v>
      </c>
      <c r="D5765" t="s">
        <v>13411</v>
      </c>
    </row>
    <row r="5766" spans="1:4" x14ac:dyDescent="0.25">
      <c r="A5766" s="180">
        <f t="shared" si="90"/>
        <v>7703070</v>
      </c>
      <c r="B5766" t="s">
        <v>2827</v>
      </c>
      <c r="C5766" t="s">
        <v>2828</v>
      </c>
      <c r="D5766" t="s">
        <v>13411</v>
      </c>
    </row>
    <row r="5767" spans="1:4" x14ac:dyDescent="0.25">
      <c r="A5767" s="180">
        <f t="shared" si="90"/>
        <v>7703071</v>
      </c>
      <c r="B5767" t="s">
        <v>2829</v>
      </c>
      <c r="C5767" t="s">
        <v>2830</v>
      </c>
      <c r="D5767" t="s">
        <v>13411</v>
      </c>
    </row>
    <row r="5768" spans="1:4" x14ac:dyDescent="0.25">
      <c r="A5768" s="180">
        <f t="shared" si="90"/>
        <v>7703072</v>
      </c>
      <c r="B5768" t="s">
        <v>2831</v>
      </c>
      <c r="C5768" t="s">
        <v>2832</v>
      </c>
    </row>
    <row r="5769" spans="1:4" x14ac:dyDescent="0.25">
      <c r="A5769" s="180">
        <f t="shared" si="90"/>
        <v>7703073</v>
      </c>
      <c r="B5769" t="s">
        <v>12809</v>
      </c>
      <c r="C5769" t="s">
        <v>12810</v>
      </c>
      <c r="D5769" t="s">
        <v>13411</v>
      </c>
    </row>
    <row r="5770" spans="1:4" x14ac:dyDescent="0.25">
      <c r="A5770" s="180">
        <f t="shared" si="90"/>
        <v>7703074</v>
      </c>
      <c r="B5770" t="s">
        <v>13085</v>
      </c>
      <c r="C5770" t="s">
        <v>13086</v>
      </c>
      <c r="D5770" t="s">
        <v>13411</v>
      </c>
    </row>
    <row r="5771" spans="1:4" x14ac:dyDescent="0.25">
      <c r="A5771" s="180">
        <f t="shared" si="90"/>
        <v>7703105</v>
      </c>
      <c r="B5771" t="s">
        <v>2833</v>
      </c>
      <c r="C5771" t="s">
        <v>2834</v>
      </c>
      <c r="D5771" t="s">
        <v>13411</v>
      </c>
    </row>
    <row r="5772" spans="1:4" x14ac:dyDescent="0.25">
      <c r="A5772" s="180">
        <f t="shared" si="90"/>
        <v>7703106</v>
      </c>
      <c r="B5772" t="s">
        <v>2835</v>
      </c>
      <c r="C5772" t="s">
        <v>2836</v>
      </c>
      <c r="D5772" t="s">
        <v>13411</v>
      </c>
    </row>
    <row r="5773" spans="1:4" x14ac:dyDescent="0.25">
      <c r="A5773" s="180">
        <f t="shared" si="90"/>
        <v>7703107</v>
      </c>
      <c r="B5773" t="s">
        <v>2837</v>
      </c>
      <c r="C5773" t="s">
        <v>2838</v>
      </c>
      <c r="D5773" t="s">
        <v>13411</v>
      </c>
    </row>
    <row r="5774" spans="1:4" x14ac:dyDescent="0.25">
      <c r="A5774" s="180">
        <f t="shared" si="90"/>
        <v>7703107</v>
      </c>
      <c r="B5774" t="s">
        <v>2837</v>
      </c>
      <c r="C5774" t="s">
        <v>2838</v>
      </c>
      <c r="D5774" t="s">
        <v>13411</v>
      </c>
    </row>
    <row r="5775" spans="1:4" x14ac:dyDescent="0.25">
      <c r="A5775" s="180">
        <f t="shared" si="90"/>
        <v>7703107</v>
      </c>
      <c r="B5775" t="s">
        <v>2837</v>
      </c>
      <c r="C5775" t="s">
        <v>2838</v>
      </c>
      <c r="D5775" t="s">
        <v>13411</v>
      </c>
    </row>
    <row r="5776" spans="1:4" x14ac:dyDescent="0.25">
      <c r="A5776" s="180">
        <f t="shared" si="90"/>
        <v>7703108</v>
      </c>
      <c r="B5776" t="s">
        <v>2839</v>
      </c>
      <c r="C5776" t="s">
        <v>2840</v>
      </c>
    </row>
    <row r="5777" spans="1:4" x14ac:dyDescent="0.25">
      <c r="A5777" s="180">
        <f t="shared" si="90"/>
        <v>7703109</v>
      </c>
      <c r="B5777" t="s">
        <v>2841</v>
      </c>
      <c r="C5777" t="s">
        <v>2842</v>
      </c>
      <c r="D5777" t="s">
        <v>13411</v>
      </c>
    </row>
    <row r="5778" spans="1:4" x14ac:dyDescent="0.25">
      <c r="A5778" s="180">
        <f t="shared" si="90"/>
        <v>7703110</v>
      </c>
      <c r="B5778" t="s">
        <v>2843</v>
      </c>
      <c r="C5778" t="s">
        <v>2844</v>
      </c>
      <c r="D5778" t="s">
        <v>13411</v>
      </c>
    </row>
    <row r="5779" spans="1:4" x14ac:dyDescent="0.25">
      <c r="A5779" s="180">
        <f t="shared" si="90"/>
        <v>7703111</v>
      </c>
      <c r="B5779" t="s">
        <v>2845</v>
      </c>
      <c r="C5779" t="s">
        <v>2846</v>
      </c>
      <c r="D5779" t="s">
        <v>13411</v>
      </c>
    </row>
    <row r="5780" spans="1:4" x14ac:dyDescent="0.25">
      <c r="A5780" s="180">
        <f t="shared" si="90"/>
        <v>7703112</v>
      </c>
      <c r="B5780" t="s">
        <v>2847</v>
      </c>
      <c r="C5780" t="s">
        <v>2848</v>
      </c>
      <c r="D5780" t="s">
        <v>13411</v>
      </c>
    </row>
    <row r="5781" spans="1:4" x14ac:dyDescent="0.25">
      <c r="A5781" s="180">
        <f t="shared" si="90"/>
        <v>7703113</v>
      </c>
      <c r="B5781" t="s">
        <v>2849</v>
      </c>
      <c r="C5781" t="s">
        <v>2850</v>
      </c>
      <c r="D5781" t="s">
        <v>13411</v>
      </c>
    </row>
    <row r="5782" spans="1:4" x14ac:dyDescent="0.25">
      <c r="A5782" s="180">
        <f t="shared" si="90"/>
        <v>7703114</v>
      </c>
      <c r="B5782" t="s">
        <v>2851</v>
      </c>
      <c r="C5782" t="s">
        <v>14499</v>
      </c>
      <c r="D5782" t="s">
        <v>13411</v>
      </c>
    </row>
    <row r="5783" spans="1:4" x14ac:dyDescent="0.25">
      <c r="A5783" s="180">
        <f t="shared" si="90"/>
        <v>7703115</v>
      </c>
      <c r="B5783" t="s">
        <v>2852</v>
      </c>
      <c r="C5783" t="s">
        <v>2853</v>
      </c>
      <c r="D5783" t="s">
        <v>13411</v>
      </c>
    </row>
    <row r="5784" spans="1:4" x14ac:dyDescent="0.25">
      <c r="A5784" s="180">
        <f t="shared" si="90"/>
        <v>7703116</v>
      </c>
      <c r="B5784" t="s">
        <v>2854</v>
      </c>
      <c r="C5784" t="s">
        <v>2855</v>
      </c>
      <c r="D5784" t="s">
        <v>13411</v>
      </c>
    </row>
    <row r="5785" spans="1:4" x14ac:dyDescent="0.25">
      <c r="A5785" s="180">
        <f t="shared" si="90"/>
        <v>7703117</v>
      </c>
      <c r="B5785" t="s">
        <v>2856</v>
      </c>
      <c r="C5785" t="s">
        <v>14500</v>
      </c>
      <c r="D5785" t="s">
        <v>13411</v>
      </c>
    </row>
    <row r="5786" spans="1:4" x14ac:dyDescent="0.25">
      <c r="A5786" s="180">
        <f t="shared" si="90"/>
        <v>7703118</v>
      </c>
      <c r="B5786" t="s">
        <v>2857</v>
      </c>
      <c r="C5786" t="s">
        <v>14501</v>
      </c>
      <c r="D5786" t="s">
        <v>13411</v>
      </c>
    </row>
    <row r="5787" spans="1:4" x14ac:dyDescent="0.25">
      <c r="A5787" s="180">
        <f t="shared" si="90"/>
        <v>7703119</v>
      </c>
      <c r="B5787" t="s">
        <v>2858</v>
      </c>
      <c r="C5787" t="s">
        <v>14502</v>
      </c>
      <c r="D5787" t="s">
        <v>13411</v>
      </c>
    </row>
    <row r="5788" spans="1:4" x14ac:dyDescent="0.25">
      <c r="A5788" s="180">
        <f t="shared" si="90"/>
        <v>7703120</v>
      </c>
      <c r="B5788" t="s">
        <v>2859</v>
      </c>
      <c r="C5788" t="s">
        <v>2860</v>
      </c>
      <c r="D5788" t="s">
        <v>13411</v>
      </c>
    </row>
    <row r="5789" spans="1:4" x14ac:dyDescent="0.25">
      <c r="A5789" s="180">
        <f t="shared" si="90"/>
        <v>7703121</v>
      </c>
      <c r="B5789" t="s">
        <v>2861</v>
      </c>
      <c r="C5789" t="s">
        <v>2862</v>
      </c>
      <c r="D5789" t="s">
        <v>13411</v>
      </c>
    </row>
    <row r="5790" spans="1:4" x14ac:dyDescent="0.25">
      <c r="A5790" s="180">
        <f t="shared" si="90"/>
        <v>7703125</v>
      </c>
      <c r="B5790" t="s">
        <v>2863</v>
      </c>
      <c r="C5790" t="s">
        <v>2864</v>
      </c>
      <c r="D5790" t="s">
        <v>13411</v>
      </c>
    </row>
    <row r="5791" spans="1:4" x14ac:dyDescent="0.25">
      <c r="A5791" s="180">
        <f t="shared" si="90"/>
        <v>7703126</v>
      </c>
      <c r="B5791" t="s">
        <v>13895</v>
      </c>
      <c r="C5791" t="s">
        <v>13896</v>
      </c>
      <c r="D5791" t="s">
        <v>13411</v>
      </c>
    </row>
    <row r="5792" spans="1:4" x14ac:dyDescent="0.25">
      <c r="A5792" s="180">
        <f t="shared" si="90"/>
        <v>7703129</v>
      </c>
      <c r="B5792" t="s">
        <v>2865</v>
      </c>
      <c r="C5792" t="s">
        <v>2866</v>
      </c>
      <c r="D5792" t="s">
        <v>13411</v>
      </c>
    </row>
    <row r="5793" spans="1:4" x14ac:dyDescent="0.25">
      <c r="A5793" s="180">
        <f t="shared" si="90"/>
        <v>7703129</v>
      </c>
      <c r="B5793" t="s">
        <v>2865</v>
      </c>
      <c r="C5793" t="s">
        <v>2866</v>
      </c>
      <c r="D5793" t="s">
        <v>13411</v>
      </c>
    </row>
    <row r="5794" spans="1:4" x14ac:dyDescent="0.25">
      <c r="A5794" s="180">
        <f t="shared" si="90"/>
        <v>7703129</v>
      </c>
      <c r="B5794" t="s">
        <v>2865</v>
      </c>
      <c r="C5794" t="s">
        <v>2866</v>
      </c>
      <c r="D5794" t="s">
        <v>13411</v>
      </c>
    </row>
    <row r="5795" spans="1:4" x14ac:dyDescent="0.25">
      <c r="A5795" s="180">
        <f t="shared" si="90"/>
        <v>7703130</v>
      </c>
      <c r="B5795" t="s">
        <v>2867</v>
      </c>
      <c r="C5795" t="s">
        <v>2868</v>
      </c>
      <c r="D5795" t="s">
        <v>13411</v>
      </c>
    </row>
    <row r="5796" spans="1:4" x14ac:dyDescent="0.25">
      <c r="A5796" s="180">
        <f t="shared" si="90"/>
        <v>7703130</v>
      </c>
      <c r="B5796" t="s">
        <v>2867</v>
      </c>
      <c r="C5796" t="s">
        <v>2868</v>
      </c>
      <c r="D5796" t="s">
        <v>13411</v>
      </c>
    </row>
    <row r="5797" spans="1:4" x14ac:dyDescent="0.25">
      <c r="A5797" s="180">
        <f t="shared" si="90"/>
        <v>7703130</v>
      </c>
      <c r="B5797" t="s">
        <v>2867</v>
      </c>
      <c r="C5797" t="s">
        <v>2868</v>
      </c>
      <c r="D5797" t="s">
        <v>13411</v>
      </c>
    </row>
    <row r="5798" spans="1:4" x14ac:dyDescent="0.25">
      <c r="A5798" s="180">
        <f t="shared" si="90"/>
        <v>7703143</v>
      </c>
      <c r="B5798" t="s">
        <v>2869</v>
      </c>
      <c r="C5798" t="s">
        <v>2870</v>
      </c>
      <c r="D5798" t="s">
        <v>13411</v>
      </c>
    </row>
    <row r="5799" spans="1:4" x14ac:dyDescent="0.25">
      <c r="A5799" s="180">
        <f t="shared" si="90"/>
        <v>7703144</v>
      </c>
      <c r="B5799" t="s">
        <v>13087</v>
      </c>
      <c r="C5799" t="s">
        <v>13088</v>
      </c>
      <c r="D5799" t="s">
        <v>13411</v>
      </c>
    </row>
    <row r="5800" spans="1:4" x14ac:dyDescent="0.25">
      <c r="A5800" s="180">
        <f t="shared" si="90"/>
        <v>7703157</v>
      </c>
      <c r="B5800" t="s">
        <v>2871</v>
      </c>
      <c r="C5800" t="s">
        <v>2872</v>
      </c>
      <c r="D5800" t="s">
        <v>13411</v>
      </c>
    </row>
    <row r="5801" spans="1:4" x14ac:dyDescent="0.25">
      <c r="A5801" s="180">
        <f t="shared" si="90"/>
        <v>7703158</v>
      </c>
      <c r="B5801" t="s">
        <v>2873</v>
      </c>
      <c r="C5801" t="s">
        <v>2874</v>
      </c>
      <c r="D5801" t="s">
        <v>13411</v>
      </c>
    </row>
    <row r="5802" spans="1:4" x14ac:dyDescent="0.25">
      <c r="A5802" s="180">
        <f t="shared" si="90"/>
        <v>7703159</v>
      </c>
      <c r="B5802" t="s">
        <v>2875</v>
      </c>
      <c r="C5802" t="s">
        <v>2876</v>
      </c>
      <c r="D5802" t="s">
        <v>13411</v>
      </c>
    </row>
    <row r="5803" spans="1:4" x14ac:dyDescent="0.25">
      <c r="A5803" s="180">
        <f t="shared" si="90"/>
        <v>7703164</v>
      </c>
      <c r="B5803" t="s">
        <v>2877</v>
      </c>
      <c r="C5803" t="s">
        <v>2878</v>
      </c>
      <c r="D5803" t="s">
        <v>13411</v>
      </c>
    </row>
    <row r="5804" spans="1:4" x14ac:dyDescent="0.25">
      <c r="A5804" s="180">
        <f t="shared" si="90"/>
        <v>7703185</v>
      </c>
      <c r="B5804" t="s">
        <v>2879</v>
      </c>
      <c r="C5804" t="s">
        <v>2880</v>
      </c>
      <c r="D5804" t="s">
        <v>13411</v>
      </c>
    </row>
    <row r="5805" spans="1:4" x14ac:dyDescent="0.25">
      <c r="A5805" s="180">
        <f t="shared" si="90"/>
        <v>7703200</v>
      </c>
      <c r="B5805" t="s">
        <v>2881</v>
      </c>
      <c r="C5805" t="s">
        <v>2882</v>
      </c>
    </row>
    <row r="5806" spans="1:4" x14ac:dyDescent="0.25">
      <c r="A5806" s="180">
        <f t="shared" si="90"/>
        <v>7703250</v>
      </c>
      <c r="B5806" t="s">
        <v>12670</v>
      </c>
      <c r="C5806" t="s">
        <v>12671</v>
      </c>
      <c r="D5806" t="s">
        <v>13411</v>
      </c>
    </row>
    <row r="5807" spans="1:4" x14ac:dyDescent="0.25">
      <c r="A5807" s="180">
        <f t="shared" si="90"/>
        <v>7703251</v>
      </c>
      <c r="B5807" t="s">
        <v>12672</v>
      </c>
      <c r="C5807" t="s">
        <v>12673</v>
      </c>
      <c r="D5807" t="s">
        <v>13411</v>
      </c>
    </row>
    <row r="5808" spans="1:4" x14ac:dyDescent="0.25">
      <c r="A5808" s="180">
        <f t="shared" si="90"/>
        <v>7703252</v>
      </c>
      <c r="B5808" t="s">
        <v>12674</v>
      </c>
      <c r="C5808" t="s">
        <v>12675</v>
      </c>
      <c r="D5808" t="s">
        <v>13411</v>
      </c>
    </row>
    <row r="5809" spans="1:4" x14ac:dyDescent="0.25">
      <c r="A5809" s="180">
        <f t="shared" si="90"/>
        <v>7703253</v>
      </c>
      <c r="B5809" t="s">
        <v>12676</v>
      </c>
      <c r="C5809" t="s">
        <v>12677</v>
      </c>
      <c r="D5809" t="s">
        <v>13411</v>
      </c>
    </row>
    <row r="5810" spans="1:4" x14ac:dyDescent="0.25">
      <c r="A5810" s="180">
        <f t="shared" si="90"/>
        <v>7703254</v>
      </c>
      <c r="B5810" t="s">
        <v>12678</v>
      </c>
      <c r="C5810" t="s">
        <v>12679</v>
      </c>
      <c r="D5810" t="s">
        <v>13411</v>
      </c>
    </row>
    <row r="5811" spans="1:4" x14ac:dyDescent="0.25">
      <c r="A5811" s="180">
        <f t="shared" si="90"/>
        <v>7703255</v>
      </c>
      <c r="B5811" t="s">
        <v>12680</v>
      </c>
      <c r="C5811" t="s">
        <v>12681</v>
      </c>
    </row>
    <row r="5812" spans="1:4" x14ac:dyDescent="0.25">
      <c r="A5812" s="180">
        <f t="shared" si="90"/>
        <v>7703256</v>
      </c>
      <c r="B5812" t="s">
        <v>12682</v>
      </c>
      <c r="C5812" t="s">
        <v>12683</v>
      </c>
    </row>
    <row r="5813" spans="1:4" x14ac:dyDescent="0.25">
      <c r="A5813" s="180">
        <f t="shared" si="90"/>
        <v>7703260</v>
      </c>
      <c r="B5813" t="s">
        <v>2883</v>
      </c>
      <c r="C5813" t="s">
        <v>2884</v>
      </c>
      <c r="D5813" t="s">
        <v>13411</v>
      </c>
    </row>
    <row r="5814" spans="1:4" x14ac:dyDescent="0.25">
      <c r="A5814" s="180">
        <f t="shared" si="90"/>
        <v>7703340</v>
      </c>
      <c r="B5814" t="s">
        <v>2885</v>
      </c>
      <c r="C5814" t="s">
        <v>2886</v>
      </c>
      <c r="D5814" t="s">
        <v>13411</v>
      </c>
    </row>
    <row r="5815" spans="1:4" x14ac:dyDescent="0.25">
      <c r="A5815" s="180">
        <f t="shared" si="90"/>
        <v>7703341</v>
      </c>
      <c r="B5815" t="s">
        <v>2887</v>
      </c>
      <c r="C5815" t="s">
        <v>2888</v>
      </c>
      <c r="D5815" t="s">
        <v>13411</v>
      </c>
    </row>
    <row r="5816" spans="1:4" x14ac:dyDescent="0.25">
      <c r="A5816" s="180">
        <f t="shared" si="90"/>
        <v>7703420</v>
      </c>
      <c r="B5816" t="s">
        <v>2889</v>
      </c>
      <c r="C5816" t="s">
        <v>2890</v>
      </c>
      <c r="D5816" t="s">
        <v>13411</v>
      </c>
    </row>
    <row r="5817" spans="1:4" x14ac:dyDescent="0.25">
      <c r="A5817" s="180">
        <f t="shared" si="90"/>
        <v>7703540</v>
      </c>
      <c r="B5817" t="s">
        <v>2891</v>
      </c>
      <c r="C5817" t="s">
        <v>2892</v>
      </c>
      <c r="D5817" t="s">
        <v>13411</v>
      </c>
    </row>
    <row r="5818" spans="1:4" x14ac:dyDescent="0.25">
      <c r="A5818" s="180">
        <f t="shared" si="90"/>
        <v>7703599</v>
      </c>
      <c r="B5818" t="s">
        <v>2893</v>
      </c>
      <c r="C5818" t="s">
        <v>2894</v>
      </c>
    </row>
    <row r="5819" spans="1:4" x14ac:dyDescent="0.25">
      <c r="A5819" s="180">
        <f t="shared" si="90"/>
        <v>7703600</v>
      </c>
      <c r="B5819" t="s">
        <v>2895</v>
      </c>
      <c r="C5819" t="s">
        <v>2896</v>
      </c>
    </row>
    <row r="5820" spans="1:4" x14ac:dyDescent="0.25">
      <c r="A5820" s="180">
        <f t="shared" si="90"/>
        <v>7703601</v>
      </c>
      <c r="B5820" t="s">
        <v>2897</v>
      </c>
      <c r="C5820" t="s">
        <v>2898</v>
      </c>
      <c r="D5820" t="s">
        <v>13411</v>
      </c>
    </row>
    <row r="5821" spans="1:4" x14ac:dyDescent="0.25">
      <c r="A5821" s="180">
        <f t="shared" si="90"/>
        <v>7703602</v>
      </c>
      <c r="B5821" t="s">
        <v>2899</v>
      </c>
      <c r="C5821" t="s">
        <v>2900</v>
      </c>
      <c r="D5821" t="s">
        <v>13411</v>
      </c>
    </row>
    <row r="5822" spans="1:4" x14ac:dyDescent="0.25">
      <c r="A5822" s="180">
        <f t="shared" si="90"/>
        <v>7703603</v>
      </c>
      <c r="B5822" t="s">
        <v>2901</v>
      </c>
      <c r="C5822" t="s">
        <v>2902</v>
      </c>
      <c r="D5822" t="s">
        <v>13411</v>
      </c>
    </row>
    <row r="5823" spans="1:4" x14ac:dyDescent="0.25">
      <c r="A5823" s="180">
        <f t="shared" ref="A5823:A5886" si="91">IFERROR(B5823*1,"")</f>
        <v>7703604</v>
      </c>
      <c r="B5823" t="s">
        <v>2903</v>
      </c>
      <c r="C5823" t="s">
        <v>2904</v>
      </c>
      <c r="D5823" t="s">
        <v>13411</v>
      </c>
    </row>
    <row r="5824" spans="1:4" x14ac:dyDescent="0.25">
      <c r="A5824" s="180">
        <f t="shared" si="91"/>
        <v>7703605</v>
      </c>
      <c r="B5824" t="s">
        <v>2905</v>
      </c>
      <c r="C5824" t="s">
        <v>2906</v>
      </c>
      <c r="D5824" t="s">
        <v>13411</v>
      </c>
    </row>
    <row r="5825" spans="1:4" x14ac:dyDescent="0.25">
      <c r="A5825" s="180">
        <f t="shared" si="91"/>
        <v>7703606</v>
      </c>
      <c r="B5825" t="s">
        <v>2907</v>
      </c>
      <c r="C5825" t="s">
        <v>2908</v>
      </c>
      <c r="D5825" t="s">
        <v>13411</v>
      </c>
    </row>
    <row r="5826" spans="1:4" x14ac:dyDescent="0.25">
      <c r="A5826" s="180">
        <f t="shared" si="91"/>
        <v>7703607</v>
      </c>
      <c r="B5826" t="s">
        <v>2909</v>
      </c>
      <c r="C5826" t="s">
        <v>2910</v>
      </c>
      <c r="D5826" t="s">
        <v>13411</v>
      </c>
    </row>
    <row r="5827" spans="1:4" x14ac:dyDescent="0.25">
      <c r="A5827" s="180">
        <f t="shared" si="91"/>
        <v>7703640</v>
      </c>
      <c r="B5827" t="s">
        <v>2911</v>
      </c>
      <c r="C5827" t="s">
        <v>2912</v>
      </c>
    </row>
    <row r="5828" spans="1:4" x14ac:dyDescent="0.25">
      <c r="A5828" s="180">
        <f t="shared" si="91"/>
        <v>7703651</v>
      </c>
      <c r="B5828" t="s">
        <v>2913</v>
      </c>
      <c r="C5828" t="s">
        <v>2914</v>
      </c>
    </row>
    <row r="5829" spans="1:4" x14ac:dyDescent="0.25">
      <c r="A5829" s="180">
        <f t="shared" si="91"/>
        <v>7703652</v>
      </c>
      <c r="B5829" t="s">
        <v>2915</v>
      </c>
      <c r="C5829" t="s">
        <v>2916</v>
      </c>
    </row>
    <row r="5830" spans="1:4" x14ac:dyDescent="0.25">
      <c r="A5830" s="180">
        <f t="shared" si="91"/>
        <v>7703653</v>
      </c>
      <c r="B5830" t="s">
        <v>2917</v>
      </c>
      <c r="C5830" t="s">
        <v>2918</v>
      </c>
    </row>
    <row r="5831" spans="1:4" x14ac:dyDescent="0.25">
      <c r="A5831" s="180">
        <f t="shared" si="91"/>
        <v>7703660</v>
      </c>
      <c r="B5831" t="s">
        <v>2919</v>
      </c>
      <c r="C5831" t="s">
        <v>2920</v>
      </c>
      <c r="D5831" t="s">
        <v>13411</v>
      </c>
    </row>
    <row r="5832" spans="1:4" x14ac:dyDescent="0.25">
      <c r="A5832" s="180">
        <f t="shared" si="91"/>
        <v>7703664</v>
      </c>
      <c r="B5832" t="s">
        <v>2921</v>
      </c>
      <c r="C5832" t="s">
        <v>2922</v>
      </c>
      <c r="D5832" t="s">
        <v>13411</v>
      </c>
    </row>
    <row r="5833" spans="1:4" x14ac:dyDescent="0.25">
      <c r="A5833" s="180">
        <f t="shared" si="91"/>
        <v>7703664</v>
      </c>
      <c r="B5833" t="s">
        <v>2921</v>
      </c>
      <c r="C5833" t="s">
        <v>2922</v>
      </c>
      <c r="D5833" t="s">
        <v>13411</v>
      </c>
    </row>
    <row r="5834" spans="1:4" x14ac:dyDescent="0.25">
      <c r="A5834" s="180">
        <f t="shared" si="91"/>
        <v>7703665</v>
      </c>
      <c r="B5834" t="s">
        <v>2923</v>
      </c>
      <c r="C5834" t="s">
        <v>2924</v>
      </c>
      <c r="D5834" t="s">
        <v>13411</v>
      </c>
    </row>
    <row r="5835" spans="1:4" x14ac:dyDescent="0.25">
      <c r="A5835" s="180">
        <f t="shared" si="91"/>
        <v>7703666</v>
      </c>
      <c r="B5835" t="s">
        <v>2925</v>
      </c>
      <c r="C5835" t="s">
        <v>2926</v>
      </c>
      <c r="D5835" t="s">
        <v>13411</v>
      </c>
    </row>
    <row r="5836" spans="1:4" x14ac:dyDescent="0.25">
      <c r="A5836" s="180">
        <f t="shared" si="91"/>
        <v>7703667</v>
      </c>
      <c r="B5836" t="s">
        <v>2927</v>
      </c>
      <c r="C5836" t="s">
        <v>2928</v>
      </c>
      <c r="D5836" t="s">
        <v>13411</v>
      </c>
    </row>
    <row r="5837" spans="1:4" x14ac:dyDescent="0.25">
      <c r="A5837" s="180">
        <f t="shared" si="91"/>
        <v>7703668</v>
      </c>
      <c r="B5837" t="s">
        <v>2929</v>
      </c>
      <c r="C5837" t="s">
        <v>2930</v>
      </c>
      <c r="D5837" t="s">
        <v>13411</v>
      </c>
    </row>
    <row r="5838" spans="1:4" x14ac:dyDescent="0.25">
      <c r="A5838" s="180">
        <f t="shared" si="91"/>
        <v>7703669</v>
      </c>
      <c r="B5838" t="s">
        <v>2931</v>
      </c>
      <c r="C5838" t="s">
        <v>2932</v>
      </c>
      <c r="D5838" t="s">
        <v>13411</v>
      </c>
    </row>
    <row r="5839" spans="1:4" x14ac:dyDescent="0.25">
      <c r="A5839" s="180">
        <f t="shared" si="91"/>
        <v>7703670</v>
      </c>
      <c r="B5839" t="s">
        <v>2933</v>
      </c>
      <c r="C5839" t="s">
        <v>2934</v>
      </c>
      <c r="D5839" t="s">
        <v>13411</v>
      </c>
    </row>
    <row r="5840" spans="1:4" x14ac:dyDescent="0.25">
      <c r="A5840" s="180">
        <f t="shared" si="91"/>
        <v>7703671</v>
      </c>
      <c r="B5840" t="s">
        <v>2935</v>
      </c>
      <c r="C5840" t="s">
        <v>2936</v>
      </c>
    </row>
    <row r="5841" spans="1:4" x14ac:dyDescent="0.25">
      <c r="A5841" s="180">
        <f t="shared" si="91"/>
        <v>7703672</v>
      </c>
      <c r="B5841" t="s">
        <v>2937</v>
      </c>
      <c r="C5841" t="s">
        <v>2938</v>
      </c>
    </row>
    <row r="5842" spans="1:4" x14ac:dyDescent="0.25">
      <c r="A5842" s="180">
        <f t="shared" si="91"/>
        <v>7703673</v>
      </c>
      <c r="B5842" t="s">
        <v>2939</v>
      </c>
      <c r="C5842" t="s">
        <v>2940</v>
      </c>
    </row>
    <row r="5843" spans="1:4" x14ac:dyDescent="0.25">
      <c r="A5843" s="180">
        <f t="shared" si="91"/>
        <v>7703674</v>
      </c>
      <c r="B5843" t="s">
        <v>2941</v>
      </c>
      <c r="C5843" t="s">
        <v>2942</v>
      </c>
    </row>
    <row r="5844" spans="1:4" x14ac:dyDescent="0.25">
      <c r="A5844" s="180">
        <f t="shared" si="91"/>
        <v>7703675</v>
      </c>
      <c r="B5844" t="s">
        <v>2943</v>
      </c>
      <c r="C5844" t="s">
        <v>2944</v>
      </c>
    </row>
    <row r="5845" spans="1:4" x14ac:dyDescent="0.25">
      <c r="A5845" s="180">
        <f t="shared" si="91"/>
        <v>7703676</v>
      </c>
      <c r="B5845" t="s">
        <v>2945</v>
      </c>
      <c r="C5845" t="s">
        <v>2946</v>
      </c>
    </row>
    <row r="5846" spans="1:4" x14ac:dyDescent="0.25">
      <c r="A5846" s="180">
        <f t="shared" si="91"/>
        <v>7703677</v>
      </c>
      <c r="B5846" t="s">
        <v>14268</v>
      </c>
      <c r="C5846" t="s">
        <v>14269</v>
      </c>
      <c r="D5846" t="s">
        <v>13411</v>
      </c>
    </row>
    <row r="5847" spans="1:4" x14ac:dyDescent="0.25">
      <c r="A5847" s="180">
        <f t="shared" si="91"/>
        <v>7703678</v>
      </c>
      <c r="B5847" t="s">
        <v>2947</v>
      </c>
      <c r="C5847" t="s">
        <v>2948</v>
      </c>
    </row>
    <row r="5848" spans="1:4" x14ac:dyDescent="0.25">
      <c r="A5848" s="180">
        <f t="shared" si="91"/>
        <v>7703701</v>
      </c>
      <c r="B5848" t="s">
        <v>2949</v>
      </c>
      <c r="C5848" t="s">
        <v>2950</v>
      </c>
      <c r="D5848" t="s">
        <v>13411</v>
      </c>
    </row>
    <row r="5849" spans="1:4" x14ac:dyDescent="0.25">
      <c r="A5849" s="180">
        <f t="shared" si="91"/>
        <v>7703702</v>
      </c>
      <c r="B5849" t="s">
        <v>2951</v>
      </c>
      <c r="C5849" t="s">
        <v>2952</v>
      </c>
      <c r="D5849" t="s">
        <v>13411</v>
      </c>
    </row>
    <row r="5850" spans="1:4" x14ac:dyDescent="0.25">
      <c r="A5850" s="180">
        <f t="shared" si="91"/>
        <v>7703703</v>
      </c>
      <c r="B5850" t="s">
        <v>2953</v>
      </c>
      <c r="C5850" t="s">
        <v>2954</v>
      </c>
      <c r="D5850" t="s">
        <v>13411</v>
      </c>
    </row>
    <row r="5851" spans="1:4" x14ac:dyDescent="0.25">
      <c r="A5851" s="180">
        <f t="shared" si="91"/>
        <v>7703704</v>
      </c>
      <c r="B5851" t="s">
        <v>2955</v>
      </c>
      <c r="C5851" t="s">
        <v>2956</v>
      </c>
      <c r="D5851" t="s">
        <v>13411</v>
      </c>
    </row>
    <row r="5852" spans="1:4" x14ac:dyDescent="0.25">
      <c r="A5852" s="180">
        <f t="shared" si="91"/>
        <v>7703705</v>
      </c>
      <c r="B5852" t="s">
        <v>2957</v>
      </c>
      <c r="C5852" t="s">
        <v>2958</v>
      </c>
      <c r="D5852" t="s">
        <v>13411</v>
      </c>
    </row>
    <row r="5853" spans="1:4" x14ac:dyDescent="0.25">
      <c r="A5853" s="180">
        <f t="shared" si="91"/>
        <v>7703706</v>
      </c>
      <c r="B5853" t="s">
        <v>2959</v>
      </c>
      <c r="C5853" t="s">
        <v>2960</v>
      </c>
      <c r="D5853" t="s">
        <v>13411</v>
      </c>
    </row>
    <row r="5854" spans="1:4" x14ac:dyDescent="0.25">
      <c r="A5854" s="180">
        <f t="shared" si="91"/>
        <v>7703707</v>
      </c>
      <c r="B5854" t="s">
        <v>2961</v>
      </c>
      <c r="C5854" t="s">
        <v>2962</v>
      </c>
      <c r="D5854" t="s">
        <v>13411</v>
      </c>
    </row>
    <row r="5855" spans="1:4" x14ac:dyDescent="0.25">
      <c r="A5855" s="180">
        <f t="shared" si="91"/>
        <v>7703713</v>
      </c>
      <c r="B5855" t="s">
        <v>2963</v>
      </c>
      <c r="C5855" t="s">
        <v>2964</v>
      </c>
    </row>
    <row r="5856" spans="1:4" x14ac:dyDescent="0.25">
      <c r="A5856" s="180">
        <f t="shared" si="91"/>
        <v>7703716</v>
      </c>
      <c r="B5856" t="s">
        <v>2965</v>
      </c>
      <c r="C5856" t="s">
        <v>2966</v>
      </c>
      <c r="D5856" t="s">
        <v>13411</v>
      </c>
    </row>
    <row r="5857" spans="1:4" x14ac:dyDescent="0.25">
      <c r="A5857" s="180">
        <f t="shared" si="91"/>
        <v>7703777</v>
      </c>
      <c r="B5857" t="s">
        <v>2967</v>
      </c>
      <c r="C5857" t="s">
        <v>2968</v>
      </c>
      <c r="D5857" t="s">
        <v>13411</v>
      </c>
    </row>
    <row r="5858" spans="1:4" x14ac:dyDescent="0.25">
      <c r="A5858" s="180">
        <f t="shared" si="91"/>
        <v>7703780</v>
      </c>
      <c r="B5858" t="s">
        <v>2969</v>
      </c>
      <c r="C5858" t="s">
        <v>2970</v>
      </c>
      <c r="D5858" t="s">
        <v>13411</v>
      </c>
    </row>
    <row r="5859" spans="1:4" x14ac:dyDescent="0.25">
      <c r="A5859" s="180">
        <f t="shared" si="91"/>
        <v>7703801</v>
      </c>
      <c r="B5859" t="s">
        <v>14106</v>
      </c>
      <c r="C5859" t="s">
        <v>14107</v>
      </c>
      <c r="D5859" t="s">
        <v>13411</v>
      </c>
    </row>
    <row r="5860" spans="1:4" x14ac:dyDescent="0.25">
      <c r="A5860" s="180">
        <f t="shared" si="91"/>
        <v>7703802</v>
      </c>
      <c r="B5860" t="s">
        <v>14108</v>
      </c>
      <c r="C5860" t="s">
        <v>14109</v>
      </c>
      <c r="D5860" t="s">
        <v>13411</v>
      </c>
    </row>
    <row r="5861" spans="1:4" x14ac:dyDescent="0.25">
      <c r="A5861" s="180">
        <f t="shared" si="91"/>
        <v>7703803</v>
      </c>
      <c r="B5861" t="s">
        <v>14110</v>
      </c>
      <c r="C5861" t="s">
        <v>14111</v>
      </c>
      <c r="D5861" t="s">
        <v>13411</v>
      </c>
    </row>
    <row r="5862" spans="1:4" x14ac:dyDescent="0.25">
      <c r="A5862" s="180">
        <f t="shared" si="91"/>
        <v>7703804</v>
      </c>
      <c r="B5862" t="s">
        <v>14112</v>
      </c>
      <c r="C5862" t="s">
        <v>14113</v>
      </c>
      <c r="D5862" t="s">
        <v>13411</v>
      </c>
    </row>
    <row r="5863" spans="1:4" x14ac:dyDescent="0.25">
      <c r="A5863" s="180">
        <f t="shared" si="91"/>
        <v>7703805</v>
      </c>
      <c r="B5863" t="s">
        <v>14114</v>
      </c>
      <c r="C5863" t="s">
        <v>14115</v>
      </c>
      <c r="D5863" t="s">
        <v>13411</v>
      </c>
    </row>
    <row r="5864" spans="1:4" x14ac:dyDescent="0.25">
      <c r="A5864" s="180">
        <f t="shared" si="91"/>
        <v>7703806</v>
      </c>
      <c r="B5864" t="s">
        <v>14116</v>
      </c>
      <c r="C5864" t="s">
        <v>14117</v>
      </c>
      <c r="D5864" t="s">
        <v>13411</v>
      </c>
    </row>
    <row r="5865" spans="1:4" x14ac:dyDescent="0.25">
      <c r="A5865" s="180">
        <f t="shared" si="91"/>
        <v>7703807</v>
      </c>
      <c r="B5865" t="s">
        <v>14118</v>
      </c>
      <c r="C5865" t="s">
        <v>14119</v>
      </c>
      <c r="D5865" t="s">
        <v>13411</v>
      </c>
    </row>
    <row r="5866" spans="1:4" x14ac:dyDescent="0.25">
      <c r="A5866" s="180">
        <f t="shared" si="91"/>
        <v>7703815</v>
      </c>
      <c r="B5866" t="s">
        <v>2971</v>
      </c>
      <c r="C5866" t="s">
        <v>2972</v>
      </c>
      <c r="D5866" t="s">
        <v>13411</v>
      </c>
    </row>
    <row r="5867" spans="1:4" x14ac:dyDescent="0.25">
      <c r="A5867" s="180">
        <f t="shared" si="91"/>
        <v>7703881</v>
      </c>
      <c r="B5867" t="s">
        <v>2973</v>
      </c>
      <c r="C5867" t="s">
        <v>2974</v>
      </c>
      <c r="D5867" t="s">
        <v>13411</v>
      </c>
    </row>
    <row r="5868" spans="1:4" x14ac:dyDescent="0.25">
      <c r="A5868" s="180">
        <f t="shared" si="91"/>
        <v>7703888</v>
      </c>
      <c r="B5868" t="s">
        <v>2975</v>
      </c>
      <c r="C5868" t="s">
        <v>6942</v>
      </c>
      <c r="D5868" t="s">
        <v>13411</v>
      </c>
    </row>
    <row r="5869" spans="1:4" x14ac:dyDescent="0.25">
      <c r="A5869" s="180">
        <f t="shared" si="91"/>
        <v>7703900</v>
      </c>
      <c r="B5869" t="s">
        <v>2976</v>
      </c>
      <c r="C5869" t="s">
        <v>2977</v>
      </c>
      <c r="D5869" t="s">
        <v>13411</v>
      </c>
    </row>
    <row r="5870" spans="1:4" x14ac:dyDescent="0.25">
      <c r="A5870" s="180">
        <f t="shared" si="91"/>
        <v>7703901</v>
      </c>
      <c r="B5870" t="s">
        <v>2978</v>
      </c>
      <c r="C5870" t="s">
        <v>2979</v>
      </c>
      <c r="D5870" t="s">
        <v>13411</v>
      </c>
    </row>
    <row r="5871" spans="1:4" x14ac:dyDescent="0.25">
      <c r="A5871" s="180">
        <f t="shared" si="91"/>
        <v>7703902</v>
      </c>
      <c r="B5871" t="s">
        <v>2980</v>
      </c>
      <c r="C5871" t="s">
        <v>2981</v>
      </c>
      <c r="D5871" t="s">
        <v>13411</v>
      </c>
    </row>
    <row r="5872" spans="1:4" x14ac:dyDescent="0.25">
      <c r="A5872" s="180">
        <f t="shared" si="91"/>
        <v>7703903</v>
      </c>
      <c r="B5872" t="s">
        <v>2982</v>
      </c>
      <c r="C5872" t="s">
        <v>2983</v>
      </c>
      <c r="D5872" t="s">
        <v>13411</v>
      </c>
    </row>
    <row r="5873" spans="1:4" x14ac:dyDescent="0.25">
      <c r="A5873" s="180">
        <f t="shared" si="91"/>
        <v>7703910</v>
      </c>
      <c r="B5873" t="s">
        <v>2984</v>
      </c>
      <c r="C5873" t="s">
        <v>2985</v>
      </c>
    </row>
    <row r="5874" spans="1:4" x14ac:dyDescent="0.25">
      <c r="A5874" s="180">
        <f t="shared" si="91"/>
        <v>7703915</v>
      </c>
      <c r="B5874" t="s">
        <v>2986</v>
      </c>
      <c r="C5874" t="s">
        <v>2987</v>
      </c>
      <c r="D5874" t="s">
        <v>13411</v>
      </c>
    </row>
    <row r="5875" spans="1:4" x14ac:dyDescent="0.25">
      <c r="A5875" s="180">
        <f t="shared" si="91"/>
        <v>7703916</v>
      </c>
      <c r="B5875" t="s">
        <v>13089</v>
      </c>
      <c r="C5875" t="s">
        <v>13090</v>
      </c>
    </row>
    <row r="5876" spans="1:4" x14ac:dyDescent="0.25">
      <c r="A5876" s="180">
        <f t="shared" si="91"/>
        <v>7703918</v>
      </c>
      <c r="B5876" t="s">
        <v>2988</v>
      </c>
      <c r="C5876" t="s">
        <v>2989</v>
      </c>
    </row>
    <row r="5877" spans="1:4" x14ac:dyDescent="0.25">
      <c r="A5877" s="180">
        <f t="shared" si="91"/>
        <v>7703920</v>
      </c>
      <c r="B5877" t="s">
        <v>2990</v>
      </c>
      <c r="C5877" t="s">
        <v>2991</v>
      </c>
      <c r="D5877" t="s">
        <v>13411</v>
      </c>
    </row>
    <row r="5878" spans="1:4" x14ac:dyDescent="0.25">
      <c r="A5878" s="180">
        <f t="shared" si="91"/>
        <v>7703951</v>
      </c>
      <c r="B5878" t="s">
        <v>2992</v>
      </c>
      <c r="C5878" t="s">
        <v>2993</v>
      </c>
      <c r="D5878" t="s">
        <v>13411</v>
      </c>
    </row>
    <row r="5879" spans="1:4" x14ac:dyDescent="0.25">
      <c r="A5879" s="180">
        <f t="shared" si="91"/>
        <v>7703987</v>
      </c>
      <c r="B5879" t="s">
        <v>2994</v>
      </c>
      <c r="C5879" t="s">
        <v>2995</v>
      </c>
    </row>
    <row r="5880" spans="1:4" x14ac:dyDescent="0.25">
      <c r="A5880" s="180">
        <f t="shared" si="91"/>
        <v>7703994</v>
      </c>
      <c r="B5880" t="s">
        <v>2996</v>
      </c>
      <c r="C5880" t="s">
        <v>2997</v>
      </c>
      <c r="D5880" t="s">
        <v>13411</v>
      </c>
    </row>
    <row r="5881" spans="1:4" x14ac:dyDescent="0.25">
      <c r="A5881" s="180">
        <f t="shared" si="91"/>
        <v>7703999</v>
      </c>
      <c r="B5881" t="s">
        <v>2998</v>
      </c>
      <c r="C5881" t="s">
        <v>2999</v>
      </c>
      <c r="D5881" t="s">
        <v>13411</v>
      </c>
    </row>
    <row r="5882" spans="1:4" x14ac:dyDescent="0.25">
      <c r="A5882" s="180" t="str">
        <f t="shared" si="91"/>
        <v/>
      </c>
      <c r="B5882" t="s">
        <v>3000</v>
      </c>
    </row>
    <row r="5883" spans="1:4" x14ac:dyDescent="0.25">
      <c r="A5883" s="180">
        <f t="shared" si="91"/>
        <v>7707000</v>
      </c>
      <c r="B5883" t="s">
        <v>3001</v>
      </c>
      <c r="C5883" t="s">
        <v>3002</v>
      </c>
    </row>
    <row r="5884" spans="1:4" x14ac:dyDescent="0.25">
      <c r="A5884" s="180">
        <f t="shared" si="91"/>
        <v>7707001</v>
      </c>
      <c r="B5884" t="s">
        <v>3003</v>
      </c>
      <c r="C5884" t="s">
        <v>3004</v>
      </c>
      <c r="D5884" t="s">
        <v>13411</v>
      </c>
    </row>
    <row r="5885" spans="1:4" x14ac:dyDescent="0.25">
      <c r="A5885" s="180">
        <f t="shared" si="91"/>
        <v>7707002</v>
      </c>
      <c r="B5885" t="s">
        <v>3005</v>
      </c>
      <c r="C5885" t="s">
        <v>3006</v>
      </c>
      <c r="D5885" t="s">
        <v>13411</v>
      </c>
    </row>
    <row r="5886" spans="1:4" x14ac:dyDescent="0.25">
      <c r="A5886" s="180">
        <f t="shared" si="91"/>
        <v>7707003</v>
      </c>
      <c r="B5886" t="s">
        <v>3007</v>
      </c>
      <c r="C5886" t="s">
        <v>3008</v>
      </c>
    </row>
    <row r="5887" spans="1:4" x14ac:dyDescent="0.25">
      <c r="A5887" s="180">
        <f t="shared" ref="A5887:A5950" si="92">IFERROR(B5887*1,"")</f>
        <v>7707004</v>
      </c>
      <c r="B5887" t="s">
        <v>3009</v>
      </c>
      <c r="C5887" t="s">
        <v>3010</v>
      </c>
    </row>
    <row r="5888" spans="1:4" x14ac:dyDescent="0.25">
      <c r="A5888" s="180">
        <f t="shared" si="92"/>
        <v>7707005</v>
      </c>
      <c r="B5888" t="s">
        <v>3011</v>
      </c>
      <c r="C5888" t="s">
        <v>3012</v>
      </c>
    </row>
    <row r="5889" spans="1:4" x14ac:dyDescent="0.25">
      <c r="A5889" s="180">
        <f t="shared" si="92"/>
        <v>7707006</v>
      </c>
      <c r="B5889" t="s">
        <v>3013</v>
      </c>
      <c r="C5889" t="s">
        <v>3014</v>
      </c>
    </row>
    <row r="5890" spans="1:4" x14ac:dyDescent="0.25">
      <c r="A5890" s="180">
        <f t="shared" si="92"/>
        <v>7707007</v>
      </c>
      <c r="B5890" t="s">
        <v>3015</v>
      </c>
      <c r="C5890" t="s">
        <v>14503</v>
      </c>
      <c r="D5890" t="s">
        <v>13411</v>
      </c>
    </row>
    <row r="5891" spans="1:4" x14ac:dyDescent="0.25">
      <c r="A5891" s="180">
        <f t="shared" si="92"/>
        <v>7707008</v>
      </c>
      <c r="B5891" t="s">
        <v>14031</v>
      </c>
      <c r="C5891" t="s">
        <v>14032</v>
      </c>
      <c r="D5891" t="s">
        <v>13411</v>
      </c>
    </row>
    <row r="5892" spans="1:4" x14ac:dyDescent="0.25">
      <c r="A5892" s="180">
        <f t="shared" si="92"/>
        <v>7707009</v>
      </c>
      <c r="B5892" t="s">
        <v>3016</v>
      </c>
      <c r="C5892" t="s">
        <v>3017</v>
      </c>
    </row>
    <row r="5893" spans="1:4" x14ac:dyDescent="0.25">
      <c r="A5893" s="180">
        <f t="shared" si="92"/>
        <v>7707010</v>
      </c>
      <c r="B5893" t="s">
        <v>3018</v>
      </c>
      <c r="C5893" t="s">
        <v>3019</v>
      </c>
    </row>
    <row r="5894" spans="1:4" x14ac:dyDescent="0.25">
      <c r="A5894" s="180">
        <f t="shared" si="92"/>
        <v>7707011</v>
      </c>
      <c r="B5894" t="s">
        <v>3020</v>
      </c>
      <c r="C5894" t="s">
        <v>3021</v>
      </c>
      <c r="D5894" t="s">
        <v>13411</v>
      </c>
    </row>
    <row r="5895" spans="1:4" x14ac:dyDescent="0.25">
      <c r="A5895" s="180">
        <f t="shared" si="92"/>
        <v>7707012</v>
      </c>
      <c r="B5895" t="s">
        <v>3022</v>
      </c>
      <c r="C5895" t="s">
        <v>3023</v>
      </c>
      <c r="D5895" t="s">
        <v>13411</v>
      </c>
    </row>
    <row r="5896" spans="1:4" x14ac:dyDescent="0.25">
      <c r="A5896" s="180">
        <f t="shared" si="92"/>
        <v>7707013</v>
      </c>
      <c r="B5896" t="s">
        <v>3024</v>
      </c>
      <c r="C5896" t="s">
        <v>3025</v>
      </c>
      <c r="D5896" t="s">
        <v>13411</v>
      </c>
    </row>
    <row r="5897" spans="1:4" x14ac:dyDescent="0.25">
      <c r="A5897" s="180">
        <f t="shared" si="92"/>
        <v>7707014</v>
      </c>
      <c r="B5897" t="s">
        <v>3026</v>
      </c>
      <c r="C5897" t="s">
        <v>3027</v>
      </c>
    </row>
    <row r="5898" spans="1:4" x14ac:dyDescent="0.25">
      <c r="A5898" s="180">
        <f t="shared" si="92"/>
        <v>7707015</v>
      </c>
      <c r="B5898" t="s">
        <v>3028</v>
      </c>
      <c r="C5898" t="s">
        <v>3029</v>
      </c>
    </row>
    <row r="5899" spans="1:4" x14ac:dyDescent="0.25">
      <c r="A5899" s="180">
        <f t="shared" si="92"/>
        <v>7707016</v>
      </c>
      <c r="B5899" t="s">
        <v>3030</v>
      </c>
      <c r="C5899" t="s">
        <v>3031</v>
      </c>
    </row>
    <row r="5900" spans="1:4" x14ac:dyDescent="0.25">
      <c r="A5900" s="180">
        <f t="shared" si="92"/>
        <v>7707017</v>
      </c>
      <c r="B5900" t="s">
        <v>3032</v>
      </c>
      <c r="C5900" t="s">
        <v>3033</v>
      </c>
      <c r="D5900" t="s">
        <v>13411</v>
      </c>
    </row>
    <row r="5901" spans="1:4" x14ac:dyDescent="0.25">
      <c r="A5901" s="180">
        <f t="shared" si="92"/>
        <v>7707018</v>
      </c>
      <c r="B5901" t="s">
        <v>3034</v>
      </c>
      <c r="C5901" t="s">
        <v>3035</v>
      </c>
    </row>
    <row r="5902" spans="1:4" x14ac:dyDescent="0.25">
      <c r="A5902" s="180">
        <f t="shared" si="92"/>
        <v>7707019</v>
      </c>
      <c r="B5902" t="s">
        <v>3036</v>
      </c>
      <c r="C5902" t="s">
        <v>3037</v>
      </c>
    </row>
    <row r="5903" spans="1:4" x14ac:dyDescent="0.25">
      <c r="A5903" s="180">
        <f t="shared" si="92"/>
        <v>7707020</v>
      </c>
      <c r="B5903" t="s">
        <v>3038</v>
      </c>
      <c r="C5903" t="s">
        <v>3039</v>
      </c>
    </row>
    <row r="5904" spans="1:4" x14ac:dyDescent="0.25">
      <c r="A5904" s="180">
        <f t="shared" si="92"/>
        <v>7707021</v>
      </c>
      <c r="B5904" t="s">
        <v>3040</v>
      </c>
      <c r="C5904" t="s">
        <v>3041</v>
      </c>
      <c r="D5904" t="s">
        <v>13411</v>
      </c>
    </row>
    <row r="5905" spans="1:4" x14ac:dyDescent="0.25">
      <c r="A5905" s="180">
        <f t="shared" si="92"/>
        <v>7707022</v>
      </c>
      <c r="B5905" t="s">
        <v>6943</v>
      </c>
      <c r="C5905" t="s">
        <v>6944</v>
      </c>
    </row>
    <row r="5906" spans="1:4" x14ac:dyDescent="0.25">
      <c r="A5906" s="180">
        <f t="shared" si="92"/>
        <v>7707023</v>
      </c>
      <c r="B5906" t="s">
        <v>12811</v>
      </c>
      <c r="C5906" t="s">
        <v>12812</v>
      </c>
      <c r="D5906" t="s">
        <v>13411</v>
      </c>
    </row>
    <row r="5907" spans="1:4" x14ac:dyDescent="0.25">
      <c r="A5907" s="180">
        <f t="shared" si="92"/>
        <v>7707024</v>
      </c>
      <c r="B5907" t="s">
        <v>13897</v>
      </c>
      <c r="C5907" t="s">
        <v>13898</v>
      </c>
      <c r="D5907" t="s">
        <v>13411</v>
      </c>
    </row>
    <row r="5908" spans="1:4" x14ac:dyDescent="0.25">
      <c r="A5908" s="180">
        <f t="shared" si="92"/>
        <v>7707025</v>
      </c>
      <c r="B5908" t="s">
        <v>3042</v>
      </c>
      <c r="C5908" t="s">
        <v>3043</v>
      </c>
      <c r="D5908" t="s">
        <v>13411</v>
      </c>
    </row>
    <row r="5909" spans="1:4" x14ac:dyDescent="0.25">
      <c r="A5909" s="180">
        <f t="shared" si="92"/>
        <v>7707026</v>
      </c>
      <c r="B5909" t="s">
        <v>12813</v>
      </c>
      <c r="C5909" t="s">
        <v>12814</v>
      </c>
      <c r="D5909" t="s">
        <v>13411</v>
      </c>
    </row>
    <row r="5910" spans="1:4" x14ac:dyDescent="0.25">
      <c r="A5910" s="180">
        <f t="shared" si="92"/>
        <v>7707027</v>
      </c>
      <c r="B5910" t="s">
        <v>12815</v>
      </c>
      <c r="C5910" t="s">
        <v>14120</v>
      </c>
      <c r="D5910" t="s">
        <v>13411</v>
      </c>
    </row>
    <row r="5911" spans="1:4" x14ac:dyDescent="0.25">
      <c r="A5911" s="180">
        <f t="shared" si="92"/>
        <v>7707028</v>
      </c>
      <c r="B5911" t="s">
        <v>13899</v>
      </c>
      <c r="C5911" t="s">
        <v>14121</v>
      </c>
      <c r="D5911" t="s">
        <v>13411</v>
      </c>
    </row>
    <row r="5912" spans="1:4" x14ac:dyDescent="0.25">
      <c r="A5912" s="180">
        <f t="shared" si="92"/>
        <v>7707051</v>
      </c>
      <c r="B5912" t="s">
        <v>3044</v>
      </c>
      <c r="C5912" t="s">
        <v>3045</v>
      </c>
    </row>
    <row r="5913" spans="1:4" x14ac:dyDescent="0.25">
      <c r="A5913" s="180">
        <f t="shared" si="92"/>
        <v>7707060</v>
      </c>
      <c r="B5913" t="s">
        <v>3046</v>
      </c>
      <c r="C5913" t="s">
        <v>3047</v>
      </c>
    </row>
    <row r="5914" spans="1:4" x14ac:dyDescent="0.25">
      <c r="A5914" s="180">
        <f t="shared" si="92"/>
        <v>7707061</v>
      </c>
      <c r="B5914" t="s">
        <v>3048</v>
      </c>
      <c r="C5914" t="s">
        <v>3049</v>
      </c>
      <c r="D5914" t="s">
        <v>13411</v>
      </c>
    </row>
    <row r="5915" spans="1:4" x14ac:dyDescent="0.25">
      <c r="A5915" s="180">
        <f t="shared" si="92"/>
        <v>7707070</v>
      </c>
      <c r="B5915" t="s">
        <v>3050</v>
      </c>
      <c r="C5915" t="s">
        <v>3051</v>
      </c>
      <c r="D5915" t="s">
        <v>13411</v>
      </c>
    </row>
    <row r="5916" spans="1:4" x14ac:dyDescent="0.25">
      <c r="A5916" s="180">
        <f t="shared" si="92"/>
        <v>7707071</v>
      </c>
      <c r="B5916" t="s">
        <v>3052</v>
      </c>
      <c r="C5916" t="s">
        <v>3053</v>
      </c>
    </row>
    <row r="5917" spans="1:4" x14ac:dyDescent="0.25">
      <c r="A5917" s="180">
        <f t="shared" si="92"/>
        <v>7707074</v>
      </c>
      <c r="B5917" t="s">
        <v>3054</v>
      </c>
      <c r="C5917" t="s">
        <v>3055</v>
      </c>
    </row>
    <row r="5918" spans="1:4" x14ac:dyDescent="0.25">
      <c r="A5918" s="180">
        <f t="shared" si="92"/>
        <v>7707079</v>
      </c>
      <c r="B5918" t="s">
        <v>3056</v>
      </c>
      <c r="C5918" t="s">
        <v>3057</v>
      </c>
    </row>
    <row r="5919" spans="1:4" x14ac:dyDescent="0.25">
      <c r="A5919" s="180">
        <f t="shared" si="92"/>
        <v>7707081</v>
      </c>
      <c r="B5919" t="s">
        <v>3058</v>
      </c>
      <c r="C5919" t="s">
        <v>3059</v>
      </c>
      <c r="D5919" t="s">
        <v>13411</v>
      </c>
    </row>
    <row r="5920" spans="1:4" x14ac:dyDescent="0.25">
      <c r="A5920" s="180">
        <f t="shared" si="92"/>
        <v>7707100</v>
      </c>
      <c r="B5920" t="s">
        <v>3060</v>
      </c>
      <c r="C5920" t="s">
        <v>3061</v>
      </c>
      <c r="D5920" t="s">
        <v>13411</v>
      </c>
    </row>
    <row r="5921" spans="1:4" x14ac:dyDescent="0.25">
      <c r="A5921" s="180">
        <f t="shared" si="92"/>
        <v>7707105</v>
      </c>
      <c r="B5921" t="s">
        <v>3062</v>
      </c>
      <c r="C5921" t="s">
        <v>3063</v>
      </c>
      <c r="D5921" t="s">
        <v>13411</v>
      </c>
    </row>
    <row r="5922" spans="1:4" x14ac:dyDescent="0.25">
      <c r="A5922" s="180">
        <f t="shared" si="92"/>
        <v>7707110</v>
      </c>
      <c r="B5922" t="s">
        <v>3064</v>
      </c>
      <c r="C5922" t="s">
        <v>3065</v>
      </c>
    </row>
    <row r="5923" spans="1:4" x14ac:dyDescent="0.25">
      <c r="A5923" s="180">
        <f t="shared" si="92"/>
        <v>7707113</v>
      </c>
      <c r="B5923" t="s">
        <v>3066</v>
      </c>
      <c r="C5923" t="s">
        <v>3067</v>
      </c>
      <c r="D5923" t="s">
        <v>13411</v>
      </c>
    </row>
    <row r="5924" spans="1:4" x14ac:dyDescent="0.25">
      <c r="A5924" s="180">
        <f t="shared" si="92"/>
        <v>7707115</v>
      </c>
      <c r="B5924" t="s">
        <v>3068</v>
      </c>
      <c r="C5924" t="s">
        <v>3069</v>
      </c>
      <c r="D5924" t="s">
        <v>13411</v>
      </c>
    </row>
    <row r="5925" spans="1:4" x14ac:dyDescent="0.25">
      <c r="A5925" s="180">
        <f t="shared" si="92"/>
        <v>7707116</v>
      </c>
      <c r="B5925" t="s">
        <v>3070</v>
      </c>
      <c r="C5925" t="s">
        <v>3071</v>
      </c>
    </row>
    <row r="5926" spans="1:4" x14ac:dyDescent="0.25">
      <c r="A5926" s="180">
        <f t="shared" si="92"/>
        <v>7707120</v>
      </c>
      <c r="B5926" t="s">
        <v>3072</v>
      </c>
      <c r="C5926" t="s">
        <v>3073</v>
      </c>
      <c r="D5926" t="s">
        <v>13411</v>
      </c>
    </row>
    <row r="5927" spans="1:4" x14ac:dyDescent="0.25">
      <c r="A5927" s="180">
        <f t="shared" si="92"/>
        <v>7707122</v>
      </c>
      <c r="B5927" t="s">
        <v>3074</v>
      </c>
      <c r="C5927" t="s">
        <v>3075</v>
      </c>
      <c r="D5927" t="s">
        <v>13411</v>
      </c>
    </row>
    <row r="5928" spans="1:4" x14ac:dyDescent="0.25">
      <c r="A5928" s="180">
        <f t="shared" si="92"/>
        <v>7707136</v>
      </c>
      <c r="B5928" t="s">
        <v>3076</v>
      </c>
      <c r="C5928" t="s">
        <v>3077</v>
      </c>
      <c r="D5928" t="s">
        <v>13411</v>
      </c>
    </row>
    <row r="5929" spans="1:4" x14ac:dyDescent="0.25">
      <c r="A5929" s="180">
        <f t="shared" si="92"/>
        <v>7707137</v>
      </c>
      <c r="B5929" t="s">
        <v>14122</v>
      </c>
      <c r="C5929" t="s">
        <v>14123</v>
      </c>
      <c r="D5929" t="s">
        <v>13411</v>
      </c>
    </row>
    <row r="5930" spans="1:4" x14ac:dyDescent="0.25">
      <c r="A5930" s="180">
        <f t="shared" si="92"/>
        <v>7707139</v>
      </c>
      <c r="B5930" t="s">
        <v>3078</v>
      </c>
      <c r="C5930" t="s">
        <v>3079</v>
      </c>
      <c r="D5930" t="s">
        <v>13411</v>
      </c>
    </row>
    <row r="5931" spans="1:4" x14ac:dyDescent="0.25">
      <c r="A5931" s="180">
        <f t="shared" si="92"/>
        <v>7707154</v>
      </c>
      <c r="B5931" t="s">
        <v>3080</v>
      </c>
      <c r="C5931" t="s">
        <v>3081</v>
      </c>
      <c r="D5931" t="s">
        <v>13411</v>
      </c>
    </row>
    <row r="5932" spans="1:4" x14ac:dyDescent="0.25">
      <c r="A5932" s="180">
        <f t="shared" si="92"/>
        <v>7707159</v>
      </c>
      <c r="B5932" t="s">
        <v>3082</v>
      </c>
      <c r="C5932" t="s">
        <v>3083</v>
      </c>
      <c r="D5932" t="s">
        <v>13411</v>
      </c>
    </row>
    <row r="5933" spans="1:4" x14ac:dyDescent="0.25">
      <c r="A5933" s="180">
        <f t="shared" si="92"/>
        <v>7707160</v>
      </c>
      <c r="B5933" t="s">
        <v>3084</v>
      </c>
      <c r="C5933" t="s">
        <v>3085</v>
      </c>
      <c r="D5933" t="s">
        <v>13411</v>
      </c>
    </row>
    <row r="5934" spans="1:4" x14ac:dyDescent="0.25">
      <c r="A5934" s="180">
        <f t="shared" si="92"/>
        <v>7707161</v>
      </c>
      <c r="B5934" t="s">
        <v>3086</v>
      </c>
      <c r="C5934" t="s">
        <v>3087</v>
      </c>
      <c r="D5934" t="s">
        <v>13411</v>
      </c>
    </row>
    <row r="5935" spans="1:4" x14ac:dyDescent="0.25">
      <c r="A5935" s="180">
        <f t="shared" si="92"/>
        <v>7707170</v>
      </c>
      <c r="B5935" t="s">
        <v>3088</v>
      </c>
      <c r="C5935" t="s">
        <v>3089</v>
      </c>
    </row>
    <row r="5936" spans="1:4" x14ac:dyDescent="0.25">
      <c r="A5936" s="180">
        <f t="shared" si="92"/>
        <v>7707200</v>
      </c>
      <c r="B5936" t="s">
        <v>3090</v>
      </c>
      <c r="C5936" t="s">
        <v>3091</v>
      </c>
    </row>
    <row r="5937" spans="1:4" x14ac:dyDescent="0.25">
      <c r="A5937" s="180">
        <f t="shared" si="92"/>
        <v>7707220</v>
      </c>
      <c r="B5937" t="s">
        <v>3092</v>
      </c>
      <c r="C5937" t="s">
        <v>3093</v>
      </c>
      <c r="D5937" t="s">
        <v>13411</v>
      </c>
    </row>
    <row r="5938" spans="1:4" x14ac:dyDescent="0.25">
      <c r="A5938" s="180">
        <f t="shared" si="92"/>
        <v>7707222</v>
      </c>
      <c r="B5938" t="s">
        <v>3094</v>
      </c>
      <c r="C5938" t="s">
        <v>3095</v>
      </c>
    </row>
    <row r="5939" spans="1:4" x14ac:dyDescent="0.25">
      <c r="A5939" s="180">
        <f t="shared" si="92"/>
        <v>7707223</v>
      </c>
      <c r="B5939" t="s">
        <v>3096</v>
      </c>
      <c r="C5939" t="s">
        <v>3097</v>
      </c>
      <c r="D5939" t="s">
        <v>13411</v>
      </c>
    </row>
    <row r="5940" spans="1:4" x14ac:dyDescent="0.25">
      <c r="A5940" s="180">
        <f t="shared" si="92"/>
        <v>7707226</v>
      </c>
      <c r="B5940" t="s">
        <v>3098</v>
      </c>
      <c r="C5940" t="s">
        <v>3099</v>
      </c>
    </row>
    <row r="5941" spans="1:4" x14ac:dyDescent="0.25">
      <c r="A5941" s="180">
        <f t="shared" si="92"/>
        <v>7707235</v>
      </c>
      <c r="B5941" t="s">
        <v>3100</v>
      </c>
      <c r="C5941" t="s">
        <v>3101</v>
      </c>
      <c r="D5941" t="s">
        <v>13411</v>
      </c>
    </row>
    <row r="5942" spans="1:4" x14ac:dyDescent="0.25">
      <c r="A5942" s="180">
        <f t="shared" si="92"/>
        <v>7707236</v>
      </c>
      <c r="B5942" t="s">
        <v>3102</v>
      </c>
      <c r="C5942" t="s">
        <v>3103</v>
      </c>
    </row>
    <row r="5943" spans="1:4" x14ac:dyDescent="0.25">
      <c r="A5943" s="180">
        <f t="shared" si="92"/>
        <v>7707237</v>
      </c>
      <c r="B5943" t="s">
        <v>3104</v>
      </c>
      <c r="C5943" t="s">
        <v>3105</v>
      </c>
      <c r="D5943" t="s">
        <v>13411</v>
      </c>
    </row>
    <row r="5944" spans="1:4" x14ac:dyDescent="0.25">
      <c r="A5944" s="180">
        <f t="shared" si="92"/>
        <v>7707246</v>
      </c>
      <c r="B5944" t="s">
        <v>3106</v>
      </c>
      <c r="C5944" t="s">
        <v>3107</v>
      </c>
      <c r="D5944" t="s">
        <v>13411</v>
      </c>
    </row>
    <row r="5945" spans="1:4" x14ac:dyDescent="0.25">
      <c r="A5945" s="180">
        <f t="shared" si="92"/>
        <v>7707260</v>
      </c>
      <c r="B5945" t="s">
        <v>3108</v>
      </c>
      <c r="C5945" t="s">
        <v>3109</v>
      </c>
      <c r="D5945" t="s">
        <v>13411</v>
      </c>
    </row>
    <row r="5946" spans="1:4" x14ac:dyDescent="0.25">
      <c r="A5946" s="180">
        <f t="shared" si="92"/>
        <v>7707266</v>
      </c>
      <c r="B5946" t="s">
        <v>3110</v>
      </c>
      <c r="C5946" t="s">
        <v>3111</v>
      </c>
      <c r="D5946" t="s">
        <v>13411</v>
      </c>
    </row>
    <row r="5947" spans="1:4" x14ac:dyDescent="0.25">
      <c r="A5947" s="180">
        <f t="shared" si="92"/>
        <v>7707267</v>
      </c>
      <c r="B5947" t="s">
        <v>3112</v>
      </c>
      <c r="C5947" t="s">
        <v>3113</v>
      </c>
    </row>
    <row r="5948" spans="1:4" x14ac:dyDescent="0.25">
      <c r="A5948" s="180">
        <f t="shared" si="92"/>
        <v>7707273</v>
      </c>
      <c r="B5948" t="s">
        <v>3114</v>
      </c>
      <c r="C5948" t="s">
        <v>3115</v>
      </c>
      <c r="D5948" t="s">
        <v>13411</v>
      </c>
    </row>
    <row r="5949" spans="1:4" x14ac:dyDescent="0.25">
      <c r="A5949" s="180">
        <f t="shared" si="92"/>
        <v>7707274</v>
      </c>
      <c r="B5949" t="s">
        <v>3116</v>
      </c>
      <c r="C5949" t="s">
        <v>3117</v>
      </c>
      <c r="D5949" t="s">
        <v>13411</v>
      </c>
    </row>
    <row r="5950" spans="1:4" x14ac:dyDescent="0.25">
      <c r="A5950" s="180">
        <f t="shared" si="92"/>
        <v>7707275</v>
      </c>
      <c r="B5950" t="s">
        <v>3118</v>
      </c>
      <c r="C5950" t="s">
        <v>3119</v>
      </c>
      <c r="D5950" t="s">
        <v>13411</v>
      </c>
    </row>
    <row r="5951" spans="1:4" x14ac:dyDescent="0.25">
      <c r="A5951" s="180">
        <f t="shared" ref="A5951:A6014" si="93">IFERROR(B5951*1,"")</f>
        <v>7707276</v>
      </c>
      <c r="B5951" t="s">
        <v>3120</v>
      </c>
      <c r="C5951" t="s">
        <v>3121</v>
      </c>
      <c r="D5951" t="s">
        <v>13411</v>
      </c>
    </row>
    <row r="5952" spans="1:4" x14ac:dyDescent="0.25">
      <c r="A5952" s="180">
        <f t="shared" si="93"/>
        <v>7707277</v>
      </c>
      <c r="B5952" t="s">
        <v>3122</v>
      </c>
      <c r="C5952" t="s">
        <v>3123</v>
      </c>
      <c r="D5952" t="s">
        <v>13411</v>
      </c>
    </row>
    <row r="5953" spans="1:4" x14ac:dyDescent="0.25">
      <c r="A5953" s="180">
        <f t="shared" si="93"/>
        <v>7707278</v>
      </c>
      <c r="B5953" t="s">
        <v>3124</v>
      </c>
      <c r="C5953" t="s">
        <v>3125</v>
      </c>
      <c r="D5953" t="s">
        <v>13411</v>
      </c>
    </row>
    <row r="5954" spans="1:4" x14ac:dyDescent="0.25">
      <c r="A5954" s="180">
        <f t="shared" si="93"/>
        <v>7707279</v>
      </c>
      <c r="B5954" t="s">
        <v>3126</v>
      </c>
      <c r="C5954" t="s">
        <v>3127</v>
      </c>
      <c r="D5954" t="s">
        <v>13411</v>
      </c>
    </row>
    <row r="5955" spans="1:4" x14ac:dyDescent="0.25">
      <c r="A5955" s="180">
        <f t="shared" si="93"/>
        <v>7707280</v>
      </c>
      <c r="B5955" t="s">
        <v>3128</v>
      </c>
      <c r="C5955" t="s">
        <v>3129</v>
      </c>
    </row>
    <row r="5956" spans="1:4" x14ac:dyDescent="0.25">
      <c r="A5956" s="180">
        <f t="shared" si="93"/>
        <v>7707281</v>
      </c>
      <c r="B5956" t="s">
        <v>3130</v>
      </c>
      <c r="C5956" t="s">
        <v>3131</v>
      </c>
      <c r="D5956" t="s">
        <v>13411</v>
      </c>
    </row>
    <row r="5957" spans="1:4" x14ac:dyDescent="0.25">
      <c r="A5957" s="180">
        <f t="shared" si="93"/>
        <v>7707282</v>
      </c>
      <c r="B5957" t="s">
        <v>6945</v>
      </c>
      <c r="C5957" t="s">
        <v>6946</v>
      </c>
      <c r="D5957" t="s">
        <v>13411</v>
      </c>
    </row>
    <row r="5958" spans="1:4" x14ac:dyDescent="0.25">
      <c r="A5958" s="180">
        <f t="shared" si="93"/>
        <v>7707283</v>
      </c>
      <c r="B5958" t="s">
        <v>3132</v>
      </c>
      <c r="C5958" t="s">
        <v>6947</v>
      </c>
      <c r="D5958" t="s">
        <v>13411</v>
      </c>
    </row>
    <row r="5959" spans="1:4" x14ac:dyDescent="0.25">
      <c r="A5959" s="180">
        <f t="shared" si="93"/>
        <v>7707284</v>
      </c>
      <c r="B5959" t="s">
        <v>3133</v>
      </c>
      <c r="C5959" t="s">
        <v>6948</v>
      </c>
      <c r="D5959" t="s">
        <v>13411</v>
      </c>
    </row>
    <row r="5960" spans="1:4" x14ac:dyDescent="0.25">
      <c r="A5960" s="180">
        <f t="shared" si="93"/>
        <v>7707285</v>
      </c>
      <c r="B5960" t="s">
        <v>3134</v>
      </c>
      <c r="C5960" t="s">
        <v>3135</v>
      </c>
    </row>
    <row r="5961" spans="1:4" x14ac:dyDescent="0.25">
      <c r="A5961" s="180">
        <f t="shared" si="93"/>
        <v>7707288</v>
      </c>
      <c r="B5961" t="s">
        <v>3136</v>
      </c>
      <c r="C5961" t="s">
        <v>3137</v>
      </c>
      <c r="D5961" t="s">
        <v>13411</v>
      </c>
    </row>
    <row r="5962" spans="1:4" x14ac:dyDescent="0.25">
      <c r="A5962" s="180">
        <f t="shared" si="93"/>
        <v>7707289</v>
      </c>
      <c r="B5962" t="s">
        <v>3138</v>
      </c>
      <c r="C5962" t="s">
        <v>3139</v>
      </c>
      <c r="D5962" t="s">
        <v>13411</v>
      </c>
    </row>
    <row r="5963" spans="1:4" x14ac:dyDescent="0.25">
      <c r="A5963" s="180">
        <f t="shared" si="93"/>
        <v>7707290</v>
      </c>
      <c r="B5963" t="s">
        <v>3140</v>
      </c>
      <c r="C5963" t="s">
        <v>3141</v>
      </c>
      <c r="D5963" t="s">
        <v>13411</v>
      </c>
    </row>
    <row r="5964" spans="1:4" x14ac:dyDescent="0.25">
      <c r="A5964" s="180">
        <f t="shared" si="93"/>
        <v>7707291</v>
      </c>
      <c r="B5964" t="s">
        <v>3142</v>
      </c>
      <c r="C5964" t="s">
        <v>3143</v>
      </c>
      <c r="D5964" t="s">
        <v>13411</v>
      </c>
    </row>
    <row r="5965" spans="1:4" x14ac:dyDescent="0.25">
      <c r="A5965" s="180">
        <f t="shared" si="93"/>
        <v>7707292</v>
      </c>
      <c r="B5965" t="s">
        <v>3144</v>
      </c>
      <c r="C5965" t="s">
        <v>3145</v>
      </c>
      <c r="D5965" t="s">
        <v>13411</v>
      </c>
    </row>
    <row r="5966" spans="1:4" x14ac:dyDescent="0.25">
      <c r="A5966" s="180">
        <f t="shared" si="93"/>
        <v>7707293</v>
      </c>
      <c r="B5966" t="s">
        <v>3146</v>
      </c>
      <c r="C5966" t="s">
        <v>3147</v>
      </c>
      <c r="D5966" t="s">
        <v>13411</v>
      </c>
    </row>
    <row r="5967" spans="1:4" x14ac:dyDescent="0.25">
      <c r="A5967" s="180">
        <f t="shared" si="93"/>
        <v>7707294</v>
      </c>
      <c r="B5967" t="s">
        <v>3148</v>
      </c>
      <c r="C5967" t="s">
        <v>3149</v>
      </c>
    </row>
    <row r="5968" spans="1:4" x14ac:dyDescent="0.25">
      <c r="A5968" s="180">
        <f t="shared" si="93"/>
        <v>7707298</v>
      </c>
      <c r="B5968" t="s">
        <v>3150</v>
      </c>
      <c r="C5968" t="s">
        <v>3151</v>
      </c>
      <c r="D5968" t="s">
        <v>13411</v>
      </c>
    </row>
    <row r="5969" spans="1:4" x14ac:dyDescent="0.25">
      <c r="A5969" s="180">
        <f t="shared" si="93"/>
        <v>7707299</v>
      </c>
      <c r="B5969" t="s">
        <v>3152</v>
      </c>
      <c r="C5969" t="s">
        <v>3153</v>
      </c>
      <c r="D5969" t="s">
        <v>13411</v>
      </c>
    </row>
    <row r="5970" spans="1:4" x14ac:dyDescent="0.25">
      <c r="A5970" s="180">
        <f t="shared" si="93"/>
        <v>7707301</v>
      </c>
      <c r="B5970" t="s">
        <v>14504</v>
      </c>
      <c r="C5970" t="s">
        <v>14505</v>
      </c>
      <c r="D5970" t="s">
        <v>13411</v>
      </c>
    </row>
    <row r="5971" spans="1:4" x14ac:dyDescent="0.25">
      <c r="A5971" s="180">
        <f t="shared" si="93"/>
        <v>7707318</v>
      </c>
      <c r="B5971" t="s">
        <v>3154</v>
      </c>
      <c r="C5971" t="s">
        <v>3155</v>
      </c>
      <c r="D5971" t="s">
        <v>13411</v>
      </c>
    </row>
    <row r="5972" spans="1:4" x14ac:dyDescent="0.25">
      <c r="A5972" s="180">
        <f t="shared" si="93"/>
        <v>7707319</v>
      </c>
      <c r="B5972" t="s">
        <v>3156</v>
      </c>
      <c r="C5972" t="s">
        <v>3155</v>
      </c>
    </row>
    <row r="5973" spans="1:4" x14ac:dyDescent="0.25">
      <c r="A5973" s="180">
        <f t="shared" si="93"/>
        <v>7707320</v>
      </c>
      <c r="B5973" t="s">
        <v>3157</v>
      </c>
      <c r="C5973" t="s">
        <v>3158</v>
      </c>
      <c r="D5973" t="s">
        <v>13411</v>
      </c>
    </row>
    <row r="5974" spans="1:4" x14ac:dyDescent="0.25">
      <c r="A5974" s="180">
        <f t="shared" si="93"/>
        <v>7707321</v>
      </c>
      <c r="B5974" t="s">
        <v>3159</v>
      </c>
      <c r="C5974" t="s">
        <v>3160</v>
      </c>
      <c r="D5974" t="s">
        <v>13411</v>
      </c>
    </row>
    <row r="5975" spans="1:4" x14ac:dyDescent="0.25">
      <c r="A5975" s="180">
        <f t="shared" si="93"/>
        <v>7707322</v>
      </c>
      <c r="B5975" t="s">
        <v>3161</v>
      </c>
      <c r="C5975" t="s">
        <v>3162</v>
      </c>
      <c r="D5975" t="s">
        <v>13411</v>
      </c>
    </row>
    <row r="5976" spans="1:4" x14ac:dyDescent="0.25">
      <c r="A5976" s="180">
        <f t="shared" si="93"/>
        <v>7707324</v>
      </c>
      <c r="B5976" t="s">
        <v>3163</v>
      </c>
      <c r="C5976" t="s">
        <v>3164</v>
      </c>
      <c r="D5976" t="s">
        <v>13411</v>
      </c>
    </row>
    <row r="5977" spans="1:4" x14ac:dyDescent="0.25">
      <c r="A5977" s="180">
        <f t="shared" si="93"/>
        <v>7707325</v>
      </c>
      <c r="B5977" t="s">
        <v>3165</v>
      </c>
      <c r="C5977" t="s">
        <v>3166</v>
      </c>
    </row>
    <row r="5978" spans="1:4" x14ac:dyDescent="0.25">
      <c r="A5978" s="180">
        <f t="shared" si="93"/>
        <v>7707333</v>
      </c>
      <c r="B5978" t="s">
        <v>3167</v>
      </c>
      <c r="C5978" t="s">
        <v>3168</v>
      </c>
      <c r="D5978" t="s">
        <v>13411</v>
      </c>
    </row>
    <row r="5979" spans="1:4" x14ac:dyDescent="0.25">
      <c r="A5979" s="180">
        <f t="shared" si="93"/>
        <v>7707342</v>
      </c>
      <c r="B5979" t="s">
        <v>14033</v>
      </c>
      <c r="C5979" t="s">
        <v>14034</v>
      </c>
      <c r="D5979" t="s">
        <v>13411</v>
      </c>
    </row>
    <row r="5980" spans="1:4" x14ac:dyDescent="0.25">
      <c r="A5980" s="180">
        <f t="shared" si="93"/>
        <v>7707349</v>
      </c>
      <c r="B5980" t="s">
        <v>3169</v>
      </c>
      <c r="C5980" t="s">
        <v>3170</v>
      </c>
    </row>
    <row r="5981" spans="1:4" x14ac:dyDescent="0.25">
      <c r="A5981" s="180">
        <f t="shared" si="93"/>
        <v>7707350</v>
      </c>
      <c r="B5981" t="s">
        <v>3171</v>
      </c>
      <c r="C5981" t="s">
        <v>3172</v>
      </c>
    </row>
    <row r="5982" spans="1:4" x14ac:dyDescent="0.25">
      <c r="A5982" s="180">
        <f t="shared" si="93"/>
        <v>7707357</v>
      </c>
      <c r="B5982" t="s">
        <v>3173</v>
      </c>
      <c r="C5982" t="s">
        <v>3174</v>
      </c>
      <c r="D5982" t="s">
        <v>13411</v>
      </c>
    </row>
    <row r="5983" spans="1:4" x14ac:dyDescent="0.25">
      <c r="A5983" s="180">
        <f t="shared" si="93"/>
        <v>7707360</v>
      </c>
      <c r="B5983" t="s">
        <v>14035</v>
      </c>
      <c r="C5983" t="s">
        <v>14036</v>
      </c>
    </row>
    <row r="5984" spans="1:4" x14ac:dyDescent="0.25">
      <c r="A5984" s="180">
        <f t="shared" si="93"/>
        <v>7707366</v>
      </c>
      <c r="B5984" t="s">
        <v>14124</v>
      </c>
      <c r="C5984" t="s">
        <v>14125</v>
      </c>
      <c r="D5984" t="s">
        <v>13411</v>
      </c>
    </row>
    <row r="5985" spans="1:4" x14ac:dyDescent="0.25">
      <c r="A5985" s="180">
        <f t="shared" si="93"/>
        <v>7707368</v>
      </c>
      <c r="B5985" t="s">
        <v>3175</v>
      </c>
      <c r="C5985" t="s">
        <v>3176</v>
      </c>
      <c r="D5985" t="s">
        <v>13411</v>
      </c>
    </row>
    <row r="5986" spans="1:4" x14ac:dyDescent="0.25">
      <c r="A5986" s="180">
        <f t="shared" si="93"/>
        <v>7707426</v>
      </c>
      <c r="B5986" t="s">
        <v>3177</v>
      </c>
      <c r="C5986" t="s">
        <v>3178</v>
      </c>
    </row>
    <row r="5987" spans="1:4" x14ac:dyDescent="0.25">
      <c r="A5987" s="180">
        <f t="shared" si="93"/>
        <v>7707444</v>
      </c>
      <c r="B5987" t="s">
        <v>3179</v>
      </c>
      <c r="C5987" t="s">
        <v>3180</v>
      </c>
    </row>
    <row r="5988" spans="1:4" x14ac:dyDescent="0.25">
      <c r="A5988" s="180">
        <f t="shared" si="93"/>
        <v>7707450</v>
      </c>
      <c r="B5988" t="s">
        <v>3181</v>
      </c>
      <c r="C5988" t="s">
        <v>3182</v>
      </c>
      <c r="D5988" t="s">
        <v>13411</v>
      </c>
    </row>
    <row r="5989" spans="1:4" x14ac:dyDescent="0.25">
      <c r="A5989" s="180">
        <f t="shared" si="93"/>
        <v>7707452</v>
      </c>
      <c r="B5989" t="s">
        <v>3183</v>
      </c>
      <c r="C5989" t="s">
        <v>3184</v>
      </c>
      <c r="D5989" t="s">
        <v>13411</v>
      </c>
    </row>
    <row r="5990" spans="1:4" x14ac:dyDescent="0.25">
      <c r="A5990" s="180">
        <f t="shared" si="93"/>
        <v>7707453</v>
      </c>
      <c r="B5990" t="s">
        <v>3185</v>
      </c>
      <c r="C5990" t="s">
        <v>3186</v>
      </c>
      <c r="D5990" t="s">
        <v>13411</v>
      </c>
    </row>
    <row r="5991" spans="1:4" x14ac:dyDescent="0.25">
      <c r="A5991" s="180">
        <f t="shared" si="93"/>
        <v>7707454</v>
      </c>
      <c r="B5991" t="s">
        <v>14126</v>
      </c>
      <c r="C5991" t="s">
        <v>14127</v>
      </c>
      <c r="D5991" t="s">
        <v>13411</v>
      </c>
    </row>
    <row r="5992" spans="1:4" x14ac:dyDescent="0.25">
      <c r="A5992" s="180">
        <f t="shared" si="93"/>
        <v>7707501</v>
      </c>
      <c r="B5992" t="s">
        <v>13300</v>
      </c>
      <c r="C5992" t="s">
        <v>13301</v>
      </c>
      <c r="D5992" t="s">
        <v>13411</v>
      </c>
    </row>
    <row r="5993" spans="1:4" x14ac:dyDescent="0.25">
      <c r="A5993" s="180">
        <f t="shared" si="93"/>
        <v>7707502</v>
      </c>
      <c r="B5993" t="s">
        <v>3187</v>
      </c>
      <c r="C5993" t="s">
        <v>3188</v>
      </c>
      <c r="D5993" t="s">
        <v>13411</v>
      </c>
    </row>
    <row r="5994" spans="1:4" x14ac:dyDescent="0.25">
      <c r="A5994" s="180">
        <f t="shared" si="93"/>
        <v>7707503</v>
      </c>
      <c r="B5994" t="s">
        <v>3189</v>
      </c>
      <c r="C5994" t="s">
        <v>3190</v>
      </c>
      <c r="D5994" t="s">
        <v>13411</v>
      </c>
    </row>
    <row r="5995" spans="1:4" x14ac:dyDescent="0.25">
      <c r="A5995" s="180">
        <f t="shared" si="93"/>
        <v>7707504</v>
      </c>
      <c r="B5995" t="s">
        <v>3191</v>
      </c>
      <c r="C5995" t="s">
        <v>3192</v>
      </c>
      <c r="D5995" t="s">
        <v>13411</v>
      </c>
    </row>
    <row r="5996" spans="1:4" x14ac:dyDescent="0.25">
      <c r="A5996" s="180">
        <f t="shared" si="93"/>
        <v>7707505</v>
      </c>
      <c r="B5996" t="s">
        <v>3193</v>
      </c>
      <c r="C5996" t="s">
        <v>3194</v>
      </c>
      <c r="D5996" t="s">
        <v>13411</v>
      </c>
    </row>
    <row r="5997" spans="1:4" x14ac:dyDescent="0.25">
      <c r="A5997" s="180">
        <f t="shared" si="93"/>
        <v>7707508</v>
      </c>
      <c r="B5997" t="s">
        <v>3195</v>
      </c>
      <c r="C5997" t="s">
        <v>6949</v>
      </c>
      <c r="D5997" t="s">
        <v>13411</v>
      </c>
    </row>
    <row r="5998" spans="1:4" x14ac:dyDescent="0.25">
      <c r="A5998" s="180">
        <f t="shared" si="93"/>
        <v>7707511</v>
      </c>
      <c r="B5998" t="s">
        <v>3196</v>
      </c>
      <c r="C5998" t="s">
        <v>3197</v>
      </c>
    </row>
    <row r="5999" spans="1:4" x14ac:dyDescent="0.25">
      <c r="A5999" s="180">
        <f t="shared" si="93"/>
        <v>7707518</v>
      </c>
      <c r="B5999" t="s">
        <v>3198</v>
      </c>
      <c r="C5999" t="s">
        <v>3199</v>
      </c>
      <c r="D5999" t="s">
        <v>13411</v>
      </c>
    </row>
    <row r="6000" spans="1:4" x14ac:dyDescent="0.25">
      <c r="A6000" s="180">
        <f t="shared" si="93"/>
        <v>7707519</v>
      </c>
      <c r="B6000" t="s">
        <v>3200</v>
      </c>
      <c r="C6000" t="s">
        <v>3201</v>
      </c>
      <c r="D6000" t="s">
        <v>13411</v>
      </c>
    </row>
    <row r="6001" spans="1:4" x14ac:dyDescent="0.25">
      <c r="A6001" s="180">
        <f t="shared" si="93"/>
        <v>7707521</v>
      </c>
      <c r="B6001" t="s">
        <v>3202</v>
      </c>
      <c r="C6001" t="s">
        <v>3203</v>
      </c>
      <c r="D6001" t="s">
        <v>13411</v>
      </c>
    </row>
    <row r="6002" spans="1:4" x14ac:dyDescent="0.25">
      <c r="A6002" s="180">
        <f t="shared" si="93"/>
        <v>7707522</v>
      </c>
      <c r="B6002" t="s">
        <v>3204</v>
      </c>
      <c r="C6002" t="s">
        <v>3205</v>
      </c>
      <c r="D6002" t="s">
        <v>13411</v>
      </c>
    </row>
    <row r="6003" spans="1:4" x14ac:dyDescent="0.25">
      <c r="A6003" s="180">
        <f t="shared" si="93"/>
        <v>7707522</v>
      </c>
      <c r="B6003" t="s">
        <v>3204</v>
      </c>
      <c r="C6003" t="s">
        <v>3205</v>
      </c>
      <c r="D6003" t="s">
        <v>13411</v>
      </c>
    </row>
    <row r="6004" spans="1:4" x14ac:dyDescent="0.25">
      <c r="A6004" s="180">
        <f t="shared" si="93"/>
        <v>7707523</v>
      </c>
      <c r="B6004" t="s">
        <v>3206</v>
      </c>
      <c r="C6004" t="s">
        <v>3207</v>
      </c>
    </row>
    <row r="6005" spans="1:4" x14ac:dyDescent="0.25">
      <c r="A6005" s="180">
        <f t="shared" si="93"/>
        <v>7707524</v>
      </c>
      <c r="B6005" t="s">
        <v>3208</v>
      </c>
      <c r="C6005" t="s">
        <v>3209</v>
      </c>
      <c r="D6005" t="s">
        <v>13411</v>
      </c>
    </row>
    <row r="6006" spans="1:4" x14ac:dyDescent="0.25">
      <c r="A6006" s="180">
        <f t="shared" si="93"/>
        <v>7707525</v>
      </c>
      <c r="B6006" t="s">
        <v>3210</v>
      </c>
      <c r="C6006" t="s">
        <v>3211</v>
      </c>
      <c r="D6006" t="s">
        <v>13411</v>
      </c>
    </row>
    <row r="6007" spans="1:4" x14ac:dyDescent="0.25">
      <c r="A6007" s="180">
        <f t="shared" si="93"/>
        <v>7707526</v>
      </c>
      <c r="B6007" t="s">
        <v>3212</v>
      </c>
      <c r="C6007" t="s">
        <v>3213</v>
      </c>
    </row>
    <row r="6008" spans="1:4" x14ac:dyDescent="0.25">
      <c r="A6008" s="180">
        <f t="shared" si="93"/>
        <v>7707528</v>
      </c>
      <c r="B6008" t="s">
        <v>3214</v>
      </c>
      <c r="C6008" t="s">
        <v>3215</v>
      </c>
      <c r="D6008" t="s">
        <v>13411</v>
      </c>
    </row>
    <row r="6009" spans="1:4" x14ac:dyDescent="0.25">
      <c r="A6009" s="180">
        <f t="shared" si="93"/>
        <v>7707529</v>
      </c>
      <c r="B6009" t="s">
        <v>3216</v>
      </c>
      <c r="C6009" t="s">
        <v>3217</v>
      </c>
      <c r="D6009" t="s">
        <v>13411</v>
      </c>
    </row>
    <row r="6010" spans="1:4" x14ac:dyDescent="0.25">
      <c r="A6010" s="180">
        <f t="shared" si="93"/>
        <v>7707532</v>
      </c>
      <c r="B6010" t="s">
        <v>3218</v>
      </c>
      <c r="C6010" t="s">
        <v>3219</v>
      </c>
      <c r="D6010" t="s">
        <v>13411</v>
      </c>
    </row>
    <row r="6011" spans="1:4" x14ac:dyDescent="0.25">
      <c r="A6011" s="180">
        <f t="shared" si="93"/>
        <v>7707533</v>
      </c>
      <c r="B6011" t="s">
        <v>3220</v>
      </c>
      <c r="C6011" t="s">
        <v>3221</v>
      </c>
      <c r="D6011" t="s">
        <v>13411</v>
      </c>
    </row>
    <row r="6012" spans="1:4" x14ac:dyDescent="0.25">
      <c r="A6012" s="180">
        <f t="shared" si="93"/>
        <v>7707536</v>
      </c>
      <c r="B6012" t="s">
        <v>3222</v>
      </c>
      <c r="C6012" t="s">
        <v>3223</v>
      </c>
    </row>
    <row r="6013" spans="1:4" x14ac:dyDescent="0.25">
      <c r="A6013" s="180">
        <f t="shared" si="93"/>
        <v>7707545</v>
      </c>
      <c r="B6013" t="s">
        <v>3224</v>
      </c>
      <c r="C6013" t="s">
        <v>3225</v>
      </c>
      <c r="D6013" t="s">
        <v>13411</v>
      </c>
    </row>
    <row r="6014" spans="1:4" x14ac:dyDescent="0.25">
      <c r="A6014" s="180">
        <f t="shared" si="93"/>
        <v>7707547</v>
      </c>
      <c r="B6014" t="s">
        <v>3226</v>
      </c>
      <c r="C6014" t="s">
        <v>3227</v>
      </c>
      <c r="D6014" t="s">
        <v>13411</v>
      </c>
    </row>
    <row r="6015" spans="1:4" x14ac:dyDescent="0.25">
      <c r="A6015" s="180">
        <f t="shared" ref="A6015:A6078" si="94">IFERROR(B6015*1,"")</f>
        <v>7707550</v>
      </c>
      <c r="B6015" t="s">
        <v>3228</v>
      </c>
      <c r="C6015" t="s">
        <v>3229</v>
      </c>
      <c r="D6015" t="s">
        <v>13411</v>
      </c>
    </row>
    <row r="6016" spans="1:4" x14ac:dyDescent="0.25">
      <c r="A6016" s="180">
        <f t="shared" si="94"/>
        <v>7707552</v>
      </c>
      <c r="B6016" t="s">
        <v>3230</v>
      </c>
      <c r="C6016" t="s">
        <v>3231</v>
      </c>
      <c r="D6016" t="s">
        <v>13411</v>
      </c>
    </row>
    <row r="6017" spans="1:4" x14ac:dyDescent="0.25">
      <c r="A6017" s="180">
        <f t="shared" si="94"/>
        <v>7707553</v>
      </c>
      <c r="B6017" t="s">
        <v>3232</v>
      </c>
      <c r="C6017" t="s">
        <v>3233</v>
      </c>
      <c r="D6017" t="s">
        <v>13411</v>
      </c>
    </row>
    <row r="6018" spans="1:4" x14ac:dyDescent="0.25">
      <c r="A6018" s="180">
        <f t="shared" si="94"/>
        <v>7707555</v>
      </c>
      <c r="B6018" t="s">
        <v>3234</v>
      </c>
      <c r="C6018" t="s">
        <v>3235</v>
      </c>
    </row>
    <row r="6019" spans="1:4" x14ac:dyDescent="0.25">
      <c r="A6019" s="180">
        <f t="shared" si="94"/>
        <v>7707556</v>
      </c>
      <c r="B6019" t="s">
        <v>3236</v>
      </c>
      <c r="C6019" t="s">
        <v>3237</v>
      </c>
      <c r="D6019" t="s">
        <v>13411</v>
      </c>
    </row>
    <row r="6020" spans="1:4" x14ac:dyDescent="0.25">
      <c r="A6020" s="180">
        <f t="shared" si="94"/>
        <v>7707557</v>
      </c>
      <c r="B6020" t="s">
        <v>3238</v>
      </c>
      <c r="C6020" t="s">
        <v>3239</v>
      </c>
      <c r="D6020" t="s">
        <v>13411</v>
      </c>
    </row>
    <row r="6021" spans="1:4" x14ac:dyDescent="0.25">
      <c r="A6021" s="180">
        <f t="shared" si="94"/>
        <v>7707558</v>
      </c>
      <c r="B6021" t="s">
        <v>14270</v>
      </c>
      <c r="C6021" t="s">
        <v>14271</v>
      </c>
      <c r="D6021" t="s">
        <v>13411</v>
      </c>
    </row>
    <row r="6022" spans="1:4" x14ac:dyDescent="0.25">
      <c r="A6022" s="180">
        <f t="shared" si="94"/>
        <v>7707559</v>
      </c>
      <c r="B6022" t="s">
        <v>14975</v>
      </c>
      <c r="C6022" t="s">
        <v>14976</v>
      </c>
      <c r="D6022" t="s">
        <v>13411</v>
      </c>
    </row>
    <row r="6023" spans="1:4" x14ac:dyDescent="0.25">
      <c r="A6023" s="180">
        <f t="shared" si="94"/>
        <v>7707560</v>
      </c>
      <c r="B6023" t="s">
        <v>14977</v>
      </c>
      <c r="C6023" t="s">
        <v>14978</v>
      </c>
      <c r="D6023" t="s">
        <v>13411</v>
      </c>
    </row>
    <row r="6024" spans="1:4" x14ac:dyDescent="0.25">
      <c r="A6024" s="180">
        <f t="shared" si="94"/>
        <v>7707561</v>
      </c>
      <c r="B6024" t="s">
        <v>14979</v>
      </c>
      <c r="C6024" t="s">
        <v>14980</v>
      </c>
      <c r="D6024" t="s">
        <v>13411</v>
      </c>
    </row>
    <row r="6025" spans="1:4" x14ac:dyDescent="0.25">
      <c r="A6025" s="180">
        <f t="shared" si="94"/>
        <v>7707562</v>
      </c>
      <c r="B6025" t="s">
        <v>3240</v>
      </c>
      <c r="C6025" t="s">
        <v>3241</v>
      </c>
      <c r="D6025" t="s">
        <v>13411</v>
      </c>
    </row>
    <row r="6026" spans="1:4" x14ac:dyDescent="0.25">
      <c r="A6026" s="180">
        <f t="shared" si="94"/>
        <v>7707563</v>
      </c>
      <c r="B6026" t="s">
        <v>3242</v>
      </c>
      <c r="C6026" t="s">
        <v>3243</v>
      </c>
      <c r="D6026" t="s">
        <v>13411</v>
      </c>
    </row>
    <row r="6027" spans="1:4" x14ac:dyDescent="0.25">
      <c r="A6027" s="180">
        <f t="shared" si="94"/>
        <v>7707565</v>
      </c>
      <c r="B6027" t="s">
        <v>3244</v>
      </c>
      <c r="C6027" t="s">
        <v>3245</v>
      </c>
    </row>
    <row r="6028" spans="1:4" x14ac:dyDescent="0.25">
      <c r="A6028" s="180">
        <f t="shared" si="94"/>
        <v>7707566</v>
      </c>
      <c r="B6028" t="s">
        <v>3246</v>
      </c>
      <c r="C6028" t="s">
        <v>3247</v>
      </c>
      <c r="D6028" t="s">
        <v>13411</v>
      </c>
    </row>
    <row r="6029" spans="1:4" x14ac:dyDescent="0.25">
      <c r="A6029" s="180">
        <f t="shared" si="94"/>
        <v>7707567</v>
      </c>
      <c r="B6029" t="s">
        <v>3248</v>
      </c>
      <c r="C6029" t="s">
        <v>3249</v>
      </c>
      <c r="D6029" t="s">
        <v>13411</v>
      </c>
    </row>
    <row r="6030" spans="1:4" x14ac:dyDescent="0.25">
      <c r="A6030" s="180">
        <f t="shared" si="94"/>
        <v>7707568</v>
      </c>
      <c r="B6030" t="s">
        <v>3250</v>
      </c>
      <c r="C6030" t="s">
        <v>3251</v>
      </c>
      <c r="D6030" t="s">
        <v>13411</v>
      </c>
    </row>
    <row r="6031" spans="1:4" x14ac:dyDescent="0.25">
      <c r="A6031" s="180">
        <f t="shared" si="94"/>
        <v>7707569</v>
      </c>
      <c r="B6031" t="s">
        <v>3252</v>
      </c>
      <c r="C6031" t="s">
        <v>13900</v>
      </c>
      <c r="D6031" t="s">
        <v>13411</v>
      </c>
    </row>
    <row r="6032" spans="1:4" x14ac:dyDescent="0.25">
      <c r="A6032" s="180">
        <f t="shared" si="94"/>
        <v>7707570</v>
      </c>
      <c r="B6032" t="s">
        <v>3253</v>
      </c>
      <c r="C6032" t="s">
        <v>3254</v>
      </c>
      <c r="D6032" t="s">
        <v>13411</v>
      </c>
    </row>
    <row r="6033" spans="1:4" x14ac:dyDescent="0.25">
      <c r="A6033" s="180">
        <f t="shared" si="94"/>
        <v>7707571</v>
      </c>
      <c r="B6033" t="s">
        <v>3255</v>
      </c>
      <c r="C6033" t="s">
        <v>3256</v>
      </c>
      <c r="D6033" t="s">
        <v>13411</v>
      </c>
    </row>
    <row r="6034" spans="1:4" x14ac:dyDescent="0.25">
      <c r="A6034" s="180">
        <f t="shared" si="94"/>
        <v>7707572</v>
      </c>
      <c r="B6034" t="s">
        <v>3257</v>
      </c>
      <c r="C6034" t="s">
        <v>3258</v>
      </c>
      <c r="D6034" t="s">
        <v>13411</v>
      </c>
    </row>
    <row r="6035" spans="1:4" x14ac:dyDescent="0.25">
      <c r="A6035" s="180">
        <f t="shared" si="94"/>
        <v>7707579</v>
      </c>
      <c r="B6035" t="s">
        <v>13302</v>
      </c>
      <c r="C6035" t="s">
        <v>13901</v>
      </c>
      <c r="D6035" t="s">
        <v>13411</v>
      </c>
    </row>
    <row r="6036" spans="1:4" x14ac:dyDescent="0.25">
      <c r="A6036" s="180">
        <f t="shared" si="94"/>
        <v>7707582</v>
      </c>
      <c r="B6036" t="s">
        <v>3259</v>
      </c>
      <c r="C6036" t="s">
        <v>3260</v>
      </c>
      <c r="D6036" t="s">
        <v>13411</v>
      </c>
    </row>
    <row r="6037" spans="1:4" x14ac:dyDescent="0.25">
      <c r="A6037" s="180">
        <f t="shared" si="94"/>
        <v>7707583</v>
      </c>
      <c r="B6037" t="s">
        <v>3261</v>
      </c>
      <c r="C6037" t="s">
        <v>3262</v>
      </c>
      <c r="D6037" t="s">
        <v>13411</v>
      </c>
    </row>
    <row r="6038" spans="1:4" x14ac:dyDescent="0.25">
      <c r="A6038" s="180">
        <f t="shared" si="94"/>
        <v>7707584</v>
      </c>
      <c r="B6038" t="s">
        <v>3263</v>
      </c>
      <c r="C6038" t="s">
        <v>3264</v>
      </c>
    </row>
    <row r="6039" spans="1:4" x14ac:dyDescent="0.25">
      <c r="A6039" s="180">
        <f t="shared" si="94"/>
        <v>7707585</v>
      </c>
      <c r="B6039" t="s">
        <v>13303</v>
      </c>
      <c r="C6039" t="s">
        <v>13304</v>
      </c>
      <c r="D6039" t="s">
        <v>13411</v>
      </c>
    </row>
    <row r="6040" spans="1:4" x14ac:dyDescent="0.25">
      <c r="A6040" s="180">
        <f t="shared" si="94"/>
        <v>7707586</v>
      </c>
      <c r="B6040" t="s">
        <v>3265</v>
      </c>
      <c r="C6040" t="s">
        <v>3266</v>
      </c>
      <c r="D6040" t="s">
        <v>13411</v>
      </c>
    </row>
    <row r="6041" spans="1:4" x14ac:dyDescent="0.25">
      <c r="A6041" s="180">
        <f t="shared" si="94"/>
        <v>7707589</v>
      </c>
      <c r="B6041" t="s">
        <v>13902</v>
      </c>
      <c r="C6041" t="s">
        <v>13903</v>
      </c>
      <c r="D6041" t="s">
        <v>13411</v>
      </c>
    </row>
    <row r="6042" spans="1:4" x14ac:dyDescent="0.25">
      <c r="A6042" s="180">
        <f t="shared" si="94"/>
        <v>7707599</v>
      </c>
      <c r="B6042" t="s">
        <v>13904</v>
      </c>
      <c r="C6042" t="s">
        <v>13905</v>
      </c>
      <c r="D6042" t="s">
        <v>13411</v>
      </c>
    </row>
    <row r="6043" spans="1:4" x14ac:dyDescent="0.25">
      <c r="A6043" s="180">
        <f t="shared" si="94"/>
        <v>7707650</v>
      </c>
      <c r="B6043" t="s">
        <v>3267</v>
      </c>
      <c r="C6043" t="s">
        <v>3268</v>
      </c>
    </row>
    <row r="6044" spans="1:4" x14ac:dyDescent="0.25">
      <c r="A6044" s="180">
        <f t="shared" si="94"/>
        <v>7707670</v>
      </c>
      <c r="B6044" t="s">
        <v>3269</v>
      </c>
      <c r="C6044" t="s">
        <v>3270</v>
      </c>
    </row>
    <row r="6045" spans="1:4" x14ac:dyDescent="0.25">
      <c r="A6045" s="180">
        <f t="shared" si="94"/>
        <v>7707671</v>
      </c>
      <c r="B6045" t="s">
        <v>3271</v>
      </c>
      <c r="C6045" t="s">
        <v>3272</v>
      </c>
    </row>
    <row r="6046" spans="1:4" x14ac:dyDescent="0.25">
      <c r="A6046" s="180">
        <f t="shared" si="94"/>
        <v>7707672</v>
      </c>
      <c r="B6046" t="s">
        <v>3273</v>
      </c>
      <c r="C6046" t="s">
        <v>3274</v>
      </c>
    </row>
    <row r="6047" spans="1:4" x14ac:dyDescent="0.25">
      <c r="A6047" s="180">
        <f t="shared" si="94"/>
        <v>7707701</v>
      </c>
      <c r="B6047" t="s">
        <v>3275</v>
      </c>
      <c r="C6047" t="s">
        <v>3276</v>
      </c>
    </row>
    <row r="6048" spans="1:4" x14ac:dyDescent="0.25">
      <c r="A6048" s="180">
        <f t="shared" si="94"/>
        <v>7707702</v>
      </c>
      <c r="B6048" t="s">
        <v>3277</v>
      </c>
      <c r="C6048" t="s">
        <v>3278</v>
      </c>
      <c r="D6048" t="s">
        <v>13411</v>
      </c>
    </row>
    <row r="6049" spans="1:4" x14ac:dyDescent="0.25">
      <c r="A6049" s="180">
        <f t="shared" si="94"/>
        <v>7707710</v>
      </c>
      <c r="B6049" t="s">
        <v>3279</v>
      </c>
      <c r="C6049" t="s">
        <v>3280</v>
      </c>
      <c r="D6049" t="s">
        <v>13411</v>
      </c>
    </row>
    <row r="6050" spans="1:4" x14ac:dyDescent="0.25">
      <c r="A6050" s="180">
        <f t="shared" si="94"/>
        <v>7707711</v>
      </c>
      <c r="B6050" t="s">
        <v>3281</v>
      </c>
      <c r="C6050" t="s">
        <v>3282</v>
      </c>
    </row>
    <row r="6051" spans="1:4" x14ac:dyDescent="0.25">
      <c r="A6051" s="180">
        <f t="shared" si="94"/>
        <v>7707712</v>
      </c>
      <c r="B6051" t="s">
        <v>3283</v>
      </c>
      <c r="C6051" t="s">
        <v>3284</v>
      </c>
      <c r="D6051" t="s">
        <v>13411</v>
      </c>
    </row>
    <row r="6052" spans="1:4" x14ac:dyDescent="0.25">
      <c r="A6052" s="180">
        <f t="shared" si="94"/>
        <v>7707713</v>
      </c>
      <c r="B6052" t="s">
        <v>3285</v>
      </c>
      <c r="C6052" t="s">
        <v>3286</v>
      </c>
    </row>
    <row r="6053" spans="1:4" x14ac:dyDescent="0.25">
      <c r="A6053" s="180">
        <f t="shared" si="94"/>
        <v>7707714</v>
      </c>
      <c r="B6053" t="s">
        <v>3287</v>
      </c>
      <c r="C6053" t="s">
        <v>3288</v>
      </c>
      <c r="D6053" t="s">
        <v>13411</v>
      </c>
    </row>
    <row r="6054" spans="1:4" x14ac:dyDescent="0.25">
      <c r="A6054" s="180">
        <f t="shared" si="94"/>
        <v>7707715</v>
      </c>
      <c r="B6054" t="s">
        <v>12684</v>
      </c>
      <c r="C6054" t="s">
        <v>12685</v>
      </c>
      <c r="D6054" t="s">
        <v>13411</v>
      </c>
    </row>
    <row r="6055" spans="1:4" x14ac:dyDescent="0.25">
      <c r="A6055" s="180">
        <f t="shared" si="94"/>
        <v>7707716</v>
      </c>
      <c r="B6055" t="s">
        <v>3289</v>
      </c>
      <c r="C6055" t="s">
        <v>3290</v>
      </c>
    </row>
    <row r="6056" spans="1:4" x14ac:dyDescent="0.25">
      <c r="A6056" s="180" t="str">
        <f t="shared" si="94"/>
        <v/>
      </c>
      <c r="B6056" t="s">
        <v>13091</v>
      </c>
    </row>
    <row r="6057" spans="1:4" x14ac:dyDescent="0.25">
      <c r="A6057" s="180">
        <f t="shared" si="94"/>
        <v>7707722</v>
      </c>
      <c r="B6057" t="s">
        <v>3291</v>
      </c>
      <c r="C6057" t="s">
        <v>3292</v>
      </c>
    </row>
    <row r="6058" spans="1:4" x14ac:dyDescent="0.25">
      <c r="A6058" s="180">
        <f t="shared" si="94"/>
        <v>7707727</v>
      </c>
      <c r="B6058" t="s">
        <v>13964</v>
      </c>
      <c r="C6058" t="s">
        <v>13965</v>
      </c>
    </row>
    <row r="6059" spans="1:4" x14ac:dyDescent="0.25">
      <c r="A6059" s="180">
        <f t="shared" si="94"/>
        <v>7707728</v>
      </c>
      <c r="B6059" t="s">
        <v>13966</v>
      </c>
      <c r="C6059" t="s">
        <v>13967</v>
      </c>
    </row>
    <row r="6060" spans="1:4" x14ac:dyDescent="0.25">
      <c r="A6060" s="180">
        <f t="shared" si="94"/>
        <v>7707756</v>
      </c>
      <c r="B6060" t="s">
        <v>3293</v>
      </c>
      <c r="C6060" t="s">
        <v>3294</v>
      </c>
    </row>
    <row r="6061" spans="1:4" x14ac:dyDescent="0.25">
      <c r="A6061" s="180">
        <f t="shared" si="94"/>
        <v>7707757</v>
      </c>
      <c r="B6061" t="s">
        <v>3295</v>
      </c>
      <c r="C6061" t="s">
        <v>3296</v>
      </c>
    </row>
    <row r="6062" spans="1:4" x14ac:dyDescent="0.25">
      <c r="A6062" s="180">
        <f t="shared" si="94"/>
        <v>7707758</v>
      </c>
      <c r="B6062" t="s">
        <v>3297</v>
      </c>
      <c r="C6062" t="s">
        <v>3298</v>
      </c>
      <c r="D6062" t="s">
        <v>13411</v>
      </c>
    </row>
    <row r="6063" spans="1:4" x14ac:dyDescent="0.25">
      <c r="A6063" s="180">
        <f t="shared" si="94"/>
        <v>7707759</v>
      </c>
      <c r="B6063" t="s">
        <v>13467</v>
      </c>
      <c r="C6063" t="s">
        <v>13468</v>
      </c>
      <c r="D6063" t="s">
        <v>13411</v>
      </c>
    </row>
    <row r="6064" spans="1:4" x14ac:dyDescent="0.25">
      <c r="A6064" s="180">
        <f t="shared" si="94"/>
        <v>7707760</v>
      </c>
      <c r="B6064" t="s">
        <v>14981</v>
      </c>
      <c r="C6064" t="s">
        <v>14982</v>
      </c>
      <c r="D6064" t="s">
        <v>13411</v>
      </c>
    </row>
    <row r="6065" spans="1:4" x14ac:dyDescent="0.25">
      <c r="A6065" s="180">
        <f t="shared" si="94"/>
        <v>7707770</v>
      </c>
      <c r="B6065" t="s">
        <v>14983</v>
      </c>
      <c r="C6065" t="s">
        <v>14984</v>
      </c>
      <c r="D6065" t="s">
        <v>13411</v>
      </c>
    </row>
    <row r="6066" spans="1:4" x14ac:dyDescent="0.25">
      <c r="A6066" s="180">
        <f t="shared" si="94"/>
        <v>7707784</v>
      </c>
      <c r="B6066" t="s">
        <v>3299</v>
      </c>
      <c r="C6066" t="s">
        <v>3300</v>
      </c>
      <c r="D6066" t="s">
        <v>13411</v>
      </c>
    </row>
    <row r="6067" spans="1:4" x14ac:dyDescent="0.25">
      <c r="A6067" s="180">
        <f t="shared" si="94"/>
        <v>7707800</v>
      </c>
      <c r="B6067" t="s">
        <v>13469</v>
      </c>
      <c r="C6067" t="s">
        <v>13470</v>
      </c>
      <c r="D6067" t="s">
        <v>13411</v>
      </c>
    </row>
    <row r="6068" spans="1:4" x14ac:dyDescent="0.25">
      <c r="A6068" s="180">
        <f t="shared" si="94"/>
        <v>7707827</v>
      </c>
      <c r="B6068" t="s">
        <v>14506</v>
      </c>
      <c r="C6068" t="s">
        <v>14507</v>
      </c>
    </row>
    <row r="6069" spans="1:4" x14ac:dyDescent="0.25">
      <c r="A6069" s="180">
        <f t="shared" si="94"/>
        <v>7707828</v>
      </c>
      <c r="B6069" t="s">
        <v>13092</v>
      </c>
      <c r="C6069" t="s">
        <v>13093</v>
      </c>
    </row>
    <row r="6070" spans="1:4" x14ac:dyDescent="0.25">
      <c r="A6070" s="180">
        <f t="shared" si="94"/>
        <v>7707829</v>
      </c>
      <c r="B6070" t="s">
        <v>12816</v>
      </c>
      <c r="C6070" t="s">
        <v>12817</v>
      </c>
    </row>
    <row r="6071" spans="1:4" x14ac:dyDescent="0.25">
      <c r="A6071" s="180">
        <f t="shared" si="94"/>
        <v>7707830</v>
      </c>
      <c r="B6071" t="s">
        <v>12818</v>
      </c>
      <c r="C6071" t="s">
        <v>12819</v>
      </c>
      <c r="D6071" t="s">
        <v>13411</v>
      </c>
    </row>
    <row r="6072" spans="1:4" x14ac:dyDescent="0.25">
      <c r="A6072" s="180">
        <f t="shared" si="94"/>
        <v>7707831</v>
      </c>
      <c r="B6072" t="s">
        <v>3301</v>
      </c>
      <c r="C6072" t="s">
        <v>3302</v>
      </c>
    </row>
    <row r="6073" spans="1:4" x14ac:dyDescent="0.25">
      <c r="A6073" s="180">
        <f t="shared" si="94"/>
        <v>7707832</v>
      </c>
      <c r="B6073" t="s">
        <v>3303</v>
      </c>
      <c r="C6073" t="s">
        <v>3304</v>
      </c>
    </row>
    <row r="6074" spans="1:4" x14ac:dyDescent="0.25">
      <c r="A6074" s="180">
        <f t="shared" si="94"/>
        <v>7707833</v>
      </c>
      <c r="B6074" t="s">
        <v>6950</v>
      </c>
      <c r="C6074" t="s">
        <v>6951</v>
      </c>
    </row>
    <row r="6075" spans="1:4" x14ac:dyDescent="0.25">
      <c r="A6075" s="180">
        <f t="shared" si="94"/>
        <v>7707834</v>
      </c>
      <c r="B6075" t="s">
        <v>6952</v>
      </c>
      <c r="C6075" t="s">
        <v>6953</v>
      </c>
      <c r="D6075" t="s">
        <v>13411</v>
      </c>
    </row>
    <row r="6076" spans="1:4" x14ac:dyDescent="0.25">
      <c r="A6076" s="180">
        <f t="shared" si="94"/>
        <v>7707835</v>
      </c>
      <c r="B6076" t="s">
        <v>3305</v>
      </c>
      <c r="C6076" t="s">
        <v>3306</v>
      </c>
    </row>
    <row r="6077" spans="1:4" x14ac:dyDescent="0.25">
      <c r="A6077" s="180">
        <f t="shared" si="94"/>
        <v>7707836</v>
      </c>
      <c r="B6077" t="s">
        <v>12820</v>
      </c>
      <c r="C6077" t="s">
        <v>12821</v>
      </c>
      <c r="D6077" t="s">
        <v>13411</v>
      </c>
    </row>
    <row r="6078" spans="1:4" x14ac:dyDescent="0.25">
      <c r="A6078" s="180">
        <f t="shared" si="94"/>
        <v>7707837</v>
      </c>
      <c r="B6078" t="s">
        <v>12822</v>
      </c>
      <c r="C6078" t="s">
        <v>13305</v>
      </c>
      <c r="D6078" t="s">
        <v>13411</v>
      </c>
    </row>
    <row r="6079" spans="1:4" x14ac:dyDescent="0.25">
      <c r="A6079" s="180">
        <f t="shared" ref="A6079:A6142" si="95">IFERROR(B6079*1,"")</f>
        <v>7707900</v>
      </c>
      <c r="B6079" t="s">
        <v>3307</v>
      </c>
      <c r="C6079" t="s">
        <v>3308</v>
      </c>
      <c r="D6079" t="s">
        <v>13411</v>
      </c>
    </row>
    <row r="6080" spans="1:4" x14ac:dyDescent="0.25">
      <c r="A6080" s="180">
        <f t="shared" si="95"/>
        <v>7707901</v>
      </c>
      <c r="B6080" t="s">
        <v>12823</v>
      </c>
      <c r="C6080" t="s">
        <v>12824</v>
      </c>
      <c r="D6080" t="s">
        <v>13411</v>
      </c>
    </row>
    <row r="6081" spans="1:4" x14ac:dyDescent="0.25">
      <c r="A6081" s="180">
        <f t="shared" si="95"/>
        <v>7707922</v>
      </c>
      <c r="B6081" t="s">
        <v>3309</v>
      </c>
      <c r="C6081" t="s">
        <v>3310</v>
      </c>
      <c r="D6081" t="s">
        <v>13411</v>
      </c>
    </row>
    <row r="6082" spans="1:4" x14ac:dyDescent="0.25">
      <c r="A6082" s="180">
        <f t="shared" si="95"/>
        <v>7707923</v>
      </c>
      <c r="B6082" t="s">
        <v>3311</v>
      </c>
      <c r="C6082" t="s">
        <v>3312</v>
      </c>
      <c r="D6082" t="s">
        <v>13411</v>
      </c>
    </row>
    <row r="6083" spans="1:4" x14ac:dyDescent="0.25">
      <c r="A6083" s="180">
        <f t="shared" si="95"/>
        <v>7707924</v>
      </c>
      <c r="B6083" t="s">
        <v>3313</v>
      </c>
      <c r="C6083" t="s">
        <v>3314</v>
      </c>
      <c r="D6083" t="s">
        <v>13411</v>
      </c>
    </row>
    <row r="6084" spans="1:4" x14ac:dyDescent="0.25">
      <c r="A6084" s="180">
        <f t="shared" si="95"/>
        <v>7707936</v>
      </c>
      <c r="B6084" t="s">
        <v>3315</v>
      </c>
      <c r="C6084" t="s">
        <v>3316</v>
      </c>
    </row>
    <row r="6085" spans="1:4" x14ac:dyDescent="0.25">
      <c r="A6085" s="180">
        <f t="shared" si="95"/>
        <v>7707940</v>
      </c>
      <c r="B6085" t="s">
        <v>3317</v>
      </c>
      <c r="C6085" t="s">
        <v>3318</v>
      </c>
      <c r="D6085" t="s">
        <v>13411</v>
      </c>
    </row>
    <row r="6086" spans="1:4" x14ac:dyDescent="0.25">
      <c r="A6086" s="180">
        <f t="shared" si="95"/>
        <v>7707949</v>
      </c>
      <c r="B6086" t="s">
        <v>3319</v>
      </c>
      <c r="C6086" t="s">
        <v>14985</v>
      </c>
      <c r="D6086" t="s">
        <v>13411</v>
      </c>
    </row>
    <row r="6087" spans="1:4" x14ac:dyDescent="0.25">
      <c r="A6087" s="180">
        <f t="shared" si="95"/>
        <v>7707950</v>
      </c>
      <c r="B6087" t="s">
        <v>3320</v>
      </c>
      <c r="C6087" t="s">
        <v>3321</v>
      </c>
      <c r="D6087" t="s">
        <v>13411</v>
      </c>
    </row>
    <row r="6088" spans="1:4" x14ac:dyDescent="0.25">
      <c r="A6088" s="180">
        <f t="shared" si="95"/>
        <v>7707952</v>
      </c>
      <c r="B6088" t="s">
        <v>3322</v>
      </c>
      <c r="C6088" t="s">
        <v>3323</v>
      </c>
      <c r="D6088" t="s">
        <v>13411</v>
      </c>
    </row>
    <row r="6089" spans="1:4" x14ac:dyDescent="0.25">
      <c r="A6089" s="180">
        <f t="shared" si="95"/>
        <v>7707953</v>
      </c>
      <c r="B6089" t="s">
        <v>3324</v>
      </c>
      <c r="C6089" t="s">
        <v>3325</v>
      </c>
      <c r="D6089" t="s">
        <v>13411</v>
      </c>
    </row>
    <row r="6090" spans="1:4" x14ac:dyDescent="0.25">
      <c r="A6090" s="180">
        <f t="shared" si="95"/>
        <v>7707980</v>
      </c>
      <c r="B6090" t="s">
        <v>3326</v>
      </c>
      <c r="C6090" t="s">
        <v>3327</v>
      </c>
      <c r="D6090" t="s">
        <v>13411</v>
      </c>
    </row>
    <row r="6091" spans="1:4" x14ac:dyDescent="0.25">
      <c r="A6091" s="180">
        <f t="shared" si="95"/>
        <v>7707987</v>
      </c>
      <c r="B6091" t="s">
        <v>3328</v>
      </c>
      <c r="C6091" t="s">
        <v>3329</v>
      </c>
      <c r="D6091" t="s">
        <v>13411</v>
      </c>
    </row>
    <row r="6092" spans="1:4" x14ac:dyDescent="0.25">
      <c r="A6092" s="180">
        <f t="shared" si="95"/>
        <v>7707988</v>
      </c>
      <c r="B6092" t="s">
        <v>3330</v>
      </c>
      <c r="C6092" t="s">
        <v>3331</v>
      </c>
    </row>
    <row r="6093" spans="1:4" x14ac:dyDescent="0.25">
      <c r="A6093" s="180">
        <f t="shared" si="95"/>
        <v>7707989</v>
      </c>
      <c r="B6093" t="s">
        <v>3332</v>
      </c>
      <c r="C6093" t="s">
        <v>3333</v>
      </c>
      <c r="D6093" t="s">
        <v>13411</v>
      </c>
    </row>
    <row r="6094" spans="1:4" x14ac:dyDescent="0.25">
      <c r="A6094" s="180">
        <f t="shared" si="95"/>
        <v>7709000</v>
      </c>
      <c r="B6094" t="s">
        <v>3334</v>
      </c>
      <c r="C6094" t="s">
        <v>3335</v>
      </c>
      <c r="D6094" t="s">
        <v>13411</v>
      </c>
    </row>
    <row r="6095" spans="1:4" x14ac:dyDescent="0.25">
      <c r="A6095" s="180">
        <f t="shared" si="95"/>
        <v>7709001</v>
      </c>
      <c r="B6095" t="s">
        <v>3336</v>
      </c>
      <c r="C6095" t="s">
        <v>13306</v>
      </c>
    </row>
    <row r="6096" spans="1:4" x14ac:dyDescent="0.25">
      <c r="A6096" s="180">
        <f t="shared" si="95"/>
        <v>7709002</v>
      </c>
      <c r="B6096" t="s">
        <v>3337</v>
      </c>
      <c r="C6096" t="s">
        <v>3338</v>
      </c>
    </row>
    <row r="6097" spans="1:4" x14ac:dyDescent="0.25">
      <c r="A6097" s="180">
        <f t="shared" si="95"/>
        <v>7709003</v>
      </c>
      <c r="B6097" t="s">
        <v>3339</v>
      </c>
      <c r="C6097" t="s">
        <v>3340</v>
      </c>
    </row>
    <row r="6098" spans="1:4" x14ac:dyDescent="0.25">
      <c r="A6098" s="180">
        <f t="shared" si="95"/>
        <v>7709004</v>
      </c>
      <c r="B6098" t="s">
        <v>3341</v>
      </c>
      <c r="C6098" t="s">
        <v>3342</v>
      </c>
    </row>
    <row r="6099" spans="1:4" x14ac:dyDescent="0.25">
      <c r="A6099" s="180">
        <f t="shared" si="95"/>
        <v>7709005</v>
      </c>
      <c r="B6099" t="s">
        <v>3343</v>
      </c>
      <c r="C6099" t="s">
        <v>3344</v>
      </c>
    </row>
    <row r="6100" spans="1:4" x14ac:dyDescent="0.25">
      <c r="A6100" s="180" t="str">
        <f t="shared" si="95"/>
        <v/>
      </c>
      <c r="B6100" t="s">
        <v>13094</v>
      </c>
    </row>
    <row r="6101" spans="1:4" x14ac:dyDescent="0.25">
      <c r="A6101" s="180">
        <f t="shared" si="95"/>
        <v>7709006</v>
      </c>
      <c r="B6101" t="s">
        <v>3345</v>
      </c>
      <c r="C6101" t="s">
        <v>3346</v>
      </c>
    </row>
    <row r="6102" spans="1:4" x14ac:dyDescent="0.25">
      <c r="A6102" s="180" t="str">
        <f t="shared" si="95"/>
        <v/>
      </c>
      <c r="B6102" t="s">
        <v>13095</v>
      </c>
    </row>
    <row r="6103" spans="1:4" x14ac:dyDescent="0.25">
      <c r="A6103" s="180">
        <f t="shared" si="95"/>
        <v>7709007</v>
      </c>
      <c r="B6103" t="s">
        <v>3347</v>
      </c>
      <c r="C6103" t="s">
        <v>3348</v>
      </c>
    </row>
    <row r="6104" spans="1:4" x14ac:dyDescent="0.25">
      <c r="A6104" s="180">
        <f t="shared" si="95"/>
        <v>7709008</v>
      </c>
      <c r="B6104" t="s">
        <v>3349</v>
      </c>
      <c r="C6104" t="s">
        <v>13307</v>
      </c>
    </row>
    <row r="6105" spans="1:4" x14ac:dyDescent="0.25">
      <c r="A6105" s="180">
        <f t="shared" si="95"/>
        <v>7709009</v>
      </c>
      <c r="B6105" t="s">
        <v>6954</v>
      </c>
      <c r="C6105" t="s">
        <v>6955</v>
      </c>
    </row>
    <row r="6106" spans="1:4" x14ac:dyDescent="0.25">
      <c r="A6106" s="180">
        <f t="shared" si="95"/>
        <v>7709010</v>
      </c>
      <c r="B6106" t="s">
        <v>3350</v>
      </c>
      <c r="C6106" t="s">
        <v>3351</v>
      </c>
    </row>
    <row r="6107" spans="1:4" x14ac:dyDescent="0.25">
      <c r="A6107" s="180">
        <f t="shared" si="95"/>
        <v>7709011</v>
      </c>
      <c r="B6107" t="s">
        <v>12825</v>
      </c>
      <c r="C6107" t="s">
        <v>12826</v>
      </c>
      <c r="D6107" t="s">
        <v>13411</v>
      </c>
    </row>
    <row r="6108" spans="1:4" x14ac:dyDescent="0.25">
      <c r="A6108" s="180">
        <f t="shared" si="95"/>
        <v>7709012</v>
      </c>
      <c r="B6108" t="s">
        <v>12827</v>
      </c>
      <c r="C6108" t="s">
        <v>12828</v>
      </c>
    </row>
    <row r="6109" spans="1:4" x14ac:dyDescent="0.25">
      <c r="A6109" s="180">
        <f t="shared" si="95"/>
        <v>7709013</v>
      </c>
      <c r="B6109" t="s">
        <v>3352</v>
      </c>
      <c r="C6109" t="s">
        <v>3353</v>
      </c>
      <c r="D6109" t="s">
        <v>13411</v>
      </c>
    </row>
    <row r="6110" spans="1:4" x14ac:dyDescent="0.25">
      <c r="A6110" s="180">
        <f t="shared" si="95"/>
        <v>7709014</v>
      </c>
      <c r="B6110" t="s">
        <v>3354</v>
      </c>
      <c r="C6110" t="s">
        <v>3355</v>
      </c>
      <c r="D6110" t="s">
        <v>13411</v>
      </c>
    </row>
    <row r="6111" spans="1:4" x14ac:dyDescent="0.25">
      <c r="A6111" s="180">
        <f t="shared" si="95"/>
        <v>7709015</v>
      </c>
      <c r="B6111" t="s">
        <v>3356</v>
      </c>
      <c r="C6111" t="s">
        <v>3357</v>
      </c>
      <c r="D6111" t="s">
        <v>13411</v>
      </c>
    </row>
    <row r="6112" spans="1:4" x14ac:dyDescent="0.25">
      <c r="A6112" s="180">
        <f t="shared" si="95"/>
        <v>7709016</v>
      </c>
      <c r="B6112" t="s">
        <v>3358</v>
      </c>
      <c r="C6112" t="s">
        <v>3359</v>
      </c>
      <c r="D6112" t="s">
        <v>13411</v>
      </c>
    </row>
    <row r="6113" spans="1:4" x14ac:dyDescent="0.25">
      <c r="A6113" s="180">
        <f t="shared" si="95"/>
        <v>7709017</v>
      </c>
      <c r="B6113" t="s">
        <v>3360</v>
      </c>
      <c r="C6113" t="s">
        <v>3361</v>
      </c>
      <c r="D6113" t="s">
        <v>13411</v>
      </c>
    </row>
    <row r="6114" spans="1:4" x14ac:dyDescent="0.25">
      <c r="A6114" s="180">
        <f t="shared" si="95"/>
        <v>7709018</v>
      </c>
      <c r="B6114" t="s">
        <v>3362</v>
      </c>
      <c r="C6114" t="s">
        <v>3363</v>
      </c>
    </row>
    <row r="6115" spans="1:4" x14ac:dyDescent="0.25">
      <c r="A6115" s="180">
        <f t="shared" si="95"/>
        <v>7709019</v>
      </c>
      <c r="B6115" t="s">
        <v>3364</v>
      </c>
      <c r="C6115" t="s">
        <v>3365</v>
      </c>
    </row>
    <row r="6116" spans="1:4" x14ac:dyDescent="0.25">
      <c r="A6116" s="180">
        <f t="shared" si="95"/>
        <v>7709020</v>
      </c>
      <c r="B6116" t="s">
        <v>3366</v>
      </c>
      <c r="C6116" t="s">
        <v>3367</v>
      </c>
    </row>
    <row r="6117" spans="1:4" x14ac:dyDescent="0.25">
      <c r="A6117" s="180">
        <f t="shared" si="95"/>
        <v>7709021</v>
      </c>
      <c r="B6117" t="s">
        <v>3368</v>
      </c>
      <c r="C6117" t="s">
        <v>3369</v>
      </c>
      <c r="D6117" t="s">
        <v>13411</v>
      </c>
    </row>
    <row r="6118" spans="1:4" x14ac:dyDescent="0.25">
      <c r="A6118" s="180">
        <f t="shared" si="95"/>
        <v>7709022</v>
      </c>
      <c r="B6118" t="s">
        <v>3370</v>
      </c>
      <c r="C6118" t="s">
        <v>3371</v>
      </c>
    </row>
    <row r="6119" spans="1:4" x14ac:dyDescent="0.25">
      <c r="A6119" s="180">
        <f t="shared" si="95"/>
        <v>7709023</v>
      </c>
      <c r="B6119" t="s">
        <v>3372</v>
      </c>
      <c r="C6119" t="s">
        <v>3373</v>
      </c>
    </row>
    <row r="6120" spans="1:4" x14ac:dyDescent="0.25">
      <c r="A6120" s="180">
        <f t="shared" si="95"/>
        <v>7709024</v>
      </c>
      <c r="B6120" t="s">
        <v>3374</v>
      </c>
      <c r="C6120" t="s">
        <v>3375</v>
      </c>
    </row>
    <row r="6121" spans="1:4" x14ac:dyDescent="0.25">
      <c r="A6121" s="180">
        <f t="shared" si="95"/>
        <v>7709025</v>
      </c>
      <c r="B6121" t="s">
        <v>3376</v>
      </c>
      <c r="C6121" t="s">
        <v>3377</v>
      </c>
    </row>
    <row r="6122" spans="1:4" x14ac:dyDescent="0.25">
      <c r="A6122" s="180">
        <f t="shared" si="95"/>
        <v>7709026</v>
      </c>
      <c r="B6122" t="s">
        <v>13471</v>
      </c>
      <c r="C6122" t="s">
        <v>13472</v>
      </c>
      <c r="D6122" t="s">
        <v>13411</v>
      </c>
    </row>
    <row r="6123" spans="1:4" x14ac:dyDescent="0.25">
      <c r="A6123" s="180">
        <f t="shared" si="95"/>
        <v>7709027</v>
      </c>
      <c r="B6123" t="s">
        <v>13473</v>
      </c>
      <c r="C6123" t="s">
        <v>13474</v>
      </c>
      <c r="D6123" t="s">
        <v>13411</v>
      </c>
    </row>
    <row r="6124" spans="1:4" x14ac:dyDescent="0.25">
      <c r="A6124" s="180">
        <f t="shared" si="95"/>
        <v>7709028</v>
      </c>
      <c r="B6124" t="s">
        <v>13475</v>
      </c>
      <c r="C6124" t="s">
        <v>13476</v>
      </c>
      <c r="D6124" t="s">
        <v>13411</v>
      </c>
    </row>
    <row r="6125" spans="1:4" x14ac:dyDescent="0.25">
      <c r="A6125" s="180">
        <f t="shared" si="95"/>
        <v>7709029</v>
      </c>
      <c r="B6125" t="s">
        <v>13477</v>
      </c>
      <c r="C6125" t="s">
        <v>13478</v>
      </c>
      <c r="D6125" t="s">
        <v>13411</v>
      </c>
    </row>
    <row r="6126" spans="1:4" x14ac:dyDescent="0.25">
      <c r="A6126" s="180">
        <f t="shared" si="95"/>
        <v>7709030</v>
      </c>
      <c r="B6126" t="s">
        <v>13479</v>
      </c>
      <c r="C6126" t="s">
        <v>13480</v>
      </c>
      <c r="D6126" t="s">
        <v>13411</v>
      </c>
    </row>
    <row r="6127" spans="1:4" x14ac:dyDescent="0.25">
      <c r="A6127" s="180">
        <f t="shared" si="95"/>
        <v>7709031</v>
      </c>
      <c r="B6127" t="s">
        <v>13481</v>
      </c>
      <c r="C6127" t="s">
        <v>13482</v>
      </c>
      <c r="D6127" t="s">
        <v>13411</v>
      </c>
    </row>
    <row r="6128" spans="1:4" x14ac:dyDescent="0.25">
      <c r="A6128" s="180">
        <f t="shared" si="95"/>
        <v>7709032</v>
      </c>
      <c r="B6128" t="s">
        <v>3378</v>
      </c>
      <c r="C6128" t="s">
        <v>3379</v>
      </c>
      <c r="D6128" t="s">
        <v>13411</v>
      </c>
    </row>
    <row r="6129" spans="1:4" x14ac:dyDescent="0.25">
      <c r="A6129" s="180">
        <f t="shared" si="95"/>
        <v>7709033</v>
      </c>
      <c r="B6129" t="s">
        <v>13483</v>
      </c>
      <c r="C6129" t="s">
        <v>13484</v>
      </c>
      <c r="D6129" t="s">
        <v>13411</v>
      </c>
    </row>
    <row r="6130" spans="1:4" x14ac:dyDescent="0.25">
      <c r="A6130" s="180">
        <f t="shared" si="95"/>
        <v>7709034</v>
      </c>
      <c r="B6130" t="s">
        <v>13485</v>
      </c>
      <c r="C6130" t="s">
        <v>13486</v>
      </c>
      <c r="D6130" t="s">
        <v>13411</v>
      </c>
    </row>
    <row r="6131" spans="1:4" x14ac:dyDescent="0.25">
      <c r="A6131" s="180">
        <f t="shared" si="95"/>
        <v>7709035</v>
      </c>
      <c r="B6131" t="s">
        <v>13487</v>
      </c>
      <c r="C6131" t="s">
        <v>13488</v>
      </c>
      <c r="D6131" t="s">
        <v>13411</v>
      </c>
    </row>
    <row r="6132" spans="1:4" x14ac:dyDescent="0.25">
      <c r="A6132" s="180">
        <f t="shared" si="95"/>
        <v>7709036</v>
      </c>
      <c r="B6132" t="s">
        <v>13489</v>
      </c>
      <c r="C6132" t="s">
        <v>13490</v>
      </c>
      <c r="D6132" t="s">
        <v>13411</v>
      </c>
    </row>
    <row r="6133" spans="1:4" x14ac:dyDescent="0.25">
      <c r="A6133" s="180">
        <f t="shared" si="95"/>
        <v>7709037</v>
      </c>
      <c r="B6133" t="s">
        <v>13491</v>
      </c>
      <c r="C6133" t="s">
        <v>13492</v>
      </c>
      <c r="D6133" t="s">
        <v>13411</v>
      </c>
    </row>
    <row r="6134" spans="1:4" x14ac:dyDescent="0.25">
      <c r="A6134" s="180" t="str">
        <f t="shared" si="95"/>
        <v/>
      </c>
      <c r="B6134" t="s">
        <v>13096</v>
      </c>
    </row>
    <row r="6135" spans="1:4" x14ac:dyDescent="0.25">
      <c r="A6135" s="180">
        <f t="shared" si="95"/>
        <v>7709039</v>
      </c>
      <c r="B6135" t="s">
        <v>13493</v>
      </c>
      <c r="C6135" t="s">
        <v>13494</v>
      </c>
      <c r="D6135" t="s">
        <v>13411</v>
      </c>
    </row>
    <row r="6136" spans="1:4" x14ac:dyDescent="0.25">
      <c r="A6136" s="180">
        <f t="shared" si="95"/>
        <v>7709040</v>
      </c>
      <c r="B6136" t="s">
        <v>6956</v>
      </c>
      <c r="C6136" t="s">
        <v>6957</v>
      </c>
      <c r="D6136" t="s">
        <v>13411</v>
      </c>
    </row>
    <row r="6137" spans="1:4" x14ac:dyDescent="0.25">
      <c r="A6137" s="180">
        <f t="shared" si="95"/>
        <v>7709041</v>
      </c>
      <c r="B6137" t="s">
        <v>3380</v>
      </c>
      <c r="C6137" t="s">
        <v>14037</v>
      </c>
      <c r="D6137" t="s">
        <v>13411</v>
      </c>
    </row>
    <row r="6138" spans="1:4" x14ac:dyDescent="0.25">
      <c r="A6138" s="180">
        <f t="shared" si="95"/>
        <v>7709042</v>
      </c>
      <c r="B6138" t="s">
        <v>3381</v>
      </c>
      <c r="C6138" t="s">
        <v>3382</v>
      </c>
      <c r="D6138" t="s">
        <v>13411</v>
      </c>
    </row>
    <row r="6139" spans="1:4" x14ac:dyDescent="0.25">
      <c r="A6139" s="180">
        <f t="shared" si="95"/>
        <v>7709043</v>
      </c>
      <c r="B6139" t="s">
        <v>3383</v>
      </c>
      <c r="C6139" t="s">
        <v>3384</v>
      </c>
      <c r="D6139" t="s">
        <v>13411</v>
      </c>
    </row>
    <row r="6140" spans="1:4" x14ac:dyDescent="0.25">
      <c r="A6140" s="180">
        <f t="shared" si="95"/>
        <v>7709049</v>
      </c>
      <c r="B6140" t="s">
        <v>3385</v>
      </c>
      <c r="C6140" t="s">
        <v>3386</v>
      </c>
    </row>
    <row r="6141" spans="1:4" x14ac:dyDescent="0.25">
      <c r="A6141" s="180">
        <f t="shared" si="95"/>
        <v>7709051</v>
      </c>
      <c r="B6141" t="s">
        <v>13495</v>
      </c>
      <c r="C6141" t="s">
        <v>13496</v>
      </c>
      <c r="D6141" t="s">
        <v>13411</v>
      </c>
    </row>
    <row r="6142" spans="1:4" x14ac:dyDescent="0.25">
      <c r="A6142" s="180">
        <f t="shared" si="95"/>
        <v>7709052</v>
      </c>
      <c r="B6142" t="s">
        <v>14508</v>
      </c>
      <c r="C6142" t="s">
        <v>14509</v>
      </c>
    </row>
    <row r="6143" spans="1:4" x14ac:dyDescent="0.25">
      <c r="A6143" s="180">
        <f t="shared" ref="A6143:A6206" si="96">IFERROR(B6143*1,"")</f>
        <v>7709059</v>
      </c>
      <c r="B6143" t="s">
        <v>13497</v>
      </c>
      <c r="C6143" t="s">
        <v>13498</v>
      </c>
      <c r="D6143" t="s">
        <v>13411</v>
      </c>
    </row>
    <row r="6144" spans="1:4" x14ac:dyDescent="0.25">
      <c r="A6144" s="180">
        <f t="shared" si="96"/>
        <v>7709061</v>
      </c>
      <c r="B6144" t="s">
        <v>3387</v>
      </c>
      <c r="C6144" t="s">
        <v>3388</v>
      </c>
      <c r="D6144" t="s">
        <v>13411</v>
      </c>
    </row>
    <row r="6145" spans="1:4" x14ac:dyDescent="0.25">
      <c r="A6145" s="180">
        <f t="shared" si="96"/>
        <v>7709062</v>
      </c>
      <c r="B6145" t="s">
        <v>3389</v>
      </c>
      <c r="C6145" t="s">
        <v>3390</v>
      </c>
      <c r="D6145" t="s">
        <v>13411</v>
      </c>
    </row>
    <row r="6146" spans="1:4" x14ac:dyDescent="0.25">
      <c r="A6146" s="180">
        <f t="shared" si="96"/>
        <v>7709063</v>
      </c>
      <c r="B6146" t="s">
        <v>3391</v>
      </c>
      <c r="C6146" t="s">
        <v>3392</v>
      </c>
    </row>
    <row r="6147" spans="1:4" x14ac:dyDescent="0.25">
      <c r="A6147" s="180">
        <f t="shared" si="96"/>
        <v>7709064</v>
      </c>
      <c r="B6147" t="s">
        <v>3393</v>
      </c>
      <c r="C6147" t="s">
        <v>3394</v>
      </c>
      <c r="D6147" t="s">
        <v>13411</v>
      </c>
    </row>
    <row r="6148" spans="1:4" x14ac:dyDescent="0.25">
      <c r="A6148" s="180">
        <f t="shared" si="96"/>
        <v>7709065</v>
      </c>
      <c r="B6148" t="s">
        <v>3395</v>
      </c>
      <c r="C6148" t="s">
        <v>3396</v>
      </c>
      <c r="D6148" t="s">
        <v>13411</v>
      </c>
    </row>
    <row r="6149" spans="1:4" x14ac:dyDescent="0.25">
      <c r="A6149" s="180">
        <f t="shared" si="96"/>
        <v>7709066</v>
      </c>
      <c r="B6149" t="s">
        <v>3397</v>
      </c>
      <c r="C6149" t="s">
        <v>3398</v>
      </c>
      <c r="D6149" t="s">
        <v>13411</v>
      </c>
    </row>
    <row r="6150" spans="1:4" x14ac:dyDescent="0.25">
      <c r="A6150" s="180">
        <f t="shared" si="96"/>
        <v>7709067</v>
      </c>
      <c r="B6150" t="s">
        <v>3399</v>
      </c>
      <c r="C6150" t="s">
        <v>3400</v>
      </c>
      <c r="D6150" t="s">
        <v>13411</v>
      </c>
    </row>
    <row r="6151" spans="1:4" x14ac:dyDescent="0.25">
      <c r="A6151" s="180">
        <f t="shared" si="96"/>
        <v>7709068</v>
      </c>
      <c r="B6151" t="s">
        <v>3401</v>
      </c>
      <c r="C6151" t="s">
        <v>3402</v>
      </c>
      <c r="D6151" t="s">
        <v>13411</v>
      </c>
    </row>
    <row r="6152" spans="1:4" x14ac:dyDescent="0.25">
      <c r="A6152" s="180">
        <f t="shared" si="96"/>
        <v>7709069</v>
      </c>
      <c r="B6152" t="s">
        <v>3403</v>
      </c>
      <c r="C6152" t="s">
        <v>3404</v>
      </c>
      <c r="D6152" t="s">
        <v>13411</v>
      </c>
    </row>
    <row r="6153" spans="1:4" x14ac:dyDescent="0.25">
      <c r="A6153" s="180">
        <f t="shared" si="96"/>
        <v>7709070</v>
      </c>
      <c r="B6153" t="s">
        <v>3405</v>
      </c>
      <c r="C6153" t="s">
        <v>3406</v>
      </c>
      <c r="D6153" t="s">
        <v>13411</v>
      </c>
    </row>
    <row r="6154" spans="1:4" x14ac:dyDescent="0.25">
      <c r="A6154" s="180">
        <f t="shared" si="96"/>
        <v>7709071</v>
      </c>
      <c r="B6154" t="s">
        <v>6958</v>
      </c>
      <c r="C6154" t="s">
        <v>6959</v>
      </c>
    </row>
    <row r="6155" spans="1:4" x14ac:dyDescent="0.25">
      <c r="A6155" s="180">
        <f t="shared" si="96"/>
        <v>7709072</v>
      </c>
      <c r="B6155" t="s">
        <v>6960</v>
      </c>
      <c r="C6155" t="s">
        <v>6961</v>
      </c>
    </row>
    <row r="6156" spans="1:4" x14ac:dyDescent="0.25">
      <c r="A6156" s="180">
        <f t="shared" si="96"/>
        <v>7709080</v>
      </c>
      <c r="B6156" t="s">
        <v>13499</v>
      </c>
      <c r="C6156" t="s">
        <v>13500</v>
      </c>
      <c r="D6156" t="s">
        <v>13411</v>
      </c>
    </row>
    <row r="6157" spans="1:4" x14ac:dyDescent="0.25">
      <c r="A6157" s="180">
        <f t="shared" si="96"/>
        <v>7709092</v>
      </c>
      <c r="B6157" t="s">
        <v>3407</v>
      </c>
      <c r="C6157" t="s">
        <v>3408</v>
      </c>
      <c r="D6157" t="s">
        <v>13411</v>
      </c>
    </row>
    <row r="6158" spans="1:4" x14ac:dyDescent="0.25">
      <c r="A6158" s="180">
        <f t="shared" si="96"/>
        <v>7709093</v>
      </c>
      <c r="B6158" t="s">
        <v>13906</v>
      </c>
      <c r="C6158" t="s">
        <v>13907</v>
      </c>
      <c r="D6158" t="s">
        <v>13411</v>
      </c>
    </row>
    <row r="6159" spans="1:4" x14ac:dyDescent="0.25">
      <c r="A6159" s="180">
        <f t="shared" si="96"/>
        <v>7709094</v>
      </c>
      <c r="B6159" t="s">
        <v>3409</v>
      </c>
      <c r="C6159" t="s">
        <v>3410</v>
      </c>
      <c r="D6159" t="s">
        <v>13411</v>
      </c>
    </row>
    <row r="6160" spans="1:4" x14ac:dyDescent="0.25">
      <c r="A6160" s="180">
        <f t="shared" si="96"/>
        <v>7709101</v>
      </c>
      <c r="B6160" t="s">
        <v>3411</v>
      </c>
      <c r="C6160" t="s">
        <v>3412</v>
      </c>
      <c r="D6160" t="s">
        <v>13411</v>
      </c>
    </row>
    <row r="6161" spans="1:4" x14ac:dyDescent="0.25">
      <c r="A6161" s="180">
        <f t="shared" si="96"/>
        <v>7709102</v>
      </c>
      <c r="B6161" t="s">
        <v>3413</v>
      </c>
      <c r="C6161" t="s">
        <v>3414</v>
      </c>
      <c r="D6161" t="s">
        <v>13411</v>
      </c>
    </row>
    <row r="6162" spans="1:4" x14ac:dyDescent="0.25">
      <c r="A6162" s="180">
        <f t="shared" si="96"/>
        <v>7709103</v>
      </c>
      <c r="B6162" t="s">
        <v>3415</v>
      </c>
      <c r="C6162" t="s">
        <v>3416</v>
      </c>
      <c r="D6162" t="s">
        <v>13411</v>
      </c>
    </row>
    <row r="6163" spans="1:4" x14ac:dyDescent="0.25">
      <c r="A6163" s="180">
        <f t="shared" si="96"/>
        <v>7709104</v>
      </c>
      <c r="B6163" t="s">
        <v>3417</v>
      </c>
      <c r="C6163" t="s">
        <v>3418</v>
      </c>
    </row>
    <row r="6164" spans="1:4" x14ac:dyDescent="0.25">
      <c r="A6164" s="180">
        <f t="shared" si="96"/>
        <v>7709105</v>
      </c>
      <c r="B6164" t="s">
        <v>3419</v>
      </c>
      <c r="C6164" t="s">
        <v>3420</v>
      </c>
    </row>
    <row r="6165" spans="1:4" x14ac:dyDescent="0.25">
      <c r="A6165" s="180">
        <f t="shared" si="96"/>
        <v>7709106</v>
      </c>
      <c r="B6165" t="s">
        <v>3421</v>
      </c>
      <c r="C6165" t="s">
        <v>3422</v>
      </c>
      <c r="D6165" t="s">
        <v>13411</v>
      </c>
    </row>
    <row r="6166" spans="1:4" x14ac:dyDescent="0.25">
      <c r="A6166" s="180">
        <f t="shared" si="96"/>
        <v>7709115</v>
      </c>
      <c r="B6166" t="s">
        <v>3423</v>
      </c>
      <c r="C6166" t="s">
        <v>3424</v>
      </c>
      <c r="D6166" t="s">
        <v>13411</v>
      </c>
    </row>
    <row r="6167" spans="1:4" x14ac:dyDescent="0.25">
      <c r="A6167" s="180" t="str">
        <f t="shared" si="96"/>
        <v/>
      </c>
      <c r="B6167" t="s">
        <v>13097</v>
      </c>
    </row>
    <row r="6168" spans="1:4" x14ac:dyDescent="0.25">
      <c r="A6168" s="180">
        <f t="shared" si="96"/>
        <v>7709120</v>
      </c>
      <c r="B6168" t="s">
        <v>3425</v>
      </c>
      <c r="C6168" t="s">
        <v>3426</v>
      </c>
    </row>
    <row r="6169" spans="1:4" x14ac:dyDescent="0.25">
      <c r="A6169" s="180">
        <f t="shared" si="96"/>
        <v>7709122</v>
      </c>
      <c r="B6169" t="s">
        <v>3427</v>
      </c>
      <c r="C6169" t="s">
        <v>3428</v>
      </c>
    </row>
    <row r="6170" spans="1:4" x14ac:dyDescent="0.25">
      <c r="A6170" s="180" t="str">
        <f t="shared" si="96"/>
        <v/>
      </c>
      <c r="B6170" t="s">
        <v>13098</v>
      </c>
    </row>
    <row r="6171" spans="1:4" x14ac:dyDescent="0.25">
      <c r="A6171" s="180">
        <f t="shared" si="96"/>
        <v>7709123</v>
      </c>
      <c r="B6171" t="s">
        <v>13308</v>
      </c>
      <c r="C6171" t="s">
        <v>13309</v>
      </c>
      <c r="D6171" t="s">
        <v>13411</v>
      </c>
    </row>
    <row r="6172" spans="1:4" x14ac:dyDescent="0.25">
      <c r="A6172" s="180">
        <f t="shared" si="96"/>
        <v>7709135</v>
      </c>
      <c r="B6172" t="s">
        <v>3429</v>
      </c>
      <c r="C6172" t="s">
        <v>6962</v>
      </c>
      <c r="D6172" t="s">
        <v>13411</v>
      </c>
    </row>
    <row r="6173" spans="1:4" x14ac:dyDescent="0.25">
      <c r="A6173" s="180" t="str">
        <f t="shared" si="96"/>
        <v/>
      </c>
      <c r="B6173" t="s">
        <v>13099</v>
      </c>
    </row>
    <row r="6174" spans="1:4" x14ac:dyDescent="0.25">
      <c r="A6174" s="180">
        <f t="shared" si="96"/>
        <v>7709137</v>
      </c>
      <c r="B6174" t="s">
        <v>3430</v>
      </c>
      <c r="C6174" t="s">
        <v>3431</v>
      </c>
      <c r="D6174" t="s">
        <v>13411</v>
      </c>
    </row>
    <row r="6175" spans="1:4" x14ac:dyDescent="0.25">
      <c r="A6175" s="180">
        <f t="shared" si="96"/>
        <v>7709138</v>
      </c>
      <c r="B6175" t="s">
        <v>3432</v>
      </c>
      <c r="C6175" t="s">
        <v>3433</v>
      </c>
      <c r="D6175" t="s">
        <v>13411</v>
      </c>
    </row>
    <row r="6176" spans="1:4" x14ac:dyDescent="0.25">
      <c r="A6176" s="180">
        <f t="shared" si="96"/>
        <v>7709139</v>
      </c>
      <c r="B6176" t="s">
        <v>3434</v>
      </c>
      <c r="C6176" t="s">
        <v>3435</v>
      </c>
      <c r="D6176" t="s">
        <v>13411</v>
      </c>
    </row>
    <row r="6177" spans="1:4" x14ac:dyDescent="0.25">
      <c r="A6177" s="180">
        <f t="shared" si="96"/>
        <v>7709142</v>
      </c>
      <c r="B6177" t="s">
        <v>3436</v>
      </c>
      <c r="C6177" t="s">
        <v>12829</v>
      </c>
      <c r="D6177" t="s">
        <v>13411</v>
      </c>
    </row>
    <row r="6178" spans="1:4" x14ac:dyDescent="0.25">
      <c r="A6178" s="180">
        <f t="shared" si="96"/>
        <v>7709151</v>
      </c>
      <c r="B6178" t="s">
        <v>13501</v>
      </c>
      <c r="C6178" t="s">
        <v>13502</v>
      </c>
      <c r="D6178" t="s">
        <v>13411</v>
      </c>
    </row>
    <row r="6179" spans="1:4" x14ac:dyDescent="0.25">
      <c r="A6179" s="180">
        <f t="shared" si="96"/>
        <v>7709152</v>
      </c>
      <c r="B6179" t="s">
        <v>13503</v>
      </c>
      <c r="C6179" t="s">
        <v>13504</v>
      </c>
      <c r="D6179" t="s">
        <v>13411</v>
      </c>
    </row>
    <row r="6180" spans="1:4" x14ac:dyDescent="0.25">
      <c r="A6180" s="180">
        <f t="shared" si="96"/>
        <v>7709155</v>
      </c>
      <c r="B6180" t="s">
        <v>13310</v>
      </c>
      <c r="C6180" t="s">
        <v>13311</v>
      </c>
      <c r="D6180" t="s">
        <v>13411</v>
      </c>
    </row>
    <row r="6181" spans="1:4" x14ac:dyDescent="0.25">
      <c r="A6181" s="180">
        <f t="shared" si="96"/>
        <v>7709156</v>
      </c>
      <c r="B6181" t="s">
        <v>3437</v>
      </c>
      <c r="C6181" t="s">
        <v>3438</v>
      </c>
      <c r="D6181" t="s">
        <v>13411</v>
      </c>
    </row>
    <row r="6182" spans="1:4" x14ac:dyDescent="0.25">
      <c r="A6182" s="180">
        <f t="shared" si="96"/>
        <v>7709157</v>
      </c>
      <c r="B6182" t="s">
        <v>3439</v>
      </c>
      <c r="C6182" t="s">
        <v>3440</v>
      </c>
    </row>
    <row r="6183" spans="1:4" x14ac:dyDescent="0.25">
      <c r="A6183" s="180">
        <f t="shared" si="96"/>
        <v>7709158</v>
      </c>
      <c r="B6183" t="s">
        <v>3441</v>
      </c>
      <c r="C6183" t="s">
        <v>13505</v>
      </c>
      <c r="D6183" t="s">
        <v>13411</v>
      </c>
    </row>
    <row r="6184" spans="1:4" x14ac:dyDescent="0.25">
      <c r="A6184" s="180">
        <f t="shared" si="96"/>
        <v>7709159</v>
      </c>
      <c r="B6184" t="s">
        <v>3442</v>
      </c>
      <c r="C6184" t="s">
        <v>3443</v>
      </c>
    </row>
    <row r="6185" spans="1:4" x14ac:dyDescent="0.25">
      <c r="A6185" s="180" t="str">
        <f t="shared" si="96"/>
        <v/>
      </c>
      <c r="B6185" t="s">
        <v>13100</v>
      </c>
    </row>
    <row r="6186" spans="1:4" x14ac:dyDescent="0.25">
      <c r="A6186" s="180">
        <f t="shared" si="96"/>
        <v>7709160</v>
      </c>
      <c r="B6186" t="s">
        <v>3444</v>
      </c>
      <c r="C6186" t="s">
        <v>3445</v>
      </c>
      <c r="D6186" t="s">
        <v>13411</v>
      </c>
    </row>
    <row r="6187" spans="1:4" x14ac:dyDescent="0.25">
      <c r="A6187" s="180">
        <f t="shared" si="96"/>
        <v>7709161</v>
      </c>
      <c r="B6187" t="s">
        <v>6963</v>
      </c>
      <c r="C6187" t="s">
        <v>6964</v>
      </c>
      <c r="D6187" t="s">
        <v>13411</v>
      </c>
    </row>
    <row r="6188" spans="1:4" x14ac:dyDescent="0.25">
      <c r="A6188" s="180">
        <f t="shared" si="96"/>
        <v>7709163</v>
      </c>
      <c r="B6188" t="s">
        <v>12830</v>
      </c>
      <c r="C6188" t="s">
        <v>12831</v>
      </c>
    </row>
    <row r="6189" spans="1:4" x14ac:dyDescent="0.25">
      <c r="A6189" s="180">
        <f t="shared" si="96"/>
        <v>7709164</v>
      </c>
      <c r="B6189" t="s">
        <v>12832</v>
      </c>
      <c r="C6189" t="s">
        <v>12833</v>
      </c>
    </row>
    <row r="6190" spans="1:4" x14ac:dyDescent="0.25">
      <c r="A6190" s="180" t="str">
        <f t="shared" si="96"/>
        <v/>
      </c>
      <c r="B6190" t="s">
        <v>13101</v>
      </c>
    </row>
    <row r="6191" spans="1:4" x14ac:dyDescent="0.25">
      <c r="A6191" s="180">
        <f t="shared" si="96"/>
        <v>7709174</v>
      </c>
      <c r="B6191" t="s">
        <v>3446</v>
      </c>
      <c r="C6191" t="s">
        <v>3447</v>
      </c>
      <c r="D6191" t="s">
        <v>13411</v>
      </c>
    </row>
    <row r="6192" spans="1:4" x14ac:dyDescent="0.25">
      <c r="A6192" s="180">
        <f t="shared" si="96"/>
        <v>7709198</v>
      </c>
      <c r="B6192" t="s">
        <v>3448</v>
      </c>
      <c r="C6192" t="s">
        <v>3449</v>
      </c>
    </row>
    <row r="6193" spans="1:4" x14ac:dyDescent="0.25">
      <c r="A6193" s="180">
        <f t="shared" si="96"/>
        <v>7709200</v>
      </c>
      <c r="B6193" t="s">
        <v>3450</v>
      </c>
      <c r="C6193" t="s">
        <v>3451</v>
      </c>
    </row>
    <row r="6194" spans="1:4" x14ac:dyDescent="0.25">
      <c r="A6194" s="180">
        <f t="shared" si="96"/>
        <v>7709203</v>
      </c>
      <c r="B6194" t="s">
        <v>3452</v>
      </c>
      <c r="C6194" t="s">
        <v>3453</v>
      </c>
      <c r="D6194" t="s">
        <v>13411</v>
      </c>
    </row>
    <row r="6195" spans="1:4" x14ac:dyDescent="0.25">
      <c r="A6195" s="180">
        <f t="shared" si="96"/>
        <v>7709204</v>
      </c>
      <c r="B6195" t="s">
        <v>3454</v>
      </c>
      <c r="C6195" t="s">
        <v>3455</v>
      </c>
      <c r="D6195" t="s">
        <v>13411</v>
      </c>
    </row>
    <row r="6196" spans="1:4" x14ac:dyDescent="0.25">
      <c r="A6196" s="180">
        <f t="shared" si="96"/>
        <v>7709208</v>
      </c>
      <c r="B6196" t="s">
        <v>3456</v>
      </c>
      <c r="C6196" t="s">
        <v>3457</v>
      </c>
      <c r="D6196" t="s">
        <v>13411</v>
      </c>
    </row>
    <row r="6197" spans="1:4" x14ac:dyDescent="0.25">
      <c r="A6197" s="180">
        <f t="shared" si="96"/>
        <v>7709212</v>
      </c>
      <c r="B6197" t="s">
        <v>3458</v>
      </c>
      <c r="C6197" t="s">
        <v>3459</v>
      </c>
      <c r="D6197" t="s">
        <v>13411</v>
      </c>
    </row>
    <row r="6198" spans="1:4" x14ac:dyDescent="0.25">
      <c r="A6198" s="180">
        <f t="shared" si="96"/>
        <v>7709228</v>
      </c>
      <c r="B6198" t="s">
        <v>3460</v>
      </c>
      <c r="C6198" t="s">
        <v>3461</v>
      </c>
      <c r="D6198" t="s">
        <v>13411</v>
      </c>
    </row>
    <row r="6199" spans="1:4" x14ac:dyDescent="0.25">
      <c r="A6199" s="180">
        <f t="shared" si="96"/>
        <v>7709229</v>
      </c>
      <c r="B6199" t="s">
        <v>3462</v>
      </c>
      <c r="C6199" t="s">
        <v>3463</v>
      </c>
      <c r="D6199" t="s">
        <v>13411</v>
      </c>
    </row>
    <row r="6200" spans="1:4" x14ac:dyDescent="0.25">
      <c r="A6200" s="180">
        <f t="shared" si="96"/>
        <v>7709230</v>
      </c>
      <c r="B6200" t="s">
        <v>3464</v>
      </c>
      <c r="C6200" t="s">
        <v>3465</v>
      </c>
    </row>
    <row r="6201" spans="1:4" x14ac:dyDescent="0.25">
      <c r="A6201" s="180">
        <f t="shared" si="96"/>
        <v>7709233</v>
      </c>
      <c r="B6201" t="s">
        <v>3466</v>
      </c>
      <c r="C6201" t="s">
        <v>3467</v>
      </c>
      <c r="D6201" t="s">
        <v>13411</v>
      </c>
    </row>
    <row r="6202" spans="1:4" x14ac:dyDescent="0.25">
      <c r="A6202" s="180">
        <f t="shared" si="96"/>
        <v>7709234</v>
      </c>
      <c r="B6202" t="s">
        <v>3468</v>
      </c>
      <c r="C6202" t="s">
        <v>3469</v>
      </c>
    </row>
    <row r="6203" spans="1:4" x14ac:dyDescent="0.25">
      <c r="A6203" s="180">
        <f t="shared" si="96"/>
        <v>7709235</v>
      </c>
      <c r="B6203" t="s">
        <v>3470</v>
      </c>
      <c r="C6203" t="s">
        <v>3471</v>
      </c>
    </row>
    <row r="6204" spans="1:4" x14ac:dyDescent="0.25">
      <c r="A6204" s="180">
        <f t="shared" si="96"/>
        <v>7709236</v>
      </c>
      <c r="B6204" t="s">
        <v>13102</v>
      </c>
      <c r="C6204" t="s">
        <v>13103</v>
      </c>
    </row>
    <row r="6205" spans="1:4" x14ac:dyDescent="0.25">
      <c r="A6205" s="180">
        <f t="shared" si="96"/>
        <v>7709238</v>
      </c>
      <c r="B6205" t="s">
        <v>3472</v>
      </c>
      <c r="C6205" t="s">
        <v>3473</v>
      </c>
    </row>
    <row r="6206" spans="1:4" x14ac:dyDescent="0.25">
      <c r="A6206" s="180">
        <f t="shared" si="96"/>
        <v>7709245</v>
      </c>
      <c r="B6206" t="s">
        <v>3474</v>
      </c>
      <c r="C6206" t="s">
        <v>3475</v>
      </c>
      <c r="D6206" t="s">
        <v>13411</v>
      </c>
    </row>
    <row r="6207" spans="1:4" x14ac:dyDescent="0.25">
      <c r="A6207" s="180">
        <f t="shared" ref="A6207:A6270" si="97">IFERROR(B6207*1,"")</f>
        <v>7709246</v>
      </c>
      <c r="B6207" t="s">
        <v>3476</v>
      </c>
      <c r="C6207" t="s">
        <v>3477</v>
      </c>
      <c r="D6207" t="s">
        <v>13411</v>
      </c>
    </row>
    <row r="6208" spans="1:4" x14ac:dyDescent="0.25">
      <c r="A6208" s="180">
        <f t="shared" si="97"/>
        <v>7709251</v>
      </c>
      <c r="B6208" t="s">
        <v>3478</v>
      </c>
      <c r="C6208" t="s">
        <v>3479</v>
      </c>
      <c r="D6208" t="s">
        <v>13411</v>
      </c>
    </row>
    <row r="6209" spans="1:4" x14ac:dyDescent="0.25">
      <c r="A6209" s="180">
        <f t="shared" si="97"/>
        <v>7709272</v>
      </c>
      <c r="B6209" t="s">
        <v>3480</v>
      </c>
      <c r="C6209" t="s">
        <v>12834</v>
      </c>
      <c r="D6209" t="s">
        <v>13411</v>
      </c>
    </row>
    <row r="6210" spans="1:4" x14ac:dyDescent="0.25">
      <c r="A6210" s="180" t="str">
        <f t="shared" si="97"/>
        <v/>
      </c>
      <c r="B6210" t="s">
        <v>13104</v>
      </c>
    </row>
    <row r="6211" spans="1:4" x14ac:dyDescent="0.25">
      <c r="A6211" s="180">
        <f t="shared" si="97"/>
        <v>7709273</v>
      </c>
      <c r="B6211" t="s">
        <v>3481</v>
      </c>
      <c r="C6211" t="s">
        <v>3482</v>
      </c>
    </row>
    <row r="6212" spans="1:4" x14ac:dyDescent="0.25">
      <c r="A6212" s="180">
        <f t="shared" si="97"/>
        <v>7709274</v>
      </c>
      <c r="B6212" t="s">
        <v>3483</v>
      </c>
      <c r="C6212" t="s">
        <v>3484</v>
      </c>
      <c r="D6212" t="s">
        <v>13411</v>
      </c>
    </row>
    <row r="6213" spans="1:4" x14ac:dyDescent="0.25">
      <c r="A6213" s="180">
        <f t="shared" si="97"/>
        <v>7709285</v>
      </c>
      <c r="B6213" t="s">
        <v>3485</v>
      </c>
      <c r="C6213" t="s">
        <v>3486</v>
      </c>
    </row>
    <row r="6214" spans="1:4" x14ac:dyDescent="0.25">
      <c r="A6214" s="180">
        <f t="shared" si="97"/>
        <v>7709300</v>
      </c>
      <c r="B6214" t="s">
        <v>3487</v>
      </c>
      <c r="C6214" t="s">
        <v>3488</v>
      </c>
      <c r="D6214" t="s">
        <v>13411</v>
      </c>
    </row>
    <row r="6215" spans="1:4" x14ac:dyDescent="0.25">
      <c r="A6215" s="180">
        <f t="shared" si="97"/>
        <v>7709301</v>
      </c>
      <c r="B6215" t="s">
        <v>3489</v>
      </c>
      <c r="C6215" t="s">
        <v>3490</v>
      </c>
    </row>
    <row r="6216" spans="1:4" x14ac:dyDescent="0.25">
      <c r="A6216" s="180">
        <f t="shared" si="97"/>
        <v>7709302</v>
      </c>
      <c r="B6216" t="s">
        <v>3491</v>
      </c>
      <c r="C6216" t="s">
        <v>3492</v>
      </c>
    </row>
    <row r="6217" spans="1:4" x14ac:dyDescent="0.25">
      <c r="A6217" s="180">
        <f t="shared" si="97"/>
        <v>7709303</v>
      </c>
      <c r="B6217" t="s">
        <v>3493</v>
      </c>
      <c r="C6217" t="s">
        <v>3494</v>
      </c>
    </row>
    <row r="6218" spans="1:4" x14ac:dyDescent="0.25">
      <c r="A6218" s="180">
        <f t="shared" si="97"/>
        <v>7709304</v>
      </c>
      <c r="B6218" t="s">
        <v>3495</v>
      </c>
      <c r="C6218" t="s">
        <v>3496</v>
      </c>
    </row>
    <row r="6219" spans="1:4" x14ac:dyDescent="0.25">
      <c r="A6219" s="180">
        <f t="shared" si="97"/>
        <v>7709305</v>
      </c>
      <c r="B6219" t="s">
        <v>13312</v>
      </c>
      <c r="C6219" t="s">
        <v>14986</v>
      </c>
      <c r="D6219" t="s">
        <v>13411</v>
      </c>
    </row>
    <row r="6220" spans="1:4" x14ac:dyDescent="0.25">
      <c r="A6220" s="180">
        <f t="shared" si="97"/>
        <v>7709306</v>
      </c>
      <c r="B6220" t="s">
        <v>3497</v>
      </c>
      <c r="C6220" t="s">
        <v>3498</v>
      </c>
    </row>
    <row r="6221" spans="1:4" x14ac:dyDescent="0.25">
      <c r="A6221" s="180">
        <f t="shared" si="97"/>
        <v>7709307</v>
      </c>
      <c r="B6221" t="s">
        <v>3499</v>
      </c>
      <c r="C6221" t="s">
        <v>3500</v>
      </c>
      <c r="D6221" t="s">
        <v>13411</v>
      </c>
    </row>
    <row r="6222" spans="1:4" x14ac:dyDescent="0.25">
      <c r="A6222" s="180">
        <f t="shared" si="97"/>
        <v>7709308</v>
      </c>
      <c r="B6222" t="s">
        <v>3501</v>
      </c>
      <c r="C6222" t="s">
        <v>3502</v>
      </c>
      <c r="D6222" t="s">
        <v>13411</v>
      </c>
    </row>
    <row r="6223" spans="1:4" x14ac:dyDescent="0.25">
      <c r="A6223" s="180">
        <f t="shared" si="97"/>
        <v>7709310</v>
      </c>
      <c r="B6223" t="s">
        <v>3503</v>
      </c>
      <c r="C6223" t="s">
        <v>3504</v>
      </c>
      <c r="D6223" t="s">
        <v>13411</v>
      </c>
    </row>
    <row r="6224" spans="1:4" x14ac:dyDescent="0.25">
      <c r="A6224" s="180">
        <f t="shared" si="97"/>
        <v>7709312</v>
      </c>
      <c r="B6224" t="s">
        <v>3505</v>
      </c>
      <c r="C6224" t="s">
        <v>3506</v>
      </c>
      <c r="D6224" t="s">
        <v>13411</v>
      </c>
    </row>
    <row r="6225" spans="1:4" x14ac:dyDescent="0.25">
      <c r="A6225" s="180">
        <f t="shared" si="97"/>
        <v>7709330</v>
      </c>
      <c r="B6225" t="s">
        <v>3507</v>
      </c>
      <c r="C6225" t="s">
        <v>3508</v>
      </c>
    </row>
    <row r="6226" spans="1:4" x14ac:dyDescent="0.25">
      <c r="A6226" s="180">
        <f t="shared" si="97"/>
        <v>7709333</v>
      </c>
      <c r="B6226" t="s">
        <v>3509</v>
      </c>
      <c r="C6226" t="s">
        <v>3510</v>
      </c>
      <c r="D6226" t="s">
        <v>13411</v>
      </c>
    </row>
    <row r="6227" spans="1:4" x14ac:dyDescent="0.25">
      <c r="A6227" s="180">
        <f t="shared" si="97"/>
        <v>7709334</v>
      </c>
      <c r="B6227" t="s">
        <v>6965</v>
      </c>
      <c r="C6227" t="s">
        <v>6966</v>
      </c>
    </row>
    <row r="6228" spans="1:4" x14ac:dyDescent="0.25">
      <c r="A6228" s="180">
        <f t="shared" si="97"/>
        <v>7709338</v>
      </c>
      <c r="B6228" t="s">
        <v>3511</v>
      </c>
      <c r="C6228" t="s">
        <v>3512</v>
      </c>
      <c r="D6228" t="s">
        <v>13411</v>
      </c>
    </row>
    <row r="6229" spans="1:4" x14ac:dyDescent="0.25">
      <c r="A6229" s="180" t="str">
        <f t="shared" si="97"/>
        <v/>
      </c>
      <c r="B6229" t="s">
        <v>13105</v>
      </c>
    </row>
    <row r="6230" spans="1:4" x14ac:dyDescent="0.25">
      <c r="A6230" s="180">
        <f t="shared" si="97"/>
        <v>7709341</v>
      </c>
      <c r="B6230" t="s">
        <v>3513</v>
      </c>
      <c r="C6230" t="s">
        <v>3514</v>
      </c>
      <c r="D6230" t="s">
        <v>13411</v>
      </c>
    </row>
    <row r="6231" spans="1:4" x14ac:dyDescent="0.25">
      <c r="A6231" s="180">
        <f t="shared" si="97"/>
        <v>7709350</v>
      </c>
      <c r="B6231" t="s">
        <v>3515</v>
      </c>
      <c r="C6231" t="s">
        <v>3516</v>
      </c>
      <c r="D6231" t="s">
        <v>13411</v>
      </c>
    </row>
    <row r="6232" spans="1:4" x14ac:dyDescent="0.25">
      <c r="A6232" s="180">
        <f t="shared" si="97"/>
        <v>7709351</v>
      </c>
      <c r="B6232" t="s">
        <v>3517</v>
      </c>
      <c r="C6232" t="s">
        <v>3518</v>
      </c>
    </row>
    <row r="6233" spans="1:4" x14ac:dyDescent="0.25">
      <c r="A6233" s="180" t="str">
        <f t="shared" si="97"/>
        <v/>
      </c>
      <c r="B6233" t="s">
        <v>13106</v>
      </c>
    </row>
    <row r="6234" spans="1:4" x14ac:dyDescent="0.25">
      <c r="A6234" s="180">
        <f t="shared" si="97"/>
        <v>7709352</v>
      </c>
      <c r="B6234" t="s">
        <v>3519</v>
      </c>
      <c r="C6234" t="s">
        <v>3520</v>
      </c>
    </row>
    <row r="6235" spans="1:4" x14ac:dyDescent="0.25">
      <c r="A6235" s="180">
        <f t="shared" si="97"/>
        <v>7709353</v>
      </c>
      <c r="B6235" t="s">
        <v>12835</v>
      </c>
      <c r="C6235" t="s">
        <v>12836</v>
      </c>
      <c r="D6235" t="s">
        <v>13411</v>
      </c>
    </row>
    <row r="6236" spans="1:4" x14ac:dyDescent="0.25">
      <c r="A6236" s="180">
        <f t="shared" si="97"/>
        <v>7709354</v>
      </c>
      <c r="B6236" t="s">
        <v>12837</v>
      </c>
      <c r="C6236" t="s">
        <v>12838</v>
      </c>
      <c r="D6236" t="s">
        <v>13411</v>
      </c>
    </row>
    <row r="6237" spans="1:4" x14ac:dyDescent="0.25">
      <c r="A6237" s="180">
        <f t="shared" si="97"/>
        <v>7709355</v>
      </c>
      <c r="B6237" t="s">
        <v>3521</v>
      </c>
      <c r="C6237" t="s">
        <v>12839</v>
      </c>
      <c r="D6237" t="s">
        <v>13411</v>
      </c>
    </row>
    <row r="6238" spans="1:4" x14ac:dyDescent="0.25">
      <c r="A6238" s="180">
        <f t="shared" si="97"/>
        <v>7709356</v>
      </c>
      <c r="B6238" t="s">
        <v>12840</v>
      </c>
      <c r="C6238" t="s">
        <v>12841</v>
      </c>
      <c r="D6238" t="s">
        <v>13411</v>
      </c>
    </row>
    <row r="6239" spans="1:4" x14ac:dyDescent="0.25">
      <c r="A6239" s="180">
        <f t="shared" si="97"/>
        <v>7709357</v>
      </c>
      <c r="B6239" t="s">
        <v>12842</v>
      </c>
      <c r="C6239" t="s">
        <v>12843</v>
      </c>
      <c r="D6239" t="s">
        <v>13411</v>
      </c>
    </row>
    <row r="6240" spans="1:4" x14ac:dyDescent="0.25">
      <c r="A6240" s="180">
        <f t="shared" si="97"/>
        <v>7709358</v>
      </c>
      <c r="B6240" t="s">
        <v>3522</v>
      </c>
      <c r="C6240" t="s">
        <v>3523</v>
      </c>
      <c r="D6240" t="s">
        <v>13411</v>
      </c>
    </row>
    <row r="6241" spans="1:4" x14ac:dyDescent="0.25">
      <c r="A6241" s="180">
        <f t="shared" si="97"/>
        <v>7709359</v>
      </c>
      <c r="B6241" t="s">
        <v>12844</v>
      </c>
      <c r="C6241" t="s">
        <v>12845</v>
      </c>
      <c r="D6241" t="s">
        <v>13411</v>
      </c>
    </row>
    <row r="6242" spans="1:4" x14ac:dyDescent="0.25">
      <c r="A6242" s="180">
        <f t="shared" si="97"/>
        <v>7709360</v>
      </c>
      <c r="B6242" t="s">
        <v>3524</v>
      </c>
      <c r="C6242" t="s">
        <v>3525</v>
      </c>
      <c r="D6242" t="s">
        <v>13411</v>
      </c>
    </row>
    <row r="6243" spans="1:4" x14ac:dyDescent="0.25">
      <c r="A6243" s="180">
        <f t="shared" si="97"/>
        <v>7709361</v>
      </c>
      <c r="B6243" t="s">
        <v>3526</v>
      </c>
      <c r="C6243" t="s">
        <v>3527</v>
      </c>
      <c r="D6243" t="s">
        <v>13411</v>
      </c>
    </row>
    <row r="6244" spans="1:4" x14ac:dyDescent="0.25">
      <c r="A6244" s="180">
        <f t="shared" si="97"/>
        <v>7709364</v>
      </c>
      <c r="B6244" t="s">
        <v>3528</v>
      </c>
      <c r="C6244" t="s">
        <v>3529</v>
      </c>
      <c r="D6244" t="s">
        <v>13411</v>
      </c>
    </row>
    <row r="6245" spans="1:4" x14ac:dyDescent="0.25">
      <c r="A6245" s="180">
        <f t="shared" si="97"/>
        <v>7709365</v>
      </c>
      <c r="B6245" t="s">
        <v>3530</v>
      </c>
      <c r="C6245" t="s">
        <v>3531</v>
      </c>
      <c r="D6245" t="s">
        <v>13411</v>
      </c>
    </row>
    <row r="6246" spans="1:4" x14ac:dyDescent="0.25">
      <c r="A6246" s="180">
        <f t="shared" si="97"/>
        <v>7709380</v>
      </c>
      <c r="B6246" t="s">
        <v>3532</v>
      </c>
      <c r="C6246" t="s">
        <v>3533</v>
      </c>
      <c r="D6246" t="s">
        <v>13411</v>
      </c>
    </row>
    <row r="6247" spans="1:4" x14ac:dyDescent="0.25">
      <c r="A6247" s="180">
        <f t="shared" si="97"/>
        <v>7709381</v>
      </c>
      <c r="B6247" t="s">
        <v>3534</v>
      </c>
      <c r="C6247" t="s">
        <v>3535</v>
      </c>
      <c r="D6247" t="s">
        <v>13411</v>
      </c>
    </row>
    <row r="6248" spans="1:4" x14ac:dyDescent="0.25">
      <c r="A6248" s="180">
        <f t="shared" si="97"/>
        <v>7709384</v>
      </c>
      <c r="B6248" t="s">
        <v>3536</v>
      </c>
      <c r="C6248" t="s">
        <v>6967</v>
      </c>
      <c r="D6248" t="s">
        <v>13411</v>
      </c>
    </row>
    <row r="6249" spans="1:4" x14ac:dyDescent="0.25">
      <c r="A6249" s="180">
        <f t="shared" si="97"/>
        <v>7709393</v>
      </c>
      <c r="B6249" t="s">
        <v>3537</v>
      </c>
      <c r="C6249" t="s">
        <v>3538</v>
      </c>
      <c r="D6249" t="s">
        <v>13411</v>
      </c>
    </row>
    <row r="6250" spans="1:4" x14ac:dyDescent="0.25">
      <c r="A6250" s="180">
        <f t="shared" si="97"/>
        <v>7709394</v>
      </c>
      <c r="B6250" t="s">
        <v>3539</v>
      </c>
      <c r="C6250" t="s">
        <v>3540</v>
      </c>
      <c r="D6250" t="s">
        <v>13411</v>
      </c>
    </row>
    <row r="6251" spans="1:4" x14ac:dyDescent="0.25">
      <c r="A6251" s="180">
        <f t="shared" si="97"/>
        <v>7709395</v>
      </c>
      <c r="B6251" t="s">
        <v>3541</v>
      </c>
      <c r="C6251" t="s">
        <v>3542</v>
      </c>
    </row>
    <row r="6252" spans="1:4" x14ac:dyDescent="0.25">
      <c r="A6252" s="180">
        <f t="shared" si="97"/>
        <v>7709396</v>
      </c>
      <c r="B6252" t="s">
        <v>3543</v>
      </c>
      <c r="C6252" t="s">
        <v>3544</v>
      </c>
      <c r="D6252" t="s">
        <v>13411</v>
      </c>
    </row>
    <row r="6253" spans="1:4" x14ac:dyDescent="0.25">
      <c r="A6253" s="180">
        <f t="shared" si="97"/>
        <v>7709401</v>
      </c>
      <c r="B6253" t="s">
        <v>3545</v>
      </c>
      <c r="C6253" t="s">
        <v>3546</v>
      </c>
      <c r="D6253" t="s">
        <v>13411</v>
      </c>
    </row>
    <row r="6254" spans="1:4" x14ac:dyDescent="0.25">
      <c r="A6254" s="180">
        <f t="shared" si="97"/>
        <v>7709406</v>
      </c>
      <c r="B6254" t="s">
        <v>3547</v>
      </c>
      <c r="C6254" t="s">
        <v>3548</v>
      </c>
    </row>
    <row r="6255" spans="1:4" x14ac:dyDescent="0.25">
      <c r="A6255" s="180">
        <f t="shared" si="97"/>
        <v>7709410</v>
      </c>
      <c r="B6255" t="s">
        <v>3549</v>
      </c>
      <c r="C6255" t="s">
        <v>3550</v>
      </c>
      <c r="D6255" t="s">
        <v>13411</v>
      </c>
    </row>
    <row r="6256" spans="1:4" x14ac:dyDescent="0.25">
      <c r="A6256" s="180">
        <f t="shared" si="97"/>
        <v>7709411</v>
      </c>
      <c r="B6256" t="s">
        <v>3551</v>
      </c>
      <c r="C6256" t="s">
        <v>3552</v>
      </c>
      <c r="D6256" t="s">
        <v>13411</v>
      </c>
    </row>
    <row r="6257" spans="1:4" x14ac:dyDescent="0.25">
      <c r="A6257" s="180">
        <f t="shared" si="97"/>
        <v>7709412</v>
      </c>
      <c r="B6257" t="s">
        <v>3553</v>
      </c>
      <c r="C6257" t="s">
        <v>3554</v>
      </c>
      <c r="D6257" t="s">
        <v>13411</v>
      </c>
    </row>
    <row r="6258" spans="1:4" x14ac:dyDescent="0.25">
      <c r="A6258" s="180">
        <f t="shared" si="97"/>
        <v>7709413</v>
      </c>
      <c r="B6258" t="s">
        <v>3555</v>
      </c>
      <c r="C6258" t="s">
        <v>3556</v>
      </c>
    </row>
    <row r="6259" spans="1:4" x14ac:dyDescent="0.25">
      <c r="A6259" s="180">
        <f t="shared" si="97"/>
        <v>7709414</v>
      </c>
      <c r="B6259" t="s">
        <v>6968</v>
      </c>
      <c r="C6259" t="s">
        <v>6969</v>
      </c>
      <c r="D6259" t="s">
        <v>13411</v>
      </c>
    </row>
    <row r="6260" spans="1:4" x14ac:dyDescent="0.25">
      <c r="A6260" s="180">
        <f t="shared" si="97"/>
        <v>7709415</v>
      </c>
      <c r="B6260" t="s">
        <v>6970</v>
      </c>
      <c r="C6260" t="s">
        <v>6971</v>
      </c>
      <c r="D6260" t="s">
        <v>13411</v>
      </c>
    </row>
    <row r="6261" spans="1:4" x14ac:dyDescent="0.25">
      <c r="A6261" s="180">
        <f t="shared" si="97"/>
        <v>7709416</v>
      </c>
      <c r="B6261" t="s">
        <v>6972</v>
      </c>
      <c r="C6261" t="s">
        <v>6973</v>
      </c>
      <c r="D6261" t="s">
        <v>13411</v>
      </c>
    </row>
    <row r="6262" spans="1:4" x14ac:dyDescent="0.25">
      <c r="A6262" s="180">
        <f t="shared" si="97"/>
        <v>7709417</v>
      </c>
      <c r="B6262" t="s">
        <v>3557</v>
      </c>
      <c r="C6262" t="s">
        <v>3558</v>
      </c>
    </row>
    <row r="6263" spans="1:4" x14ac:dyDescent="0.25">
      <c r="A6263" s="180">
        <f t="shared" si="97"/>
        <v>7709419</v>
      </c>
      <c r="B6263" t="s">
        <v>3559</v>
      </c>
      <c r="C6263" t="s">
        <v>3560</v>
      </c>
      <c r="D6263" t="s">
        <v>13411</v>
      </c>
    </row>
    <row r="6264" spans="1:4" x14ac:dyDescent="0.25">
      <c r="A6264" s="180">
        <f t="shared" si="97"/>
        <v>7709420</v>
      </c>
      <c r="B6264" t="s">
        <v>3561</v>
      </c>
      <c r="C6264" t="s">
        <v>3562</v>
      </c>
      <c r="D6264" t="s">
        <v>13411</v>
      </c>
    </row>
    <row r="6265" spans="1:4" x14ac:dyDescent="0.25">
      <c r="A6265" s="180">
        <f t="shared" si="97"/>
        <v>7709421</v>
      </c>
      <c r="B6265" t="s">
        <v>3563</v>
      </c>
      <c r="C6265" t="s">
        <v>3564</v>
      </c>
      <c r="D6265" t="s">
        <v>13411</v>
      </c>
    </row>
    <row r="6266" spans="1:4" x14ac:dyDescent="0.25">
      <c r="A6266" s="180">
        <f t="shared" si="97"/>
        <v>7709422</v>
      </c>
      <c r="B6266" t="s">
        <v>3565</v>
      </c>
      <c r="C6266" t="s">
        <v>3566</v>
      </c>
      <c r="D6266" t="s">
        <v>13411</v>
      </c>
    </row>
    <row r="6267" spans="1:4" x14ac:dyDescent="0.25">
      <c r="A6267" s="180">
        <f t="shared" si="97"/>
        <v>7709425</v>
      </c>
      <c r="B6267" t="s">
        <v>3567</v>
      </c>
      <c r="C6267" t="s">
        <v>3568</v>
      </c>
      <c r="D6267" t="s">
        <v>13411</v>
      </c>
    </row>
    <row r="6268" spans="1:4" x14ac:dyDescent="0.25">
      <c r="A6268" s="180">
        <f t="shared" si="97"/>
        <v>7709426</v>
      </c>
      <c r="B6268" t="s">
        <v>3569</v>
      </c>
      <c r="C6268" t="s">
        <v>3570</v>
      </c>
      <c r="D6268" t="s">
        <v>13411</v>
      </c>
    </row>
    <row r="6269" spans="1:4" x14ac:dyDescent="0.25">
      <c r="A6269" s="180">
        <f t="shared" si="97"/>
        <v>7709427</v>
      </c>
      <c r="B6269" t="s">
        <v>12846</v>
      </c>
      <c r="C6269" t="s">
        <v>13313</v>
      </c>
      <c r="D6269" t="s">
        <v>13411</v>
      </c>
    </row>
    <row r="6270" spans="1:4" x14ac:dyDescent="0.25">
      <c r="A6270" s="180">
        <f t="shared" si="97"/>
        <v>7709428</v>
      </c>
      <c r="B6270" t="s">
        <v>12847</v>
      </c>
      <c r="C6270" t="s">
        <v>13314</v>
      </c>
      <c r="D6270" t="s">
        <v>13411</v>
      </c>
    </row>
    <row r="6271" spans="1:4" x14ac:dyDescent="0.25">
      <c r="A6271" s="180">
        <f t="shared" ref="A6271:A6334" si="98">IFERROR(B6271*1,"")</f>
        <v>7709438</v>
      </c>
      <c r="B6271" t="s">
        <v>12686</v>
      </c>
      <c r="C6271" t="s">
        <v>12687</v>
      </c>
      <c r="D6271" t="s">
        <v>13411</v>
      </c>
    </row>
    <row r="6272" spans="1:4" x14ac:dyDescent="0.25">
      <c r="A6272" s="180">
        <f t="shared" si="98"/>
        <v>7709439</v>
      </c>
      <c r="B6272" t="s">
        <v>3571</v>
      </c>
      <c r="C6272" t="s">
        <v>3572</v>
      </c>
      <c r="D6272" t="s">
        <v>13411</v>
      </c>
    </row>
    <row r="6273" spans="1:4" x14ac:dyDescent="0.25">
      <c r="A6273" s="180">
        <f t="shared" si="98"/>
        <v>7709440</v>
      </c>
      <c r="B6273" t="s">
        <v>3573</v>
      </c>
      <c r="C6273" t="s">
        <v>3574</v>
      </c>
      <c r="D6273" t="s">
        <v>13411</v>
      </c>
    </row>
    <row r="6274" spans="1:4" x14ac:dyDescent="0.25">
      <c r="A6274" s="180">
        <f t="shared" si="98"/>
        <v>7709441</v>
      </c>
      <c r="B6274" t="s">
        <v>3575</v>
      </c>
      <c r="C6274" t="s">
        <v>3576</v>
      </c>
    </row>
    <row r="6275" spans="1:4" x14ac:dyDescent="0.25">
      <c r="A6275" s="180">
        <f t="shared" si="98"/>
        <v>7709442</v>
      </c>
      <c r="B6275" t="s">
        <v>3577</v>
      </c>
      <c r="C6275" t="s">
        <v>3578</v>
      </c>
      <c r="D6275" t="s">
        <v>13411</v>
      </c>
    </row>
    <row r="6276" spans="1:4" x14ac:dyDescent="0.25">
      <c r="A6276" s="180">
        <f t="shared" si="98"/>
        <v>7709443</v>
      </c>
      <c r="B6276" t="s">
        <v>3579</v>
      </c>
      <c r="C6276" t="s">
        <v>3580</v>
      </c>
    </row>
    <row r="6277" spans="1:4" x14ac:dyDescent="0.25">
      <c r="A6277" s="180">
        <f t="shared" si="98"/>
        <v>7709444</v>
      </c>
      <c r="B6277" t="s">
        <v>13315</v>
      </c>
      <c r="C6277" t="s">
        <v>13316</v>
      </c>
      <c r="D6277" t="s">
        <v>13411</v>
      </c>
    </row>
    <row r="6278" spans="1:4" x14ac:dyDescent="0.25">
      <c r="A6278" s="180">
        <f t="shared" si="98"/>
        <v>7709445</v>
      </c>
      <c r="B6278" t="s">
        <v>14038</v>
      </c>
      <c r="C6278" t="s">
        <v>14039</v>
      </c>
      <c r="D6278" t="s">
        <v>13411</v>
      </c>
    </row>
    <row r="6279" spans="1:4" x14ac:dyDescent="0.25">
      <c r="A6279" s="180">
        <f t="shared" si="98"/>
        <v>7709450</v>
      </c>
      <c r="B6279" t="s">
        <v>3581</v>
      </c>
      <c r="C6279" t="s">
        <v>3582</v>
      </c>
    </row>
    <row r="6280" spans="1:4" x14ac:dyDescent="0.25">
      <c r="A6280" s="180">
        <f t="shared" si="98"/>
        <v>7709451</v>
      </c>
      <c r="B6280" t="s">
        <v>3583</v>
      </c>
      <c r="C6280" t="s">
        <v>3584</v>
      </c>
    </row>
    <row r="6281" spans="1:4" x14ac:dyDescent="0.25">
      <c r="A6281" s="180">
        <f t="shared" si="98"/>
        <v>7709452</v>
      </c>
      <c r="B6281" t="s">
        <v>3585</v>
      </c>
      <c r="C6281" t="s">
        <v>3586</v>
      </c>
      <c r="D6281" t="s">
        <v>13411</v>
      </c>
    </row>
    <row r="6282" spans="1:4" x14ac:dyDescent="0.25">
      <c r="A6282" s="180">
        <f t="shared" si="98"/>
        <v>7709453</v>
      </c>
      <c r="B6282" t="s">
        <v>3587</v>
      </c>
      <c r="C6282" t="s">
        <v>3588</v>
      </c>
      <c r="D6282" t="s">
        <v>13411</v>
      </c>
    </row>
    <row r="6283" spans="1:4" x14ac:dyDescent="0.25">
      <c r="A6283" s="180">
        <f t="shared" si="98"/>
        <v>7709454</v>
      </c>
      <c r="B6283" t="s">
        <v>3589</v>
      </c>
      <c r="C6283" t="s">
        <v>3590</v>
      </c>
    </row>
    <row r="6284" spans="1:4" x14ac:dyDescent="0.25">
      <c r="A6284" s="180">
        <f t="shared" si="98"/>
        <v>7709455</v>
      </c>
      <c r="B6284" t="s">
        <v>3591</v>
      </c>
      <c r="C6284" t="s">
        <v>3592</v>
      </c>
      <c r="D6284" t="s">
        <v>13411</v>
      </c>
    </row>
    <row r="6285" spans="1:4" x14ac:dyDescent="0.25">
      <c r="A6285" s="180">
        <f t="shared" si="98"/>
        <v>7709456</v>
      </c>
      <c r="B6285" t="s">
        <v>3593</v>
      </c>
      <c r="C6285" t="s">
        <v>3594</v>
      </c>
      <c r="D6285" t="s">
        <v>13411</v>
      </c>
    </row>
    <row r="6286" spans="1:4" x14ac:dyDescent="0.25">
      <c r="A6286" s="180">
        <f t="shared" si="98"/>
        <v>7709457</v>
      </c>
      <c r="B6286" t="s">
        <v>3595</v>
      </c>
      <c r="C6286" t="s">
        <v>3596</v>
      </c>
      <c r="D6286" t="s">
        <v>13411</v>
      </c>
    </row>
    <row r="6287" spans="1:4" x14ac:dyDescent="0.25">
      <c r="A6287" s="180">
        <f t="shared" si="98"/>
        <v>7709458</v>
      </c>
      <c r="B6287" t="s">
        <v>3597</v>
      </c>
      <c r="C6287" t="s">
        <v>3598</v>
      </c>
      <c r="D6287" t="s">
        <v>13411</v>
      </c>
    </row>
    <row r="6288" spans="1:4" x14ac:dyDescent="0.25">
      <c r="A6288" s="180">
        <f t="shared" si="98"/>
        <v>7709459</v>
      </c>
      <c r="B6288" t="s">
        <v>3599</v>
      </c>
      <c r="C6288" t="s">
        <v>3600</v>
      </c>
      <c r="D6288" t="s">
        <v>13411</v>
      </c>
    </row>
    <row r="6289" spans="1:4" x14ac:dyDescent="0.25">
      <c r="A6289" s="180">
        <f t="shared" si="98"/>
        <v>7709460</v>
      </c>
      <c r="B6289" t="s">
        <v>3601</v>
      </c>
      <c r="C6289" t="s">
        <v>3602</v>
      </c>
      <c r="D6289" t="s">
        <v>13411</v>
      </c>
    </row>
    <row r="6290" spans="1:4" x14ac:dyDescent="0.25">
      <c r="A6290" s="180">
        <f t="shared" si="98"/>
        <v>7709461</v>
      </c>
      <c r="B6290" t="s">
        <v>3603</v>
      </c>
      <c r="C6290" t="s">
        <v>3604</v>
      </c>
      <c r="D6290" t="s">
        <v>13411</v>
      </c>
    </row>
    <row r="6291" spans="1:4" x14ac:dyDescent="0.25">
      <c r="A6291" s="180">
        <f t="shared" si="98"/>
        <v>7709462</v>
      </c>
      <c r="B6291" t="s">
        <v>3605</v>
      </c>
      <c r="C6291" t="s">
        <v>3606</v>
      </c>
      <c r="D6291" t="s">
        <v>13411</v>
      </c>
    </row>
    <row r="6292" spans="1:4" x14ac:dyDescent="0.25">
      <c r="A6292" s="180">
        <f t="shared" si="98"/>
        <v>7709465</v>
      </c>
      <c r="B6292" t="s">
        <v>3607</v>
      </c>
      <c r="C6292" t="s">
        <v>3608</v>
      </c>
      <c r="D6292" t="s">
        <v>13411</v>
      </c>
    </row>
    <row r="6293" spans="1:4" x14ac:dyDescent="0.25">
      <c r="A6293" s="180">
        <f t="shared" si="98"/>
        <v>7709473</v>
      </c>
      <c r="B6293" t="s">
        <v>3609</v>
      </c>
      <c r="C6293" t="s">
        <v>3610</v>
      </c>
      <c r="D6293" t="s">
        <v>13411</v>
      </c>
    </row>
    <row r="6294" spans="1:4" x14ac:dyDescent="0.25">
      <c r="A6294" s="180">
        <f t="shared" si="98"/>
        <v>7709490</v>
      </c>
      <c r="B6294" t="s">
        <v>3611</v>
      </c>
      <c r="C6294" t="s">
        <v>3612</v>
      </c>
    </row>
    <row r="6295" spans="1:4" x14ac:dyDescent="0.25">
      <c r="A6295" s="180">
        <f t="shared" si="98"/>
        <v>7709495</v>
      </c>
      <c r="B6295" t="s">
        <v>3613</v>
      </c>
      <c r="C6295" t="s">
        <v>3614</v>
      </c>
    </row>
    <row r="6296" spans="1:4" x14ac:dyDescent="0.25">
      <c r="A6296" s="180">
        <f t="shared" si="98"/>
        <v>7709499</v>
      </c>
      <c r="B6296" t="s">
        <v>3615</v>
      </c>
      <c r="C6296" t="s">
        <v>3616</v>
      </c>
    </row>
    <row r="6297" spans="1:4" x14ac:dyDescent="0.25">
      <c r="A6297" s="180" t="str">
        <f t="shared" si="98"/>
        <v/>
      </c>
      <c r="B6297" t="s">
        <v>13107</v>
      </c>
    </row>
    <row r="6298" spans="1:4" x14ac:dyDescent="0.25">
      <c r="A6298" s="180">
        <f t="shared" si="98"/>
        <v>7709500</v>
      </c>
      <c r="B6298" t="s">
        <v>3617</v>
      </c>
      <c r="C6298" t="s">
        <v>3618</v>
      </c>
      <c r="D6298" t="s">
        <v>13411</v>
      </c>
    </row>
    <row r="6299" spans="1:4" x14ac:dyDescent="0.25">
      <c r="A6299" s="180">
        <f t="shared" si="98"/>
        <v>7709501</v>
      </c>
      <c r="B6299" t="s">
        <v>3619</v>
      </c>
      <c r="C6299" t="s">
        <v>3620</v>
      </c>
    </row>
    <row r="6300" spans="1:4" x14ac:dyDescent="0.25">
      <c r="A6300" s="180">
        <f t="shared" si="98"/>
        <v>7709502</v>
      </c>
      <c r="B6300" t="s">
        <v>3621</v>
      </c>
      <c r="C6300" t="s">
        <v>3622</v>
      </c>
      <c r="D6300" t="s">
        <v>13411</v>
      </c>
    </row>
    <row r="6301" spans="1:4" x14ac:dyDescent="0.25">
      <c r="A6301" s="180">
        <f t="shared" si="98"/>
        <v>7709503</v>
      </c>
      <c r="B6301" t="s">
        <v>3623</v>
      </c>
      <c r="C6301" t="s">
        <v>3624</v>
      </c>
      <c r="D6301" t="s">
        <v>13411</v>
      </c>
    </row>
    <row r="6302" spans="1:4" x14ac:dyDescent="0.25">
      <c r="A6302" s="180">
        <f t="shared" si="98"/>
        <v>7709504</v>
      </c>
      <c r="B6302" t="s">
        <v>3625</v>
      </c>
      <c r="C6302" t="s">
        <v>3626</v>
      </c>
      <c r="D6302" t="s">
        <v>13411</v>
      </c>
    </row>
    <row r="6303" spans="1:4" x14ac:dyDescent="0.25">
      <c r="A6303" s="180">
        <f t="shared" si="98"/>
        <v>7709504</v>
      </c>
      <c r="B6303" t="s">
        <v>3625</v>
      </c>
      <c r="C6303" t="s">
        <v>3626</v>
      </c>
      <c r="D6303" t="s">
        <v>13411</v>
      </c>
    </row>
    <row r="6304" spans="1:4" x14ac:dyDescent="0.25">
      <c r="A6304" s="180">
        <f t="shared" si="98"/>
        <v>7709505</v>
      </c>
      <c r="B6304" t="s">
        <v>3627</v>
      </c>
      <c r="C6304" t="s">
        <v>3628</v>
      </c>
      <c r="D6304" t="s">
        <v>13411</v>
      </c>
    </row>
    <row r="6305" spans="1:4" x14ac:dyDescent="0.25">
      <c r="A6305" s="180">
        <f t="shared" si="98"/>
        <v>7709506</v>
      </c>
      <c r="B6305" t="s">
        <v>3629</v>
      </c>
      <c r="C6305" t="s">
        <v>3630</v>
      </c>
      <c r="D6305" t="s">
        <v>13411</v>
      </c>
    </row>
    <row r="6306" spans="1:4" x14ac:dyDescent="0.25">
      <c r="A6306" s="180">
        <f t="shared" si="98"/>
        <v>7709517</v>
      </c>
      <c r="B6306" t="s">
        <v>3631</v>
      </c>
      <c r="C6306" t="s">
        <v>3632</v>
      </c>
      <c r="D6306" t="s">
        <v>13411</v>
      </c>
    </row>
    <row r="6307" spans="1:4" x14ac:dyDescent="0.25">
      <c r="A6307" s="180">
        <f t="shared" si="98"/>
        <v>7709540</v>
      </c>
      <c r="B6307" t="s">
        <v>3633</v>
      </c>
      <c r="C6307" t="s">
        <v>3634</v>
      </c>
      <c r="D6307" t="s">
        <v>13411</v>
      </c>
    </row>
    <row r="6308" spans="1:4" x14ac:dyDescent="0.25">
      <c r="A6308" s="180">
        <f t="shared" si="98"/>
        <v>7709547</v>
      </c>
      <c r="B6308" t="s">
        <v>3635</v>
      </c>
      <c r="C6308" t="s">
        <v>3636</v>
      </c>
      <c r="D6308" t="s">
        <v>13411</v>
      </c>
    </row>
    <row r="6309" spans="1:4" x14ac:dyDescent="0.25">
      <c r="A6309" s="180">
        <f t="shared" si="98"/>
        <v>7709549</v>
      </c>
      <c r="B6309" t="s">
        <v>3637</v>
      </c>
      <c r="C6309" t="s">
        <v>3638</v>
      </c>
      <c r="D6309" t="s">
        <v>13411</v>
      </c>
    </row>
    <row r="6310" spans="1:4" x14ac:dyDescent="0.25">
      <c r="A6310" s="180">
        <f t="shared" si="98"/>
        <v>7709555</v>
      </c>
      <c r="B6310" t="s">
        <v>3639</v>
      </c>
      <c r="C6310" t="s">
        <v>3640</v>
      </c>
    </row>
    <row r="6311" spans="1:4" x14ac:dyDescent="0.25">
      <c r="A6311" s="180">
        <f t="shared" si="98"/>
        <v>7709556</v>
      </c>
      <c r="B6311" t="s">
        <v>3641</v>
      </c>
      <c r="C6311" t="s">
        <v>3642</v>
      </c>
    </row>
    <row r="6312" spans="1:4" x14ac:dyDescent="0.25">
      <c r="A6312" s="180">
        <f t="shared" si="98"/>
        <v>7709572</v>
      </c>
      <c r="B6312" t="s">
        <v>3643</v>
      </c>
      <c r="C6312" t="s">
        <v>3644</v>
      </c>
      <c r="D6312" t="s">
        <v>13411</v>
      </c>
    </row>
    <row r="6313" spans="1:4" x14ac:dyDescent="0.25">
      <c r="A6313" s="180">
        <f t="shared" si="98"/>
        <v>7709600</v>
      </c>
      <c r="B6313" t="s">
        <v>3645</v>
      </c>
      <c r="C6313" t="s">
        <v>3646</v>
      </c>
      <c r="D6313" t="s">
        <v>13411</v>
      </c>
    </row>
    <row r="6314" spans="1:4" x14ac:dyDescent="0.25">
      <c r="A6314" s="180">
        <f t="shared" si="98"/>
        <v>7709601</v>
      </c>
      <c r="B6314" t="s">
        <v>3647</v>
      </c>
      <c r="C6314" t="s">
        <v>3648</v>
      </c>
    </row>
    <row r="6315" spans="1:4" x14ac:dyDescent="0.25">
      <c r="A6315" s="180">
        <f t="shared" si="98"/>
        <v>7709602</v>
      </c>
      <c r="B6315" t="s">
        <v>3649</v>
      </c>
      <c r="C6315" t="s">
        <v>3650</v>
      </c>
    </row>
    <row r="6316" spans="1:4" x14ac:dyDescent="0.25">
      <c r="A6316" s="180">
        <f t="shared" si="98"/>
        <v>7709603</v>
      </c>
      <c r="B6316" t="s">
        <v>3651</v>
      </c>
      <c r="C6316" t="s">
        <v>3652</v>
      </c>
    </row>
    <row r="6317" spans="1:4" x14ac:dyDescent="0.25">
      <c r="A6317" s="180">
        <f t="shared" si="98"/>
        <v>7709606</v>
      </c>
      <c r="B6317" t="s">
        <v>3653</v>
      </c>
      <c r="C6317" t="s">
        <v>3654</v>
      </c>
      <c r="D6317" t="s">
        <v>13411</v>
      </c>
    </row>
    <row r="6318" spans="1:4" x14ac:dyDescent="0.25">
      <c r="A6318" s="180">
        <f t="shared" si="98"/>
        <v>7709608</v>
      </c>
      <c r="B6318" t="s">
        <v>3655</v>
      </c>
      <c r="C6318" t="s">
        <v>3656</v>
      </c>
      <c r="D6318" t="s">
        <v>13411</v>
      </c>
    </row>
    <row r="6319" spans="1:4" x14ac:dyDescent="0.25">
      <c r="A6319" s="180">
        <f t="shared" si="98"/>
        <v>7709625</v>
      </c>
      <c r="B6319" t="s">
        <v>3657</v>
      </c>
      <c r="C6319" t="s">
        <v>3658</v>
      </c>
      <c r="D6319" t="s">
        <v>13411</v>
      </c>
    </row>
    <row r="6320" spans="1:4" x14ac:dyDescent="0.25">
      <c r="A6320" s="180">
        <f t="shared" si="98"/>
        <v>7709650</v>
      </c>
      <c r="B6320" t="s">
        <v>3659</v>
      </c>
      <c r="C6320" t="s">
        <v>3660</v>
      </c>
      <c r="D6320" t="s">
        <v>13411</v>
      </c>
    </row>
    <row r="6321" spans="1:4" x14ac:dyDescent="0.25">
      <c r="A6321" s="180">
        <f t="shared" si="98"/>
        <v>7709653</v>
      </c>
      <c r="B6321" t="s">
        <v>3661</v>
      </c>
      <c r="C6321" t="s">
        <v>3662</v>
      </c>
      <c r="D6321" t="s">
        <v>13411</v>
      </c>
    </row>
    <row r="6322" spans="1:4" x14ac:dyDescent="0.25">
      <c r="A6322" s="180">
        <f t="shared" si="98"/>
        <v>7709654</v>
      </c>
      <c r="B6322" t="s">
        <v>3663</v>
      </c>
      <c r="C6322" t="s">
        <v>3664</v>
      </c>
      <c r="D6322" t="s">
        <v>13411</v>
      </c>
    </row>
    <row r="6323" spans="1:4" x14ac:dyDescent="0.25">
      <c r="A6323" s="180">
        <f t="shared" si="98"/>
        <v>7709655</v>
      </c>
      <c r="B6323" t="s">
        <v>3665</v>
      </c>
      <c r="C6323" t="s">
        <v>3666</v>
      </c>
    </row>
    <row r="6324" spans="1:4" x14ac:dyDescent="0.25">
      <c r="A6324" s="180">
        <f t="shared" si="98"/>
        <v>7709656</v>
      </c>
      <c r="B6324" t="s">
        <v>3667</v>
      </c>
      <c r="C6324" t="s">
        <v>3668</v>
      </c>
    </row>
    <row r="6325" spans="1:4" x14ac:dyDescent="0.25">
      <c r="A6325" s="180">
        <f t="shared" si="98"/>
        <v>7709660</v>
      </c>
      <c r="B6325" t="s">
        <v>3669</v>
      </c>
      <c r="C6325" t="s">
        <v>3670</v>
      </c>
      <c r="D6325" t="s">
        <v>13411</v>
      </c>
    </row>
    <row r="6326" spans="1:4" x14ac:dyDescent="0.25">
      <c r="A6326" s="180">
        <f t="shared" si="98"/>
        <v>7709661</v>
      </c>
      <c r="B6326" t="s">
        <v>3671</v>
      </c>
      <c r="C6326" t="s">
        <v>3672</v>
      </c>
      <c r="D6326" t="s">
        <v>13411</v>
      </c>
    </row>
    <row r="6327" spans="1:4" x14ac:dyDescent="0.25">
      <c r="A6327" s="180">
        <f t="shared" si="98"/>
        <v>7709662</v>
      </c>
      <c r="B6327" t="s">
        <v>3673</v>
      </c>
      <c r="C6327" t="s">
        <v>3674</v>
      </c>
      <c r="D6327" t="s">
        <v>13411</v>
      </c>
    </row>
    <row r="6328" spans="1:4" x14ac:dyDescent="0.25">
      <c r="A6328" s="180">
        <f t="shared" si="98"/>
        <v>7709663</v>
      </c>
      <c r="B6328" t="s">
        <v>3675</v>
      </c>
      <c r="C6328" t="s">
        <v>3676</v>
      </c>
      <c r="D6328" t="s">
        <v>13411</v>
      </c>
    </row>
    <row r="6329" spans="1:4" x14ac:dyDescent="0.25">
      <c r="A6329" s="180">
        <f t="shared" si="98"/>
        <v>7709664</v>
      </c>
      <c r="B6329" t="s">
        <v>3677</v>
      </c>
      <c r="C6329" t="s">
        <v>3678</v>
      </c>
      <c r="D6329" t="s">
        <v>13411</v>
      </c>
    </row>
    <row r="6330" spans="1:4" x14ac:dyDescent="0.25">
      <c r="A6330" s="180">
        <f t="shared" si="98"/>
        <v>7709665</v>
      </c>
      <c r="B6330" t="s">
        <v>3679</v>
      </c>
      <c r="C6330" t="s">
        <v>3680</v>
      </c>
      <c r="D6330" t="s">
        <v>13411</v>
      </c>
    </row>
    <row r="6331" spans="1:4" x14ac:dyDescent="0.25">
      <c r="A6331" s="180">
        <f t="shared" si="98"/>
        <v>7709666</v>
      </c>
      <c r="B6331" t="s">
        <v>3681</v>
      </c>
      <c r="C6331" t="s">
        <v>3682</v>
      </c>
      <c r="D6331" t="s">
        <v>13411</v>
      </c>
    </row>
    <row r="6332" spans="1:4" x14ac:dyDescent="0.25">
      <c r="A6332" s="180">
        <f t="shared" si="98"/>
        <v>7709667</v>
      </c>
      <c r="B6332" t="s">
        <v>3683</v>
      </c>
      <c r="C6332" t="s">
        <v>3684</v>
      </c>
      <c r="D6332" t="s">
        <v>13411</v>
      </c>
    </row>
    <row r="6333" spans="1:4" x14ac:dyDescent="0.25">
      <c r="A6333" s="180">
        <f t="shared" si="98"/>
        <v>7709668</v>
      </c>
      <c r="B6333" t="s">
        <v>3685</v>
      </c>
      <c r="C6333" t="s">
        <v>3686</v>
      </c>
      <c r="D6333" t="s">
        <v>13411</v>
      </c>
    </row>
    <row r="6334" spans="1:4" x14ac:dyDescent="0.25">
      <c r="A6334" s="180">
        <f t="shared" si="98"/>
        <v>7709669</v>
      </c>
      <c r="B6334" t="s">
        <v>3687</v>
      </c>
      <c r="C6334" t="s">
        <v>3688</v>
      </c>
      <c r="D6334" t="s">
        <v>13411</v>
      </c>
    </row>
    <row r="6335" spans="1:4" x14ac:dyDescent="0.25">
      <c r="A6335" s="180">
        <f t="shared" ref="A6335:A6398" si="99">IFERROR(B6335*1,"")</f>
        <v>7709670</v>
      </c>
      <c r="B6335" t="s">
        <v>3689</v>
      </c>
      <c r="C6335" t="s">
        <v>3690</v>
      </c>
      <c r="D6335" t="s">
        <v>13411</v>
      </c>
    </row>
    <row r="6336" spans="1:4" x14ac:dyDescent="0.25">
      <c r="A6336" s="180">
        <f t="shared" si="99"/>
        <v>7709671</v>
      </c>
      <c r="B6336" t="s">
        <v>3691</v>
      </c>
      <c r="C6336" t="s">
        <v>3692</v>
      </c>
      <c r="D6336" t="s">
        <v>13411</v>
      </c>
    </row>
    <row r="6337" spans="1:4" x14ac:dyDescent="0.25">
      <c r="A6337" s="180">
        <f t="shared" si="99"/>
        <v>7709680</v>
      </c>
      <c r="B6337" t="s">
        <v>3693</v>
      </c>
      <c r="C6337" t="s">
        <v>3694</v>
      </c>
      <c r="D6337" t="s">
        <v>13411</v>
      </c>
    </row>
    <row r="6338" spans="1:4" x14ac:dyDescent="0.25">
      <c r="A6338" s="180">
        <f t="shared" si="99"/>
        <v>7709700</v>
      </c>
      <c r="B6338" t="s">
        <v>3695</v>
      </c>
      <c r="C6338" t="s">
        <v>3696</v>
      </c>
    </row>
    <row r="6339" spans="1:4" x14ac:dyDescent="0.25">
      <c r="A6339" s="180">
        <f t="shared" si="99"/>
        <v>7709709</v>
      </c>
      <c r="B6339" t="s">
        <v>3697</v>
      </c>
      <c r="C6339" t="s">
        <v>3698</v>
      </c>
      <c r="D6339" t="s">
        <v>13411</v>
      </c>
    </row>
    <row r="6340" spans="1:4" x14ac:dyDescent="0.25">
      <c r="A6340" s="180">
        <f t="shared" si="99"/>
        <v>7709712</v>
      </c>
      <c r="B6340" t="s">
        <v>3699</v>
      </c>
      <c r="C6340" t="s">
        <v>3700</v>
      </c>
      <c r="D6340" t="s">
        <v>13411</v>
      </c>
    </row>
    <row r="6341" spans="1:4" x14ac:dyDescent="0.25">
      <c r="A6341" s="180">
        <f t="shared" si="99"/>
        <v>7709753</v>
      </c>
      <c r="B6341" t="s">
        <v>3701</v>
      </c>
      <c r="C6341" t="s">
        <v>3702</v>
      </c>
      <c r="D6341" t="s">
        <v>13411</v>
      </c>
    </row>
    <row r="6342" spans="1:4" x14ac:dyDescent="0.25">
      <c r="A6342" s="180">
        <f t="shared" si="99"/>
        <v>7709754</v>
      </c>
      <c r="B6342" t="s">
        <v>3703</v>
      </c>
      <c r="C6342" t="s">
        <v>3704</v>
      </c>
      <c r="D6342" t="s">
        <v>13411</v>
      </c>
    </row>
    <row r="6343" spans="1:4" x14ac:dyDescent="0.25">
      <c r="A6343" s="180">
        <f t="shared" si="99"/>
        <v>7709755</v>
      </c>
      <c r="B6343" t="s">
        <v>3705</v>
      </c>
      <c r="C6343" t="s">
        <v>3706</v>
      </c>
      <c r="D6343" t="s">
        <v>13411</v>
      </c>
    </row>
    <row r="6344" spans="1:4" x14ac:dyDescent="0.25">
      <c r="A6344" s="180">
        <f t="shared" si="99"/>
        <v>7709756</v>
      </c>
      <c r="B6344" t="s">
        <v>3707</v>
      </c>
      <c r="C6344" t="s">
        <v>3708</v>
      </c>
      <c r="D6344" t="s">
        <v>13411</v>
      </c>
    </row>
    <row r="6345" spans="1:4" x14ac:dyDescent="0.25">
      <c r="A6345" s="180">
        <f t="shared" si="99"/>
        <v>7709784</v>
      </c>
      <c r="B6345" t="s">
        <v>3709</v>
      </c>
      <c r="C6345" t="s">
        <v>3710</v>
      </c>
      <c r="D6345" t="s">
        <v>13411</v>
      </c>
    </row>
    <row r="6346" spans="1:4" x14ac:dyDescent="0.25">
      <c r="A6346" s="180">
        <f t="shared" si="99"/>
        <v>7709785</v>
      </c>
      <c r="B6346" t="s">
        <v>3711</v>
      </c>
      <c r="C6346" t="s">
        <v>3712</v>
      </c>
    </row>
    <row r="6347" spans="1:4" x14ac:dyDescent="0.25">
      <c r="A6347" s="180">
        <f t="shared" si="99"/>
        <v>7709786</v>
      </c>
      <c r="B6347" t="s">
        <v>3713</v>
      </c>
      <c r="C6347" t="s">
        <v>3714</v>
      </c>
      <c r="D6347" t="s">
        <v>13411</v>
      </c>
    </row>
    <row r="6348" spans="1:4" x14ac:dyDescent="0.25">
      <c r="A6348" s="180">
        <f t="shared" si="99"/>
        <v>7709787</v>
      </c>
      <c r="B6348" t="s">
        <v>3715</v>
      </c>
      <c r="C6348" t="s">
        <v>3716</v>
      </c>
      <c r="D6348" t="s">
        <v>13411</v>
      </c>
    </row>
    <row r="6349" spans="1:4" x14ac:dyDescent="0.25">
      <c r="A6349" s="180">
        <f t="shared" si="99"/>
        <v>7709788</v>
      </c>
      <c r="B6349" t="s">
        <v>3717</v>
      </c>
      <c r="C6349" t="s">
        <v>3718</v>
      </c>
      <c r="D6349" t="s">
        <v>13411</v>
      </c>
    </row>
    <row r="6350" spans="1:4" x14ac:dyDescent="0.25">
      <c r="A6350" s="180">
        <f t="shared" si="99"/>
        <v>7709789</v>
      </c>
      <c r="B6350" t="s">
        <v>3719</v>
      </c>
      <c r="C6350" t="s">
        <v>3720</v>
      </c>
      <c r="D6350" t="s">
        <v>13411</v>
      </c>
    </row>
    <row r="6351" spans="1:4" x14ac:dyDescent="0.25">
      <c r="A6351" s="180">
        <f t="shared" si="99"/>
        <v>7709790</v>
      </c>
      <c r="B6351" t="s">
        <v>3721</v>
      </c>
      <c r="C6351" t="s">
        <v>3722</v>
      </c>
      <c r="D6351" t="s">
        <v>13411</v>
      </c>
    </row>
    <row r="6352" spans="1:4" x14ac:dyDescent="0.25">
      <c r="A6352" s="180">
        <f t="shared" si="99"/>
        <v>7709794</v>
      </c>
      <c r="B6352" t="s">
        <v>14510</v>
      </c>
      <c r="C6352" t="s">
        <v>14511</v>
      </c>
      <c r="D6352" t="s">
        <v>13411</v>
      </c>
    </row>
    <row r="6353" spans="1:4" x14ac:dyDescent="0.25">
      <c r="A6353" s="180">
        <f t="shared" si="99"/>
        <v>7709795</v>
      </c>
      <c r="B6353" t="s">
        <v>14512</v>
      </c>
      <c r="C6353" t="s">
        <v>14513</v>
      </c>
      <c r="D6353" t="s">
        <v>13411</v>
      </c>
    </row>
    <row r="6354" spans="1:4" x14ac:dyDescent="0.25">
      <c r="A6354" s="180">
        <f t="shared" si="99"/>
        <v>7709796</v>
      </c>
      <c r="B6354" t="s">
        <v>14514</v>
      </c>
      <c r="C6354" t="s">
        <v>14515</v>
      </c>
      <c r="D6354" t="s">
        <v>13411</v>
      </c>
    </row>
    <row r="6355" spans="1:4" x14ac:dyDescent="0.25">
      <c r="A6355" s="180">
        <f t="shared" si="99"/>
        <v>7709799</v>
      </c>
      <c r="B6355" t="s">
        <v>13317</v>
      </c>
      <c r="C6355" t="s">
        <v>13318</v>
      </c>
    </row>
    <row r="6356" spans="1:4" x14ac:dyDescent="0.25">
      <c r="A6356" s="180">
        <f t="shared" si="99"/>
        <v>7709800</v>
      </c>
      <c r="B6356" t="s">
        <v>3723</v>
      </c>
      <c r="C6356" t="s">
        <v>3724</v>
      </c>
      <c r="D6356" t="s">
        <v>13411</v>
      </c>
    </row>
    <row r="6357" spans="1:4" x14ac:dyDescent="0.25">
      <c r="A6357" s="180">
        <f t="shared" si="99"/>
        <v>7709801</v>
      </c>
      <c r="B6357" t="s">
        <v>3725</v>
      </c>
      <c r="C6357" t="s">
        <v>3726</v>
      </c>
      <c r="D6357" t="s">
        <v>13411</v>
      </c>
    </row>
    <row r="6358" spans="1:4" x14ac:dyDescent="0.25">
      <c r="A6358" s="180">
        <f t="shared" si="99"/>
        <v>7709802</v>
      </c>
      <c r="B6358" t="s">
        <v>3727</v>
      </c>
      <c r="C6358" t="s">
        <v>3728</v>
      </c>
    </row>
    <row r="6359" spans="1:4" x14ac:dyDescent="0.25">
      <c r="A6359" s="180">
        <f t="shared" si="99"/>
        <v>7709803</v>
      </c>
      <c r="B6359" t="s">
        <v>3729</v>
      </c>
      <c r="C6359" t="s">
        <v>3730</v>
      </c>
    </row>
    <row r="6360" spans="1:4" x14ac:dyDescent="0.25">
      <c r="A6360" s="180">
        <f t="shared" si="99"/>
        <v>7709804</v>
      </c>
      <c r="B6360" t="s">
        <v>3731</v>
      </c>
      <c r="C6360" t="s">
        <v>3732</v>
      </c>
    </row>
    <row r="6361" spans="1:4" x14ac:dyDescent="0.25">
      <c r="A6361" s="180">
        <f t="shared" si="99"/>
        <v>7709805</v>
      </c>
      <c r="B6361" t="s">
        <v>3733</v>
      </c>
      <c r="C6361" t="s">
        <v>3734</v>
      </c>
    </row>
    <row r="6362" spans="1:4" x14ac:dyDescent="0.25">
      <c r="A6362" s="180">
        <f t="shared" si="99"/>
        <v>7709806</v>
      </c>
      <c r="B6362" t="s">
        <v>3735</v>
      </c>
      <c r="C6362" t="s">
        <v>3736</v>
      </c>
    </row>
    <row r="6363" spans="1:4" x14ac:dyDescent="0.25">
      <c r="A6363" s="180">
        <f t="shared" si="99"/>
        <v>7709807</v>
      </c>
      <c r="B6363" t="s">
        <v>3737</v>
      </c>
      <c r="C6363" t="s">
        <v>3738</v>
      </c>
    </row>
    <row r="6364" spans="1:4" x14ac:dyDescent="0.25">
      <c r="A6364" s="180">
        <f t="shared" si="99"/>
        <v>7709808</v>
      </c>
      <c r="B6364" t="s">
        <v>3739</v>
      </c>
      <c r="C6364" t="s">
        <v>3740</v>
      </c>
    </row>
    <row r="6365" spans="1:4" x14ac:dyDescent="0.25">
      <c r="A6365" s="180">
        <f t="shared" si="99"/>
        <v>7709809</v>
      </c>
      <c r="B6365" t="s">
        <v>3741</v>
      </c>
      <c r="C6365" t="s">
        <v>3742</v>
      </c>
    </row>
    <row r="6366" spans="1:4" x14ac:dyDescent="0.25">
      <c r="A6366" s="180">
        <f t="shared" si="99"/>
        <v>7709810</v>
      </c>
      <c r="B6366" t="s">
        <v>3743</v>
      </c>
      <c r="C6366" t="s">
        <v>3744</v>
      </c>
    </row>
    <row r="6367" spans="1:4" x14ac:dyDescent="0.25">
      <c r="A6367" s="180" t="str">
        <f t="shared" si="99"/>
        <v/>
      </c>
      <c r="B6367" t="s">
        <v>13108</v>
      </c>
    </row>
    <row r="6368" spans="1:4" x14ac:dyDescent="0.25">
      <c r="A6368" s="180">
        <f t="shared" si="99"/>
        <v>7709811</v>
      </c>
      <c r="B6368" t="s">
        <v>3745</v>
      </c>
      <c r="C6368" t="s">
        <v>3746</v>
      </c>
    </row>
    <row r="6369" spans="1:4" x14ac:dyDescent="0.25">
      <c r="A6369" s="180">
        <f t="shared" si="99"/>
        <v>7709812</v>
      </c>
      <c r="B6369" t="s">
        <v>3747</v>
      </c>
      <c r="C6369" t="s">
        <v>3748</v>
      </c>
    </row>
    <row r="6370" spans="1:4" x14ac:dyDescent="0.25">
      <c r="A6370" s="180">
        <f t="shared" si="99"/>
        <v>7709813</v>
      </c>
      <c r="B6370" t="s">
        <v>3749</v>
      </c>
      <c r="C6370" t="s">
        <v>3750</v>
      </c>
    </row>
    <row r="6371" spans="1:4" x14ac:dyDescent="0.25">
      <c r="A6371" s="180">
        <f t="shared" si="99"/>
        <v>7709814</v>
      </c>
      <c r="B6371" t="s">
        <v>3751</v>
      </c>
      <c r="C6371" t="s">
        <v>3752</v>
      </c>
    </row>
    <row r="6372" spans="1:4" x14ac:dyDescent="0.25">
      <c r="A6372" s="180">
        <f t="shared" si="99"/>
        <v>7709815</v>
      </c>
      <c r="B6372" t="s">
        <v>3753</v>
      </c>
      <c r="C6372" t="s">
        <v>3754</v>
      </c>
    </row>
    <row r="6373" spans="1:4" x14ac:dyDescent="0.25">
      <c r="A6373" s="180">
        <f t="shared" si="99"/>
        <v>7709816</v>
      </c>
      <c r="B6373" t="s">
        <v>3755</v>
      </c>
      <c r="C6373" t="s">
        <v>3756</v>
      </c>
    </row>
    <row r="6374" spans="1:4" x14ac:dyDescent="0.25">
      <c r="A6374" s="180">
        <f t="shared" si="99"/>
        <v>7709817</v>
      </c>
      <c r="B6374" t="s">
        <v>3757</v>
      </c>
      <c r="C6374" t="s">
        <v>3758</v>
      </c>
    </row>
    <row r="6375" spans="1:4" x14ac:dyDescent="0.25">
      <c r="A6375" s="180">
        <f t="shared" si="99"/>
        <v>7709818</v>
      </c>
      <c r="B6375" t="s">
        <v>3759</v>
      </c>
      <c r="C6375" t="s">
        <v>3760</v>
      </c>
    </row>
    <row r="6376" spans="1:4" x14ac:dyDescent="0.25">
      <c r="A6376" s="180">
        <f t="shared" si="99"/>
        <v>7709819</v>
      </c>
      <c r="B6376" t="s">
        <v>3761</v>
      </c>
      <c r="C6376" t="s">
        <v>3762</v>
      </c>
    </row>
    <row r="6377" spans="1:4" x14ac:dyDescent="0.25">
      <c r="A6377" s="180">
        <f t="shared" si="99"/>
        <v>7709820</v>
      </c>
      <c r="B6377" t="s">
        <v>3763</v>
      </c>
      <c r="C6377" t="s">
        <v>3764</v>
      </c>
    </row>
    <row r="6378" spans="1:4" x14ac:dyDescent="0.25">
      <c r="A6378" s="180">
        <f t="shared" si="99"/>
        <v>7709821</v>
      </c>
      <c r="B6378" t="s">
        <v>3765</v>
      </c>
      <c r="C6378" t="s">
        <v>3766</v>
      </c>
    </row>
    <row r="6379" spans="1:4" x14ac:dyDescent="0.25">
      <c r="A6379" s="180">
        <f t="shared" si="99"/>
        <v>7709831</v>
      </c>
      <c r="B6379" t="s">
        <v>3767</v>
      </c>
      <c r="C6379" t="s">
        <v>3768</v>
      </c>
      <c r="D6379" t="s">
        <v>13411</v>
      </c>
    </row>
    <row r="6380" spans="1:4" x14ac:dyDescent="0.25">
      <c r="A6380" s="180">
        <f t="shared" si="99"/>
        <v>7709833</v>
      </c>
      <c r="B6380" t="s">
        <v>3769</v>
      </c>
      <c r="C6380" t="s">
        <v>3770</v>
      </c>
      <c r="D6380" t="s">
        <v>13411</v>
      </c>
    </row>
    <row r="6381" spans="1:4" x14ac:dyDescent="0.25">
      <c r="A6381" s="180">
        <f t="shared" si="99"/>
        <v>7709834</v>
      </c>
      <c r="B6381" t="s">
        <v>3771</v>
      </c>
      <c r="C6381" t="s">
        <v>3772</v>
      </c>
    </row>
    <row r="6382" spans="1:4" x14ac:dyDescent="0.25">
      <c r="A6382" s="180">
        <f t="shared" si="99"/>
        <v>7709835</v>
      </c>
      <c r="B6382" t="s">
        <v>3773</v>
      </c>
      <c r="C6382" t="s">
        <v>3774</v>
      </c>
    </row>
    <row r="6383" spans="1:4" x14ac:dyDescent="0.25">
      <c r="A6383" s="180">
        <f t="shared" si="99"/>
        <v>7709836</v>
      </c>
      <c r="B6383" t="s">
        <v>3775</v>
      </c>
      <c r="C6383" t="s">
        <v>3776</v>
      </c>
    </row>
    <row r="6384" spans="1:4" x14ac:dyDescent="0.25">
      <c r="A6384" s="180">
        <f t="shared" si="99"/>
        <v>7709837</v>
      </c>
      <c r="B6384" t="s">
        <v>13908</v>
      </c>
      <c r="C6384" t="s">
        <v>13909</v>
      </c>
      <c r="D6384" t="s">
        <v>13411</v>
      </c>
    </row>
    <row r="6385" spans="1:4" x14ac:dyDescent="0.25">
      <c r="A6385" s="180">
        <f t="shared" si="99"/>
        <v>7709850</v>
      </c>
      <c r="B6385" t="s">
        <v>3777</v>
      </c>
      <c r="C6385" t="s">
        <v>3778</v>
      </c>
    </row>
    <row r="6386" spans="1:4" x14ac:dyDescent="0.25">
      <c r="A6386" s="180">
        <f t="shared" si="99"/>
        <v>7709851</v>
      </c>
      <c r="B6386" t="s">
        <v>3779</v>
      </c>
      <c r="C6386" t="s">
        <v>3780</v>
      </c>
      <c r="D6386" t="s">
        <v>13411</v>
      </c>
    </row>
    <row r="6387" spans="1:4" x14ac:dyDescent="0.25">
      <c r="A6387" s="180">
        <f t="shared" si="99"/>
        <v>7709852</v>
      </c>
      <c r="B6387" t="s">
        <v>3781</v>
      </c>
      <c r="C6387" t="s">
        <v>3782</v>
      </c>
      <c r="D6387" t="s">
        <v>13411</v>
      </c>
    </row>
    <row r="6388" spans="1:4" x14ac:dyDescent="0.25">
      <c r="A6388" s="180">
        <f t="shared" si="99"/>
        <v>7709853</v>
      </c>
      <c r="B6388" t="s">
        <v>3783</v>
      </c>
      <c r="C6388" t="s">
        <v>3784</v>
      </c>
      <c r="D6388" t="s">
        <v>13411</v>
      </c>
    </row>
    <row r="6389" spans="1:4" x14ac:dyDescent="0.25">
      <c r="A6389" s="180">
        <f t="shared" si="99"/>
        <v>7709854</v>
      </c>
      <c r="B6389" t="s">
        <v>3785</v>
      </c>
      <c r="C6389" t="s">
        <v>3786</v>
      </c>
      <c r="D6389" t="s">
        <v>13411</v>
      </c>
    </row>
    <row r="6390" spans="1:4" x14ac:dyDescent="0.25">
      <c r="A6390" s="180">
        <f t="shared" si="99"/>
        <v>7709855</v>
      </c>
      <c r="B6390" t="s">
        <v>3787</v>
      </c>
      <c r="C6390" t="s">
        <v>3788</v>
      </c>
      <c r="D6390" t="s">
        <v>13411</v>
      </c>
    </row>
    <row r="6391" spans="1:4" x14ac:dyDescent="0.25">
      <c r="A6391" s="180">
        <f t="shared" si="99"/>
        <v>7709856</v>
      </c>
      <c r="B6391" t="s">
        <v>3789</v>
      </c>
      <c r="C6391" t="s">
        <v>3790</v>
      </c>
      <c r="D6391" t="s">
        <v>13411</v>
      </c>
    </row>
    <row r="6392" spans="1:4" x14ac:dyDescent="0.25">
      <c r="A6392" s="180">
        <f t="shared" si="99"/>
        <v>7709857</v>
      </c>
      <c r="B6392" t="s">
        <v>3791</v>
      </c>
      <c r="C6392" t="s">
        <v>3792</v>
      </c>
      <c r="D6392" t="s">
        <v>13411</v>
      </c>
    </row>
    <row r="6393" spans="1:4" x14ac:dyDescent="0.25">
      <c r="A6393" s="180">
        <f t="shared" si="99"/>
        <v>7709858</v>
      </c>
      <c r="B6393" t="s">
        <v>3793</v>
      </c>
      <c r="C6393" t="s">
        <v>3794</v>
      </c>
      <c r="D6393" t="s">
        <v>13411</v>
      </c>
    </row>
    <row r="6394" spans="1:4" x14ac:dyDescent="0.25">
      <c r="A6394" s="180">
        <f t="shared" si="99"/>
        <v>7709859</v>
      </c>
      <c r="B6394" t="s">
        <v>3795</v>
      </c>
      <c r="C6394" t="s">
        <v>3796</v>
      </c>
      <c r="D6394" t="s">
        <v>13411</v>
      </c>
    </row>
    <row r="6395" spans="1:4" x14ac:dyDescent="0.25">
      <c r="A6395" s="180">
        <f t="shared" si="99"/>
        <v>7709860</v>
      </c>
      <c r="B6395" t="s">
        <v>3797</v>
      </c>
      <c r="C6395" t="s">
        <v>3798</v>
      </c>
    </row>
    <row r="6396" spans="1:4" x14ac:dyDescent="0.25">
      <c r="A6396" s="180">
        <f t="shared" si="99"/>
        <v>7709861</v>
      </c>
      <c r="B6396" t="s">
        <v>3799</v>
      </c>
      <c r="C6396" t="s">
        <v>3800</v>
      </c>
      <c r="D6396" t="s">
        <v>13411</v>
      </c>
    </row>
    <row r="6397" spans="1:4" x14ac:dyDescent="0.25">
      <c r="A6397" s="180">
        <f t="shared" si="99"/>
        <v>7709862</v>
      </c>
      <c r="B6397" t="s">
        <v>13506</v>
      </c>
      <c r="C6397" t="s">
        <v>13507</v>
      </c>
      <c r="D6397" t="s">
        <v>13411</v>
      </c>
    </row>
    <row r="6398" spans="1:4" x14ac:dyDescent="0.25">
      <c r="A6398" s="180">
        <f t="shared" si="99"/>
        <v>7709863</v>
      </c>
      <c r="B6398" t="s">
        <v>14272</v>
      </c>
      <c r="C6398" t="s">
        <v>14273</v>
      </c>
      <c r="D6398" t="s">
        <v>13411</v>
      </c>
    </row>
    <row r="6399" spans="1:4" x14ac:dyDescent="0.25">
      <c r="A6399" s="180">
        <f t="shared" ref="A6399:A6462" si="100">IFERROR(B6399*1,"")</f>
        <v>7709864</v>
      </c>
      <c r="B6399" t="s">
        <v>14274</v>
      </c>
      <c r="C6399" t="s">
        <v>14275</v>
      </c>
      <c r="D6399" t="s">
        <v>13411</v>
      </c>
    </row>
    <row r="6400" spans="1:4" x14ac:dyDescent="0.25">
      <c r="A6400" s="180">
        <f t="shared" si="100"/>
        <v>7709865</v>
      </c>
      <c r="B6400" t="s">
        <v>3801</v>
      </c>
      <c r="C6400" t="s">
        <v>3802</v>
      </c>
      <c r="D6400" t="s">
        <v>13411</v>
      </c>
    </row>
    <row r="6401" spans="1:4" x14ac:dyDescent="0.25">
      <c r="A6401" s="180">
        <f t="shared" si="100"/>
        <v>7709866</v>
      </c>
      <c r="B6401" t="s">
        <v>3803</v>
      </c>
      <c r="C6401" t="s">
        <v>3804</v>
      </c>
      <c r="D6401" t="s">
        <v>13411</v>
      </c>
    </row>
    <row r="6402" spans="1:4" x14ac:dyDescent="0.25">
      <c r="A6402" s="180">
        <f t="shared" si="100"/>
        <v>7709867</v>
      </c>
      <c r="B6402" t="s">
        <v>3805</v>
      </c>
      <c r="C6402" t="s">
        <v>3806</v>
      </c>
      <c r="D6402" t="s">
        <v>13411</v>
      </c>
    </row>
    <row r="6403" spans="1:4" x14ac:dyDescent="0.25">
      <c r="A6403" s="180">
        <f t="shared" si="100"/>
        <v>7709869</v>
      </c>
      <c r="B6403" t="s">
        <v>3807</v>
      </c>
      <c r="C6403" t="s">
        <v>3808</v>
      </c>
    </row>
    <row r="6404" spans="1:4" x14ac:dyDescent="0.25">
      <c r="A6404" s="180">
        <f t="shared" si="100"/>
        <v>7709880</v>
      </c>
      <c r="B6404" t="s">
        <v>14128</v>
      </c>
      <c r="C6404" t="s">
        <v>14129</v>
      </c>
      <c r="D6404" t="s">
        <v>13411</v>
      </c>
    </row>
    <row r="6405" spans="1:4" x14ac:dyDescent="0.25">
      <c r="A6405" s="180">
        <f t="shared" si="100"/>
        <v>7709881</v>
      </c>
      <c r="B6405" t="s">
        <v>14130</v>
      </c>
      <c r="C6405" t="s">
        <v>14131</v>
      </c>
      <c r="D6405" t="s">
        <v>13411</v>
      </c>
    </row>
    <row r="6406" spans="1:4" x14ac:dyDescent="0.25">
      <c r="A6406" s="180">
        <f t="shared" si="100"/>
        <v>77098818</v>
      </c>
      <c r="B6406" t="s">
        <v>3809</v>
      </c>
      <c r="C6406" t="s">
        <v>3748</v>
      </c>
    </row>
    <row r="6407" spans="1:4" x14ac:dyDescent="0.25">
      <c r="A6407" s="180" t="str">
        <f t="shared" si="100"/>
        <v/>
      </c>
      <c r="B6407" t="s">
        <v>13109</v>
      </c>
    </row>
    <row r="6408" spans="1:4" x14ac:dyDescent="0.25">
      <c r="A6408" s="180">
        <f t="shared" si="100"/>
        <v>7709882</v>
      </c>
      <c r="B6408" t="s">
        <v>14132</v>
      </c>
      <c r="C6408" t="s">
        <v>14133</v>
      </c>
      <c r="D6408" t="s">
        <v>13411</v>
      </c>
    </row>
    <row r="6409" spans="1:4" x14ac:dyDescent="0.25">
      <c r="A6409" s="180">
        <f t="shared" si="100"/>
        <v>7709883</v>
      </c>
      <c r="B6409" t="s">
        <v>14987</v>
      </c>
      <c r="C6409" t="s">
        <v>14988</v>
      </c>
    </row>
    <row r="6410" spans="1:4" x14ac:dyDescent="0.25">
      <c r="A6410" s="180">
        <f t="shared" si="100"/>
        <v>7709890</v>
      </c>
      <c r="B6410" t="s">
        <v>3810</v>
      </c>
      <c r="C6410" t="s">
        <v>3811</v>
      </c>
    </row>
    <row r="6411" spans="1:4" x14ac:dyDescent="0.25">
      <c r="A6411" s="180">
        <f t="shared" si="100"/>
        <v>7709891</v>
      </c>
      <c r="B6411" t="s">
        <v>12848</v>
      </c>
      <c r="C6411" t="s">
        <v>12849</v>
      </c>
    </row>
    <row r="6412" spans="1:4" x14ac:dyDescent="0.25">
      <c r="A6412" s="180">
        <f t="shared" si="100"/>
        <v>7709892</v>
      </c>
      <c r="B6412" t="s">
        <v>12850</v>
      </c>
      <c r="C6412" t="s">
        <v>12851</v>
      </c>
      <c r="D6412" t="s">
        <v>13411</v>
      </c>
    </row>
    <row r="6413" spans="1:4" x14ac:dyDescent="0.25">
      <c r="A6413" s="180">
        <f t="shared" si="100"/>
        <v>7709900</v>
      </c>
      <c r="B6413" t="s">
        <v>3812</v>
      </c>
      <c r="C6413" t="s">
        <v>3813</v>
      </c>
    </row>
    <row r="6414" spans="1:4" x14ac:dyDescent="0.25">
      <c r="A6414" s="180">
        <f t="shared" si="100"/>
        <v>7709901</v>
      </c>
      <c r="B6414" t="s">
        <v>3814</v>
      </c>
      <c r="C6414" t="s">
        <v>3815</v>
      </c>
    </row>
    <row r="6415" spans="1:4" x14ac:dyDescent="0.25">
      <c r="A6415" s="180">
        <f t="shared" si="100"/>
        <v>7709902</v>
      </c>
      <c r="B6415" t="s">
        <v>3816</v>
      </c>
      <c r="C6415" t="s">
        <v>3817</v>
      </c>
      <c r="D6415" t="s">
        <v>13411</v>
      </c>
    </row>
    <row r="6416" spans="1:4" x14ac:dyDescent="0.25">
      <c r="A6416" s="180">
        <f t="shared" si="100"/>
        <v>7709903</v>
      </c>
      <c r="B6416" t="s">
        <v>12852</v>
      </c>
      <c r="C6416" t="s">
        <v>12853</v>
      </c>
    </row>
    <row r="6417" spans="1:4" x14ac:dyDescent="0.25">
      <c r="A6417" s="180">
        <f t="shared" si="100"/>
        <v>7709904</v>
      </c>
      <c r="B6417" t="s">
        <v>13319</v>
      </c>
      <c r="C6417" t="s">
        <v>13320</v>
      </c>
    </row>
    <row r="6418" spans="1:4" x14ac:dyDescent="0.25">
      <c r="A6418" s="180">
        <f t="shared" si="100"/>
        <v>7709909</v>
      </c>
      <c r="B6418" t="s">
        <v>3818</v>
      </c>
      <c r="C6418" t="s">
        <v>3819</v>
      </c>
    </row>
    <row r="6419" spans="1:4" x14ac:dyDescent="0.25">
      <c r="A6419" s="180">
        <f t="shared" si="100"/>
        <v>7709943</v>
      </c>
      <c r="B6419" t="s">
        <v>3820</v>
      </c>
      <c r="C6419" t="s">
        <v>3821</v>
      </c>
      <c r="D6419" t="s">
        <v>13411</v>
      </c>
    </row>
    <row r="6420" spans="1:4" x14ac:dyDescent="0.25">
      <c r="A6420" s="180">
        <f t="shared" si="100"/>
        <v>7709955</v>
      </c>
      <c r="B6420" t="s">
        <v>3822</v>
      </c>
      <c r="C6420" t="s">
        <v>3823</v>
      </c>
    </row>
    <row r="6421" spans="1:4" x14ac:dyDescent="0.25">
      <c r="A6421" s="180">
        <f t="shared" si="100"/>
        <v>7709956</v>
      </c>
      <c r="B6421" t="s">
        <v>3824</v>
      </c>
      <c r="C6421" t="s">
        <v>3825</v>
      </c>
      <c r="D6421" t="s">
        <v>13411</v>
      </c>
    </row>
    <row r="6422" spans="1:4" x14ac:dyDescent="0.25">
      <c r="A6422" s="180">
        <f t="shared" si="100"/>
        <v>7709998</v>
      </c>
      <c r="B6422" t="s">
        <v>3826</v>
      </c>
      <c r="C6422" t="s">
        <v>3827</v>
      </c>
      <c r="D6422" t="s">
        <v>13411</v>
      </c>
    </row>
    <row r="6423" spans="1:4" x14ac:dyDescent="0.25">
      <c r="A6423" s="180" t="str">
        <f t="shared" si="100"/>
        <v/>
      </c>
      <c r="B6423" t="s">
        <v>13110</v>
      </c>
    </row>
    <row r="6424" spans="1:4" x14ac:dyDescent="0.25">
      <c r="A6424" s="180">
        <f t="shared" si="100"/>
        <v>7709999</v>
      </c>
      <c r="B6424" t="s">
        <v>3828</v>
      </c>
      <c r="C6424" t="s">
        <v>3829</v>
      </c>
      <c r="D6424" t="s">
        <v>13411</v>
      </c>
    </row>
    <row r="6425" spans="1:4" x14ac:dyDescent="0.25">
      <c r="A6425" s="180">
        <f t="shared" si="100"/>
        <v>7710000</v>
      </c>
      <c r="B6425" t="s">
        <v>13910</v>
      </c>
      <c r="C6425" t="s">
        <v>13911</v>
      </c>
      <c r="D6425" t="s">
        <v>13411</v>
      </c>
    </row>
    <row r="6426" spans="1:4" x14ac:dyDescent="0.25">
      <c r="A6426" s="180">
        <f t="shared" si="100"/>
        <v>7710001</v>
      </c>
      <c r="B6426" t="s">
        <v>3830</v>
      </c>
      <c r="C6426" t="s">
        <v>12854</v>
      </c>
      <c r="D6426" t="s">
        <v>13411</v>
      </c>
    </row>
    <row r="6427" spans="1:4" x14ac:dyDescent="0.25">
      <c r="A6427" s="180">
        <f t="shared" si="100"/>
        <v>7710002</v>
      </c>
      <c r="B6427" t="s">
        <v>12855</v>
      </c>
      <c r="C6427" t="s">
        <v>13111</v>
      </c>
      <c r="D6427" t="s">
        <v>13411</v>
      </c>
    </row>
    <row r="6428" spans="1:4" x14ac:dyDescent="0.25">
      <c r="A6428" s="180">
        <f t="shared" si="100"/>
        <v>7710003</v>
      </c>
      <c r="B6428" t="s">
        <v>12856</v>
      </c>
      <c r="C6428" t="s">
        <v>12857</v>
      </c>
      <c r="D6428" t="s">
        <v>13411</v>
      </c>
    </row>
    <row r="6429" spans="1:4" x14ac:dyDescent="0.25">
      <c r="A6429" s="180">
        <f t="shared" si="100"/>
        <v>7710004</v>
      </c>
      <c r="B6429" t="s">
        <v>12858</v>
      </c>
      <c r="C6429" t="s">
        <v>12859</v>
      </c>
      <c r="D6429" t="s">
        <v>13411</v>
      </c>
    </row>
    <row r="6430" spans="1:4" x14ac:dyDescent="0.25">
      <c r="A6430" s="180">
        <f t="shared" si="100"/>
        <v>7710005</v>
      </c>
      <c r="B6430" t="s">
        <v>13112</v>
      </c>
      <c r="C6430" t="s">
        <v>13113</v>
      </c>
      <c r="D6430" t="s">
        <v>13411</v>
      </c>
    </row>
    <row r="6431" spans="1:4" x14ac:dyDescent="0.25">
      <c r="A6431" s="180">
        <f t="shared" si="100"/>
        <v>7710006</v>
      </c>
      <c r="B6431" t="s">
        <v>13114</v>
      </c>
      <c r="C6431" t="s">
        <v>13115</v>
      </c>
      <c r="D6431" t="s">
        <v>13411</v>
      </c>
    </row>
    <row r="6432" spans="1:4" x14ac:dyDescent="0.25">
      <c r="A6432" s="180">
        <f t="shared" si="100"/>
        <v>7710007</v>
      </c>
      <c r="B6432" t="s">
        <v>13116</v>
      </c>
      <c r="C6432" t="s">
        <v>13117</v>
      </c>
      <c r="D6432" t="s">
        <v>13411</v>
      </c>
    </row>
    <row r="6433" spans="1:4" x14ac:dyDescent="0.25">
      <c r="A6433" s="180">
        <f t="shared" si="100"/>
        <v>7710008</v>
      </c>
      <c r="B6433" t="s">
        <v>13118</v>
      </c>
      <c r="C6433" t="s">
        <v>13119</v>
      </c>
      <c r="D6433" t="s">
        <v>13411</v>
      </c>
    </row>
    <row r="6434" spans="1:4" x14ac:dyDescent="0.25">
      <c r="A6434" s="180">
        <f t="shared" si="100"/>
        <v>7710009</v>
      </c>
      <c r="B6434" t="s">
        <v>13120</v>
      </c>
      <c r="C6434" t="s">
        <v>13121</v>
      </c>
      <c r="D6434" t="s">
        <v>13411</v>
      </c>
    </row>
    <row r="6435" spans="1:4" x14ac:dyDescent="0.25">
      <c r="A6435" s="180">
        <f t="shared" si="100"/>
        <v>7710010</v>
      </c>
      <c r="B6435" t="s">
        <v>3831</v>
      </c>
      <c r="C6435" t="s">
        <v>3832</v>
      </c>
    </row>
    <row r="6436" spans="1:4" x14ac:dyDescent="0.25">
      <c r="A6436" s="180">
        <f t="shared" si="100"/>
        <v>7710011</v>
      </c>
      <c r="B6436" t="s">
        <v>13912</v>
      </c>
      <c r="C6436" t="s">
        <v>13913</v>
      </c>
      <c r="D6436" t="s">
        <v>13411</v>
      </c>
    </row>
    <row r="6437" spans="1:4" x14ac:dyDescent="0.25">
      <c r="A6437" s="180">
        <f t="shared" si="100"/>
        <v>7710012</v>
      </c>
      <c r="B6437" t="s">
        <v>13914</v>
      </c>
      <c r="C6437" t="s">
        <v>13915</v>
      </c>
      <c r="D6437" t="s">
        <v>13411</v>
      </c>
    </row>
    <row r="6438" spans="1:4" x14ac:dyDescent="0.25">
      <c r="A6438" s="180">
        <f t="shared" si="100"/>
        <v>7710013</v>
      </c>
      <c r="B6438" t="s">
        <v>13916</v>
      </c>
      <c r="C6438" t="s">
        <v>13917</v>
      </c>
      <c r="D6438" t="s">
        <v>13411</v>
      </c>
    </row>
    <row r="6439" spans="1:4" x14ac:dyDescent="0.25">
      <c r="A6439" s="180">
        <f t="shared" si="100"/>
        <v>7710020</v>
      </c>
      <c r="B6439" t="s">
        <v>3833</v>
      </c>
      <c r="C6439" t="s">
        <v>3834</v>
      </c>
      <c r="D6439" t="s">
        <v>13411</v>
      </c>
    </row>
    <row r="6440" spans="1:4" x14ac:dyDescent="0.25">
      <c r="A6440" s="180">
        <f t="shared" si="100"/>
        <v>7710021</v>
      </c>
      <c r="B6440" t="s">
        <v>3835</v>
      </c>
      <c r="C6440" t="s">
        <v>3836</v>
      </c>
    </row>
    <row r="6441" spans="1:4" x14ac:dyDescent="0.25">
      <c r="A6441" s="180">
        <f t="shared" si="100"/>
        <v>7710022</v>
      </c>
      <c r="B6441" t="s">
        <v>3837</v>
      </c>
      <c r="C6441" t="s">
        <v>3838</v>
      </c>
      <c r="D6441" t="s">
        <v>13411</v>
      </c>
    </row>
    <row r="6442" spans="1:4" x14ac:dyDescent="0.25">
      <c r="A6442" s="180">
        <f t="shared" si="100"/>
        <v>7710023</v>
      </c>
      <c r="B6442" t="s">
        <v>13508</v>
      </c>
      <c r="C6442" t="s">
        <v>13509</v>
      </c>
    </row>
    <row r="6443" spans="1:4" x14ac:dyDescent="0.25">
      <c r="A6443" s="180">
        <f t="shared" si="100"/>
        <v>7710030</v>
      </c>
      <c r="B6443" t="s">
        <v>3839</v>
      </c>
      <c r="C6443" t="s">
        <v>13122</v>
      </c>
      <c r="D6443" t="s">
        <v>13411</v>
      </c>
    </row>
    <row r="6444" spans="1:4" x14ac:dyDescent="0.25">
      <c r="A6444" s="180">
        <f t="shared" si="100"/>
        <v>7710031</v>
      </c>
      <c r="B6444" t="s">
        <v>3840</v>
      </c>
      <c r="C6444" t="s">
        <v>13123</v>
      </c>
      <c r="D6444" t="s">
        <v>13411</v>
      </c>
    </row>
    <row r="6445" spans="1:4" x14ac:dyDescent="0.25">
      <c r="A6445" s="180">
        <f t="shared" si="100"/>
        <v>7710032</v>
      </c>
      <c r="B6445" t="s">
        <v>3841</v>
      </c>
      <c r="C6445" t="s">
        <v>3842</v>
      </c>
      <c r="D6445" t="s">
        <v>13411</v>
      </c>
    </row>
    <row r="6446" spans="1:4" x14ac:dyDescent="0.25">
      <c r="A6446" s="180">
        <f t="shared" si="100"/>
        <v>7710033</v>
      </c>
      <c r="B6446" t="s">
        <v>13124</v>
      </c>
      <c r="C6446" t="s">
        <v>13125</v>
      </c>
      <c r="D6446" t="s">
        <v>13411</v>
      </c>
    </row>
    <row r="6447" spans="1:4" x14ac:dyDescent="0.25">
      <c r="A6447" s="180">
        <f t="shared" si="100"/>
        <v>7710034</v>
      </c>
      <c r="B6447" t="s">
        <v>13918</v>
      </c>
      <c r="C6447" t="s">
        <v>13919</v>
      </c>
      <c r="D6447" t="s">
        <v>13411</v>
      </c>
    </row>
    <row r="6448" spans="1:4" x14ac:dyDescent="0.25">
      <c r="A6448" s="180">
        <f t="shared" si="100"/>
        <v>7710040</v>
      </c>
      <c r="B6448" t="s">
        <v>12860</v>
      </c>
      <c r="C6448" t="s">
        <v>12861</v>
      </c>
    </row>
    <row r="6449" spans="1:4" x14ac:dyDescent="0.25">
      <c r="A6449" s="180">
        <f t="shared" si="100"/>
        <v>7710041</v>
      </c>
      <c r="B6449" t="s">
        <v>12862</v>
      </c>
      <c r="C6449" t="s">
        <v>12863</v>
      </c>
    </row>
    <row r="6450" spans="1:4" x14ac:dyDescent="0.25">
      <c r="A6450" s="180">
        <f t="shared" si="100"/>
        <v>7710042</v>
      </c>
      <c r="B6450" t="s">
        <v>12864</v>
      </c>
      <c r="C6450" t="s">
        <v>12865</v>
      </c>
    </row>
    <row r="6451" spans="1:4" x14ac:dyDescent="0.25">
      <c r="A6451" s="180">
        <f t="shared" si="100"/>
        <v>7710043</v>
      </c>
      <c r="B6451" t="s">
        <v>12866</v>
      </c>
      <c r="C6451" t="s">
        <v>12867</v>
      </c>
    </row>
    <row r="6452" spans="1:4" x14ac:dyDescent="0.25">
      <c r="A6452" s="180">
        <f t="shared" si="100"/>
        <v>7710044</v>
      </c>
      <c r="B6452" t="s">
        <v>12868</v>
      </c>
      <c r="C6452" t="s">
        <v>12869</v>
      </c>
    </row>
    <row r="6453" spans="1:4" x14ac:dyDescent="0.25">
      <c r="A6453" s="180">
        <f t="shared" si="100"/>
        <v>7710045</v>
      </c>
      <c r="B6453" t="s">
        <v>12870</v>
      </c>
      <c r="C6453" t="s">
        <v>12871</v>
      </c>
    </row>
    <row r="6454" spans="1:4" x14ac:dyDescent="0.25">
      <c r="A6454" s="180">
        <f t="shared" si="100"/>
        <v>7710046</v>
      </c>
      <c r="B6454" t="s">
        <v>12872</v>
      </c>
      <c r="C6454" t="s">
        <v>12873</v>
      </c>
    </row>
    <row r="6455" spans="1:4" x14ac:dyDescent="0.25">
      <c r="A6455" s="180">
        <f t="shared" si="100"/>
        <v>7710047</v>
      </c>
      <c r="B6455" t="s">
        <v>12874</v>
      </c>
      <c r="C6455" t="s">
        <v>12875</v>
      </c>
    </row>
    <row r="6456" spans="1:4" x14ac:dyDescent="0.25">
      <c r="A6456" s="180">
        <f t="shared" si="100"/>
        <v>7710048</v>
      </c>
      <c r="B6456" t="s">
        <v>12876</v>
      </c>
      <c r="C6456" t="s">
        <v>12877</v>
      </c>
    </row>
    <row r="6457" spans="1:4" x14ac:dyDescent="0.25">
      <c r="A6457" s="180">
        <f t="shared" si="100"/>
        <v>7710049</v>
      </c>
      <c r="B6457" t="s">
        <v>12878</v>
      </c>
      <c r="C6457" t="s">
        <v>12879</v>
      </c>
    </row>
    <row r="6458" spans="1:4" x14ac:dyDescent="0.25">
      <c r="A6458" s="180">
        <f t="shared" si="100"/>
        <v>7710221</v>
      </c>
      <c r="B6458" t="s">
        <v>12880</v>
      </c>
      <c r="C6458" t="s">
        <v>12881</v>
      </c>
      <c r="D6458" t="s">
        <v>13411</v>
      </c>
    </row>
    <row r="6459" spans="1:4" x14ac:dyDescent="0.25">
      <c r="A6459" s="180">
        <f t="shared" si="100"/>
        <v>7710230</v>
      </c>
      <c r="B6459" t="s">
        <v>12882</v>
      </c>
      <c r="C6459" t="s">
        <v>12883</v>
      </c>
      <c r="D6459" t="s">
        <v>13411</v>
      </c>
    </row>
    <row r="6460" spans="1:4" x14ac:dyDescent="0.25">
      <c r="A6460" s="180">
        <f t="shared" si="100"/>
        <v>7710231</v>
      </c>
      <c r="B6460" t="s">
        <v>12884</v>
      </c>
      <c r="C6460" t="s">
        <v>12885</v>
      </c>
      <c r="D6460" t="s">
        <v>13411</v>
      </c>
    </row>
    <row r="6461" spans="1:4" x14ac:dyDescent="0.25">
      <c r="A6461" s="180">
        <f t="shared" si="100"/>
        <v>7711003</v>
      </c>
      <c r="B6461" t="s">
        <v>3843</v>
      </c>
      <c r="C6461" t="s">
        <v>3844</v>
      </c>
      <c r="D6461" t="s">
        <v>13411</v>
      </c>
    </row>
    <row r="6462" spans="1:4" x14ac:dyDescent="0.25">
      <c r="A6462" s="180">
        <f t="shared" si="100"/>
        <v>7711004</v>
      </c>
      <c r="B6462" t="s">
        <v>13321</v>
      </c>
      <c r="C6462" t="s">
        <v>13322</v>
      </c>
      <c r="D6462" t="s">
        <v>13411</v>
      </c>
    </row>
    <row r="6463" spans="1:4" x14ac:dyDescent="0.25">
      <c r="A6463" s="180">
        <f t="shared" ref="A6463:A6526" si="101">IFERROR(B6463*1,"")</f>
        <v>7711034</v>
      </c>
      <c r="B6463" t="s">
        <v>3845</v>
      </c>
      <c r="C6463" t="s">
        <v>3846</v>
      </c>
      <c r="D6463" t="s">
        <v>13411</v>
      </c>
    </row>
    <row r="6464" spans="1:4" x14ac:dyDescent="0.25">
      <c r="A6464" s="180">
        <f t="shared" si="101"/>
        <v>7711068</v>
      </c>
      <c r="B6464" t="s">
        <v>3847</v>
      </c>
      <c r="C6464" t="s">
        <v>3848</v>
      </c>
    </row>
    <row r="6465" spans="1:4" x14ac:dyDescent="0.25">
      <c r="A6465" s="180">
        <f t="shared" si="101"/>
        <v>7711069</v>
      </c>
      <c r="B6465" t="s">
        <v>3849</v>
      </c>
      <c r="C6465" t="s">
        <v>3850</v>
      </c>
      <c r="D6465" t="s">
        <v>13411</v>
      </c>
    </row>
    <row r="6466" spans="1:4" x14ac:dyDescent="0.25">
      <c r="A6466" s="180">
        <f t="shared" si="101"/>
        <v>7711070</v>
      </c>
      <c r="B6466" t="s">
        <v>3851</v>
      </c>
      <c r="C6466" t="s">
        <v>3852</v>
      </c>
      <c r="D6466" t="s">
        <v>13411</v>
      </c>
    </row>
    <row r="6467" spans="1:4" x14ac:dyDescent="0.25">
      <c r="A6467" s="180">
        <f t="shared" si="101"/>
        <v>7711091</v>
      </c>
      <c r="B6467" t="s">
        <v>3853</v>
      </c>
      <c r="C6467" t="s">
        <v>3854</v>
      </c>
      <c r="D6467" t="s">
        <v>13411</v>
      </c>
    </row>
    <row r="6468" spans="1:4" x14ac:dyDescent="0.25">
      <c r="A6468" s="180">
        <f t="shared" si="101"/>
        <v>7711100</v>
      </c>
      <c r="B6468" t="s">
        <v>3855</v>
      </c>
      <c r="C6468" t="s">
        <v>3856</v>
      </c>
      <c r="D6468" t="s">
        <v>13411</v>
      </c>
    </row>
    <row r="6469" spans="1:4" x14ac:dyDescent="0.25">
      <c r="A6469" s="180">
        <f t="shared" si="101"/>
        <v>7711136</v>
      </c>
      <c r="B6469" t="s">
        <v>3857</v>
      </c>
      <c r="C6469" t="s">
        <v>3858</v>
      </c>
    </row>
    <row r="6470" spans="1:4" x14ac:dyDescent="0.25">
      <c r="A6470" s="180">
        <f t="shared" si="101"/>
        <v>7711137</v>
      </c>
      <c r="B6470" t="s">
        <v>3859</v>
      </c>
      <c r="C6470" t="s">
        <v>3860</v>
      </c>
    </row>
    <row r="6471" spans="1:4" x14ac:dyDescent="0.25">
      <c r="A6471" s="180">
        <f t="shared" si="101"/>
        <v>7711138</v>
      </c>
      <c r="B6471" t="s">
        <v>3861</v>
      </c>
      <c r="C6471" t="s">
        <v>3862</v>
      </c>
    </row>
    <row r="6472" spans="1:4" x14ac:dyDescent="0.25">
      <c r="A6472" s="180">
        <f t="shared" si="101"/>
        <v>7711139</v>
      </c>
      <c r="B6472" t="s">
        <v>3863</v>
      </c>
      <c r="C6472" t="s">
        <v>3864</v>
      </c>
      <c r="D6472" t="s">
        <v>13411</v>
      </c>
    </row>
    <row r="6473" spans="1:4" x14ac:dyDescent="0.25">
      <c r="A6473" s="180">
        <f t="shared" si="101"/>
        <v>7711141</v>
      </c>
      <c r="B6473" t="s">
        <v>3865</v>
      </c>
      <c r="C6473" t="s">
        <v>3866</v>
      </c>
    </row>
    <row r="6474" spans="1:4" x14ac:dyDescent="0.25">
      <c r="A6474" s="180">
        <f t="shared" si="101"/>
        <v>7711205</v>
      </c>
      <c r="B6474" t="s">
        <v>3867</v>
      </c>
      <c r="C6474" t="s">
        <v>3868</v>
      </c>
    </row>
    <row r="6475" spans="1:4" x14ac:dyDescent="0.25">
      <c r="A6475" s="180">
        <f t="shared" si="101"/>
        <v>7711213</v>
      </c>
      <c r="B6475" t="s">
        <v>3869</v>
      </c>
      <c r="C6475" t="s">
        <v>3870</v>
      </c>
      <c r="D6475" t="s">
        <v>13411</v>
      </c>
    </row>
    <row r="6476" spans="1:4" x14ac:dyDescent="0.25">
      <c r="A6476" s="180">
        <f t="shared" si="101"/>
        <v>7711222</v>
      </c>
      <c r="B6476" t="s">
        <v>3871</v>
      </c>
      <c r="C6476" t="s">
        <v>3872</v>
      </c>
      <c r="D6476" t="s">
        <v>13411</v>
      </c>
    </row>
    <row r="6477" spans="1:4" x14ac:dyDescent="0.25">
      <c r="A6477" s="180">
        <f t="shared" si="101"/>
        <v>7711300</v>
      </c>
      <c r="B6477" t="s">
        <v>3873</v>
      </c>
      <c r="C6477" t="s">
        <v>3874</v>
      </c>
    </row>
    <row r="6478" spans="1:4" x14ac:dyDescent="0.25">
      <c r="A6478" s="180">
        <f t="shared" si="101"/>
        <v>7711413</v>
      </c>
      <c r="B6478" t="s">
        <v>3875</v>
      </c>
      <c r="C6478" t="s">
        <v>3876</v>
      </c>
    </row>
    <row r="6479" spans="1:4" x14ac:dyDescent="0.25">
      <c r="A6479" s="180">
        <f t="shared" si="101"/>
        <v>7711503</v>
      </c>
      <c r="B6479" t="s">
        <v>3877</v>
      </c>
      <c r="C6479" t="s">
        <v>3878</v>
      </c>
      <c r="D6479" t="s">
        <v>13412</v>
      </c>
    </row>
    <row r="6480" spans="1:4" x14ac:dyDescent="0.25">
      <c r="A6480" s="180">
        <f t="shared" si="101"/>
        <v>7711676</v>
      </c>
      <c r="B6480" t="s">
        <v>3879</v>
      </c>
      <c r="C6480" t="s">
        <v>3880</v>
      </c>
      <c r="D6480" t="s">
        <v>13411</v>
      </c>
    </row>
    <row r="6481" spans="1:4" x14ac:dyDescent="0.25">
      <c r="A6481" s="180">
        <f t="shared" si="101"/>
        <v>779999</v>
      </c>
      <c r="B6481" t="s">
        <v>13920</v>
      </c>
      <c r="C6481" t="s">
        <v>13921</v>
      </c>
      <c r="D6481" t="s">
        <v>13411</v>
      </c>
    </row>
    <row r="6482" spans="1:4" x14ac:dyDescent="0.25">
      <c r="A6482" s="180">
        <f t="shared" si="101"/>
        <v>7800000</v>
      </c>
      <c r="B6482" t="s">
        <v>3881</v>
      </c>
      <c r="C6482" t="s">
        <v>3882</v>
      </c>
      <c r="D6482" t="s">
        <v>13412</v>
      </c>
    </row>
    <row r="6483" spans="1:4" x14ac:dyDescent="0.25">
      <c r="A6483" s="180">
        <f t="shared" si="101"/>
        <v>7800001</v>
      </c>
      <c r="B6483" t="s">
        <v>13510</v>
      </c>
      <c r="C6483" t="s">
        <v>13511</v>
      </c>
      <c r="D6483" t="s">
        <v>13412</v>
      </c>
    </row>
    <row r="6484" spans="1:4" x14ac:dyDescent="0.25">
      <c r="A6484" s="180">
        <f t="shared" si="101"/>
        <v>7800002</v>
      </c>
      <c r="B6484" t="s">
        <v>13512</v>
      </c>
      <c r="C6484" t="s">
        <v>13513</v>
      </c>
      <c r="D6484" t="s">
        <v>13412</v>
      </c>
    </row>
    <row r="6485" spans="1:4" x14ac:dyDescent="0.25">
      <c r="A6485" s="180">
        <f t="shared" si="101"/>
        <v>7800003</v>
      </c>
      <c r="B6485" t="s">
        <v>13514</v>
      </c>
      <c r="C6485" t="s">
        <v>13515</v>
      </c>
      <c r="D6485" t="s">
        <v>13412</v>
      </c>
    </row>
    <row r="6486" spans="1:4" x14ac:dyDescent="0.25">
      <c r="A6486" s="180">
        <f t="shared" si="101"/>
        <v>8203265</v>
      </c>
      <c r="B6486" t="s">
        <v>3883</v>
      </c>
      <c r="C6486" t="s">
        <v>3884</v>
      </c>
      <c r="D6486" t="s">
        <v>13411</v>
      </c>
    </row>
    <row r="6487" spans="1:4" x14ac:dyDescent="0.25">
      <c r="A6487" s="180">
        <f t="shared" si="101"/>
        <v>8203265</v>
      </c>
      <c r="B6487" t="s">
        <v>3883</v>
      </c>
      <c r="C6487" t="s">
        <v>3884</v>
      </c>
      <c r="D6487" t="s">
        <v>13411</v>
      </c>
    </row>
    <row r="6488" spans="1:4" x14ac:dyDescent="0.25">
      <c r="A6488" s="180">
        <f t="shared" si="101"/>
        <v>8203265</v>
      </c>
      <c r="B6488" t="s">
        <v>3883</v>
      </c>
      <c r="C6488" t="s">
        <v>3884</v>
      </c>
      <c r="D6488" t="s">
        <v>13411</v>
      </c>
    </row>
    <row r="6489" spans="1:4" x14ac:dyDescent="0.25">
      <c r="A6489" s="180">
        <f t="shared" si="101"/>
        <v>8203265</v>
      </c>
      <c r="B6489" t="s">
        <v>3883</v>
      </c>
      <c r="C6489" t="s">
        <v>3884</v>
      </c>
      <c r="D6489" t="s">
        <v>13411</v>
      </c>
    </row>
    <row r="6490" spans="1:4" x14ac:dyDescent="0.25">
      <c r="A6490" s="180">
        <f t="shared" si="101"/>
        <v>8203265</v>
      </c>
      <c r="B6490" t="s">
        <v>3883</v>
      </c>
      <c r="C6490" t="s">
        <v>3884</v>
      </c>
      <c r="D6490" t="s">
        <v>13411</v>
      </c>
    </row>
    <row r="6491" spans="1:4" x14ac:dyDescent="0.25">
      <c r="A6491" s="180">
        <f t="shared" si="101"/>
        <v>8203265</v>
      </c>
      <c r="B6491" t="s">
        <v>3883</v>
      </c>
      <c r="C6491" t="s">
        <v>3884</v>
      </c>
      <c r="D6491" t="s">
        <v>13411</v>
      </c>
    </row>
    <row r="6492" spans="1:4" x14ac:dyDescent="0.25">
      <c r="A6492" s="180">
        <f t="shared" si="101"/>
        <v>8203265</v>
      </c>
      <c r="B6492" t="s">
        <v>3883</v>
      </c>
      <c r="C6492" t="s">
        <v>3884</v>
      </c>
      <c r="D6492" t="s">
        <v>13411</v>
      </c>
    </row>
    <row r="6493" spans="1:4" x14ac:dyDescent="0.25">
      <c r="A6493" s="180">
        <f t="shared" si="101"/>
        <v>8203265</v>
      </c>
      <c r="B6493" t="s">
        <v>3883</v>
      </c>
      <c r="C6493" t="s">
        <v>3884</v>
      </c>
      <c r="D6493" t="s">
        <v>13411</v>
      </c>
    </row>
    <row r="6494" spans="1:4" x14ac:dyDescent="0.25">
      <c r="A6494" s="180">
        <f t="shared" si="101"/>
        <v>8203267</v>
      </c>
      <c r="B6494" t="s">
        <v>3885</v>
      </c>
      <c r="C6494" t="s">
        <v>3886</v>
      </c>
    </row>
    <row r="6495" spans="1:4" x14ac:dyDescent="0.25">
      <c r="A6495" s="180">
        <f t="shared" si="101"/>
        <v>8203268</v>
      </c>
      <c r="B6495" t="s">
        <v>3887</v>
      </c>
      <c r="C6495" t="s">
        <v>3888</v>
      </c>
    </row>
    <row r="6496" spans="1:4" x14ac:dyDescent="0.25">
      <c r="A6496" s="180">
        <f t="shared" si="101"/>
        <v>8203700</v>
      </c>
      <c r="B6496" t="s">
        <v>14276</v>
      </c>
      <c r="C6496" t="s">
        <v>14277</v>
      </c>
    </row>
    <row r="6497" spans="1:4" x14ac:dyDescent="0.25">
      <c r="A6497" s="180">
        <f t="shared" si="101"/>
        <v>8203830</v>
      </c>
      <c r="B6497" t="s">
        <v>3889</v>
      </c>
      <c r="C6497" t="s">
        <v>3890</v>
      </c>
      <c r="D6497" t="s">
        <v>13411</v>
      </c>
    </row>
    <row r="6498" spans="1:4" x14ac:dyDescent="0.25">
      <c r="A6498" s="180">
        <f t="shared" si="101"/>
        <v>8203830</v>
      </c>
      <c r="B6498" t="s">
        <v>3889</v>
      </c>
      <c r="C6498" t="s">
        <v>3890</v>
      </c>
      <c r="D6498" t="s">
        <v>13411</v>
      </c>
    </row>
    <row r="6499" spans="1:4" x14ac:dyDescent="0.25">
      <c r="A6499" s="180">
        <f t="shared" si="101"/>
        <v>8203830</v>
      </c>
      <c r="B6499" t="s">
        <v>3889</v>
      </c>
      <c r="C6499" t="s">
        <v>3890</v>
      </c>
      <c r="D6499" t="s">
        <v>13411</v>
      </c>
    </row>
    <row r="6500" spans="1:4" x14ac:dyDescent="0.25">
      <c r="A6500" s="180">
        <f t="shared" si="101"/>
        <v>8203830</v>
      </c>
      <c r="B6500" t="s">
        <v>3889</v>
      </c>
      <c r="C6500" t="s">
        <v>3890</v>
      </c>
      <c r="D6500" t="s">
        <v>13411</v>
      </c>
    </row>
    <row r="6501" spans="1:4" x14ac:dyDescent="0.25">
      <c r="A6501" s="180">
        <f t="shared" si="101"/>
        <v>8203830</v>
      </c>
      <c r="B6501" t="s">
        <v>3889</v>
      </c>
      <c r="C6501" t="s">
        <v>3890</v>
      </c>
      <c r="D6501" t="s">
        <v>13411</v>
      </c>
    </row>
    <row r="6502" spans="1:4" x14ac:dyDescent="0.25">
      <c r="A6502" s="180">
        <f t="shared" si="101"/>
        <v>8203830</v>
      </c>
      <c r="B6502" t="s">
        <v>3889</v>
      </c>
      <c r="C6502" t="s">
        <v>3890</v>
      </c>
      <c r="D6502" t="s">
        <v>13411</v>
      </c>
    </row>
    <row r="6503" spans="1:4" x14ac:dyDescent="0.25">
      <c r="A6503" s="180">
        <f t="shared" si="101"/>
        <v>8203830</v>
      </c>
      <c r="B6503" t="s">
        <v>3889</v>
      </c>
      <c r="C6503" t="s">
        <v>3890</v>
      </c>
      <c r="D6503" t="s">
        <v>13411</v>
      </c>
    </row>
    <row r="6504" spans="1:4" x14ac:dyDescent="0.25">
      <c r="A6504" s="180">
        <f t="shared" si="101"/>
        <v>8203830</v>
      </c>
      <c r="B6504" t="s">
        <v>3889</v>
      </c>
      <c r="C6504" t="s">
        <v>3890</v>
      </c>
      <c r="D6504" t="s">
        <v>13411</v>
      </c>
    </row>
    <row r="6505" spans="1:4" x14ac:dyDescent="0.25">
      <c r="A6505" s="180">
        <f t="shared" si="101"/>
        <v>8203830</v>
      </c>
      <c r="B6505" t="s">
        <v>3889</v>
      </c>
      <c r="C6505" t="s">
        <v>3890</v>
      </c>
      <c r="D6505" t="s">
        <v>13411</v>
      </c>
    </row>
    <row r="6506" spans="1:4" x14ac:dyDescent="0.25">
      <c r="A6506" s="180">
        <f t="shared" si="101"/>
        <v>8203830</v>
      </c>
      <c r="B6506" t="s">
        <v>3889</v>
      </c>
      <c r="C6506" t="s">
        <v>3890</v>
      </c>
      <c r="D6506" t="s">
        <v>13411</v>
      </c>
    </row>
    <row r="6507" spans="1:4" x14ac:dyDescent="0.25">
      <c r="A6507" s="180">
        <f t="shared" si="101"/>
        <v>8203830</v>
      </c>
      <c r="B6507" t="s">
        <v>3889</v>
      </c>
      <c r="C6507" t="s">
        <v>3890</v>
      </c>
      <c r="D6507" t="s">
        <v>13411</v>
      </c>
    </row>
    <row r="6508" spans="1:4" x14ac:dyDescent="0.25">
      <c r="A6508" s="180">
        <f t="shared" si="101"/>
        <v>8203830</v>
      </c>
      <c r="B6508" t="s">
        <v>3889</v>
      </c>
      <c r="C6508" t="s">
        <v>3890</v>
      </c>
      <c r="D6508" t="s">
        <v>13411</v>
      </c>
    </row>
    <row r="6509" spans="1:4" x14ac:dyDescent="0.25">
      <c r="A6509" s="180">
        <f t="shared" si="101"/>
        <v>8203830</v>
      </c>
      <c r="B6509" t="s">
        <v>3889</v>
      </c>
      <c r="C6509" t="s">
        <v>3890</v>
      </c>
      <c r="D6509" t="s">
        <v>13411</v>
      </c>
    </row>
    <row r="6510" spans="1:4" x14ac:dyDescent="0.25">
      <c r="A6510" s="180">
        <f t="shared" si="101"/>
        <v>8203830</v>
      </c>
      <c r="B6510" t="s">
        <v>3889</v>
      </c>
      <c r="C6510" t="s">
        <v>3890</v>
      </c>
      <c r="D6510" t="s">
        <v>13411</v>
      </c>
    </row>
    <row r="6511" spans="1:4" x14ac:dyDescent="0.25">
      <c r="A6511" s="180">
        <f t="shared" si="101"/>
        <v>8203830</v>
      </c>
      <c r="B6511" t="s">
        <v>3889</v>
      </c>
      <c r="C6511" t="s">
        <v>3890</v>
      </c>
      <c r="D6511" t="s">
        <v>13411</v>
      </c>
    </row>
    <row r="6512" spans="1:4" x14ac:dyDescent="0.25">
      <c r="A6512" s="180">
        <f t="shared" si="101"/>
        <v>8203835</v>
      </c>
      <c r="B6512" t="s">
        <v>3891</v>
      </c>
      <c r="C6512" t="s">
        <v>3892</v>
      </c>
    </row>
    <row r="6513" spans="1:4" x14ac:dyDescent="0.25">
      <c r="A6513" s="180">
        <f t="shared" si="101"/>
        <v>8205006</v>
      </c>
      <c r="B6513" t="s">
        <v>13323</v>
      </c>
      <c r="C6513" t="s">
        <v>13324</v>
      </c>
      <c r="D6513" t="s">
        <v>13411</v>
      </c>
    </row>
    <row r="6514" spans="1:4" x14ac:dyDescent="0.25">
      <c r="A6514" s="180">
        <f t="shared" si="101"/>
        <v>8205006</v>
      </c>
      <c r="B6514" t="s">
        <v>13323</v>
      </c>
      <c r="C6514" t="s">
        <v>13324</v>
      </c>
      <c r="D6514" t="s">
        <v>13411</v>
      </c>
    </row>
    <row r="6515" spans="1:4" x14ac:dyDescent="0.25">
      <c r="A6515" s="180">
        <f t="shared" si="101"/>
        <v>8205006</v>
      </c>
      <c r="B6515" t="s">
        <v>13323</v>
      </c>
      <c r="C6515" t="s">
        <v>13324</v>
      </c>
      <c r="D6515" t="s">
        <v>13411</v>
      </c>
    </row>
    <row r="6516" spans="1:4" x14ac:dyDescent="0.25">
      <c r="A6516" s="180">
        <f t="shared" si="101"/>
        <v>8205006</v>
      </c>
      <c r="B6516" t="s">
        <v>13323</v>
      </c>
      <c r="C6516" t="s">
        <v>13324</v>
      </c>
      <c r="D6516" t="s">
        <v>13411</v>
      </c>
    </row>
    <row r="6517" spans="1:4" x14ac:dyDescent="0.25">
      <c r="A6517" s="180">
        <f t="shared" si="101"/>
        <v>8205006</v>
      </c>
      <c r="B6517" t="s">
        <v>13323</v>
      </c>
      <c r="C6517" t="s">
        <v>13324</v>
      </c>
      <c r="D6517" t="s">
        <v>13411</v>
      </c>
    </row>
    <row r="6518" spans="1:4" x14ac:dyDescent="0.25">
      <c r="A6518" s="180">
        <f t="shared" si="101"/>
        <v>8205006</v>
      </c>
      <c r="B6518" t="s">
        <v>13323</v>
      </c>
      <c r="C6518" t="s">
        <v>13324</v>
      </c>
      <c r="D6518" t="s">
        <v>13411</v>
      </c>
    </row>
    <row r="6519" spans="1:4" x14ac:dyDescent="0.25">
      <c r="A6519" s="180">
        <f t="shared" si="101"/>
        <v>8205006</v>
      </c>
      <c r="B6519" t="s">
        <v>13323</v>
      </c>
      <c r="C6519" t="s">
        <v>13324</v>
      </c>
      <c r="D6519" t="s">
        <v>13411</v>
      </c>
    </row>
    <row r="6520" spans="1:4" x14ac:dyDescent="0.25">
      <c r="A6520" s="180">
        <f t="shared" si="101"/>
        <v>8205006</v>
      </c>
      <c r="B6520" t="s">
        <v>13323</v>
      </c>
      <c r="C6520" t="s">
        <v>13324</v>
      </c>
      <c r="D6520" t="s">
        <v>13411</v>
      </c>
    </row>
    <row r="6521" spans="1:4" x14ac:dyDescent="0.25">
      <c r="A6521" s="180">
        <f t="shared" si="101"/>
        <v>8205006</v>
      </c>
      <c r="B6521" t="s">
        <v>13323</v>
      </c>
      <c r="C6521" t="s">
        <v>13324</v>
      </c>
      <c r="D6521" t="s">
        <v>13411</v>
      </c>
    </row>
    <row r="6522" spans="1:4" x14ac:dyDescent="0.25">
      <c r="A6522" s="180">
        <f t="shared" si="101"/>
        <v>8205010</v>
      </c>
      <c r="B6522" t="s">
        <v>3893</v>
      </c>
      <c r="C6522" t="s">
        <v>3894</v>
      </c>
      <c r="D6522" t="s">
        <v>14957</v>
      </c>
    </row>
    <row r="6523" spans="1:4" x14ac:dyDescent="0.25">
      <c r="A6523" s="180">
        <f t="shared" si="101"/>
        <v>8205010</v>
      </c>
      <c r="B6523" t="s">
        <v>3893</v>
      </c>
      <c r="C6523" t="s">
        <v>3894</v>
      </c>
      <c r="D6523" t="s">
        <v>14957</v>
      </c>
    </row>
    <row r="6524" spans="1:4" x14ac:dyDescent="0.25">
      <c r="A6524" s="180">
        <f t="shared" si="101"/>
        <v>8205010</v>
      </c>
      <c r="B6524" t="s">
        <v>3893</v>
      </c>
      <c r="C6524" t="s">
        <v>3894</v>
      </c>
      <c r="D6524" t="s">
        <v>14957</v>
      </c>
    </row>
    <row r="6525" spans="1:4" x14ac:dyDescent="0.25">
      <c r="A6525" s="180">
        <f t="shared" si="101"/>
        <v>8205010</v>
      </c>
      <c r="B6525" t="s">
        <v>3893</v>
      </c>
      <c r="C6525" t="s">
        <v>3894</v>
      </c>
      <c r="D6525" t="s">
        <v>14957</v>
      </c>
    </row>
    <row r="6526" spans="1:4" x14ac:dyDescent="0.25">
      <c r="A6526" s="180">
        <f t="shared" si="101"/>
        <v>8205010</v>
      </c>
      <c r="B6526" t="s">
        <v>3893</v>
      </c>
      <c r="C6526" t="s">
        <v>3894</v>
      </c>
      <c r="D6526" t="s">
        <v>14957</v>
      </c>
    </row>
    <row r="6527" spans="1:4" x14ac:dyDescent="0.25">
      <c r="A6527" s="180">
        <f t="shared" ref="A6527:A6590" si="102">IFERROR(B6527*1,"")</f>
        <v>8205010</v>
      </c>
      <c r="B6527" t="s">
        <v>3893</v>
      </c>
      <c r="C6527" t="s">
        <v>3894</v>
      </c>
      <c r="D6527" t="s">
        <v>14957</v>
      </c>
    </row>
    <row r="6528" spans="1:4" x14ac:dyDescent="0.25">
      <c r="A6528" s="180">
        <f t="shared" si="102"/>
        <v>8205010</v>
      </c>
      <c r="B6528" t="s">
        <v>3893</v>
      </c>
      <c r="C6528" t="s">
        <v>3894</v>
      </c>
      <c r="D6528" t="s">
        <v>14957</v>
      </c>
    </row>
    <row r="6529" spans="1:4" x14ac:dyDescent="0.25">
      <c r="A6529" s="180">
        <f t="shared" si="102"/>
        <v>8205010</v>
      </c>
      <c r="B6529" t="s">
        <v>3893</v>
      </c>
      <c r="C6529" t="s">
        <v>3894</v>
      </c>
      <c r="D6529" t="s">
        <v>14957</v>
      </c>
    </row>
    <row r="6530" spans="1:4" x14ac:dyDescent="0.25">
      <c r="A6530" s="180">
        <f t="shared" si="102"/>
        <v>8205010</v>
      </c>
      <c r="B6530" t="s">
        <v>3893</v>
      </c>
      <c r="C6530" t="s">
        <v>3894</v>
      </c>
      <c r="D6530" t="s">
        <v>14957</v>
      </c>
    </row>
    <row r="6531" spans="1:4" x14ac:dyDescent="0.25">
      <c r="A6531" s="180">
        <f t="shared" si="102"/>
        <v>8205010</v>
      </c>
      <c r="B6531" t="s">
        <v>3893</v>
      </c>
      <c r="C6531" t="s">
        <v>3894</v>
      </c>
      <c r="D6531" t="s">
        <v>14957</v>
      </c>
    </row>
    <row r="6532" spans="1:4" x14ac:dyDescent="0.25">
      <c r="A6532" s="180">
        <f t="shared" si="102"/>
        <v>8205010</v>
      </c>
      <c r="B6532" t="s">
        <v>3893</v>
      </c>
      <c r="C6532" t="s">
        <v>3894</v>
      </c>
      <c r="D6532" t="s">
        <v>14957</v>
      </c>
    </row>
    <row r="6533" spans="1:4" x14ac:dyDescent="0.25">
      <c r="A6533" s="180">
        <f t="shared" si="102"/>
        <v>8205011</v>
      </c>
      <c r="B6533" t="s">
        <v>3895</v>
      </c>
      <c r="C6533" t="s">
        <v>3896</v>
      </c>
    </row>
    <row r="6534" spans="1:4" x14ac:dyDescent="0.25">
      <c r="A6534" s="180">
        <f t="shared" si="102"/>
        <v>8205016</v>
      </c>
      <c r="B6534" t="s">
        <v>3897</v>
      </c>
      <c r="C6534" t="s">
        <v>3898</v>
      </c>
      <c r="D6534" t="s">
        <v>14957</v>
      </c>
    </row>
    <row r="6535" spans="1:4" x14ac:dyDescent="0.25">
      <c r="A6535" s="180">
        <f t="shared" si="102"/>
        <v>8205016</v>
      </c>
      <c r="B6535" t="s">
        <v>3897</v>
      </c>
      <c r="C6535" t="s">
        <v>3898</v>
      </c>
      <c r="D6535" t="s">
        <v>14957</v>
      </c>
    </row>
    <row r="6536" spans="1:4" x14ac:dyDescent="0.25">
      <c r="A6536" s="180">
        <f t="shared" si="102"/>
        <v>8205016</v>
      </c>
      <c r="B6536" t="s">
        <v>3897</v>
      </c>
      <c r="C6536" t="s">
        <v>3898</v>
      </c>
      <c r="D6536" t="s">
        <v>14957</v>
      </c>
    </row>
    <row r="6537" spans="1:4" x14ac:dyDescent="0.25">
      <c r="A6537" s="180">
        <f t="shared" si="102"/>
        <v>8205016</v>
      </c>
      <c r="B6537" t="s">
        <v>3897</v>
      </c>
      <c r="C6537" t="s">
        <v>3898</v>
      </c>
      <c r="D6537" t="s">
        <v>14957</v>
      </c>
    </row>
    <row r="6538" spans="1:4" x14ac:dyDescent="0.25">
      <c r="A6538" s="180">
        <f t="shared" si="102"/>
        <v>8205016</v>
      </c>
      <c r="B6538" t="s">
        <v>3897</v>
      </c>
      <c r="C6538" t="s">
        <v>3898</v>
      </c>
      <c r="D6538" t="s">
        <v>14957</v>
      </c>
    </row>
    <row r="6539" spans="1:4" x14ac:dyDescent="0.25">
      <c r="A6539" s="180">
        <f t="shared" si="102"/>
        <v>8205016</v>
      </c>
      <c r="B6539" t="s">
        <v>3897</v>
      </c>
      <c r="C6539" t="s">
        <v>3898</v>
      </c>
      <c r="D6539" t="s">
        <v>14957</v>
      </c>
    </row>
    <row r="6540" spans="1:4" x14ac:dyDescent="0.25">
      <c r="A6540" s="180">
        <f t="shared" si="102"/>
        <v>8205016</v>
      </c>
      <c r="B6540" t="s">
        <v>3897</v>
      </c>
      <c r="C6540" t="s">
        <v>3898</v>
      </c>
      <c r="D6540" t="s">
        <v>14957</v>
      </c>
    </row>
    <row r="6541" spans="1:4" x14ac:dyDescent="0.25">
      <c r="A6541" s="180">
        <f t="shared" si="102"/>
        <v>8205016</v>
      </c>
      <c r="B6541" t="s">
        <v>3897</v>
      </c>
      <c r="C6541" t="s">
        <v>3898</v>
      </c>
      <c r="D6541" t="s">
        <v>14957</v>
      </c>
    </row>
    <row r="6542" spans="1:4" x14ac:dyDescent="0.25">
      <c r="A6542" s="180">
        <f t="shared" si="102"/>
        <v>8205016</v>
      </c>
      <c r="B6542" t="s">
        <v>3897</v>
      </c>
      <c r="C6542" t="s">
        <v>3898</v>
      </c>
      <c r="D6542" t="s">
        <v>14957</v>
      </c>
    </row>
    <row r="6543" spans="1:4" x14ac:dyDescent="0.25">
      <c r="A6543" s="180">
        <f t="shared" si="102"/>
        <v>8205016</v>
      </c>
      <c r="B6543" t="s">
        <v>3897</v>
      </c>
      <c r="C6543" t="s">
        <v>3898</v>
      </c>
      <c r="D6543" t="s">
        <v>14957</v>
      </c>
    </row>
    <row r="6544" spans="1:4" x14ac:dyDescent="0.25">
      <c r="A6544" s="180">
        <f t="shared" si="102"/>
        <v>8205016</v>
      </c>
      <c r="B6544" t="s">
        <v>3897</v>
      </c>
      <c r="C6544" t="s">
        <v>3898</v>
      </c>
      <c r="D6544" t="s">
        <v>14957</v>
      </c>
    </row>
    <row r="6545" spans="1:4" x14ac:dyDescent="0.25">
      <c r="A6545" s="180">
        <f t="shared" si="102"/>
        <v>8205018</v>
      </c>
      <c r="B6545" t="s">
        <v>3899</v>
      </c>
      <c r="C6545" t="s">
        <v>3900</v>
      </c>
      <c r="D6545" t="s">
        <v>14957</v>
      </c>
    </row>
    <row r="6546" spans="1:4" x14ac:dyDescent="0.25">
      <c r="A6546" s="180">
        <f t="shared" si="102"/>
        <v>8205018</v>
      </c>
      <c r="B6546" t="s">
        <v>3899</v>
      </c>
      <c r="C6546" t="s">
        <v>3900</v>
      </c>
      <c r="D6546" t="s">
        <v>14957</v>
      </c>
    </row>
    <row r="6547" spans="1:4" x14ac:dyDescent="0.25">
      <c r="A6547" s="180">
        <f t="shared" si="102"/>
        <v>8205018</v>
      </c>
      <c r="B6547" t="s">
        <v>3899</v>
      </c>
      <c r="C6547" t="s">
        <v>3900</v>
      </c>
      <c r="D6547" t="s">
        <v>14957</v>
      </c>
    </row>
    <row r="6548" spans="1:4" x14ac:dyDescent="0.25">
      <c r="A6548" s="180">
        <f t="shared" si="102"/>
        <v>8205018</v>
      </c>
      <c r="B6548" t="s">
        <v>3899</v>
      </c>
      <c r="C6548" t="s">
        <v>3900</v>
      </c>
      <c r="D6548" t="s">
        <v>14957</v>
      </c>
    </row>
    <row r="6549" spans="1:4" x14ac:dyDescent="0.25">
      <c r="A6549" s="180">
        <f t="shared" si="102"/>
        <v>8205018</v>
      </c>
      <c r="B6549" t="s">
        <v>3899</v>
      </c>
      <c r="C6549" t="s">
        <v>3900</v>
      </c>
      <c r="D6549" t="s">
        <v>14957</v>
      </c>
    </row>
    <row r="6550" spans="1:4" x14ac:dyDescent="0.25">
      <c r="A6550" s="180">
        <f t="shared" si="102"/>
        <v>8205018</v>
      </c>
      <c r="B6550" t="s">
        <v>3899</v>
      </c>
      <c r="C6550" t="s">
        <v>3900</v>
      </c>
      <c r="D6550" t="s">
        <v>14957</v>
      </c>
    </row>
    <row r="6551" spans="1:4" x14ac:dyDescent="0.25">
      <c r="A6551" s="180">
        <f t="shared" si="102"/>
        <v>8205018</v>
      </c>
      <c r="B6551" t="s">
        <v>3899</v>
      </c>
      <c r="C6551" t="s">
        <v>3900</v>
      </c>
      <c r="D6551" t="s">
        <v>14957</v>
      </c>
    </row>
    <row r="6552" spans="1:4" x14ac:dyDescent="0.25">
      <c r="A6552" s="180">
        <f t="shared" si="102"/>
        <v>8205018</v>
      </c>
      <c r="B6552" t="s">
        <v>3899</v>
      </c>
      <c r="C6552" t="s">
        <v>3900</v>
      </c>
      <c r="D6552" t="s">
        <v>14957</v>
      </c>
    </row>
    <row r="6553" spans="1:4" x14ac:dyDescent="0.25">
      <c r="A6553" s="180">
        <f t="shared" si="102"/>
        <v>8205018</v>
      </c>
      <c r="B6553" t="s">
        <v>3899</v>
      </c>
      <c r="C6553" t="s">
        <v>3900</v>
      </c>
      <c r="D6553" t="s">
        <v>14957</v>
      </c>
    </row>
    <row r="6554" spans="1:4" x14ac:dyDescent="0.25">
      <c r="A6554" s="180">
        <f t="shared" si="102"/>
        <v>8205018</v>
      </c>
      <c r="B6554" t="s">
        <v>3899</v>
      </c>
      <c r="C6554" t="s">
        <v>3900</v>
      </c>
      <c r="D6554" t="s">
        <v>14957</v>
      </c>
    </row>
    <row r="6555" spans="1:4" x14ac:dyDescent="0.25">
      <c r="A6555" s="180">
        <f t="shared" si="102"/>
        <v>8205018</v>
      </c>
      <c r="B6555" t="s">
        <v>3899</v>
      </c>
      <c r="C6555" t="s">
        <v>3900</v>
      </c>
      <c r="D6555" t="s">
        <v>14957</v>
      </c>
    </row>
    <row r="6556" spans="1:4" x14ac:dyDescent="0.25">
      <c r="A6556" s="180">
        <f t="shared" si="102"/>
        <v>8205018</v>
      </c>
      <c r="B6556" t="s">
        <v>3899</v>
      </c>
      <c r="C6556" t="s">
        <v>3900</v>
      </c>
      <c r="D6556" t="s">
        <v>14957</v>
      </c>
    </row>
    <row r="6557" spans="1:4" x14ac:dyDescent="0.25">
      <c r="A6557" s="180">
        <f t="shared" si="102"/>
        <v>8205018</v>
      </c>
      <c r="B6557" t="s">
        <v>3899</v>
      </c>
      <c r="C6557" t="s">
        <v>3900</v>
      </c>
      <c r="D6557" t="s">
        <v>14957</v>
      </c>
    </row>
    <row r="6558" spans="1:4" x14ac:dyDescent="0.25">
      <c r="A6558" s="180">
        <f t="shared" si="102"/>
        <v>8205018</v>
      </c>
      <c r="B6558" t="s">
        <v>3899</v>
      </c>
      <c r="C6558" t="s">
        <v>3900</v>
      </c>
      <c r="D6558" t="s">
        <v>14957</v>
      </c>
    </row>
    <row r="6559" spans="1:4" x14ac:dyDescent="0.25">
      <c r="A6559" s="180">
        <f t="shared" si="102"/>
        <v>8205018</v>
      </c>
      <c r="B6559" t="s">
        <v>3899</v>
      </c>
      <c r="C6559" t="s">
        <v>3900</v>
      </c>
      <c r="D6559" t="s">
        <v>14957</v>
      </c>
    </row>
    <row r="6560" spans="1:4" x14ac:dyDescent="0.25">
      <c r="A6560" s="180">
        <f t="shared" si="102"/>
        <v>8205018</v>
      </c>
      <c r="B6560" t="s">
        <v>3899</v>
      </c>
      <c r="C6560" t="s">
        <v>3900</v>
      </c>
      <c r="D6560" t="s">
        <v>14957</v>
      </c>
    </row>
    <row r="6561" spans="1:4" x14ac:dyDescent="0.25">
      <c r="A6561" s="180">
        <f t="shared" si="102"/>
        <v>8205018</v>
      </c>
      <c r="B6561" t="s">
        <v>3899</v>
      </c>
      <c r="C6561" t="s">
        <v>3900</v>
      </c>
      <c r="D6561" t="s">
        <v>14957</v>
      </c>
    </row>
    <row r="6562" spans="1:4" x14ac:dyDescent="0.25">
      <c r="A6562" s="180">
        <f t="shared" si="102"/>
        <v>8205020</v>
      </c>
      <c r="B6562" t="s">
        <v>3901</v>
      </c>
      <c r="C6562" t="s">
        <v>3902</v>
      </c>
      <c r="D6562" t="s">
        <v>14957</v>
      </c>
    </row>
    <row r="6563" spans="1:4" x14ac:dyDescent="0.25">
      <c r="A6563" s="180">
        <f t="shared" si="102"/>
        <v>8205020</v>
      </c>
      <c r="B6563" t="s">
        <v>3901</v>
      </c>
      <c r="C6563" t="s">
        <v>3902</v>
      </c>
      <c r="D6563" t="s">
        <v>14957</v>
      </c>
    </row>
    <row r="6564" spans="1:4" x14ac:dyDescent="0.25">
      <c r="A6564" s="180">
        <f t="shared" si="102"/>
        <v>8205020</v>
      </c>
      <c r="B6564" t="s">
        <v>3901</v>
      </c>
      <c r="C6564" t="s">
        <v>3902</v>
      </c>
      <c r="D6564" t="s">
        <v>14957</v>
      </c>
    </row>
    <row r="6565" spans="1:4" x14ac:dyDescent="0.25">
      <c r="A6565" s="180">
        <f t="shared" si="102"/>
        <v>8205020</v>
      </c>
      <c r="B6565" t="s">
        <v>3901</v>
      </c>
      <c r="C6565" t="s">
        <v>3902</v>
      </c>
      <c r="D6565" t="s">
        <v>14957</v>
      </c>
    </row>
    <row r="6566" spans="1:4" x14ac:dyDescent="0.25">
      <c r="A6566" s="180">
        <f t="shared" si="102"/>
        <v>8205020</v>
      </c>
      <c r="B6566" t="s">
        <v>3901</v>
      </c>
      <c r="C6566" t="s">
        <v>3902</v>
      </c>
      <c r="D6566" t="s">
        <v>14957</v>
      </c>
    </row>
    <row r="6567" spans="1:4" x14ac:dyDescent="0.25">
      <c r="A6567" s="180">
        <f t="shared" si="102"/>
        <v>8205020</v>
      </c>
      <c r="B6567" t="s">
        <v>3901</v>
      </c>
      <c r="C6567" t="s">
        <v>3902</v>
      </c>
      <c r="D6567" t="s">
        <v>14957</v>
      </c>
    </row>
    <row r="6568" spans="1:4" x14ac:dyDescent="0.25">
      <c r="A6568" s="180">
        <f t="shared" si="102"/>
        <v>8205020</v>
      </c>
      <c r="B6568" t="s">
        <v>3901</v>
      </c>
      <c r="C6568" t="s">
        <v>3902</v>
      </c>
      <c r="D6568" t="s">
        <v>14957</v>
      </c>
    </row>
    <row r="6569" spans="1:4" x14ac:dyDescent="0.25">
      <c r="A6569" s="180">
        <f t="shared" si="102"/>
        <v>8205020</v>
      </c>
      <c r="B6569" t="s">
        <v>3901</v>
      </c>
      <c r="C6569" t="s">
        <v>3902</v>
      </c>
      <c r="D6569" t="s">
        <v>14957</v>
      </c>
    </row>
    <row r="6570" spans="1:4" x14ac:dyDescent="0.25">
      <c r="A6570" s="180">
        <f t="shared" si="102"/>
        <v>8205020</v>
      </c>
      <c r="B6570" t="s">
        <v>3901</v>
      </c>
      <c r="C6570" t="s">
        <v>3902</v>
      </c>
      <c r="D6570" t="s">
        <v>14957</v>
      </c>
    </row>
    <row r="6571" spans="1:4" x14ac:dyDescent="0.25">
      <c r="A6571" s="180">
        <f t="shared" si="102"/>
        <v>8205021</v>
      </c>
      <c r="B6571" t="s">
        <v>3903</v>
      </c>
      <c r="C6571" t="s">
        <v>3904</v>
      </c>
    </row>
    <row r="6572" spans="1:4" x14ac:dyDescent="0.25">
      <c r="A6572" s="180">
        <f t="shared" si="102"/>
        <v>8205030</v>
      </c>
      <c r="B6572" t="s">
        <v>3905</v>
      </c>
      <c r="C6572" t="s">
        <v>3906</v>
      </c>
    </row>
    <row r="6573" spans="1:4" x14ac:dyDescent="0.25">
      <c r="A6573" s="180">
        <f t="shared" si="102"/>
        <v>8205037</v>
      </c>
      <c r="B6573" t="s">
        <v>13325</v>
      </c>
      <c r="C6573" t="s">
        <v>14040</v>
      </c>
      <c r="D6573" t="s">
        <v>13411</v>
      </c>
    </row>
    <row r="6574" spans="1:4" x14ac:dyDescent="0.25">
      <c r="A6574" s="180">
        <f t="shared" si="102"/>
        <v>8205037</v>
      </c>
      <c r="B6574" t="s">
        <v>13325</v>
      </c>
      <c r="C6574" t="s">
        <v>14040</v>
      </c>
      <c r="D6574" t="s">
        <v>13411</v>
      </c>
    </row>
    <row r="6575" spans="1:4" x14ac:dyDescent="0.25">
      <c r="A6575" s="180">
        <f t="shared" si="102"/>
        <v>8205037</v>
      </c>
      <c r="B6575" t="s">
        <v>13325</v>
      </c>
      <c r="C6575" t="s">
        <v>14040</v>
      </c>
      <c r="D6575" t="s">
        <v>13411</v>
      </c>
    </row>
    <row r="6576" spans="1:4" x14ac:dyDescent="0.25">
      <c r="A6576" s="180">
        <f t="shared" si="102"/>
        <v>8205037</v>
      </c>
      <c r="B6576" t="s">
        <v>13325</v>
      </c>
      <c r="C6576" t="s">
        <v>14040</v>
      </c>
      <c r="D6576" t="s">
        <v>13411</v>
      </c>
    </row>
    <row r="6577" spans="1:4" x14ac:dyDescent="0.25">
      <c r="A6577" s="180">
        <f t="shared" si="102"/>
        <v>8205037</v>
      </c>
      <c r="B6577" t="s">
        <v>13325</v>
      </c>
      <c r="C6577" t="s">
        <v>14040</v>
      </c>
      <c r="D6577" t="s">
        <v>13411</v>
      </c>
    </row>
    <row r="6578" spans="1:4" x14ac:dyDescent="0.25">
      <c r="A6578" s="180">
        <f t="shared" si="102"/>
        <v>8205037</v>
      </c>
      <c r="B6578" t="s">
        <v>13325</v>
      </c>
      <c r="C6578" t="s">
        <v>14040</v>
      </c>
      <c r="D6578" t="s">
        <v>13411</v>
      </c>
    </row>
    <row r="6579" spans="1:4" x14ac:dyDescent="0.25">
      <c r="A6579" s="180">
        <f t="shared" si="102"/>
        <v>8205037</v>
      </c>
      <c r="B6579" t="s">
        <v>13325</v>
      </c>
      <c r="C6579" t="s">
        <v>14040</v>
      </c>
      <c r="D6579" t="s">
        <v>13411</v>
      </c>
    </row>
    <row r="6580" spans="1:4" x14ac:dyDescent="0.25">
      <c r="A6580" s="180">
        <f t="shared" si="102"/>
        <v>8205037</v>
      </c>
      <c r="B6580" t="s">
        <v>13325</v>
      </c>
      <c r="C6580" t="s">
        <v>14040</v>
      </c>
      <c r="D6580" t="s">
        <v>13411</v>
      </c>
    </row>
    <row r="6581" spans="1:4" x14ac:dyDescent="0.25">
      <c r="A6581" s="180">
        <f t="shared" si="102"/>
        <v>8205037</v>
      </c>
      <c r="B6581" t="s">
        <v>13325</v>
      </c>
      <c r="C6581" t="s">
        <v>14040</v>
      </c>
      <c r="D6581" t="s">
        <v>13411</v>
      </c>
    </row>
    <row r="6582" spans="1:4" x14ac:dyDescent="0.25">
      <c r="A6582" s="180">
        <f t="shared" si="102"/>
        <v>8205037</v>
      </c>
      <c r="B6582" t="s">
        <v>13325</v>
      </c>
      <c r="C6582" t="s">
        <v>14040</v>
      </c>
      <c r="D6582" t="s">
        <v>13411</v>
      </c>
    </row>
    <row r="6583" spans="1:4" x14ac:dyDescent="0.25">
      <c r="A6583" s="180">
        <f t="shared" si="102"/>
        <v>8205037</v>
      </c>
      <c r="B6583" t="s">
        <v>13325</v>
      </c>
      <c r="C6583" t="s">
        <v>14040</v>
      </c>
      <c r="D6583" t="s">
        <v>13411</v>
      </c>
    </row>
    <row r="6584" spans="1:4" x14ac:dyDescent="0.25">
      <c r="A6584" s="180">
        <f t="shared" si="102"/>
        <v>8205037</v>
      </c>
      <c r="B6584" t="s">
        <v>13325</v>
      </c>
      <c r="C6584" t="s">
        <v>14040</v>
      </c>
      <c r="D6584" t="s">
        <v>13411</v>
      </c>
    </row>
    <row r="6585" spans="1:4" x14ac:dyDescent="0.25">
      <c r="A6585" s="180">
        <f t="shared" si="102"/>
        <v>8205037</v>
      </c>
      <c r="B6585" t="s">
        <v>13325</v>
      </c>
      <c r="C6585" t="s">
        <v>14040</v>
      </c>
      <c r="D6585" t="s">
        <v>13411</v>
      </c>
    </row>
    <row r="6586" spans="1:4" x14ac:dyDescent="0.25">
      <c r="A6586" s="180">
        <f t="shared" si="102"/>
        <v>8205037</v>
      </c>
      <c r="B6586" t="s">
        <v>13325</v>
      </c>
      <c r="C6586" t="s">
        <v>14040</v>
      </c>
      <c r="D6586" t="s">
        <v>13411</v>
      </c>
    </row>
    <row r="6587" spans="1:4" x14ac:dyDescent="0.25">
      <c r="A6587" s="180">
        <f t="shared" si="102"/>
        <v>8205037</v>
      </c>
      <c r="B6587" t="s">
        <v>13325</v>
      </c>
      <c r="C6587" t="s">
        <v>14040</v>
      </c>
      <c r="D6587" t="s">
        <v>13411</v>
      </c>
    </row>
    <row r="6588" spans="1:4" x14ac:dyDescent="0.25">
      <c r="A6588" s="180">
        <f t="shared" si="102"/>
        <v>8205038</v>
      </c>
      <c r="B6588" t="s">
        <v>13326</v>
      </c>
      <c r="C6588" t="s">
        <v>14041</v>
      </c>
      <c r="D6588" t="s">
        <v>13411</v>
      </c>
    </row>
    <row r="6589" spans="1:4" x14ac:dyDescent="0.25">
      <c r="A6589" s="180">
        <f t="shared" si="102"/>
        <v>8205038</v>
      </c>
      <c r="B6589" t="s">
        <v>13326</v>
      </c>
      <c r="C6589" t="s">
        <v>14041</v>
      </c>
      <c r="D6589" t="s">
        <v>13411</v>
      </c>
    </row>
    <row r="6590" spans="1:4" x14ac:dyDescent="0.25">
      <c r="A6590" s="180">
        <f t="shared" si="102"/>
        <v>8205038</v>
      </c>
      <c r="B6590" t="s">
        <v>13326</v>
      </c>
      <c r="C6590" t="s">
        <v>14041</v>
      </c>
      <c r="D6590" t="s">
        <v>13411</v>
      </c>
    </row>
    <row r="6591" spans="1:4" x14ac:dyDescent="0.25">
      <c r="A6591" s="180">
        <f t="shared" ref="A6591:A6654" si="103">IFERROR(B6591*1,"")</f>
        <v>8205040</v>
      </c>
      <c r="B6591" t="s">
        <v>3907</v>
      </c>
      <c r="C6591" t="s">
        <v>3908</v>
      </c>
      <c r="D6591" t="s">
        <v>14957</v>
      </c>
    </row>
    <row r="6592" spans="1:4" x14ac:dyDescent="0.25">
      <c r="A6592" s="180">
        <f t="shared" si="103"/>
        <v>8205040</v>
      </c>
      <c r="B6592" t="s">
        <v>3907</v>
      </c>
      <c r="C6592" t="s">
        <v>3908</v>
      </c>
      <c r="D6592" t="s">
        <v>14957</v>
      </c>
    </row>
    <row r="6593" spans="1:4" x14ac:dyDescent="0.25">
      <c r="A6593" s="180">
        <f t="shared" si="103"/>
        <v>8205040</v>
      </c>
      <c r="B6593" t="s">
        <v>3907</v>
      </c>
      <c r="C6593" t="s">
        <v>3908</v>
      </c>
      <c r="D6593" t="s">
        <v>14957</v>
      </c>
    </row>
    <row r="6594" spans="1:4" x14ac:dyDescent="0.25">
      <c r="A6594" s="180">
        <f t="shared" si="103"/>
        <v>8205040</v>
      </c>
      <c r="B6594" t="s">
        <v>3907</v>
      </c>
      <c r="C6594" t="s">
        <v>3908</v>
      </c>
      <c r="D6594" t="s">
        <v>14957</v>
      </c>
    </row>
    <row r="6595" spans="1:4" x14ac:dyDescent="0.25">
      <c r="A6595" s="180">
        <f t="shared" si="103"/>
        <v>8205040</v>
      </c>
      <c r="B6595" t="s">
        <v>3907</v>
      </c>
      <c r="C6595" t="s">
        <v>3908</v>
      </c>
      <c r="D6595" t="s">
        <v>14957</v>
      </c>
    </row>
    <row r="6596" spans="1:4" x14ac:dyDescent="0.25">
      <c r="A6596" s="180">
        <f t="shared" si="103"/>
        <v>8205040</v>
      </c>
      <c r="B6596" t="s">
        <v>3907</v>
      </c>
      <c r="C6596" t="s">
        <v>3908</v>
      </c>
      <c r="D6596" t="s">
        <v>14957</v>
      </c>
    </row>
    <row r="6597" spans="1:4" x14ac:dyDescent="0.25">
      <c r="A6597" s="180">
        <f t="shared" si="103"/>
        <v>8205040</v>
      </c>
      <c r="B6597" t="s">
        <v>3907</v>
      </c>
      <c r="C6597" t="s">
        <v>3908</v>
      </c>
      <c r="D6597" t="s">
        <v>14957</v>
      </c>
    </row>
    <row r="6598" spans="1:4" x14ac:dyDescent="0.25">
      <c r="A6598" s="180">
        <f t="shared" si="103"/>
        <v>8205040</v>
      </c>
      <c r="B6598" t="s">
        <v>3907</v>
      </c>
      <c r="C6598" t="s">
        <v>3908</v>
      </c>
      <c r="D6598" t="s">
        <v>14957</v>
      </c>
    </row>
    <row r="6599" spans="1:4" x14ac:dyDescent="0.25">
      <c r="A6599" s="180">
        <f t="shared" si="103"/>
        <v>8205040</v>
      </c>
      <c r="B6599" t="s">
        <v>3907</v>
      </c>
      <c r="C6599" t="s">
        <v>3908</v>
      </c>
      <c r="D6599" t="s">
        <v>14957</v>
      </c>
    </row>
    <row r="6600" spans="1:4" x14ac:dyDescent="0.25">
      <c r="A6600" s="180">
        <f t="shared" si="103"/>
        <v>8205040</v>
      </c>
      <c r="B6600" t="s">
        <v>3907</v>
      </c>
      <c r="C6600" t="s">
        <v>3908</v>
      </c>
      <c r="D6600" t="s">
        <v>14957</v>
      </c>
    </row>
    <row r="6601" spans="1:4" x14ac:dyDescent="0.25">
      <c r="A6601" s="180">
        <f t="shared" si="103"/>
        <v>8205040</v>
      </c>
      <c r="B6601" t="s">
        <v>3907</v>
      </c>
      <c r="C6601" t="s">
        <v>3908</v>
      </c>
      <c r="D6601" t="s">
        <v>14957</v>
      </c>
    </row>
    <row r="6602" spans="1:4" x14ac:dyDescent="0.25">
      <c r="A6602" s="180">
        <f t="shared" si="103"/>
        <v>8205041</v>
      </c>
      <c r="B6602" t="s">
        <v>3909</v>
      </c>
      <c r="C6602" t="s">
        <v>3910</v>
      </c>
      <c r="D6602" t="s">
        <v>14989</v>
      </c>
    </row>
    <row r="6603" spans="1:4" x14ac:dyDescent="0.25">
      <c r="A6603" s="180">
        <f t="shared" si="103"/>
        <v>8205041</v>
      </c>
      <c r="B6603" t="s">
        <v>3909</v>
      </c>
      <c r="C6603" t="s">
        <v>3910</v>
      </c>
      <c r="D6603" t="s">
        <v>14989</v>
      </c>
    </row>
    <row r="6604" spans="1:4" x14ac:dyDescent="0.25">
      <c r="A6604" s="180">
        <f t="shared" si="103"/>
        <v>8205041</v>
      </c>
      <c r="B6604" t="s">
        <v>3909</v>
      </c>
      <c r="C6604" t="s">
        <v>3910</v>
      </c>
      <c r="D6604" t="s">
        <v>14989</v>
      </c>
    </row>
    <row r="6605" spans="1:4" x14ac:dyDescent="0.25">
      <c r="A6605" s="180">
        <f t="shared" si="103"/>
        <v>8205041</v>
      </c>
      <c r="B6605" t="s">
        <v>3909</v>
      </c>
      <c r="C6605" t="s">
        <v>3910</v>
      </c>
      <c r="D6605" t="s">
        <v>14989</v>
      </c>
    </row>
    <row r="6606" spans="1:4" x14ac:dyDescent="0.25">
      <c r="A6606" s="180">
        <f t="shared" si="103"/>
        <v>8205041</v>
      </c>
      <c r="B6606" t="s">
        <v>3909</v>
      </c>
      <c r="C6606" t="s">
        <v>3910</v>
      </c>
      <c r="D6606" t="s">
        <v>14989</v>
      </c>
    </row>
    <row r="6607" spans="1:4" x14ac:dyDescent="0.25">
      <c r="A6607" s="180">
        <f t="shared" si="103"/>
        <v>8205041</v>
      </c>
      <c r="B6607" t="s">
        <v>3909</v>
      </c>
      <c r="C6607" t="s">
        <v>3910</v>
      </c>
      <c r="D6607" t="s">
        <v>14989</v>
      </c>
    </row>
    <row r="6608" spans="1:4" x14ac:dyDescent="0.25">
      <c r="A6608" s="180">
        <f t="shared" si="103"/>
        <v>8205041</v>
      </c>
      <c r="B6608" t="s">
        <v>3909</v>
      </c>
      <c r="C6608" t="s">
        <v>3910</v>
      </c>
      <c r="D6608" t="s">
        <v>14989</v>
      </c>
    </row>
    <row r="6609" spans="1:4" x14ac:dyDescent="0.25">
      <c r="A6609" s="180">
        <f t="shared" si="103"/>
        <v>8205041</v>
      </c>
      <c r="B6609" t="s">
        <v>3909</v>
      </c>
      <c r="C6609" t="s">
        <v>3910</v>
      </c>
      <c r="D6609" t="s">
        <v>14989</v>
      </c>
    </row>
    <row r="6610" spans="1:4" x14ac:dyDescent="0.25">
      <c r="A6610" s="180">
        <f t="shared" si="103"/>
        <v>8205041</v>
      </c>
      <c r="B6610" t="s">
        <v>3909</v>
      </c>
      <c r="C6610" t="s">
        <v>3910</v>
      </c>
      <c r="D6610" t="s">
        <v>14989</v>
      </c>
    </row>
    <row r="6611" spans="1:4" x14ac:dyDescent="0.25">
      <c r="A6611" s="180">
        <f t="shared" si="103"/>
        <v>8205041</v>
      </c>
      <c r="B6611" t="s">
        <v>3909</v>
      </c>
      <c r="C6611" t="s">
        <v>3910</v>
      </c>
      <c r="D6611" t="s">
        <v>14989</v>
      </c>
    </row>
    <row r="6612" spans="1:4" x14ac:dyDescent="0.25">
      <c r="A6612" s="180">
        <f t="shared" si="103"/>
        <v>8205041</v>
      </c>
      <c r="B6612" t="s">
        <v>3909</v>
      </c>
      <c r="C6612" t="s">
        <v>3910</v>
      </c>
      <c r="D6612" t="s">
        <v>14989</v>
      </c>
    </row>
    <row r="6613" spans="1:4" x14ac:dyDescent="0.25">
      <c r="A6613" s="180">
        <f t="shared" si="103"/>
        <v>8205041</v>
      </c>
      <c r="B6613" t="s">
        <v>3909</v>
      </c>
      <c r="C6613" t="s">
        <v>3910</v>
      </c>
      <c r="D6613" t="s">
        <v>14989</v>
      </c>
    </row>
    <row r="6614" spans="1:4" x14ac:dyDescent="0.25">
      <c r="A6614" s="180" t="str">
        <f t="shared" si="103"/>
        <v/>
      </c>
      <c r="B6614" t="s">
        <v>13126</v>
      </c>
    </row>
    <row r="6615" spans="1:4" x14ac:dyDescent="0.25">
      <c r="A6615" s="180">
        <f t="shared" si="103"/>
        <v>8205044</v>
      </c>
      <c r="B6615" t="s">
        <v>3911</v>
      </c>
      <c r="C6615" t="s">
        <v>3912</v>
      </c>
    </row>
    <row r="6616" spans="1:4" x14ac:dyDescent="0.25">
      <c r="A6616" s="180">
        <f t="shared" si="103"/>
        <v>8205050</v>
      </c>
      <c r="B6616" t="s">
        <v>3913</v>
      </c>
      <c r="C6616" t="s">
        <v>3914</v>
      </c>
      <c r="D6616" t="s">
        <v>13412</v>
      </c>
    </row>
    <row r="6617" spans="1:4" x14ac:dyDescent="0.25">
      <c r="A6617" s="180">
        <f t="shared" si="103"/>
        <v>8205050</v>
      </c>
      <c r="B6617" t="s">
        <v>3913</v>
      </c>
      <c r="C6617" t="s">
        <v>3914</v>
      </c>
      <c r="D6617" t="s">
        <v>13412</v>
      </c>
    </row>
    <row r="6618" spans="1:4" x14ac:dyDescent="0.25">
      <c r="A6618" s="180">
        <f t="shared" si="103"/>
        <v>8205050</v>
      </c>
      <c r="B6618" t="s">
        <v>3913</v>
      </c>
      <c r="C6618" t="s">
        <v>3914</v>
      </c>
      <c r="D6618" t="s">
        <v>13412</v>
      </c>
    </row>
    <row r="6619" spans="1:4" x14ac:dyDescent="0.25">
      <c r="A6619" s="180">
        <f t="shared" si="103"/>
        <v>8205050</v>
      </c>
      <c r="B6619" t="s">
        <v>3913</v>
      </c>
      <c r="C6619" t="s">
        <v>3914</v>
      </c>
      <c r="D6619" t="s">
        <v>13412</v>
      </c>
    </row>
    <row r="6620" spans="1:4" x14ac:dyDescent="0.25">
      <c r="A6620" s="180">
        <f t="shared" si="103"/>
        <v>8205050</v>
      </c>
      <c r="B6620" t="s">
        <v>3913</v>
      </c>
      <c r="C6620" t="s">
        <v>3914</v>
      </c>
      <c r="D6620" t="s">
        <v>13412</v>
      </c>
    </row>
    <row r="6621" spans="1:4" x14ac:dyDescent="0.25">
      <c r="A6621" s="180">
        <f t="shared" si="103"/>
        <v>8205050</v>
      </c>
      <c r="B6621" t="s">
        <v>3913</v>
      </c>
      <c r="C6621" t="s">
        <v>3914</v>
      </c>
      <c r="D6621" t="s">
        <v>13412</v>
      </c>
    </row>
    <row r="6622" spans="1:4" x14ac:dyDescent="0.25">
      <c r="A6622" s="180">
        <f t="shared" si="103"/>
        <v>8205051</v>
      </c>
      <c r="B6622" t="s">
        <v>3915</v>
      </c>
      <c r="C6622" t="s">
        <v>3916</v>
      </c>
      <c r="D6622" t="s">
        <v>13412</v>
      </c>
    </row>
    <row r="6623" spans="1:4" x14ac:dyDescent="0.25">
      <c r="A6623" s="180">
        <f t="shared" si="103"/>
        <v>8205051</v>
      </c>
      <c r="B6623" t="s">
        <v>3915</v>
      </c>
      <c r="C6623" t="s">
        <v>3916</v>
      </c>
      <c r="D6623" t="s">
        <v>13412</v>
      </c>
    </row>
    <row r="6624" spans="1:4" x14ac:dyDescent="0.25">
      <c r="A6624" s="180">
        <f t="shared" si="103"/>
        <v>8205051</v>
      </c>
      <c r="B6624" t="s">
        <v>3915</v>
      </c>
      <c r="C6624" t="s">
        <v>3916</v>
      </c>
      <c r="D6624" t="s">
        <v>13412</v>
      </c>
    </row>
    <row r="6625" spans="1:4" x14ac:dyDescent="0.25">
      <c r="A6625" s="180">
        <f t="shared" si="103"/>
        <v>8205051</v>
      </c>
      <c r="B6625" t="s">
        <v>3915</v>
      </c>
      <c r="C6625" t="s">
        <v>3916</v>
      </c>
      <c r="D6625" t="s">
        <v>13412</v>
      </c>
    </row>
    <row r="6626" spans="1:4" x14ac:dyDescent="0.25">
      <c r="A6626" s="180">
        <f t="shared" si="103"/>
        <v>8205051</v>
      </c>
      <c r="B6626" t="s">
        <v>3915</v>
      </c>
      <c r="C6626" t="s">
        <v>3916</v>
      </c>
      <c r="D6626" t="s">
        <v>13412</v>
      </c>
    </row>
    <row r="6627" spans="1:4" x14ac:dyDescent="0.25">
      <c r="A6627" s="180">
        <f t="shared" si="103"/>
        <v>8205051</v>
      </c>
      <c r="B6627" t="s">
        <v>3915</v>
      </c>
      <c r="C6627" t="s">
        <v>3916</v>
      </c>
      <c r="D6627" t="s">
        <v>13412</v>
      </c>
    </row>
    <row r="6628" spans="1:4" x14ac:dyDescent="0.25">
      <c r="A6628" s="180">
        <f t="shared" si="103"/>
        <v>8205051</v>
      </c>
      <c r="B6628" t="s">
        <v>3915</v>
      </c>
      <c r="C6628" t="s">
        <v>3916</v>
      </c>
      <c r="D6628" t="s">
        <v>13412</v>
      </c>
    </row>
    <row r="6629" spans="1:4" x14ac:dyDescent="0.25">
      <c r="A6629" s="180">
        <f t="shared" si="103"/>
        <v>8205051</v>
      </c>
      <c r="B6629" t="s">
        <v>3915</v>
      </c>
      <c r="C6629" t="s">
        <v>3916</v>
      </c>
      <c r="D6629" t="s">
        <v>13412</v>
      </c>
    </row>
    <row r="6630" spans="1:4" x14ac:dyDescent="0.25">
      <c r="A6630" s="180">
        <f t="shared" si="103"/>
        <v>8205051</v>
      </c>
      <c r="B6630" t="s">
        <v>3915</v>
      </c>
      <c r="C6630" t="s">
        <v>3916</v>
      </c>
      <c r="D6630" t="s">
        <v>13412</v>
      </c>
    </row>
    <row r="6631" spans="1:4" x14ac:dyDescent="0.25">
      <c r="A6631" s="180">
        <f t="shared" si="103"/>
        <v>8205051</v>
      </c>
      <c r="B6631" t="s">
        <v>3915</v>
      </c>
      <c r="C6631" t="s">
        <v>3916</v>
      </c>
      <c r="D6631" t="s">
        <v>13412</v>
      </c>
    </row>
    <row r="6632" spans="1:4" x14ac:dyDescent="0.25">
      <c r="A6632" s="180">
        <f t="shared" si="103"/>
        <v>8205051</v>
      </c>
      <c r="B6632" t="s">
        <v>3915</v>
      </c>
      <c r="C6632" t="s">
        <v>3916</v>
      </c>
      <c r="D6632" t="s">
        <v>13412</v>
      </c>
    </row>
    <row r="6633" spans="1:4" x14ac:dyDescent="0.25">
      <c r="A6633" s="180">
        <f t="shared" si="103"/>
        <v>8205051</v>
      </c>
      <c r="B6633" t="s">
        <v>3915</v>
      </c>
      <c r="C6633" t="s">
        <v>3916</v>
      </c>
      <c r="D6633" t="s">
        <v>13412</v>
      </c>
    </row>
    <row r="6634" spans="1:4" x14ac:dyDescent="0.25">
      <c r="A6634" s="180">
        <f t="shared" si="103"/>
        <v>8205051</v>
      </c>
      <c r="B6634" t="s">
        <v>3915</v>
      </c>
      <c r="C6634" t="s">
        <v>3916</v>
      </c>
      <c r="D6634" t="s">
        <v>13412</v>
      </c>
    </row>
    <row r="6635" spans="1:4" x14ac:dyDescent="0.25">
      <c r="A6635" s="180">
        <f t="shared" si="103"/>
        <v>8205060</v>
      </c>
      <c r="B6635" t="s">
        <v>3917</v>
      </c>
      <c r="C6635" t="s">
        <v>3918</v>
      </c>
      <c r="D6635" t="s">
        <v>14957</v>
      </c>
    </row>
    <row r="6636" spans="1:4" x14ac:dyDescent="0.25">
      <c r="A6636" s="180">
        <f t="shared" si="103"/>
        <v>8205060</v>
      </c>
      <c r="B6636" t="s">
        <v>3917</v>
      </c>
      <c r="C6636" t="s">
        <v>3918</v>
      </c>
      <c r="D6636" t="s">
        <v>14957</v>
      </c>
    </row>
    <row r="6637" spans="1:4" x14ac:dyDescent="0.25">
      <c r="A6637" s="180">
        <f t="shared" si="103"/>
        <v>8205060</v>
      </c>
      <c r="B6637" t="s">
        <v>3917</v>
      </c>
      <c r="C6637" t="s">
        <v>3918</v>
      </c>
      <c r="D6637" t="s">
        <v>14957</v>
      </c>
    </row>
    <row r="6638" spans="1:4" x14ac:dyDescent="0.25">
      <c r="A6638" s="180">
        <f t="shared" si="103"/>
        <v>8205060</v>
      </c>
      <c r="B6638" t="s">
        <v>3917</v>
      </c>
      <c r="C6638" t="s">
        <v>3918</v>
      </c>
      <c r="D6638" t="s">
        <v>14957</v>
      </c>
    </row>
    <row r="6639" spans="1:4" x14ac:dyDescent="0.25">
      <c r="A6639" s="180">
        <f t="shared" si="103"/>
        <v>8205060</v>
      </c>
      <c r="B6639" t="s">
        <v>3917</v>
      </c>
      <c r="C6639" t="s">
        <v>3918</v>
      </c>
      <c r="D6639" t="s">
        <v>14957</v>
      </c>
    </row>
    <row r="6640" spans="1:4" x14ac:dyDescent="0.25">
      <c r="A6640" s="180">
        <f t="shared" si="103"/>
        <v>8205060</v>
      </c>
      <c r="B6640" t="s">
        <v>3917</v>
      </c>
      <c r="C6640" t="s">
        <v>3918</v>
      </c>
      <c r="D6640" t="s">
        <v>14957</v>
      </c>
    </row>
    <row r="6641" spans="1:4" x14ac:dyDescent="0.25">
      <c r="A6641" s="180">
        <f t="shared" si="103"/>
        <v>8205060</v>
      </c>
      <c r="B6641" t="s">
        <v>3917</v>
      </c>
      <c r="C6641" t="s">
        <v>3918</v>
      </c>
      <c r="D6641" t="s">
        <v>14957</v>
      </c>
    </row>
    <row r="6642" spans="1:4" x14ac:dyDescent="0.25">
      <c r="A6642" s="180">
        <f t="shared" si="103"/>
        <v>8205060</v>
      </c>
      <c r="B6642" t="s">
        <v>3917</v>
      </c>
      <c r="C6642" t="s">
        <v>3918</v>
      </c>
      <c r="D6642" t="s">
        <v>14957</v>
      </c>
    </row>
    <row r="6643" spans="1:4" x14ac:dyDescent="0.25">
      <c r="A6643" s="180">
        <f t="shared" si="103"/>
        <v>8205060</v>
      </c>
      <c r="B6643" t="s">
        <v>3917</v>
      </c>
      <c r="C6643" t="s">
        <v>3918</v>
      </c>
      <c r="D6643" t="s">
        <v>14957</v>
      </c>
    </row>
    <row r="6644" spans="1:4" x14ac:dyDescent="0.25">
      <c r="A6644" s="180">
        <f t="shared" si="103"/>
        <v>8205061</v>
      </c>
      <c r="B6644" t="s">
        <v>3919</v>
      </c>
      <c r="C6644" t="s">
        <v>3920</v>
      </c>
    </row>
    <row r="6645" spans="1:4" x14ac:dyDescent="0.25">
      <c r="A6645" s="180">
        <f t="shared" si="103"/>
        <v>8205078</v>
      </c>
      <c r="B6645" t="s">
        <v>3921</v>
      </c>
      <c r="C6645" t="s">
        <v>12688</v>
      </c>
      <c r="D6645" t="s">
        <v>13411</v>
      </c>
    </row>
    <row r="6646" spans="1:4" x14ac:dyDescent="0.25">
      <c r="A6646" s="180">
        <f t="shared" si="103"/>
        <v>8205078</v>
      </c>
      <c r="B6646" t="s">
        <v>3921</v>
      </c>
      <c r="C6646" t="s">
        <v>12688</v>
      </c>
      <c r="D6646" t="s">
        <v>13411</v>
      </c>
    </row>
    <row r="6647" spans="1:4" x14ac:dyDescent="0.25">
      <c r="A6647" s="180">
        <f t="shared" si="103"/>
        <v>8205078</v>
      </c>
      <c r="B6647" t="s">
        <v>3921</v>
      </c>
      <c r="C6647" t="s">
        <v>12688</v>
      </c>
      <c r="D6647" t="s">
        <v>13411</v>
      </c>
    </row>
    <row r="6648" spans="1:4" x14ac:dyDescent="0.25">
      <c r="A6648" s="180">
        <f t="shared" si="103"/>
        <v>8205078</v>
      </c>
      <c r="B6648" t="s">
        <v>3921</v>
      </c>
      <c r="C6648" t="s">
        <v>12688</v>
      </c>
      <c r="D6648" t="s">
        <v>13411</v>
      </c>
    </row>
    <row r="6649" spans="1:4" x14ac:dyDescent="0.25">
      <c r="A6649" s="180">
        <f t="shared" si="103"/>
        <v>8205078</v>
      </c>
      <c r="B6649" t="s">
        <v>3921</v>
      </c>
      <c r="C6649" t="s">
        <v>12688</v>
      </c>
      <c r="D6649" t="s">
        <v>13411</v>
      </c>
    </row>
    <row r="6650" spans="1:4" x14ac:dyDescent="0.25">
      <c r="A6650" s="180">
        <f t="shared" si="103"/>
        <v>8205078</v>
      </c>
      <c r="B6650" t="s">
        <v>3921</v>
      </c>
      <c r="C6650" t="s">
        <v>12688</v>
      </c>
      <c r="D6650" t="s">
        <v>13411</v>
      </c>
    </row>
    <row r="6651" spans="1:4" x14ac:dyDescent="0.25">
      <c r="A6651" s="180">
        <f t="shared" si="103"/>
        <v>8205078</v>
      </c>
      <c r="B6651" t="s">
        <v>3921</v>
      </c>
      <c r="C6651" t="s">
        <v>12688</v>
      </c>
      <c r="D6651" t="s">
        <v>13411</v>
      </c>
    </row>
    <row r="6652" spans="1:4" x14ac:dyDescent="0.25">
      <c r="A6652" s="180">
        <f t="shared" si="103"/>
        <v>8205078</v>
      </c>
      <c r="B6652" t="s">
        <v>3921</v>
      </c>
      <c r="C6652" t="s">
        <v>12688</v>
      </c>
      <c r="D6652" t="s">
        <v>13411</v>
      </c>
    </row>
    <row r="6653" spans="1:4" x14ac:dyDescent="0.25">
      <c r="A6653" s="180">
        <f t="shared" si="103"/>
        <v>8205078</v>
      </c>
      <c r="B6653" t="s">
        <v>3921</v>
      </c>
      <c r="C6653" t="s">
        <v>12688</v>
      </c>
      <c r="D6653" t="s">
        <v>13411</v>
      </c>
    </row>
    <row r="6654" spans="1:4" x14ac:dyDescent="0.25">
      <c r="A6654" s="180">
        <f t="shared" si="103"/>
        <v>8205078</v>
      </c>
      <c r="B6654" t="s">
        <v>3921</v>
      </c>
      <c r="C6654" t="s">
        <v>12688</v>
      </c>
      <c r="D6654" t="s">
        <v>13411</v>
      </c>
    </row>
    <row r="6655" spans="1:4" x14ac:dyDescent="0.25">
      <c r="A6655" s="180">
        <f t="shared" ref="A6655:A6718" si="104">IFERROR(B6655*1,"")</f>
        <v>8205079</v>
      </c>
      <c r="B6655" t="s">
        <v>3922</v>
      </c>
      <c r="C6655" t="s">
        <v>3923</v>
      </c>
    </row>
    <row r="6656" spans="1:4" x14ac:dyDescent="0.25">
      <c r="A6656" s="180">
        <f t="shared" si="104"/>
        <v>8205080</v>
      </c>
      <c r="B6656" t="s">
        <v>3924</v>
      </c>
      <c r="C6656" t="s">
        <v>3925</v>
      </c>
      <c r="D6656" t="s">
        <v>13411</v>
      </c>
    </row>
    <row r="6657" spans="1:4" x14ac:dyDescent="0.25">
      <c r="A6657" s="180">
        <f t="shared" si="104"/>
        <v>8205080</v>
      </c>
      <c r="B6657" t="s">
        <v>3924</v>
      </c>
      <c r="C6657" t="s">
        <v>3925</v>
      </c>
      <c r="D6657" t="s">
        <v>13411</v>
      </c>
    </row>
    <row r="6658" spans="1:4" x14ac:dyDescent="0.25">
      <c r="A6658" s="180">
        <f t="shared" si="104"/>
        <v>8205080</v>
      </c>
      <c r="B6658" t="s">
        <v>3924</v>
      </c>
      <c r="C6658" t="s">
        <v>3925</v>
      </c>
      <c r="D6658" t="s">
        <v>13411</v>
      </c>
    </row>
    <row r="6659" spans="1:4" x14ac:dyDescent="0.25">
      <c r="A6659" s="180">
        <f t="shared" si="104"/>
        <v>8205080</v>
      </c>
      <c r="B6659" t="s">
        <v>3924</v>
      </c>
      <c r="C6659" t="s">
        <v>3925</v>
      </c>
      <c r="D6659" t="s">
        <v>13411</v>
      </c>
    </row>
    <row r="6660" spans="1:4" x14ac:dyDescent="0.25">
      <c r="A6660" s="180">
        <f t="shared" si="104"/>
        <v>8205080</v>
      </c>
      <c r="B6660" t="s">
        <v>3924</v>
      </c>
      <c r="C6660" t="s">
        <v>3925</v>
      </c>
      <c r="D6660" t="s">
        <v>13411</v>
      </c>
    </row>
    <row r="6661" spans="1:4" x14ac:dyDescent="0.25">
      <c r="A6661" s="180">
        <f t="shared" si="104"/>
        <v>8205080</v>
      </c>
      <c r="B6661" t="s">
        <v>3924</v>
      </c>
      <c r="C6661" t="s">
        <v>3925</v>
      </c>
      <c r="D6661" t="s">
        <v>13411</v>
      </c>
    </row>
    <row r="6662" spans="1:4" x14ac:dyDescent="0.25">
      <c r="A6662" s="180">
        <f t="shared" si="104"/>
        <v>8205080</v>
      </c>
      <c r="B6662" t="s">
        <v>3924</v>
      </c>
      <c r="C6662" t="s">
        <v>3925</v>
      </c>
      <c r="D6662" t="s">
        <v>13411</v>
      </c>
    </row>
    <row r="6663" spans="1:4" x14ac:dyDescent="0.25">
      <c r="A6663" s="180">
        <f t="shared" si="104"/>
        <v>8205080</v>
      </c>
      <c r="B6663" t="s">
        <v>3924</v>
      </c>
      <c r="C6663" t="s">
        <v>3925</v>
      </c>
      <c r="D6663" t="s">
        <v>13411</v>
      </c>
    </row>
    <row r="6664" spans="1:4" x14ac:dyDescent="0.25">
      <c r="A6664" s="180">
        <f t="shared" si="104"/>
        <v>8205080</v>
      </c>
      <c r="B6664" t="s">
        <v>3924</v>
      </c>
      <c r="C6664" t="s">
        <v>3925</v>
      </c>
      <c r="D6664" t="s">
        <v>13411</v>
      </c>
    </row>
    <row r="6665" spans="1:4" x14ac:dyDescent="0.25">
      <c r="A6665" s="180">
        <f t="shared" si="104"/>
        <v>8205080</v>
      </c>
      <c r="B6665" t="s">
        <v>3924</v>
      </c>
      <c r="C6665" t="s">
        <v>3925</v>
      </c>
      <c r="D6665" t="s">
        <v>13411</v>
      </c>
    </row>
    <row r="6666" spans="1:4" x14ac:dyDescent="0.25">
      <c r="A6666" s="180">
        <f t="shared" si="104"/>
        <v>8205080</v>
      </c>
      <c r="B6666" t="s">
        <v>3924</v>
      </c>
      <c r="C6666" t="s">
        <v>3925</v>
      </c>
      <c r="D6666" t="s">
        <v>13411</v>
      </c>
    </row>
    <row r="6667" spans="1:4" x14ac:dyDescent="0.25">
      <c r="A6667" s="180">
        <f t="shared" si="104"/>
        <v>8205080</v>
      </c>
      <c r="B6667" t="s">
        <v>3924</v>
      </c>
      <c r="C6667" t="s">
        <v>3925</v>
      </c>
      <c r="D6667" t="s">
        <v>13411</v>
      </c>
    </row>
    <row r="6668" spans="1:4" x14ac:dyDescent="0.25">
      <c r="A6668" s="180">
        <f t="shared" si="104"/>
        <v>8205080</v>
      </c>
      <c r="B6668" t="s">
        <v>3924</v>
      </c>
      <c r="C6668" t="s">
        <v>3925</v>
      </c>
      <c r="D6668" t="s">
        <v>13411</v>
      </c>
    </row>
    <row r="6669" spans="1:4" x14ac:dyDescent="0.25">
      <c r="A6669" s="180">
        <f t="shared" si="104"/>
        <v>8205090</v>
      </c>
      <c r="B6669" t="s">
        <v>6974</v>
      </c>
      <c r="C6669" t="s">
        <v>6975</v>
      </c>
      <c r="D6669" t="s">
        <v>13411</v>
      </c>
    </row>
    <row r="6670" spans="1:4" x14ac:dyDescent="0.25">
      <c r="A6670" s="180">
        <f t="shared" si="104"/>
        <v>8205090</v>
      </c>
      <c r="B6670" t="s">
        <v>6974</v>
      </c>
      <c r="C6670" t="s">
        <v>6975</v>
      </c>
      <c r="D6670" t="s">
        <v>13411</v>
      </c>
    </row>
    <row r="6671" spans="1:4" x14ac:dyDescent="0.25">
      <c r="A6671" s="180">
        <f t="shared" si="104"/>
        <v>8205090</v>
      </c>
      <c r="B6671" t="s">
        <v>6974</v>
      </c>
      <c r="C6671" t="s">
        <v>6975</v>
      </c>
      <c r="D6671" t="s">
        <v>13411</v>
      </c>
    </row>
    <row r="6672" spans="1:4" x14ac:dyDescent="0.25">
      <c r="A6672" s="180">
        <f t="shared" si="104"/>
        <v>8205090</v>
      </c>
      <c r="B6672" t="s">
        <v>6974</v>
      </c>
      <c r="C6672" t="s">
        <v>6975</v>
      </c>
      <c r="D6672" t="s">
        <v>13411</v>
      </c>
    </row>
    <row r="6673" spans="1:4" x14ac:dyDescent="0.25">
      <c r="A6673" s="180">
        <f t="shared" si="104"/>
        <v>8205090</v>
      </c>
      <c r="B6673" t="s">
        <v>6974</v>
      </c>
      <c r="C6673" t="s">
        <v>6975</v>
      </c>
      <c r="D6673" t="s">
        <v>13411</v>
      </c>
    </row>
    <row r="6674" spans="1:4" x14ac:dyDescent="0.25">
      <c r="A6674" s="180">
        <f t="shared" si="104"/>
        <v>8205090</v>
      </c>
      <c r="B6674" t="s">
        <v>6974</v>
      </c>
      <c r="C6674" t="s">
        <v>6975</v>
      </c>
      <c r="D6674" t="s">
        <v>13411</v>
      </c>
    </row>
    <row r="6675" spans="1:4" x14ac:dyDescent="0.25">
      <c r="A6675" s="180">
        <f t="shared" si="104"/>
        <v>8205090</v>
      </c>
      <c r="B6675" t="s">
        <v>6974</v>
      </c>
      <c r="C6675" t="s">
        <v>6975</v>
      </c>
      <c r="D6675" t="s">
        <v>13411</v>
      </c>
    </row>
    <row r="6676" spans="1:4" x14ac:dyDescent="0.25">
      <c r="A6676" s="180">
        <f t="shared" si="104"/>
        <v>8205090</v>
      </c>
      <c r="B6676" t="s">
        <v>6974</v>
      </c>
      <c r="C6676" t="s">
        <v>6975</v>
      </c>
      <c r="D6676" t="s">
        <v>13411</v>
      </c>
    </row>
    <row r="6677" spans="1:4" x14ac:dyDescent="0.25">
      <c r="A6677" s="180">
        <f t="shared" si="104"/>
        <v>8205090</v>
      </c>
      <c r="B6677" t="s">
        <v>6974</v>
      </c>
      <c r="C6677" t="s">
        <v>6975</v>
      </c>
      <c r="D6677" t="s">
        <v>13411</v>
      </c>
    </row>
    <row r="6678" spans="1:4" x14ac:dyDescent="0.25">
      <c r="A6678" s="180">
        <f t="shared" si="104"/>
        <v>8205090</v>
      </c>
      <c r="B6678" t="s">
        <v>6974</v>
      </c>
      <c r="C6678" t="s">
        <v>6975</v>
      </c>
      <c r="D6678" t="s">
        <v>13411</v>
      </c>
    </row>
    <row r="6679" spans="1:4" x14ac:dyDescent="0.25">
      <c r="A6679" s="180">
        <f t="shared" si="104"/>
        <v>8205090</v>
      </c>
      <c r="B6679" t="s">
        <v>6974</v>
      </c>
      <c r="C6679" t="s">
        <v>6975</v>
      </c>
      <c r="D6679" t="s">
        <v>13411</v>
      </c>
    </row>
    <row r="6680" spans="1:4" x14ac:dyDescent="0.25">
      <c r="A6680" s="180">
        <f t="shared" si="104"/>
        <v>8205090</v>
      </c>
      <c r="B6680" t="s">
        <v>6974</v>
      </c>
      <c r="C6680" t="s">
        <v>6975</v>
      </c>
      <c r="D6680" t="s">
        <v>13411</v>
      </c>
    </row>
    <row r="6681" spans="1:4" x14ac:dyDescent="0.25">
      <c r="A6681" s="180">
        <f t="shared" si="104"/>
        <v>8205090</v>
      </c>
      <c r="B6681" t="s">
        <v>6974</v>
      </c>
      <c r="C6681" t="s">
        <v>6975</v>
      </c>
      <c r="D6681" t="s">
        <v>13411</v>
      </c>
    </row>
    <row r="6682" spans="1:4" x14ac:dyDescent="0.25">
      <c r="A6682" s="180">
        <f t="shared" si="104"/>
        <v>8205115</v>
      </c>
      <c r="B6682" t="s">
        <v>3926</v>
      </c>
      <c r="C6682" t="s">
        <v>3927</v>
      </c>
      <c r="D6682" t="s">
        <v>14989</v>
      </c>
    </row>
    <row r="6683" spans="1:4" x14ac:dyDescent="0.25">
      <c r="A6683" s="180">
        <f t="shared" si="104"/>
        <v>8205115</v>
      </c>
      <c r="B6683" t="s">
        <v>3926</v>
      </c>
      <c r="C6683" t="s">
        <v>3927</v>
      </c>
      <c r="D6683" t="s">
        <v>14989</v>
      </c>
    </row>
    <row r="6684" spans="1:4" x14ac:dyDescent="0.25">
      <c r="A6684" s="180">
        <f t="shared" si="104"/>
        <v>8205115</v>
      </c>
      <c r="B6684" t="s">
        <v>3926</v>
      </c>
      <c r="C6684" t="s">
        <v>3927</v>
      </c>
      <c r="D6684" t="s">
        <v>14989</v>
      </c>
    </row>
    <row r="6685" spans="1:4" x14ac:dyDescent="0.25">
      <c r="A6685" s="180">
        <f t="shared" si="104"/>
        <v>8205115</v>
      </c>
      <c r="B6685" t="s">
        <v>3926</v>
      </c>
      <c r="C6685" t="s">
        <v>3927</v>
      </c>
      <c r="D6685" t="s">
        <v>14989</v>
      </c>
    </row>
    <row r="6686" spans="1:4" x14ac:dyDescent="0.25">
      <c r="A6686" s="180">
        <f t="shared" si="104"/>
        <v>8205115</v>
      </c>
      <c r="B6686" t="s">
        <v>3926</v>
      </c>
      <c r="C6686" t="s">
        <v>3927</v>
      </c>
      <c r="D6686" t="s">
        <v>14989</v>
      </c>
    </row>
    <row r="6687" spans="1:4" x14ac:dyDescent="0.25">
      <c r="A6687" s="180">
        <f t="shared" si="104"/>
        <v>8205115</v>
      </c>
      <c r="B6687" t="s">
        <v>3926</v>
      </c>
      <c r="C6687" t="s">
        <v>3927</v>
      </c>
      <c r="D6687" t="s">
        <v>14989</v>
      </c>
    </row>
    <row r="6688" spans="1:4" x14ac:dyDescent="0.25">
      <c r="A6688" s="180">
        <f t="shared" si="104"/>
        <v>8205115</v>
      </c>
      <c r="B6688" t="s">
        <v>3926</v>
      </c>
      <c r="C6688" t="s">
        <v>3927</v>
      </c>
      <c r="D6688" t="s">
        <v>14989</v>
      </c>
    </row>
    <row r="6689" spans="1:4" x14ac:dyDescent="0.25">
      <c r="A6689" s="180">
        <f t="shared" si="104"/>
        <v>8205115</v>
      </c>
      <c r="B6689" t="s">
        <v>3926</v>
      </c>
      <c r="C6689" t="s">
        <v>3927</v>
      </c>
      <c r="D6689" t="s">
        <v>14989</v>
      </c>
    </row>
    <row r="6690" spans="1:4" x14ac:dyDescent="0.25">
      <c r="A6690" s="180">
        <f t="shared" si="104"/>
        <v>8205115</v>
      </c>
      <c r="B6690" t="s">
        <v>3926</v>
      </c>
      <c r="C6690" t="s">
        <v>3927</v>
      </c>
      <c r="D6690" t="s">
        <v>14989</v>
      </c>
    </row>
    <row r="6691" spans="1:4" x14ac:dyDescent="0.25">
      <c r="A6691" s="180">
        <f t="shared" si="104"/>
        <v>8205115</v>
      </c>
      <c r="B6691" t="s">
        <v>3926</v>
      </c>
      <c r="C6691" t="s">
        <v>3927</v>
      </c>
      <c r="D6691" t="s">
        <v>14989</v>
      </c>
    </row>
    <row r="6692" spans="1:4" x14ac:dyDescent="0.25">
      <c r="A6692" s="180">
        <f t="shared" si="104"/>
        <v>8205115</v>
      </c>
      <c r="B6692" t="s">
        <v>3926</v>
      </c>
      <c r="C6692" t="s">
        <v>3927</v>
      </c>
      <c r="D6692" t="s">
        <v>14989</v>
      </c>
    </row>
    <row r="6693" spans="1:4" x14ac:dyDescent="0.25">
      <c r="A6693" s="180">
        <f t="shared" si="104"/>
        <v>8205115</v>
      </c>
      <c r="B6693" t="s">
        <v>3926</v>
      </c>
      <c r="C6693" t="s">
        <v>3927</v>
      </c>
      <c r="D6693" t="s">
        <v>14989</v>
      </c>
    </row>
    <row r="6694" spans="1:4" x14ac:dyDescent="0.25">
      <c r="A6694" s="180">
        <f t="shared" si="104"/>
        <v>8205115</v>
      </c>
      <c r="B6694" t="s">
        <v>3926</v>
      </c>
      <c r="C6694" t="s">
        <v>3927</v>
      </c>
      <c r="D6694" t="s">
        <v>14989</v>
      </c>
    </row>
    <row r="6695" spans="1:4" x14ac:dyDescent="0.25">
      <c r="A6695" s="180">
        <f t="shared" si="104"/>
        <v>8205116</v>
      </c>
      <c r="B6695" t="s">
        <v>3928</v>
      </c>
      <c r="C6695" t="s">
        <v>3929</v>
      </c>
      <c r="D6695" t="s">
        <v>14989</v>
      </c>
    </row>
    <row r="6696" spans="1:4" x14ac:dyDescent="0.25">
      <c r="A6696" s="180">
        <f t="shared" si="104"/>
        <v>8205116</v>
      </c>
      <c r="B6696" t="s">
        <v>3928</v>
      </c>
      <c r="C6696" t="s">
        <v>3929</v>
      </c>
      <c r="D6696" t="s">
        <v>14989</v>
      </c>
    </row>
    <row r="6697" spans="1:4" x14ac:dyDescent="0.25">
      <c r="A6697" s="180">
        <f t="shared" si="104"/>
        <v>8205116</v>
      </c>
      <c r="B6697" t="s">
        <v>3928</v>
      </c>
      <c r="C6697" t="s">
        <v>3929</v>
      </c>
      <c r="D6697" t="s">
        <v>14989</v>
      </c>
    </row>
    <row r="6698" spans="1:4" x14ac:dyDescent="0.25">
      <c r="A6698" s="180">
        <f t="shared" si="104"/>
        <v>8205116</v>
      </c>
      <c r="B6698" t="s">
        <v>3928</v>
      </c>
      <c r="C6698" t="s">
        <v>3929</v>
      </c>
      <c r="D6698" t="s">
        <v>14989</v>
      </c>
    </row>
    <row r="6699" spans="1:4" x14ac:dyDescent="0.25">
      <c r="A6699" s="180">
        <f t="shared" si="104"/>
        <v>8205116</v>
      </c>
      <c r="B6699" t="s">
        <v>3928</v>
      </c>
      <c r="C6699" t="s">
        <v>3929</v>
      </c>
      <c r="D6699" t="s">
        <v>14989</v>
      </c>
    </row>
    <row r="6700" spans="1:4" x14ac:dyDescent="0.25">
      <c r="A6700" s="180">
        <f t="shared" si="104"/>
        <v>8205116</v>
      </c>
      <c r="B6700" t="s">
        <v>3928</v>
      </c>
      <c r="C6700" t="s">
        <v>3929</v>
      </c>
      <c r="D6700" t="s">
        <v>14989</v>
      </c>
    </row>
    <row r="6701" spans="1:4" x14ac:dyDescent="0.25">
      <c r="A6701" s="180">
        <f t="shared" si="104"/>
        <v>8205117</v>
      </c>
      <c r="B6701" t="s">
        <v>3930</v>
      </c>
      <c r="C6701" t="s">
        <v>3931</v>
      </c>
      <c r="D6701" t="s">
        <v>13412</v>
      </c>
    </row>
    <row r="6702" spans="1:4" x14ac:dyDescent="0.25">
      <c r="A6702" s="180">
        <f t="shared" si="104"/>
        <v>8205117</v>
      </c>
      <c r="B6702" t="s">
        <v>3930</v>
      </c>
      <c r="C6702" t="s">
        <v>3931</v>
      </c>
      <c r="D6702" t="s">
        <v>13412</v>
      </c>
    </row>
    <row r="6703" spans="1:4" x14ac:dyDescent="0.25">
      <c r="A6703" s="180">
        <f t="shared" si="104"/>
        <v>8205118</v>
      </c>
      <c r="B6703" t="s">
        <v>3932</v>
      </c>
      <c r="C6703" t="s">
        <v>3933</v>
      </c>
      <c r="D6703" t="s">
        <v>13411</v>
      </c>
    </row>
    <row r="6704" spans="1:4" x14ac:dyDescent="0.25">
      <c r="A6704" s="180">
        <f t="shared" si="104"/>
        <v>8205118</v>
      </c>
      <c r="B6704" t="s">
        <v>3932</v>
      </c>
      <c r="C6704" t="s">
        <v>3933</v>
      </c>
      <c r="D6704" t="s">
        <v>13411</v>
      </c>
    </row>
    <row r="6705" spans="1:4" x14ac:dyDescent="0.25">
      <c r="A6705" s="180">
        <f t="shared" si="104"/>
        <v>8205118</v>
      </c>
      <c r="B6705" t="s">
        <v>3932</v>
      </c>
      <c r="C6705" t="s">
        <v>3933</v>
      </c>
      <c r="D6705" t="s">
        <v>13411</v>
      </c>
    </row>
    <row r="6706" spans="1:4" x14ac:dyDescent="0.25">
      <c r="A6706" s="180">
        <f t="shared" si="104"/>
        <v>8205118</v>
      </c>
      <c r="B6706" t="s">
        <v>3932</v>
      </c>
      <c r="C6706" t="s">
        <v>3933</v>
      </c>
      <c r="D6706" t="s">
        <v>13411</v>
      </c>
    </row>
    <row r="6707" spans="1:4" x14ac:dyDescent="0.25">
      <c r="A6707" s="180">
        <f t="shared" si="104"/>
        <v>8205118</v>
      </c>
      <c r="B6707" t="s">
        <v>3932</v>
      </c>
      <c r="C6707" t="s">
        <v>3933</v>
      </c>
      <c r="D6707" t="s">
        <v>13411</v>
      </c>
    </row>
    <row r="6708" spans="1:4" x14ac:dyDescent="0.25">
      <c r="A6708" s="180">
        <f t="shared" si="104"/>
        <v>8205118</v>
      </c>
      <c r="B6708" t="s">
        <v>3932</v>
      </c>
      <c r="C6708" t="s">
        <v>3933</v>
      </c>
      <c r="D6708" t="s">
        <v>13411</v>
      </c>
    </row>
    <row r="6709" spans="1:4" x14ac:dyDescent="0.25">
      <c r="A6709" s="180">
        <f t="shared" si="104"/>
        <v>8205118</v>
      </c>
      <c r="B6709" t="s">
        <v>3932</v>
      </c>
      <c r="C6709" t="s">
        <v>3933</v>
      </c>
      <c r="D6709" t="s">
        <v>13411</v>
      </c>
    </row>
    <row r="6710" spans="1:4" x14ac:dyDescent="0.25">
      <c r="A6710" s="180">
        <f t="shared" si="104"/>
        <v>8205118</v>
      </c>
      <c r="B6710" t="s">
        <v>3932</v>
      </c>
      <c r="C6710" t="s">
        <v>3933</v>
      </c>
      <c r="D6710" t="s">
        <v>13411</v>
      </c>
    </row>
    <row r="6711" spans="1:4" x14ac:dyDescent="0.25">
      <c r="A6711" s="180">
        <f t="shared" si="104"/>
        <v>8205118</v>
      </c>
      <c r="B6711" t="s">
        <v>3932</v>
      </c>
      <c r="C6711" t="s">
        <v>3933</v>
      </c>
      <c r="D6711" t="s">
        <v>13411</v>
      </c>
    </row>
    <row r="6712" spans="1:4" x14ac:dyDescent="0.25">
      <c r="A6712" s="180">
        <f t="shared" si="104"/>
        <v>8205118</v>
      </c>
      <c r="B6712" t="s">
        <v>3932</v>
      </c>
      <c r="C6712" t="s">
        <v>3933</v>
      </c>
      <c r="D6712" t="s">
        <v>13411</v>
      </c>
    </row>
    <row r="6713" spans="1:4" x14ac:dyDescent="0.25">
      <c r="A6713" s="180">
        <f t="shared" si="104"/>
        <v>8205118</v>
      </c>
      <c r="B6713" t="s">
        <v>3932</v>
      </c>
      <c r="C6713" t="s">
        <v>3933</v>
      </c>
      <c r="D6713" t="s">
        <v>13411</v>
      </c>
    </row>
    <row r="6714" spans="1:4" x14ac:dyDescent="0.25">
      <c r="A6714" s="180">
        <f t="shared" si="104"/>
        <v>8205118</v>
      </c>
      <c r="B6714" t="s">
        <v>3932</v>
      </c>
      <c r="C6714" t="s">
        <v>3933</v>
      </c>
      <c r="D6714" t="s">
        <v>13411</v>
      </c>
    </row>
    <row r="6715" spans="1:4" x14ac:dyDescent="0.25">
      <c r="A6715" s="180">
        <f t="shared" si="104"/>
        <v>8205118</v>
      </c>
      <c r="B6715" t="s">
        <v>3932</v>
      </c>
      <c r="C6715" t="s">
        <v>3933</v>
      </c>
      <c r="D6715" t="s">
        <v>13411</v>
      </c>
    </row>
    <row r="6716" spans="1:4" x14ac:dyDescent="0.25">
      <c r="A6716" s="180">
        <f t="shared" si="104"/>
        <v>8205118</v>
      </c>
      <c r="B6716" t="s">
        <v>3932</v>
      </c>
      <c r="C6716" t="s">
        <v>3933</v>
      </c>
      <c r="D6716" t="s">
        <v>13411</v>
      </c>
    </row>
    <row r="6717" spans="1:4" x14ac:dyDescent="0.25">
      <c r="A6717" s="180">
        <f t="shared" si="104"/>
        <v>8205118</v>
      </c>
      <c r="B6717" t="s">
        <v>3932</v>
      </c>
      <c r="C6717" t="s">
        <v>3933</v>
      </c>
      <c r="D6717" t="s">
        <v>13411</v>
      </c>
    </row>
    <row r="6718" spans="1:4" x14ac:dyDescent="0.25">
      <c r="A6718" s="180">
        <f t="shared" si="104"/>
        <v>8205118</v>
      </c>
      <c r="B6718" t="s">
        <v>3932</v>
      </c>
      <c r="C6718" t="s">
        <v>3933</v>
      </c>
      <c r="D6718" t="s">
        <v>13411</v>
      </c>
    </row>
    <row r="6719" spans="1:4" x14ac:dyDescent="0.25">
      <c r="A6719" s="180">
        <f t="shared" ref="A6719:A6782" si="105">IFERROR(B6719*1,"")</f>
        <v>8205119</v>
      </c>
      <c r="B6719" t="s">
        <v>3934</v>
      </c>
      <c r="C6719" t="s">
        <v>13327</v>
      </c>
      <c r="D6719" t="s">
        <v>13411</v>
      </c>
    </row>
    <row r="6720" spans="1:4" x14ac:dyDescent="0.25">
      <c r="A6720" s="180">
        <f t="shared" si="105"/>
        <v>8205119</v>
      </c>
      <c r="B6720" t="s">
        <v>3934</v>
      </c>
      <c r="C6720" t="s">
        <v>13327</v>
      </c>
      <c r="D6720" t="s">
        <v>13411</v>
      </c>
    </row>
    <row r="6721" spans="1:4" x14ac:dyDescent="0.25">
      <c r="A6721" s="180">
        <f t="shared" si="105"/>
        <v>8205119</v>
      </c>
      <c r="B6721" t="s">
        <v>3934</v>
      </c>
      <c r="C6721" t="s">
        <v>13327</v>
      </c>
      <c r="D6721" t="s">
        <v>13411</v>
      </c>
    </row>
    <row r="6722" spans="1:4" x14ac:dyDescent="0.25">
      <c r="A6722" s="180">
        <f t="shared" si="105"/>
        <v>8205119</v>
      </c>
      <c r="B6722" t="s">
        <v>3934</v>
      </c>
      <c r="C6722" t="s">
        <v>13327</v>
      </c>
      <c r="D6722" t="s">
        <v>13411</v>
      </c>
    </row>
    <row r="6723" spans="1:4" x14ac:dyDescent="0.25">
      <c r="A6723" s="180">
        <f t="shared" si="105"/>
        <v>8205119</v>
      </c>
      <c r="B6723" t="s">
        <v>3934</v>
      </c>
      <c r="C6723" t="s">
        <v>13327</v>
      </c>
      <c r="D6723" t="s">
        <v>13411</v>
      </c>
    </row>
    <row r="6724" spans="1:4" x14ac:dyDescent="0.25">
      <c r="A6724" s="180">
        <f t="shared" si="105"/>
        <v>8205119</v>
      </c>
      <c r="B6724" t="s">
        <v>3934</v>
      </c>
      <c r="C6724" t="s">
        <v>13327</v>
      </c>
      <c r="D6724" t="s">
        <v>13411</v>
      </c>
    </row>
    <row r="6725" spans="1:4" x14ac:dyDescent="0.25">
      <c r="A6725" s="180">
        <f t="shared" si="105"/>
        <v>8205119</v>
      </c>
      <c r="B6725" t="s">
        <v>3934</v>
      </c>
      <c r="C6725" t="s">
        <v>13327</v>
      </c>
      <c r="D6725" t="s">
        <v>13411</v>
      </c>
    </row>
    <row r="6726" spans="1:4" x14ac:dyDescent="0.25">
      <c r="A6726" s="180">
        <f t="shared" si="105"/>
        <v>8205119</v>
      </c>
      <c r="B6726" t="s">
        <v>3934</v>
      </c>
      <c r="C6726" t="s">
        <v>13327</v>
      </c>
      <c r="D6726" t="s">
        <v>13411</v>
      </c>
    </row>
    <row r="6727" spans="1:4" x14ac:dyDescent="0.25">
      <c r="A6727" s="180">
        <f t="shared" si="105"/>
        <v>8205119</v>
      </c>
      <c r="B6727" t="s">
        <v>3934</v>
      </c>
      <c r="C6727" t="s">
        <v>13327</v>
      </c>
      <c r="D6727" t="s">
        <v>13411</v>
      </c>
    </row>
    <row r="6728" spans="1:4" x14ac:dyDescent="0.25">
      <c r="A6728" s="180">
        <f t="shared" si="105"/>
        <v>8205119</v>
      </c>
      <c r="B6728" t="s">
        <v>3934</v>
      </c>
      <c r="C6728" t="s">
        <v>13327</v>
      </c>
      <c r="D6728" t="s">
        <v>13411</v>
      </c>
    </row>
    <row r="6729" spans="1:4" x14ac:dyDescent="0.25">
      <c r="A6729" s="180">
        <f t="shared" si="105"/>
        <v>8205119</v>
      </c>
      <c r="B6729" t="s">
        <v>3934</v>
      </c>
      <c r="C6729" t="s">
        <v>13327</v>
      </c>
      <c r="D6729" t="s">
        <v>13411</v>
      </c>
    </row>
    <row r="6730" spans="1:4" x14ac:dyDescent="0.25">
      <c r="A6730" s="180">
        <f t="shared" si="105"/>
        <v>8205120</v>
      </c>
      <c r="B6730" t="s">
        <v>3935</v>
      </c>
      <c r="C6730" t="s">
        <v>3936</v>
      </c>
      <c r="D6730" t="s">
        <v>13411</v>
      </c>
    </row>
    <row r="6731" spans="1:4" x14ac:dyDescent="0.25">
      <c r="A6731" s="180">
        <f t="shared" si="105"/>
        <v>8205120</v>
      </c>
      <c r="B6731" t="s">
        <v>3935</v>
      </c>
      <c r="C6731" t="s">
        <v>3936</v>
      </c>
      <c r="D6731" t="s">
        <v>13411</v>
      </c>
    </row>
    <row r="6732" spans="1:4" x14ac:dyDescent="0.25">
      <c r="A6732" s="180">
        <f t="shared" si="105"/>
        <v>8205120</v>
      </c>
      <c r="B6732" t="s">
        <v>3935</v>
      </c>
      <c r="C6732" t="s">
        <v>3936</v>
      </c>
      <c r="D6732" t="s">
        <v>13411</v>
      </c>
    </row>
    <row r="6733" spans="1:4" x14ac:dyDescent="0.25">
      <c r="A6733" s="180">
        <f t="shared" si="105"/>
        <v>8205120</v>
      </c>
      <c r="B6733" t="s">
        <v>3935</v>
      </c>
      <c r="C6733" t="s">
        <v>3936</v>
      </c>
      <c r="D6733" t="s">
        <v>13411</v>
      </c>
    </row>
    <row r="6734" spans="1:4" x14ac:dyDescent="0.25">
      <c r="A6734" s="180">
        <f t="shared" si="105"/>
        <v>8205120</v>
      </c>
      <c r="B6734" t="s">
        <v>3935</v>
      </c>
      <c r="C6734" t="s">
        <v>3936</v>
      </c>
      <c r="D6734" t="s">
        <v>13411</v>
      </c>
    </row>
    <row r="6735" spans="1:4" x14ac:dyDescent="0.25">
      <c r="A6735" s="180">
        <f t="shared" si="105"/>
        <v>8205120</v>
      </c>
      <c r="B6735" t="s">
        <v>3935</v>
      </c>
      <c r="C6735" t="s">
        <v>3936</v>
      </c>
      <c r="D6735" t="s">
        <v>13411</v>
      </c>
    </row>
    <row r="6736" spans="1:4" x14ac:dyDescent="0.25">
      <c r="A6736" s="180">
        <f t="shared" si="105"/>
        <v>8205120</v>
      </c>
      <c r="B6736" t="s">
        <v>3935</v>
      </c>
      <c r="C6736" t="s">
        <v>3936</v>
      </c>
      <c r="D6736" t="s">
        <v>13411</v>
      </c>
    </row>
    <row r="6737" spans="1:4" x14ac:dyDescent="0.25">
      <c r="A6737" s="180">
        <f t="shared" si="105"/>
        <v>8205120</v>
      </c>
      <c r="B6737" t="s">
        <v>3935</v>
      </c>
      <c r="C6737" t="s">
        <v>3936</v>
      </c>
      <c r="D6737" t="s">
        <v>13411</v>
      </c>
    </row>
    <row r="6738" spans="1:4" x14ac:dyDescent="0.25">
      <c r="A6738" s="180">
        <f t="shared" si="105"/>
        <v>8205120</v>
      </c>
      <c r="B6738" t="s">
        <v>3935</v>
      </c>
      <c r="C6738" t="s">
        <v>3936</v>
      </c>
      <c r="D6738" t="s">
        <v>13411</v>
      </c>
    </row>
    <row r="6739" spans="1:4" x14ac:dyDescent="0.25">
      <c r="A6739" s="180">
        <f t="shared" si="105"/>
        <v>8205120</v>
      </c>
      <c r="B6739" t="s">
        <v>3935</v>
      </c>
      <c r="C6739" t="s">
        <v>3936</v>
      </c>
      <c r="D6739" t="s">
        <v>13411</v>
      </c>
    </row>
    <row r="6740" spans="1:4" x14ac:dyDescent="0.25">
      <c r="A6740" s="180">
        <f t="shared" si="105"/>
        <v>8205120</v>
      </c>
      <c r="B6740" t="s">
        <v>3935</v>
      </c>
      <c r="C6740" t="s">
        <v>3936</v>
      </c>
      <c r="D6740" t="s">
        <v>13411</v>
      </c>
    </row>
    <row r="6741" spans="1:4" x14ac:dyDescent="0.25">
      <c r="A6741" s="180">
        <f t="shared" si="105"/>
        <v>8205120</v>
      </c>
      <c r="B6741" t="s">
        <v>3935</v>
      </c>
      <c r="C6741" t="s">
        <v>3936</v>
      </c>
      <c r="D6741" t="s">
        <v>13411</v>
      </c>
    </row>
    <row r="6742" spans="1:4" x14ac:dyDescent="0.25">
      <c r="A6742" s="180">
        <f t="shared" si="105"/>
        <v>8205137</v>
      </c>
      <c r="B6742" t="s">
        <v>14516</v>
      </c>
      <c r="C6742" t="s">
        <v>14517</v>
      </c>
    </row>
    <row r="6743" spans="1:4" x14ac:dyDescent="0.25">
      <c r="A6743" s="180">
        <f t="shared" si="105"/>
        <v>8205137</v>
      </c>
      <c r="B6743" t="s">
        <v>14516</v>
      </c>
      <c r="C6743" t="s">
        <v>14517</v>
      </c>
    </row>
    <row r="6744" spans="1:4" x14ac:dyDescent="0.25">
      <c r="A6744" s="180">
        <f t="shared" si="105"/>
        <v>8205137</v>
      </c>
      <c r="B6744" t="s">
        <v>14516</v>
      </c>
      <c r="C6744" t="s">
        <v>14517</v>
      </c>
    </row>
    <row r="6745" spans="1:4" x14ac:dyDescent="0.25">
      <c r="A6745" s="180">
        <f t="shared" si="105"/>
        <v>8205137</v>
      </c>
      <c r="B6745" t="s">
        <v>14516</v>
      </c>
      <c r="C6745" t="s">
        <v>14517</v>
      </c>
    </row>
    <row r="6746" spans="1:4" x14ac:dyDescent="0.25">
      <c r="A6746" s="180">
        <f t="shared" si="105"/>
        <v>8205137</v>
      </c>
      <c r="B6746" t="s">
        <v>14516</v>
      </c>
      <c r="C6746" t="s">
        <v>14517</v>
      </c>
    </row>
    <row r="6747" spans="1:4" x14ac:dyDescent="0.25">
      <c r="A6747" s="180">
        <f t="shared" si="105"/>
        <v>8205137</v>
      </c>
      <c r="B6747" t="s">
        <v>14516</v>
      </c>
      <c r="C6747" t="s">
        <v>14517</v>
      </c>
    </row>
    <row r="6748" spans="1:4" x14ac:dyDescent="0.25">
      <c r="A6748" s="180">
        <f t="shared" si="105"/>
        <v>8205137</v>
      </c>
      <c r="B6748" t="s">
        <v>14516</v>
      </c>
      <c r="C6748" t="s">
        <v>14517</v>
      </c>
    </row>
    <row r="6749" spans="1:4" x14ac:dyDescent="0.25">
      <c r="A6749" s="180">
        <f t="shared" si="105"/>
        <v>8205137</v>
      </c>
      <c r="B6749" t="s">
        <v>14516</v>
      </c>
      <c r="C6749" t="s">
        <v>14517</v>
      </c>
    </row>
    <row r="6750" spans="1:4" x14ac:dyDescent="0.25">
      <c r="A6750" s="180">
        <f t="shared" si="105"/>
        <v>8205137</v>
      </c>
      <c r="B6750" t="s">
        <v>14516</v>
      </c>
      <c r="C6750" t="s">
        <v>14517</v>
      </c>
    </row>
    <row r="6751" spans="1:4" x14ac:dyDescent="0.25">
      <c r="A6751" s="180">
        <f t="shared" si="105"/>
        <v>8205137</v>
      </c>
      <c r="B6751" t="s">
        <v>14516</v>
      </c>
      <c r="C6751" t="s">
        <v>14517</v>
      </c>
    </row>
    <row r="6752" spans="1:4" x14ac:dyDescent="0.25">
      <c r="A6752" s="180">
        <f t="shared" si="105"/>
        <v>8205137</v>
      </c>
      <c r="B6752" t="s">
        <v>14516</v>
      </c>
      <c r="C6752" t="s">
        <v>14517</v>
      </c>
    </row>
    <row r="6753" spans="1:4" x14ac:dyDescent="0.25">
      <c r="A6753" s="180">
        <f t="shared" si="105"/>
        <v>8205138</v>
      </c>
      <c r="B6753" t="s">
        <v>14518</v>
      </c>
      <c r="C6753" t="s">
        <v>14519</v>
      </c>
    </row>
    <row r="6754" spans="1:4" x14ac:dyDescent="0.25">
      <c r="A6754" s="180">
        <f t="shared" si="105"/>
        <v>8205138</v>
      </c>
      <c r="B6754" t="s">
        <v>14518</v>
      </c>
      <c r="C6754" t="s">
        <v>14519</v>
      </c>
    </row>
    <row r="6755" spans="1:4" x14ac:dyDescent="0.25">
      <c r="A6755" s="180">
        <f t="shared" si="105"/>
        <v>8205138</v>
      </c>
      <c r="B6755" t="s">
        <v>14518</v>
      </c>
      <c r="C6755" t="s">
        <v>14519</v>
      </c>
    </row>
    <row r="6756" spans="1:4" x14ac:dyDescent="0.25">
      <c r="A6756" s="180">
        <f t="shared" si="105"/>
        <v>8205138</v>
      </c>
      <c r="B6756" t="s">
        <v>14518</v>
      </c>
      <c r="C6756" t="s">
        <v>14519</v>
      </c>
    </row>
    <row r="6757" spans="1:4" x14ac:dyDescent="0.25">
      <c r="A6757" s="180">
        <f t="shared" si="105"/>
        <v>8205138</v>
      </c>
      <c r="B6757" t="s">
        <v>14518</v>
      </c>
      <c r="C6757" t="s">
        <v>14519</v>
      </c>
    </row>
    <row r="6758" spans="1:4" x14ac:dyDescent="0.25">
      <c r="A6758" s="180">
        <f t="shared" si="105"/>
        <v>8205138</v>
      </c>
      <c r="B6758" t="s">
        <v>14518</v>
      </c>
      <c r="C6758" t="s">
        <v>14519</v>
      </c>
    </row>
    <row r="6759" spans="1:4" x14ac:dyDescent="0.25">
      <c r="A6759" s="180">
        <f t="shared" si="105"/>
        <v>8205138</v>
      </c>
      <c r="B6759" t="s">
        <v>14518</v>
      </c>
      <c r="C6759" t="s">
        <v>14519</v>
      </c>
    </row>
    <row r="6760" spans="1:4" x14ac:dyDescent="0.25">
      <c r="A6760" s="180">
        <f t="shared" si="105"/>
        <v>8205138</v>
      </c>
      <c r="B6760" t="s">
        <v>14518</v>
      </c>
      <c r="C6760" t="s">
        <v>14519</v>
      </c>
    </row>
    <row r="6761" spans="1:4" x14ac:dyDescent="0.25">
      <c r="A6761" s="180">
        <f t="shared" si="105"/>
        <v>8205138</v>
      </c>
      <c r="B6761" t="s">
        <v>14518</v>
      </c>
      <c r="C6761" t="s">
        <v>14519</v>
      </c>
    </row>
    <row r="6762" spans="1:4" x14ac:dyDescent="0.25">
      <c r="A6762" s="180">
        <f t="shared" si="105"/>
        <v>8205138</v>
      </c>
      <c r="B6762" t="s">
        <v>14518</v>
      </c>
      <c r="C6762" t="s">
        <v>14519</v>
      </c>
    </row>
    <row r="6763" spans="1:4" x14ac:dyDescent="0.25">
      <c r="A6763" s="180">
        <f t="shared" si="105"/>
        <v>8205149</v>
      </c>
      <c r="B6763" t="s">
        <v>14520</v>
      </c>
      <c r="C6763" t="s">
        <v>14521</v>
      </c>
    </row>
    <row r="6764" spans="1:4" x14ac:dyDescent="0.25">
      <c r="A6764" s="180">
        <f t="shared" si="105"/>
        <v>8205150</v>
      </c>
      <c r="B6764" t="s">
        <v>3937</v>
      </c>
      <c r="C6764" t="s">
        <v>3938</v>
      </c>
      <c r="D6764" t="s">
        <v>13412</v>
      </c>
    </row>
    <row r="6765" spans="1:4" x14ac:dyDescent="0.25">
      <c r="A6765" s="180">
        <f t="shared" si="105"/>
        <v>8205150</v>
      </c>
      <c r="B6765" t="s">
        <v>3937</v>
      </c>
      <c r="C6765" t="s">
        <v>3938</v>
      </c>
      <c r="D6765" t="s">
        <v>13412</v>
      </c>
    </row>
    <row r="6766" spans="1:4" x14ac:dyDescent="0.25">
      <c r="A6766" s="180">
        <f t="shared" si="105"/>
        <v>8205150</v>
      </c>
      <c r="B6766" t="s">
        <v>3937</v>
      </c>
      <c r="C6766" t="s">
        <v>3938</v>
      </c>
      <c r="D6766" t="s">
        <v>13412</v>
      </c>
    </row>
    <row r="6767" spans="1:4" x14ac:dyDescent="0.25">
      <c r="A6767" s="180">
        <f t="shared" si="105"/>
        <v>8205150</v>
      </c>
      <c r="B6767" t="s">
        <v>3937</v>
      </c>
      <c r="C6767" t="s">
        <v>3938</v>
      </c>
      <c r="D6767" t="s">
        <v>13412</v>
      </c>
    </row>
    <row r="6768" spans="1:4" x14ac:dyDescent="0.25">
      <c r="A6768" s="180">
        <f t="shared" si="105"/>
        <v>8205200</v>
      </c>
      <c r="B6768" t="s">
        <v>13922</v>
      </c>
      <c r="C6768" t="s">
        <v>13923</v>
      </c>
      <c r="D6768" t="s">
        <v>13411</v>
      </c>
    </row>
    <row r="6769" spans="1:4" x14ac:dyDescent="0.25">
      <c r="A6769" s="180">
        <f t="shared" si="105"/>
        <v>8205200</v>
      </c>
      <c r="B6769" t="s">
        <v>13922</v>
      </c>
      <c r="C6769" t="s">
        <v>13923</v>
      </c>
      <c r="D6769" t="s">
        <v>13411</v>
      </c>
    </row>
    <row r="6770" spans="1:4" x14ac:dyDescent="0.25">
      <c r="A6770" s="180">
        <f t="shared" si="105"/>
        <v>8205200</v>
      </c>
      <c r="B6770" t="s">
        <v>13922</v>
      </c>
      <c r="C6770" t="s">
        <v>13923</v>
      </c>
      <c r="D6770" t="s">
        <v>13411</v>
      </c>
    </row>
    <row r="6771" spans="1:4" x14ac:dyDescent="0.25">
      <c r="A6771" s="180">
        <f t="shared" si="105"/>
        <v>8205200</v>
      </c>
      <c r="B6771" t="s">
        <v>13922</v>
      </c>
      <c r="C6771" t="s">
        <v>13923</v>
      </c>
      <c r="D6771" t="s">
        <v>13411</v>
      </c>
    </row>
    <row r="6772" spans="1:4" x14ac:dyDescent="0.25">
      <c r="A6772" s="180">
        <f t="shared" si="105"/>
        <v>8205210</v>
      </c>
      <c r="B6772" t="s">
        <v>13924</v>
      </c>
      <c r="C6772" t="s">
        <v>13925</v>
      </c>
      <c r="D6772" t="s">
        <v>13411</v>
      </c>
    </row>
    <row r="6773" spans="1:4" x14ac:dyDescent="0.25">
      <c r="A6773" s="180">
        <f t="shared" si="105"/>
        <v>8205210</v>
      </c>
      <c r="B6773" t="s">
        <v>13924</v>
      </c>
      <c r="C6773" t="s">
        <v>13925</v>
      </c>
      <c r="D6773" t="s">
        <v>13411</v>
      </c>
    </row>
    <row r="6774" spans="1:4" x14ac:dyDescent="0.25">
      <c r="A6774" s="180">
        <f t="shared" si="105"/>
        <v>8205210</v>
      </c>
      <c r="B6774" t="s">
        <v>13924</v>
      </c>
      <c r="C6774" t="s">
        <v>13925</v>
      </c>
      <c r="D6774" t="s">
        <v>13411</v>
      </c>
    </row>
    <row r="6775" spans="1:4" x14ac:dyDescent="0.25">
      <c r="A6775" s="180">
        <f t="shared" si="105"/>
        <v>8205600</v>
      </c>
      <c r="B6775" t="s">
        <v>13328</v>
      </c>
      <c r="C6775" t="s">
        <v>13329</v>
      </c>
      <c r="D6775" t="s">
        <v>13411</v>
      </c>
    </row>
    <row r="6776" spans="1:4" x14ac:dyDescent="0.25">
      <c r="A6776" s="180">
        <f t="shared" si="105"/>
        <v>8205600</v>
      </c>
      <c r="B6776" t="s">
        <v>13328</v>
      </c>
      <c r="C6776" t="s">
        <v>13329</v>
      </c>
      <c r="D6776" t="s">
        <v>13411</v>
      </c>
    </row>
    <row r="6777" spans="1:4" x14ac:dyDescent="0.25">
      <c r="A6777" s="180">
        <f t="shared" si="105"/>
        <v>8205600</v>
      </c>
      <c r="B6777" t="s">
        <v>13328</v>
      </c>
      <c r="C6777" t="s">
        <v>13329</v>
      </c>
      <c r="D6777" t="s">
        <v>13411</v>
      </c>
    </row>
    <row r="6778" spans="1:4" x14ac:dyDescent="0.25">
      <c r="A6778" s="180">
        <f t="shared" si="105"/>
        <v>8205600</v>
      </c>
      <c r="B6778" t="s">
        <v>13328</v>
      </c>
      <c r="C6778" t="s">
        <v>13329</v>
      </c>
      <c r="D6778" t="s">
        <v>13411</v>
      </c>
    </row>
    <row r="6779" spans="1:4" x14ac:dyDescent="0.25">
      <c r="A6779" s="180">
        <f t="shared" si="105"/>
        <v>8205600</v>
      </c>
      <c r="B6779" t="s">
        <v>13328</v>
      </c>
      <c r="C6779" t="s">
        <v>13329</v>
      </c>
      <c r="D6779" t="s">
        <v>13411</v>
      </c>
    </row>
    <row r="6780" spans="1:4" x14ac:dyDescent="0.25">
      <c r="A6780" s="180">
        <f t="shared" si="105"/>
        <v>8205600</v>
      </c>
      <c r="B6780" t="s">
        <v>13328</v>
      </c>
      <c r="C6780" t="s">
        <v>13329</v>
      </c>
      <c r="D6780" t="s">
        <v>13411</v>
      </c>
    </row>
    <row r="6781" spans="1:4" x14ac:dyDescent="0.25">
      <c r="A6781" s="180">
        <f t="shared" si="105"/>
        <v>8205600</v>
      </c>
      <c r="B6781" t="s">
        <v>13328</v>
      </c>
      <c r="C6781" t="s">
        <v>13329</v>
      </c>
      <c r="D6781" t="s">
        <v>13411</v>
      </c>
    </row>
    <row r="6782" spans="1:4" x14ac:dyDescent="0.25">
      <c r="A6782" s="180">
        <f t="shared" si="105"/>
        <v>8205600</v>
      </c>
      <c r="B6782" t="s">
        <v>13328</v>
      </c>
      <c r="C6782" t="s">
        <v>13329</v>
      </c>
      <c r="D6782" t="s">
        <v>13411</v>
      </c>
    </row>
    <row r="6783" spans="1:4" x14ac:dyDescent="0.25">
      <c r="A6783" s="180">
        <f t="shared" ref="A6783:A6846" si="106">IFERROR(B6783*1,"")</f>
        <v>8205600</v>
      </c>
      <c r="B6783" t="s">
        <v>13328</v>
      </c>
      <c r="C6783" t="s">
        <v>13329</v>
      </c>
      <c r="D6783" t="s">
        <v>13411</v>
      </c>
    </row>
    <row r="6784" spans="1:4" x14ac:dyDescent="0.25">
      <c r="A6784" s="180">
        <f t="shared" si="106"/>
        <v>8205600</v>
      </c>
      <c r="B6784" t="s">
        <v>13328</v>
      </c>
      <c r="C6784" t="s">
        <v>13329</v>
      </c>
      <c r="D6784" t="s">
        <v>13411</v>
      </c>
    </row>
    <row r="6785" spans="1:4" x14ac:dyDescent="0.25">
      <c r="A6785" s="180">
        <f t="shared" si="106"/>
        <v>8205800</v>
      </c>
      <c r="B6785" t="s">
        <v>3939</v>
      </c>
      <c r="C6785" t="s">
        <v>3940</v>
      </c>
      <c r="D6785" t="s">
        <v>13412</v>
      </c>
    </row>
    <row r="6786" spans="1:4" x14ac:dyDescent="0.25">
      <c r="A6786" s="180">
        <f t="shared" si="106"/>
        <v>8205818</v>
      </c>
      <c r="B6786" t="s">
        <v>13330</v>
      </c>
      <c r="C6786" t="s">
        <v>13516</v>
      </c>
      <c r="D6786" t="s">
        <v>13411</v>
      </c>
    </row>
    <row r="6787" spans="1:4" x14ac:dyDescent="0.25">
      <c r="A6787" s="180">
        <f t="shared" si="106"/>
        <v>8205818</v>
      </c>
      <c r="B6787" t="s">
        <v>13330</v>
      </c>
      <c r="C6787" t="s">
        <v>13516</v>
      </c>
      <c r="D6787" t="s">
        <v>13411</v>
      </c>
    </row>
    <row r="6788" spans="1:4" x14ac:dyDescent="0.25">
      <c r="A6788" s="180">
        <f t="shared" si="106"/>
        <v>8205818</v>
      </c>
      <c r="B6788" t="s">
        <v>13330</v>
      </c>
      <c r="C6788" t="s">
        <v>13516</v>
      </c>
      <c r="D6788" t="s">
        <v>13411</v>
      </c>
    </row>
    <row r="6789" spans="1:4" x14ac:dyDescent="0.25">
      <c r="A6789" s="180">
        <f t="shared" si="106"/>
        <v>8205818</v>
      </c>
      <c r="B6789" t="s">
        <v>13330</v>
      </c>
      <c r="C6789" t="s">
        <v>13516</v>
      </c>
      <c r="D6789" t="s">
        <v>13411</v>
      </c>
    </row>
    <row r="6790" spans="1:4" x14ac:dyDescent="0.25">
      <c r="A6790" s="180">
        <f t="shared" si="106"/>
        <v>8205818</v>
      </c>
      <c r="B6790" t="s">
        <v>13330</v>
      </c>
      <c r="C6790" t="s">
        <v>13516</v>
      </c>
      <c r="D6790" t="s">
        <v>13411</v>
      </c>
    </row>
    <row r="6791" spans="1:4" x14ac:dyDescent="0.25">
      <c r="A6791" s="180">
        <f t="shared" si="106"/>
        <v>8205818</v>
      </c>
      <c r="B6791" t="s">
        <v>13330</v>
      </c>
      <c r="C6791" t="s">
        <v>13516</v>
      </c>
      <c r="D6791" t="s">
        <v>13411</v>
      </c>
    </row>
    <row r="6792" spans="1:4" x14ac:dyDescent="0.25">
      <c r="A6792" s="180">
        <f t="shared" si="106"/>
        <v>8205818</v>
      </c>
      <c r="B6792" t="s">
        <v>13330</v>
      </c>
      <c r="C6792" t="s">
        <v>13516</v>
      </c>
      <c r="D6792" t="s">
        <v>13411</v>
      </c>
    </row>
    <row r="6793" spans="1:4" x14ac:dyDescent="0.25">
      <c r="A6793" s="180">
        <f t="shared" si="106"/>
        <v>8205818</v>
      </c>
      <c r="B6793" t="s">
        <v>13330</v>
      </c>
      <c r="C6793" t="s">
        <v>13516</v>
      </c>
      <c r="D6793" t="s">
        <v>13411</v>
      </c>
    </row>
    <row r="6794" spans="1:4" x14ac:dyDescent="0.25">
      <c r="A6794" s="180">
        <f t="shared" si="106"/>
        <v>8205818</v>
      </c>
      <c r="B6794" t="s">
        <v>13330</v>
      </c>
      <c r="C6794" t="s">
        <v>13516</v>
      </c>
      <c r="D6794" t="s">
        <v>13411</v>
      </c>
    </row>
    <row r="6795" spans="1:4" x14ac:dyDescent="0.25">
      <c r="A6795" s="180">
        <f t="shared" si="106"/>
        <v>8205881</v>
      </c>
      <c r="B6795" t="s">
        <v>3941</v>
      </c>
      <c r="C6795" t="s">
        <v>3942</v>
      </c>
      <c r="D6795" t="s">
        <v>13411</v>
      </c>
    </row>
    <row r="6796" spans="1:4" x14ac:dyDescent="0.25">
      <c r="A6796" s="180">
        <f t="shared" si="106"/>
        <v>8205881</v>
      </c>
      <c r="B6796" t="s">
        <v>3941</v>
      </c>
      <c r="C6796" t="s">
        <v>3942</v>
      </c>
      <c r="D6796" t="s">
        <v>13411</v>
      </c>
    </row>
    <row r="6797" spans="1:4" x14ac:dyDescent="0.25">
      <c r="A6797" s="180">
        <f t="shared" si="106"/>
        <v>8205881</v>
      </c>
      <c r="B6797" t="s">
        <v>3941</v>
      </c>
      <c r="C6797" t="s">
        <v>3942</v>
      </c>
      <c r="D6797" t="s">
        <v>13411</v>
      </c>
    </row>
    <row r="6798" spans="1:4" x14ac:dyDescent="0.25">
      <c r="A6798" s="180">
        <f t="shared" si="106"/>
        <v>8205881</v>
      </c>
      <c r="B6798" t="s">
        <v>3941</v>
      </c>
      <c r="C6798" t="s">
        <v>3942</v>
      </c>
      <c r="D6798" t="s">
        <v>13411</v>
      </c>
    </row>
    <row r="6799" spans="1:4" x14ac:dyDescent="0.25">
      <c r="A6799" s="180">
        <f t="shared" si="106"/>
        <v>8205881</v>
      </c>
      <c r="B6799" t="s">
        <v>3941</v>
      </c>
      <c r="C6799" t="s">
        <v>3942</v>
      </c>
      <c r="D6799" t="s">
        <v>13411</v>
      </c>
    </row>
    <row r="6800" spans="1:4" x14ac:dyDescent="0.25">
      <c r="A6800" s="180">
        <f t="shared" si="106"/>
        <v>8205881</v>
      </c>
      <c r="B6800" t="s">
        <v>3941</v>
      </c>
      <c r="C6800" t="s">
        <v>3942</v>
      </c>
      <c r="D6800" t="s">
        <v>13411</v>
      </c>
    </row>
    <row r="6801" spans="1:4" x14ac:dyDescent="0.25">
      <c r="A6801" s="180">
        <f t="shared" si="106"/>
        <v>8205881</v>
      </c>
      <c r="B6801" t="s">
        <v>3941</v>
      </c>
      <c r="C6801" t="s">
        <v>3942</v>
      </c>
      <c r="D6801" t="s">
        <v>13411</v>
      </c>
    </row>
    <row r="6802" spans="1:4" x14ac:dyDescent="0.25">
      <c r="A6802" s="180">
        <f t="shared" si="106"/>
        <v>8205881</v>
      </c>
      <c r="B6802" t="s">
        <v>3941</v>
      </c>
      <c r="C6802" t="s">
        <v>3942</v>
      </c>
      <c r="D6802" t="s">
        <v>13411</v>
      </c>
    </row>
    <row r="6803" spans="1:4" x14ac:dyDescent="0.25">
      <c r="A6803" s="180">
        <f t="shared" si="106"/>
        <v>8205881</v>
      </c>
      <c r="B6803" t="s">
        <v>3941</v>
      </c>
      <c r="C6803" t="s">
        <v>3942</v>
      </c>
      <c r="D6803" t="s">
        <v>13411</v>
      </c>
    </row>
    <row r="6804" spans="1:4" x14ac:dyDescent="0.25">
      <c r="A6804" s="180">
        <f t="shared" si="106"/>
        <v>8205881</v>
      </c>
      <c r="B6804" t="s">
        <v>3941</v>
      </c>
      <c r="C6804" t="s">
        <v>3942</v>
      </c>
      <c r="D6804" t="s">
        <v>13411</v>
      </c>
    </row>
    <row r="6805" spans="1:4" x14ac:dyDescent="0.25">
      <c r="A6805" s="180">
        <f t="shared" si="106"/>
        <v>8205881</v>
      </c>
      <c r="B6805" t="s">
        <v>3941</v>
      </c>
      <c r="C6805" t="s">
        <v>3942</v>
      </c>
      <c r="D6805" t="s">
        <v>13411</v>
      </c>
    </row>
    <row r="6806" spans="1:4" x14ac:dyDescent="0.25">
      <c r="A6806" s="180">
        <f t="shared" si="106"/>
        <v>8205881</v>
      </c>
      <c r="B6806" t="s">
        <v>3941</v>
      </c>
      <c r="C6806" t="s">
        <v>3942</v>
      </c>
      <c r="D6806" t="s">
        <v>13411</v>
      </c>
    </row>
    <row r="6807" spans="1:4" x14ac:dyDescent="0.25">
      <c r="A6807" s="180">
        <f t="shared" si="106"/>
        <v>8205881</v>
      </c>
      <c r="B6807" t="s">
        <v>3941</v>
      </c>
      <c r="C6807" t="s">
        <v>3942</v>
      </c>
      <c r="D6807" t="s">
        <v>13411</v>
      </c>
    </row>
    <row r="6808" spans="1:4" x14ac:dyDescent="0.25">
      <c r="A6808" s="180">
        <f t="shared" si="106"/>
        <v>8205989</v>
      </c>
      <c r="B6808" t="s">
        <v>6976</v>
      </c>
      <c r="C6808" t="s">
        <v>6977</v>
      </c>
    </row>
    <row r="6809" spans="1:4" x14ac:dyDescent="0.25">
      <c r="A6809" s="180">
        <f t="shared" si="106"/>
        <v>8251025</v>
      </c>
      <c r="B6809" t="s">
        <v>3943</v>
      </c>
      <c r="C6809" t="s">
        <v>3944</v>
      </c>
      <c r="D6809" t="s">
        <v>13412</v>
      </c>
    </row>
    <row r="6810" spans="1:4" x14ac:dyDescent="0.25">
      <c r="A6810" s="180">
        <f t="shared" si="106"/>
        <v>8300777</v>
      </c>
      <c r="B6810" t="s">
        <v>3945</v>
      </c>
      <c r="C6810" t="s">
        <v>3946</v>
      </c>
    </row>
    <row r="6811" spans="1:4" x14ac:dyDescent="0.25">
      <c r="A6811" s="180">
        <f t="shared" si="106"/>
        <v>8301000</v>
      </c>
      <c r="B6811" t="s">
        <v>3947</v>
      </c>
      <c r="C6811" t="s">
        <v>3948</v>
      </c>
      <c r="D6811" t="s">
        <v>13411</v>
      </c>
    </row>
    <row r="6812" spans="1:4" x14ac:dyDescent="0.25">
      <c r="A6812" s="180">
        <f t="shared" si="106"/>
        <v>8301000</v>
      </c>
      <c r="B6812" t="s">
        <v>3947</v>
      </c>
      <c r="C6812" t="s">
        <v>3948</v>
      </c>
      <c r="D6812" t="s">
        <v>13411</v>
      </c>
    </row>
    <row r="6813" spans="1:4" x14ac:dyDescent="0.25">
      <c r="A6813" s="180">
        <f t="shared" si="106"/>
        <v>8301000</v>
      </c>
      <c r="B6813" t="s">
        <v>3947</v>
      </c>
      <c r="C6813" t="s">
        <v>3948</v>
      </c>
      <c r="D6813" t="s">
        <v>13411</v>
      </c>
    </row>
    <row r="6814" spans="1:4" x14ac:dyDescent="0.25">
      <c r="A6814" s="180">
        <f t="shared" si="106"/>
        <v>8301000</v>
      </c>
      <c r="B6814" t="s">
        <v>3947</v>
      </c>
      <c r="C6814" t="s">
        <v>3948</v>
      </c>
      <c r="D6814" t="s">
        <v>13411</v>
      </c>
    </row>
    <row r="6815" spans="1:4" x14ac:dyDescent="0.25">
      <c r="A6815" s="180">
        <f t="shared" si="106"/>
        <v>8301000</v>
      </c>
      <c r="B6815" t="s">
        <v>3947</v>
      </c>
      <c r="C6815" t="s">
        <v>3948</v>
      </c>
      <c r="D6815" t="s">
        <v>13411</v>
      </c>
    </row>
    <row r="6816" spans="1:4" x14ac:dyDescent="0.25">
      <c r="A6816" s="180">
        <f t="shared" si="106"/>
        <v>8301008</v>
      </c>
      <c r="B6816" t="s">
        <v>3949</v>
      </c>
      <c r="C6816" t="s">
        <v>3950</v>
      </c>
      <c r="D6816" t="s">
        <v>13411</v>
      </c>
    </row>
    <row r="6817" spans="1:4" x14ac:dyDescent="0.25">
      <c r="A6817" s="180">
        <f t="shared" si="106"/>
        <v>8301008</v>
      </c>
      <c r="B6817" t="s">
        <v>3949</v>
      </c>
      <c r="C6817" t="s">
        <v>3950</v>
      </c>
      <c r="D6817" t="s">
        <v>13411</v>
      </c>
    </row>
    <row r="6818" spans="1:4" x14ac:dyDescent="0.25">
      <c r="A6818" s="180">
        <f t="shared" si="106"/>
        <v>8301008</v>
      </c>
      <c r="B6818" t="s">
        <v>3949</v>
      </c>
      <c r="C6818" t="s">
        <v>3950</v>
      </c>
      <c r="D6818" t="s">
        <v>13411</v>
      </c>
    </row>
    <row r="6819" spans="1:4" x14ac:dyDescent="0.25">
      <c r="A6819" s="180">
        <f t="shared" si="106"/>
        <v>8301008</v>
      </c>
      <c r="B6819" t="s">
        <v>3949</v>
      </c>
      <c r="C6819" t="s">
        <v>3950</v>
      </c>
      <c r="D6819" t="s">
        <v>13411</v>
      </c>
    </row>
    <row r="6820" spans="1:4" x14ac:dyDescent="0.25">
      <c r="A6820" s="180">
        <f t="shared" si="106"/>
        <v>8301300</v>
      </c>
      <c r="B6820" t="s">
        <v>3951</v>
      </c>
      <c r="C6820" t="s">
        <v>3952</v>
      </c>
    </row>
    <row r="6821" spans="1:4" x14ac:dyDescent="0.25">
      <c r="A6821" s="180">
        <f t="shared" si="106"/>
        <v>8301301</v>
      </c>
      <c r="B6821" t="s">
        <v>6978</v>
      </c>
      <c r="C6821" t="s">
        <v>12689</v>
      </c>
      <c r="D6821" t="s">
        <v>13411</v>
      </c>
    </row>
    <row r="6822" spans="1:4" x14ac:dyDescent="0.25">
      <c r="A6822" s="180">
        <f t="shared" si="106"/>
        <v>8301301</v>
      </c>
      <c r="B6822" t="s">
        <v>6978</v>
      </c>
      <c r="C6822" t="s">
        <v>12689</v>
      </c>
      <c r="D6822" t="s">
        <v>13411</v>
      </c>
    </row>
    <row r="6823" spans="1:4" x14ac:dyDescent="0.25">
      <c r="A6823" s="180">
        <f t="shared" si="106"/>
        <v>8301301</v>
      </c>
      <c r="B6823" t="s">
        <v>6978</v>
      </c>
      <c r="C6823" t="s">
        <v>12689</v>
      </c>
      <c r="D6823" t="s">
        <v>13411</v>
      </c>
    </row>
    <row r="6824" spans="1:4" x14ac:dyDescent="0.25">
      <c r="A6824" s="180">
        <f t="shared" si="106"/>
        <v>8301301</v>
      </c>
      <c r="B6824" t="s">
        <v>6978</v>
      </c>
      <c r="C6824" t="s">
        <v>12689</v>
      </c>
      <c r="D6824" t="s">
        <v>13411</v>
      </c>
    </row>
    <row r="6825" spans="1:4" x14ac:dyDescent="0.25">
      <c r="A6825" s="180">
        <f t="shared" si="106"/>
        <v>8301301</v>
      </c>
      <c r="B6825" t="s">
        <v>6978</v>
      </c>
      <c r="C6825" t="s">
        <v>12689</v>
      </c>
      <c r="D6825" t="s">
        <v>13411</v>
      </c>
    </row>
    <row r="6826" spans="1:4" x14ac:dyDescent="0.25">
      <c r="A6826" s="180">
        <f t="shared" si="106"/>
        <v>8301301</v>
      </c>
      <c r="B6826" t="s">
        <v>6978</v>
      </c>
      <c r="C6826" t="s">
        <v>12689</v>
      </c>
      <c r="D6826" t="s">
        <v>13411</v>
      </c>
    </row>
    <row r="6827" spans="1:4" x14ac:dyDescent="0.25">
      <c r="A6827" s="180">
        <f t="shared" si="106"/>
        <v>8301301</v>
      </c>
      <c r="B6827" t="s">
        <v>6978</v>
      </c>
      <c r="C6827" t="s">
        <v>12689</v>
      </c>
      <c r="D6827" t="s">
        <v>13411</v>
      </c>
    </row>
    <row r="6828" spans="1:4" x14ac:dyDescent="0.25">
      <c r="A6828" s="180">
        <f t="shared" si="106"/>
        <v>8301301</v>
      </c>
      <c r="B6828" t="s">
        <v>6978</v>
      </c>
      <c r="C6828" t="s">
        <v>12689</v>
      </c>
      <c r="D6828" t="s">
        <v>13411</v>
      </c>
    </row>
    <row r="6829" spans="1:4" x14ac:dyDescent="0.25">
      <c r="A6829" s="180">
        <f t="shared" si="106"/>
        <v>8301301</v>
      </c>
      <c r="B6829" t="s">
        <v>6978</v>
      </c>
      <c r="C6829" t="s">
        <v>12689</v>
      </c>
      <c r="D6829" t="s">
        <v>13411</v>
      </c>
    </row>
    <row r="6830" spans="1:4" x14ac:dyDescent="0.25">
      <c r="A6830" s="180">
        <f t="shared" si="106"/>
        <v>8301301</v>
      </c>
      <c r="B6830" t="s">
        <v>6978</v>
      </c>
      <c r="C6830" t="s">
        <v>12689</v>
      </c>
      <c r="D6830" t="s">
        <v>13411</v>
      </c>
    </row>
    <row r="6831" spans="1:4" x14ac:dyDescent="0.25">
      <c r="A6831" s="180">
        <f t="shared" si="106"/>
        <v>8301301</v>
      </c>
      <c r="B6831" t="s">
        <v>6978</v>
      </c>
      <c r="C6831" t="s">
        <v>12689</v>
      </c>
      <c r="D6831" t="s">
        <v>13411</v>
      </c>
    </row>
    <row r="6832" spans="1:4" x14ac:dyDescent="0.25">
      <c r="A6832" s="180">
        <f t="shared" si="106"/>
        <v>8301310</v>
      </c>
      <c r="B6832" t="s">
        <v>3953</v>
      </c>
      <c r="C6832" t="s">
        <v>3954</v>
      </c>
    </row>
    <row r="6833" spans="1:4" x14ac:dyDescent="0.25">
      <c r="A6833" s="180">
        <f t="shared" si="106"/>
        <v>8301311</v>
      </c>
      <c r="B6833" t="s">
        <v>3955</v>
      </c>
      <c r="C6833" t="s">
        <v>3956</v>
      </c>
      <c r="D6833" t="s">
        <v>13411</v>
      </c>
    </row>
    <row r="6834" spans="1:4" x14ac:dyDescent="0.25">
      <c r="A6834" s="180">
        <f t="shared" si="106"/>
        <v>8301311</v>
      </c>
      <c r="B6834" t="s">
        <v>3955</v>
      </c>
      <c r="C6834" t="s">
        <v>3956</v>
      </c>
      <c r="D6834" t="s">
        <v>13411</v>
      </c>
    </row>
    <row r="6835" spans="1:4" x14ac:dyDescent="0.25">
      <c r="A6835" s="180">
        <f t="shared" si="106"/>
        <v>8301311</v>
      </c>
      <c r="B6835" t="s">
        <v>3955</v>
      </c>
      <c r="C6835" t="s">
        <v>3956</v>
      </c>
      <c r="D6835" t="s">
        <v>13411</v>
      </c>
    </row>
    <row r="6836" spans="1:4" x14ac:dyDescent="0.25">
      <c r="A6836" s="180">
        <f t="shared" si="106"/>
        <v>8301311</v>
      </c>
      <c r="B6836" t="s">
        <v>3955</v>
      </c>
      <c r="C6836" t="s">
        <v>3956</v>
      </c>
      <c r="D6836" t="s">
        <v>13411</v>
      </c>
    </row>
    <row r="6837" spans="1:4" x14ac:dyDescent="0.25">
      <c r="A6837" s="180">
        <f t="shared" si="106"/>
        <v>8301312</v>
      </c>
      <c r="B6837" t="s">
        <v>3957</v>
      </c>
      <c r="C6837" t="s">
        <v>3958</v>
      </c>
      <c r="D6837" t="s">
        <v>13411</v>
      </c>
    </row>
    <row r="6838" spans="1:4" x14ac:dyDescent="0.25">
      <c r="A6838" s="180">
        <f t="shared" si="106"/>
        <v>8301312</v>
      </c>
      <c r="B6838" t="s">
        <v>3957</v>
      </c>
      <c r="C6838" t="s">
        <v>3958</v>
      </c>
      <c r="D6838" t="s">
        <v>13411</v>
      </c>
    </row>
    <row r="6839" spans="1:4" x14ac:dyDescent="0.25">
      <c r="A6839" s="180">
        <f t="shared" si="106"/>
        <v>8301312</v>
      </c>
      <c r="B6839" t="s">
        <v>3957</v>
      </c>
      <c r="C6839" t="s">
        <v>3958</v>
      </c>
      <c r="D6839" t="s">
        <v>13411</v>
      </c>
    </row>
    <row r="6840" spans="1:4" x14ac:dyDescent="0.25">
      <c r="A6840" s="180">
        <f t="shared" si="106"/>
        <v>8301312</v>
      </c>
      <c r="B6840" t="s">
        <v>3957</v>
      </c>
      <c r="C6840" t="s">
        <v>3958</v>
      </c>
      <c r="D6840" t="s">
        <v>13411</v>
      </c>
    </row>
    <row r="6841" spans="1:4" x14ac:dyDescent="0.25">
      <c r="A6841" s="180">
        <f t="shared" si="106"/>
        <v>8301313</v>
      </c>
      <c r="B6841" t="s">
        <v>3959</v>
      </c>
      <c r="C6841" t="s">
        <v>3960</v>
      </c>
    </row>
    <row r="6842" spans="1:4" x14ac:dyDescent="0.25">
      <c r="A6842" s="180">
        <f t="shared" si="106"/>
        <v>8301350</v>
      </c>
      <c r="B6842" t="s">
        <v>3961</v>
      </c>
      <c r="C6842" t="s">
        <v>3962</v>
      </c>
    </row>
    <row r="6843" spans="1:4" x14ac:dyDescent="0.25">
      <c r="A6843" s="180">
        <f t="shared" si="106"/>
        <v>8301495</v>
      </c>
      <c r="B6843" t="s">
        <v>3963</v>
      </c>
      <c r="C6843" t="s">
        <v>3964</v>
      </c>
      <c r="D6843" t="s">
        <v>13411</v>
      </c>
    </row>
    <row r="6844" spans="1:4" x14ac:dyDescent="0.25">
      <c r="A6844" s="180">
        <f t="shared" si="106"/>
        <v>8301495</v>
      </c>
      <c r="B6844" t="s">
        <v>3963</v>
      </c>
      <c r="C6844" t="s">
        <v>3964</v>
      </c>
      <c r="D6844" t="s">
        <v>13411</v>
      </c>
    </row>
    <row r="6845" spans="1:4" x14ac:dyDescent="0.25">
      <c r="A6845" s="180">
        <f t="shared" si="106"/>
        <v>8301495</v>
      </c>
      <c r="B6845" t="s">
        <v>3963</v>
      </c>
      <c r="C6845" t="s">
        <v>3964</v>
      </c>
      <c r="D6845" t="s">
        <v>13411</v>
      </c>
    </row>
    <row r="6846" spans="1:4" x14ac:dyDescent="0.25">
      <c r="A6846" s="180">
        <f t="shared" si="106"/>
        <v>8301495</v>
      </c>
      <c r="B6846" t="s">
        <v>3963</v>
      </c>
      <c r="C6846" t="s">
        <v>3964</v>
      </c>
      <c r="D6846" t="s">
        <v>13411</v>
      </c>
    </row>
    <row r="6847" spans="1:4" x14ac:dyDescent="0.25">
      <c r="A6847" s="180">
        <f t="shared" ref="A6847:A6910" si="107">IFERROR(B6847*1,"")</f>
        <v>8301558</v>
      </c>
      <c r="B6847" t="s">
        <v>3965</v>
      </c>
      <c r="C6847" t="s">
        <v>3966</v>
      </c>
      <c r="D6847" t="s">
        <v>13411</v>
      </c>
    </row>
    <row r="6848" spans="1:4" x14ac:dyDescent="0.25">
      <c r="A6848" s="180">
        <f t="shared" si="107"/>
        <v>8301558</v>
      </c>
      <c r="B6848" t="s">
        <v>3965</v>
      </c>
      <c r="C6848" t="s">
        <v>3966</v>
      </c>
      <c r="D6848" t="s">
        <v>13411</v>
      </c>
    </row>
    <row r="6849" spans="1:4" x14ac:dyDescent="0.25">
      <c r="A6849" s="180">
        <f t="shared" si="107"/>
        <v>8301558</v>
      </c>
      <c r="B6849" t="s">
        <v>3965</v>
      </c>
      <c r="C6849" t="s">
        <v>3966</v>
      </c>
      <c r="D6849" t="s">
        <v>13411</v>
      </c>
    </row>
    <row r="6850" spans="1:4" x14ac:dyDescent="0.25">
      <c r="A6850" s="180">
        <f t="shared" si="107"/>
        <v>8301558</v>
      </c>
      <c r="B6850" t="s">
        <v>3965</v>
      </c>
      <c r="C6850" t="s">
        <v>3966</v>
      </c>
      <c r="D6850" t="s">
        <v>13411</v>
      </c>
    </row>
    <row r="6851" spans="1:4" x14ac:dyDescent="0.25">
      <c r="A6851" s="180">
        <f t="shared" si="107"/>
        <v>8301700</v>
      </c>
      <c r="B6851" t="s">
        <v>3967</v>
      </c>
      <c r="C6851" t="s">
        <v>3968</v>
      </c>
      <c r="D6851" t="s">
        <v>13411</v>
      </c>
    </row>
    <row r="6852" spans="1:4" x14ac:dyDescent="0.25">
      <c r="A6852" s="180">
        <f t="shared" si="107"/>
        <v>8301700</v>
      </c>
      <c r="B6852" t="s">
        <v>3967</v>
      </c>
      <c r="C6852" t="s">
        <v>3968</v>
      </c>
      <c r="D6852" t="s">
        <v>13411</v>
      </c>
    </row>
    <row r="6853" spans="1:4" x14ac:dyDescent="0.25">
      <c r="A6853" s="180">
        <f t="shared" si="107"/>
        <v>8301700</v>
      </c>
      <c r="B6853" t="s">
        <v>3967</v>
      </c>
      <c r="C6853" t="s">
        <v>3968</v>
      </c>
      <c r="D6853" t="s">
        <v>13411</v>
      </c>
    </row>
    <row r="6854" spans="1:4" x14ac:dyDescent="0.25">
      <c r="A6854" s="180">
        <f t="shared" si="107"/>
        <v>8301700</v>
      </c>
      <c r="B6854" t="s">
        <v>3967</v>
      </c>
      <c r="C6854" t="s">
        <v>3968</v>
      </c>
      <c r="D6854" t="s">
        <v>13411</v>
      </c>
    </row>
    <row r="6855" spans="1:4" x14ac:dyDescent="0.25">
      <c r="A6855" s="180">
        <f t="shared" si="107"/>
        <v>8301805</v>
      </c>
      <c r="B6855" t="s">
        <v>3969</v>
      </c>
      <c r="C6855" t="s">
        <v>3970</v>
      </c>
      <c r="D6855" t="s">
        <v>13411</v>
      </c>
    </row>
    <row r="6856" spans="1:4" x14ac:dyDescent="0.25">
      <c r="A6856" s="180">
        <f t="shared" si="107"/>
        <v>8301805</v>
      </c>
      <c r="B6856" t="s">
        <v>3969</v>
      </c>
      <c r="C6856" t="s">
        <v>3970</v>
      </c>
      <c r="D6856" t="s">
        <v>13411</v>
      </c>
    </row>
    <row r="6857" spans="1:4" x14ac:dyDescent="0.25">
      <c r="A6857" s="180">
        <f t="shared" si="107"/>
        <v>8301805</v>
      </c>
      <c r="B6857" t="s">
        <v>3969</v>
      </c>
      <c r="C6857" t="s">
        <v>3970</v>
      </c>
      <c r="D6857" t="s">
        <v>13411</v>
      </c>
    </row>
    <row r="6858" spans="1:4" x14ac:dyDescent="0.25">
      <c r="A6858" s="180">
        <f t="shared" si="107"/>
        <v>8301805</v>
      </c>
      <c r="B6858" t="s">
        <v>3969</v>
      </c>
      <c r="C6858" t="s">
        <v>3970</v>
      </c>
      <c r="D6858" t="s">
        <v>13411</v>
      </c>
    </row>
    <row r="6859" spans="1:4" x14ac:dyDescent="0.25">
      <c r="A6859" s="180">
        <f t="shared" si="107"/>
        <v>8301805</v>
      </c>
      <c r="B6859" t="s">
        <v>3969</v>
      </c>
      <c r="C6859" t="s">
        <v>3970</v>
      </c>
      <c r="D6859" t="s">
        <v>13411</v>
      </c>
    </row>
    <row r="6860" spans="1:4" x14ac:dyDescent="0.25">
      <c r="A6860" s="180">
        <f t="shared" si="107"/>
        <v>8301900</v>
      </c>
      <c r="B6860" t="s">
        <v>3971</v>
      </c>
      <c r="C6860" t="s">
        <v>3972</v>
      </c>
      <c r="D6860" t="s">
        <v>13411</v>
      </c>
    </row>
    <row r="6861" spans="1:4" x14ac:dyDescent="0.25">
      <c r="A6861" s="180">
        <f t="shared" si="107"/>
        <v>8301900</v>
      </c>
      <c r="B6861" t="s">
        <v>3971</v>
      </c>
      <c r="C6861" t="s">
        <v>3972</v>
      </c>
      <c r="D6861" t="s">
        <v>13411</v>
      </c>
    </row>
    <row r="6862" spans="1:4" x14ac:dyDescent="0.25">
      <c r="A6862" s="180">
        <f t="shared" si="107"/>
        <v>830190003</v>
      </c>
      <c r="B6862" t="s">
        <v>14278</v>
      </c>
      <c r="C6862" t="s">
        <v>14278</v>
      </c>
    </row>
    <row r="6863" spans="1:4" x14ac:dyDescent="0.25">
      <c r="A6863" s="180">
        <f t="shared" si="107"/>
        <v>8301901</v>
      </c>
      <c r="B6863" t="s">
        <v>3973</v>
      </c>
      <c r="C6863" t="s">
        <v>3974</v>
      </c>
    </row>
    <row r="6864" spans="1:4" x14ac:dyDescent="0.25">
      <c r="A6864" s="180">
        <f t="shared" si="107"/>
        <v>8302001</v>
      </c>
      <c r="B6864" t="s">
        <v>3975</v>
      </c>
      <c r="C6864" t="s">
        <v>3976</v>
      </c>
    </row>
    <row r="6865" spans="1:4" x14ac:dyDescent="0.25">
      <c r="A6865" s="180">
        <f t="shared" si="107"/>
        <v>8303000</v>
      </c>
      <c r="B6865" t="s">
        <v>3977</v>
      </c>
      <c r="C6865" t="s">
        <v>3978</v>
      </c>
    </row>
    <row r="6866" spans="1:4" x14ac:dyDescent="0.25">
      <c r="A6866" s="180">
        <f t="shared" si="107"/>
        <v>8303001</v>
      </c>
      <c r="B6866" t="s">
        <v>12886</v>
      </c>
      <c r="C6866" t="s">
        <v>12887</v>
      </c>
      <c r="D6866" t="s">
        <v>13411</v>
      </c>
    </row>
    <row r="6867" spans="1:4" x14ac:dyDescent="0.25">
      <c r="A6867" s="180">
        <f t="shared" si="107"/>
        <v>8303002</v>
      </c>
      <c r="B6867" t="s">
        <v>3979</v>
      </c>
      <c r="C6867" t="s">
        <v>3980</v>
      </c>
      <c r="D6867" t="s">
        <v>13412</v>
      </c>
    </row>
    <row r="6868" spans="1:4" x14ac:dyDescent="0.25">
      <c r="A6868" s="180">
        <f t="shared" si="107"/>
        <v>8303003</v>
      </c>
      <c r="B6868" t="s">
        <v>3981</v>
      </c>
      <c r="C6868" t="s">
        <v>3982</v>
      </c>
      <c r="D6868" t="s">
        <v>13412</v>
      </c>
    </row>
    <row r="6869" spans="1:4" x14ac:dyDescent="0.25">
      <c r="A6869" s="180">
        <f t="shared" si="107"/>
        <v>8303004</v>
      </c>
      <c r="B6869" t="s">
        <v>3983</v>
      </c>
      <c r="C6869" t="s">
        <v>3984</v>
      </c>
      <c r="D6869" t="s">
        <v>13412</v>
      </c>
    </row>
    <row r="6870" spans="1:4" x14ac:dyDescent="0.25">
      <c r="A6870" s="180">
        <f t="shared" si="107"/>
        <v>8303005</v>
      </c>
      <c r="B6870" t="s">
        <v>3985</v>
      </c>
      <c r="C6870" t="s">
        <v>3986</v>
      </c>
      <c r="D6870" t="s">
        <v>13412</v>
      </c>
    </row>
    <row r="6871" spans="1:4" x14ac:dyDescent="0.25">
      <c r="A6871" s="180">
        <f t="shared" si="107"/>
        <v>8303006</v>
      </c>
      <c r="B6871" t="s">
        <v>3987</v>
      </c>
      <c r="C6871" t="s">
        <v>3988</v>
      </c>
      <c r="D6871" t="s">
        <v>13412</v>
      </c>
    </row>
    <row r="6872" spans="1:4" x14ac:dyDescent="0.25">
      <c r="A6872" s="180">
        <f t="shared" si="107"/>
        <v>8303007</v>
      </c>
      <c r="B6872" t="s">
        <v>3989</v>
      </c>
      <c r="C6872" t="s">
        <v>3990</v>
      </c>
      <c r="D6872" t="s">
        <v>13412</v>
      </c>
    </row>
    <row r="6873" spans="1:4" x14ac:dyDescent="0.25">
      <c r="A6873" s="180">
        <f t="shared" si="107"/>
        <v>8303008</v>
      </c>
      <c r="B6873" t="s">
        <v>3991</v>
      </c>
      <c r="C6873" t="s">
        <v>12888</v>
      </c>
      <c r="D6873" t="s">
        <v>13412</v>
      </c>
    </row>
    <row r="6874" spans="1:4" x14ac:dyDescent="0.25">
      <c r="A6874" s="180">
        <f t="shared" si="107"/>
        <v>8303008</v>
      </c>
      <c r="B6874" t="s">
        <v>3991</v>
      </c>
      <c r="C6874" t="s">
        <v>12888</v>
      </c>
      <c r="D6874" t="s">
        <v>13412</v>
      </c>
    </row>
    <row r="6875" spans="1:4" x14ac:dyDescent="0.25">
      <c r="A6875" s="180">
        <f t="shared" si="107"/>
        <v>8303008</v>
      </c>
      <c r="B6875" t="s">
        <v>3991</v>
      </c>
      <c r="C6875" t="s">
        <v>12888</v>
      </c>
      <c r="D6875" t="s">
        <v>13412</v>
      </c>
    </row>
    <row r="6876" spans="1:4" x14ac:dyDescent="0.25">
      <c r="A6876" s="180">
        <f t="shared" si="107"/>
        <v>8303008</v>
      </c>
      <c r="B6876" t="s">
        <v>3991</v>
      </c>
      <c r="C6876" t="s">
        <v>12888</v>
      </c>
      <c r="D6876" t="s">
        <v>13412</v>
      </c>
    </row>
    <row r="6877" spans="1:4" x14ac:dyDescent="0.25">
      <c r="A6877" s="180">
        <f t="shared" si="107"/>
        <v>8303008</v>
      </c>
      <c r="B6877" t="s">
        <v>3991</v>
      </c>
      <c r="C6877" t="s">
        <v>12888</v>
      </c>
      <c r="D6877" t="s">
        <v>13412</v>
      </c>
    </row>
    <row r="6878" spans="1:4" x14ac:dyDescent="0.25">
      <c r="A6878" s="180">
        <f t="shared" si="107"/>
        <v>8303008</v>
      </c>
      <c r="B6878" t="s">
        <v>3991</v>
      </c>
      <c r="C6878" t="s">
        <v>12888</v>
      </c>
      <c r="D6878" t="s">
        <v>13412</v>
      </c>
    </row>
    <row r="6879" spans="1:4" x14ac:dyDescent="0.25">
      <c r="A6879" s="180">
        <f t="shared" si="107"/>
        <v>8303008</v>
      </c>
      <c r="B6879" t="s">
        <v>3991</v>
      </c>
      <c r="C6879" t="s">
        <v>12888</v>
      </c>
      <c r="D6879" t="s">
        <v>13412</v>
      </c>
    </row>
    <row r="6880" spans="1:4" x14ac:dyDescent="0.25">
      <c r="A6880" s="180">
        <f t="shared" si="107"/>
        <v>8303008</v>
      </c>
      <c r="B6880" t="s">
        <v>3991</v>
      </c>
      <c r="C6880" t="s">
        <v>12888</v>
      </c>
      <c r="D6880" t="s">
        <v>13412</v>
      </c>
    </row>
    <row r="6881" spans="1:4" x14ac:dyDescent="0.25">
      <c r="A6881" s="180">
        <f t="shared" si="107"/>
        <v>8303009</v>
      </c>
      <c r="B6881" t="s">
        <v>3992</v>
      </c>
      <c r="C6881" t="s">
        <v>3993</v>
      </c>
    </row>
    <row r="6882" spans="1:4" x14ac:dyDescent="0.25">
      <c r="A6882" s="180">
        <f t="shared" si="107"/>
        <v>8303010</v>
      </c>
      <c r="B6882" t="s">
        <v>15015</v>
      </c>
    </row>
    <row r="6883" spans="1:4" x14ac:dyDescent="0.25">
      <c r="A6883" s="180">
        <f t="shared" si="107"/>
        <v>8303011</v>
      </c>
      <c r="B6883" t="s">
        <v>3994</v>
      </c>
      <c r="C6883" t="s">
        <v>3995</v>
      </c>
      <c r="D6883" t="s">
        <v>13412</v>
      </c>
    </row>
    <row r="6884" spans="1:4" x14ac:dyDescent="0.25">
      <c r="A6884" s="180">
        <f t="shared" si="107"/>
        <v>8303012</v>
      </c>
      <c r="B6884" t="s">
        <v>3996</v>
      </c>
      <c r="C6884" t="s">
        <v>3997</v>
      </c>
    </row>
    <row r="6885" spans="1:4" x14ac:dyDescent="0.25">
      <c r="A6885" s="180">
        <f t="shared" si="107"/>
        <v>8303014</v>
      </c>
      <c r="B6885" t="s">
        <v>3998</v>
      </c>
      <c r="C6885" t="s">
        <v>13517</v>
      </c>
      <c r="D6885" t="s">
        <v>13412</v>
      </c>
    </row>
    <row r="6886" spans="1:4" x14ac:dyDescent="0.25">
      <c r="A6886" s="180">
        <f t="shared" si="107"/>
        <v>8303015</v>
      </c>
      <c r="B6886" t="s">
        <v>3999</v>
      </c>
      <c r="C6886" t="s">
        <v>4000</v>
      </c>
    </row>
    <row r="6887" spans="1:4" x14ac:dyDescent="0.25">
      <c r="A6887" s="180">
        <f t="shared" si="107"/>
        <v>8303016</v>
      </c>
      <c r="B6887" t="s">
        <v>4001</v>
      </c>
      <c r="C6887" t="s">
        <v>4002</v>
      </c>
    </row>
    <row r="6888" spans="1:4" x14ac:dyDescent="0.25">
      <c r="A6888" s="180">
        <f t="shared" si="107"/>
        <v>8303017</v>
      </c>
      <c r="B6888" t="s">
        <v>4003</v>
      </c>
      <c r="C6888" t="s">
        <v>4004</v>
      </c>
    </row>
    <row r="6889" spans="1:4" x14ac:dyDescent="0.25">
      <c r="A6889" s="180">
        <f t="shared" si="107"/>
        <v>8303018</v>
      </c>
      <c r="B6889" t="s">
        <v>4005</v>
      </c>
      <c r="C6889" t="s">
        <v>4006</v>
      </c>
    </row>
    <row r="6890" spans="1:4" x14ac:dyDescent="0.25">
      <c r="A6890" s="180">
        <f t="shared" si="107"/>
        <v>8303019</v>
      </c>
      <c r="B6890" t="s">
        <v>4007</v>
      </c>
      <c r="C6890" t="s">
        <v>4008</v>
      </c>
    </row>
    <row r="6891" spans="1:4" x14ac:dyDescent="0.25">
      <c r="A6891" s="180">
        <f t="shared" si="107"/>
        <v>8303020</v>
      </c>
      <c r="B6891" t="s">
        <v>12889</v>
      </c>
      <c r="C6891" t="s">
        <v>12890</v>
      </c>
      <c r="D6891" t="s">
        <v>13412</v>
      </c>
    </row>
    <row r="6892" spans="1:4" x14ac:dyDescent="0.25">
      <c r="A6892" s="180">
        <f t="shared" si="107"/>
        <v>8303020</v>
      </c>
      <c r="B6892" t="s">
        <v>12889</v>
      </c>
      <c r="C6892" t="s">
        <v>12890</v>
      </c>
      <c r="D6892" t="s">
        <v>13412</v>
      </c>
    </row>
    <row r="6893" spans="1:4" x14ac:dyDescent="0.25">
      <c r="A6893" s="180">
        <f t="shared" si="107"/>
        <v>8303020</v>
      </c>
      <c r="B6893" t="s">
        <v>12889</v>
      </c>
      <c r="C6893" t="s">
        <v>12890</v>
      </c>
      <c r="D6893" t="s">
        <v>13412</v>
      </c>
    </row>
    <row r="6894" spans="1:4" x14ac:dyDescent="0.25">
      <c r="A6894" s="180">
        <f t="shared" si="107"/>
        <v>8303021</v>
      </c>
      <c r="B6894" t="s">
        <v>13518</v>
      </c>
      <c r="C6894" t="s">
        <v>13519</v>
      </c>
      <c r="D6894" t="s">
        <v>13411</v>
      </c>
    </row>
    <row r="6895" spans="1:4" x14ac:dyDescent="0.25">
      <c r="A6895" s="180">
        <f t="shared" si="107"/>
        <v>8303022</v>
      </c>
      <c r="B6895" t="s">
        <v>13520</v>
      </c>
      <c r="C6895" t="s">
        <v>14279</v>
      </c>
      <c r="D6895" t="s">
        <v>13412</v>
      </c>
    </row>
    <row r="6896" spans="1:4" x14ac:dyDescent="0.25">
      <c r="A6896" s="180">
        <f t="shared" si="107"/>
        <v>8303023</v>
      </c>
      <c r="B6896" t="s">
        <v>13521</v>
      </c>
      <c r="C6896" t="s">
        <v>14280</v>
      </c>
      <c r="D6896" t="s">
        <v>13412</v>
      </c>
    </row>
    <row r="6897" spans="1:4" x14ac:dyDescent="0.25">
      <c r="A6897" s="180">
        <f t="shared" si="107"/>
        <v>8303032</v>
      </c>
      <c r="B6897" t="s">
        <v>4009</v>
      </c>
      <c r="C6897" t="s">
        <v>4010</v>
      </c>
    </row>
    <row r="6898" spans="1:4" x14ac:dyDescent="0.25">
      <c r="A6898" s="180">
        <f t="shared" si="107"/>
        <v>8303033</v>
      </c>
      <c r="B6898" t="s">
        <v>4011</v>
      </c>
      <c r="C6898" t="s">
        <v>4012</v>
      </c>
    </row>
    <row r="6899" spans="1:4" x14ac:dyDescent="0.25">
      <c r="A6899" s="180">
        <f t="shared" si="107"/>
        <v>8303111</v>
      </c>
      <c r="B6899" t="s">
        <v>4013</v>
      </c>
      <c r="C6899" t="s">
        <v>4014</v>
      </c>
      <c r="D6899" t="s">
        <v>13412</v>
      </c>
    </row>
    <row r="6900" spans="1:4" x14ac:dyDescent="0.25">
      <c r="A6900" s="180">
        <f t="shared" si="107"/>
        <v>8303112</v>
      </c>
      <c r="B6900" t="s">
        <v>4015</v>
      </c>
      <c r="C6900" t="s">
        <v>4016</v>
      </c>
      <c r="D6900" t="s">
        <v>13412</v>
      </c>
    </row>
    <row r="6901" spans="1:4" x14ac:dyDescent="0.25">
      <c r="A6901" s="180">
        <f t="shared" si="107"/>
        <v>8303113</v>
      </c>
      <c r="B6901" t="s">
        <v>4017</v>
      </c>
      <c r="C6901" t="s">
        <v>4018</v>
      </c>
      <c r="D6901" t="s">
        <v>13412</v>
      </c>
    </row>
    <row r="6902" spans="1:4" x14ac:dyDescent="0.25">
      <c r="A6902" s="180">
        <f t="shared" si="107"/>
        <v>8303114</v>
      </c>
      <c r="B6902" t="s">
        <v>4019</v>
      </c>
      <c r="C6902" t="s">
        <v>4020</v>
      </c>
      <c r="D6902" t="s">
        <v>13412</v>
      </c>
    </row>
    <row r="6903" spans="1:4" x14ac:dyDescent="0.25">
      <c r="A6903" s="180">
        <f t="shared" si="107"/>
        <v>8303116</v>
      </c>
      <c r="B6903" t="s">
        <v>13522</v>
      </c>
      <c r="C6903" t="s">
        <v>13523</v>
      </c>
      <c r="D6903" t="s">
        <v>13411</v>
      </c>
    </row>
    <row r="6904" spans="1:4" x14ac:dyDescent="0.25">
      <c r="A6904" s="180">
        <f t="shared" si="107"/>
        <v>8303119</v>
      </c>
      <c r="B6904" t="s">
        <v>13524</v>
      </c>
      <c r="C6904" t="s">
        <v>13525</v>
      </c>
      <c r="D6904" t="s">
        <v>13412</v>
      </c>
    </row>
    <row r="6905" spans="1:4" x14ac:dyDescent="0.25">
      <c r="A6905" s="180">
        <f t="shared" si="107"/>
        <v>8303120</v>
      </c>
      <c r="B6905" t="s">
        <v>4021</v>
      </c>
      <c r="C6905" t="s">
        <v>4022</v>
      </c>
      <c r="D6905" t="s">
        <v>13412</v>
      </c>
    </row>
    <row r="6906" spans="1:4" x14ac:dyDescent="0.25">
      <c r="A6906" s="180">
        <f t="shared" si="107"/>
        <v>8303120</v>
      </c>
      <c r="B6906" t="s">
        <v>4021</v>
      </c>
      <c r="C6906" t="s">
        <v>4022</v>
      </c>
      <c r="D6906" t="s">
        <v>13412</v>
      </c>
    </row>
    <row r="6907" spans="1:4" x14ac:dyDescent="0.25">
      <c r="A6907" s="180">
        <f t="shared" si="107"/>
        <v>8303120</v>
      </c>
      <c r="B6907" t="s">
        <v>4021</v>
      </c>
      <c r="C6907" t="s">
        <v>4022</v>
      </c>
      <c r="D6907" t="s">
        <v>13412</v>
      </c>
    </row>
    <row r="6908" spans="1:4" x14ac:dyDescent="0.25">
      <c r="A6908" s="180">
        <f t="shared" si="107"/>
        <v>8303120</v>
      </c>
      <c r="B6908" t="s">
        <v>4021</v>
      </c>
      <c r="C6908" t="s">
        <v>4022</v>
      </c>
      <c r="D6908" t="s">
        <v>13412</v>
      </c>
    </row>
    <row r="6909" spans="1:4" x14ac:dyDescent="0.25">
      <c r="A6909" s="180">
        <f t="shared" si="107"/>
        <v>8303120</v>
      </c>
      <c r="B6909" t="s">
        <v>4021</v>
      </c>
      <c r="C6909" t="s">
        <v>4022</v>
      </c>
      <c r="D6909" t="s">
        <v>13412</v>
      </c>
    </row>
    <row r="6910" spans="1:4" x14ac:dyDescent="0.25">
      <c r="A6910" s="180">
        <f t="shared" si="107"/>
        <v>8303120</v>
      </c>
      <c r="B6910" t="s">
        <v>4021</v>
      </c>
      <c r="C6910" t="s">
        <v>4022</v>
      </c>
      <c r="D6910" t="s">
        <v>13412</v>
      </c>
    </row>
    <row r="6911" spans="1:4" x14ac:dyDescent="0.25">
      <c r="A6911" s="180">
        <f t="shared" ref="A6911:A6974" si="108">IFERROR(B6911*1,"")</f>
        <v>8303120</v>
      </c>
      <c r="B6911" t="s">
        <v>4021</v>
      </c>
      <c r="C6911" t="s">
        <v>4022</v>
      </c>
      <c r="D6911" t="s">
        <v>13412</v>
      </c>
    </row>
    <row r="6912" spans="1:4" x14ac:dyDescent="0.25">
      <c r="A6912" s="180">
        <f t="shared" si="108"/>
        <v>8303121</v>
      </c>
      <c r="B6912" t="s">
        <v>4023</v>
      </c>
      <c r="C6912" t="s">
        <v>4024</v>
      </c>
      <c r="D6912" t="s">
        <v>13412</v>
      </c>
    </row>
    <row r="6913" spans="1:4" x14ac:dyDescent="0.25">
      <c r="A6913" s="180">
        <f t="shared" si="108"/>
        <v>8303123</v>
      </c>
      <c r="B6913" t="s">
        <v>4025</v>
      </c>
      <c r="C6913" t="s">
        <v>4026</v>
      </c>
      <c r="D6913" t="s">
        <v>13412</v>
      </c>
    </row>
    <row r="6914" spans="1:4" x14ac:dyDescent="0.25">
      <c r="A6914" s="180">
        <f t="shared" si="108"/>
        <v>8303123</v>
      </c>
      <c r="B6914" t="s">
        <v>4025</v>
      </c>
      <c r="C6914" t="s">
        <v>4026</v>
      </c>
      <c r="D6914" t="s">
        <v>13412</v>
      </c>
    </row>
    <row r="6915" spans="1:4" x14ac:dyDescent="0.25">
      <c r="A6915" s="180">
        <f t="shared" si="108"/>
        <v>8303123</v>
      </c>
      <c r="B6915" t="s">
        <v>4025</v>
      </c>
      <c r="C6915" t="s">
        <v>4026</v>
      </c>
      <c r="D6915" t="s">
        <v>13412</v>
      </c>
    </row>
    <row r="6916" spans="1:4" x14ac:dyDescent="0.25">
      <c r="A6916" s="180">
        <f t="shared" si="108"/>
        <v>8303123</v>
      </c>
      <c r="B6916" t="s">
        <v>4025</v>
      </c>
      <c r="C6916" t="s">
        <v>4026</v>
      </c>
      <c r="D6916" t="s">
        <v>13412</v>
      </c>
    </row>
    <row r="6917" spans="1:4" x14ac:dyDescent="0.25">
      <c r="A6917" s="180">
        <f t="shared" si="108"/>
        <v>8303123</v>
      </c>
      <c r="B6917" t="s">
        <v>4025</v>
      </c>
      <c r="C6917" t="s">
        <v>4026</v>
      </c>
      <c r="D6917" t="s">
        <v>13412</v>
      </c>
    </row>
    <row r="6918" spans="1:4" x14ac:dyDescent="0.25">
      <c r="A6918" s="180">
        <f t="shared" si="108"/>
        <v>8303123</v>
      </c>
      <c r="B6918" t="s">
        <v>4025</v>
      </c>
      <c r="C6918" t="s">
        <v>4026</v>
      </c>
      <c r="D6918" t="s">
        <v>13412</v>
      </c>
    </row>
    <row r="6919" spans="1:4" x14ac:dyDescent="0.25">
      <c r="A6919" s="180">
        <f t="shared" si="108"/>
        <v>8303123</v>
      </c>
      <c r="B6919" t="s">
        <v>4025</v>
      </c>
      <c r="C6919" t="s">
        <v>4026</v>
      </c>
      <c r="D6919" t="s">
        <v>13412</v>
      </c>
    </row>
    <row r="6920" spans="1:4" x14ac:dyDescent="0.25">
      <c r="A6920" s="180">
        <f t="shared" si="108"/>
        <v>8303125</v>
      </c>
      <c r="B6920" t="s">
        <v>4027</v>
      </c>
      <c r="C6920" t="s">
        <v>4028</v>
      </c>
      <c r="D6920" t="s">
        <v>13411</v>
      </c>
    </row>
    <row r="6921" spans="1:4" x14ac:dyDescent="0.25">
      <c r="A6921" s="180">
        <f t="shared" si="108"/>
        <v>8303126</v>
      </c>
      <c r="B6921" t="s">
        <v>4029</v>
      </c>
      <c r="C6921" t="s">
        <v>4030</v>
      </c>
    </row>
    <row r="6922" spans="1:4" x14ac:dyDescent="0.25">
      <c r="A6922" s="180">
        <f t="shared" si="108"/>
        <v>8303127</v>
      </c>
      <c r="B6922" t="s">
        <v>4031</v>
      </c>
      <c r="C6922" t="s">
        <v>4032</v>
      </c>
      <c r="D6922" t="s">
        <v>13411</v>
      </c>
    </row>
    <row r="6923" spans="1:4" x14ac:dyDescent="0.25">
      <c r="A6923" s="180">
        <f t="shared" si="108"/>
        <v>8303128</v>
      </c>
      <c r="B6923" t="s">
        <v>4033</v>
      </c>
      <c r="C6923" t="s">
        <v>4034</v>
      </c>
      <c r="D6923" t="s">
        <v>13412</v>
      </c>
    </row>
    <row r="6924" spans="1:4" x14ac:dyDescent="0.25">
      <c r="A6924" s="180">
        <f t="shared" si="108"/>
        <v>8303128</v>
      </c>
      <c r="B6924" t="s">
        <v>4033</v>
      </c>
      <c r="C6924" t="s">
        <v>4034</v>
      </c>
      <c r="D6924" t="s">
        <v>13412</v>
      </c>
    </row>
    <row r="6925" spans="1:4" x14ac:dyDescent="0.25">
      <c r="A6925" s="180">
        <f t="shared" si="108"/>
        <v>8303129</v>
      </c>
      <c r="B6925" t="s">
        <v>4035</v>
      </c>
      <c r="C6925" t="s">
        <v>4036</v>
      </c>
      <c r="D6925" t="s">
        <v>13412</v>
      </c>
    </row>
    <row r="6926" spans="1:4" x14ac:dyDescent="0.25">
      <c r="A6926" s="180">
        <f t="shared" si="108"/>
        <v>8303129</v>
      </c>
      <c r="B6926" t="s">
        <v>4035</v>
      </c>
      <c r="C6926" t="s">
        <v>4036</v>
      </c>
      <c r="D6926" t="s">
        <v>13412</v>
      </c>
    </row>
    <row r="6927" spans="1:4" x14ac:dyDescent="0.25">
      <c r="A6927" s="180">
        <f t="shared" si="108"/>
        <v>8303129</v>
      </c>
      <c r="B6927" t="s">
        <v>4035</v>
      </c>
      <c r="C6927" t="s">
        <v>4036</v>
      </c>
      <c r="D6927" t="s">
        <v>13412</v>
      </c>
    </row>
    <row r="6928" spans="1:4" x14ac:dyDescent="0.25">
      <c r="A6928" s="180">
        <f t="shared" si="108"/>
        <v>8303129</v>
      </c>
      <c r="B6928" t="s">
        <v>4035</v>
      </c>
      <c r="C6928" t="s">
        <v>4036</v>
      </c>
      <c r="D6928" t="s">
        <v>13412</v>
      </c>
    </row>
    <row r="6929" spans="1:4" x14ac:dyDescent="0.25">
      <c r="A6929" s="180">
        <f t="shared" si="108"/>
        <v>8303129</v>
      </c>
      <c r="B6929" t="s">
        <v>4035</v>
      </c>
      <c r="C6929" t="s">
        <v>4036</v>
      </c>
      <c r="D6929" t="s">
        <v>13412</v>
      </c>
    </row>
    <row r="6930" spans="1:4" x14ac:dyDescent="0.25">
      <c r="A6930" s="180">
        <f t="shared" si="108"/>
        <v>8303130</v>
      </c>
      <c r="B6930" t="s">
        <v>4037</v>
      </c>
      <c r="C6930" t="s">
        <v>4038</v>
      </c>
      <c r="D6930" t="s">
        <v>13412</v>
      </c>
    </row>
    <row r="6931" spans="1:4" x14ac:dyDescent="0.25">
      <c r="A6931" s="180">
        <f t="shared" si="108"/>
        <v>8303130</v>
      </c>
      <c r="B6931" t="s">
        <v>4037</v>
      </c>
      <c r="C6931" t="s">
        <v>4038</v>
      </c>
      <c r="D6931" t="s">
        <v>13412</v>
      </c>
    </row>
    <row r="6932" spans="1:4" x14ac:dyDescent="0.25">
      <c r="A6932" s="180">
        <f t="shared" si="108"/>
        <v>8303130</v>
      </c>
      <c r="B6932" t="s">
        <v>4037</v>
      </c>
      <c r="C6932" t="s">
        <v>4038</v>
      </c>
      <c r="D6932" t="s">
        <v>13412</v>
      </c>
    </row>
    <row r="6933" spans="1:4" x14ac:dyDescent="0.25">
      <c r="A6933" s="180">
        <f t="shared" si="108"/>
        <v>8303130</v>
      </c>
      <c r="B6933" t="s">
        <v>4037</v>
      </c>
      <c r="C6933" t="s">
        <v>4038</v>
      </c>
      <c r="D6933" t="s">
        <v>13412</v>
      </c>
    </row>
    <row r="6934" spans="1:4" x14ac:dyDescent="0.25">
      <c r="A6934" s="180">
        <f t="shared" si="108"/>
        <v>8303131</v>
      </c>
      <c r="B6934" t="s">
        <v>4039</v>
      </c>
      <c r="C6934" t="s">
        <v>4040</v>
      </c>
    </row>
    <row r="6935" spans="1:4" x14ac:dyDescent="0.25">
      <c r="A6935" s="180">
        <f t="shared" si="108"/>
        <v>8303132</v>
      </c>
      <c r="B6935" t="s">
        <v>4041</v>
      </c>
      <c r="C6935" t="s">
        <v>4042</v>
      </c>
    </row>
    <row r="6936" spans="1:4" x14ac:dyDescent="0.25">
      <c r="A6936" s="180">
        <f t="shared" si="108"/>
        <v>8303133</v>
      </c>
      <c r="B6936" t="s">
        <v>4043</v>
      </c>
      <c r="C6936" t="s">
        <v>4044</v>
      </c>
      <c r="D6936" t="s">
        <v>13412</v>
      </c>
    </row>
    <row r="6937" spans="1:4" x14ac:dyDescent="0.25">
      <c r="A6937" s="180">
        <f t="shared" si="108"/>
        <v>8303222</v>
      </c>
      <c r="B6937" t="s">
        <v>4045</v>
      </c>
      <c r="C6937" t="s">
        <v>13926</v>
      </c>
      <c r="D6937" t="s">
        <v>13412</v>
      </c>
    </row>
    <row r="6938" spans="1:4" x14ac:dyDescent="0.25">
      <c r="A6938" s="180">
        <f t="shared" si="108"/>
        <v>8303222</v>
      </c>
      <c r="B6938" t="s">
        <v>4045</v>
      </c>
      <c r="C6938" t="s">
        <v>13926</v>
      </c>
      <c r="D6938" t="s">
        <v>13412</v>
      </c>
    </row>
    <row r="6939" spans="1:4" x14ac:dyDescent="0.25">
      <c r="A6939" s="180">
        <f t="shared" si="108"/>
        <v>8303222</v>
      </c>
      <c r="B6939" t="s">
        <v>4045</v>
      </c>
      <c r="C6939" t="s">
        <v>13926</v>
      </c>
      <c r="D6939" t="s">
        <v>13412</v>
      </c>
    </row>
    <row r="6940" spans="1:4" x14ac:dyDescent="0.25">
      <c r="A6940" s="180">
        <f t="shared" si="108"/>
        <v>8303222</v>
      </c>
      <c r="B6940" t="s">
        <v>4045</v>
      </c>
      <c r="C6940" t="s">
        <v>13926</v>
      </c>
      <c r="D6940" t="s">
        <v>13412</v>
      </c>
    </row>
    <row r="6941" spans="1:4" x14ac:dyDescent="0.25">
      <c r="A6941" s="180">
        <f t="shared" si="108"/>
        <v>8303222</v>
      </c>
      <c r="B6941" t="s">
        <v>4045</v>
      </c>
      <c r="C6941" t="s">
        <v>13926</v>
      </c>
      <c r="D6941" t="s">
        <v>13412</v>
      </c>
    </row>
    <row r="6942" spans="1:4" x14ac:dyDescent="0.25">
      <c r="A6942" s="180">
        <f t="shared" si="108"/>
        <v>8303222</v>
      </c>
      <c r="B6942" t="s">
        <v>4045</v>
      </c>
      <c r="C6942" t="s">
        <v>13926</v>
      </c>
      <c r="D6942" t="s">
        <v>13412</v>
      </c>
    </row>
    <row r="6943" spans="1:4" x14ac:dyDescent="0.25">
      <c r="A6943" s="180">
        <f t="shared" si="108"/>
        <v>8303222</v>
      </c>
      <c r="B6943" t="s">
        <v>4045</v>
      </c>
      <c r="C6943" t="s">
        <v>13926</v>
      </c>
      <c r="D6943" t="s">
        <v>13412</v>
      </c>
    </row>
    <row r="6944" spans="1:4" x14ac:dyDescent="0.25">
      <c r="A6944" s="180">
        <f t="shared" si="108"/>
        <v>8303222</v>
      </c>
      <c r="B6944" t="s">
        <v>4045</v>
      </c>
      <c r="C6944" t="s">
        <v>13926</v>
      </c>
      <c r="D6944" t="s">
        <v>13412</v>
      </c>
    </row>
    <row r="6945" spans="1:4" x14ac:dyDescent="0.25">
      <c r="A6945" s="180">
        <f t="shared" si="108"/>
        <v>8303222</v>
      </c>
      <c r="B6945" t="s">
        <v>4045</v>
      </c>
      <c r="C6945" t="s">
        <v>13926</v>
      </c>
      <c r="D6945" t="s">
        <v>13412</v>
      </c>
    </row>
    <row r="6946" spans="1:4" x14ac:dyDescent="0.25">
      <c r="A6946" s="180">
        <f t="shared" si="108"/>
        <v>8303222</v>
      </c>
      <c r="B6946" t="s">
        <v>4045</v>
      </c>
      <c r="C6946" t="s">
        <v>13926</v>
      </c>
      <c r="D6946" t="s">
        <v>13412</v>
      </c>
    </row>
    <row r="6947" spans="1:4" x14ac:dyDescent="0.25">
      <c r="A6947" s="180">
        <f t="shared" si="108"/>
        <v>8303222</v>
      </c>
      <c r="B6947" t="s">
        <v>4045</v>
      </c>
      <c r="C6947" t="s">
        <v>13926</v>
      </c>
      <c r="D6947" t="s">
        <v>13412</v>
      </c>
    </row>
    <row r="6948" spans="1:4" x14ac:dyDescent="0.25">
      <c r="A6948" s="180">
        <f t="shared" si="108"/>
        <v>8303222</v>
      </c>
      <c r="B6948" t="s">
        <v>4045</v>
      </c>
      <c r="C6948" t="s">
        <v>13926</v>
      </c>
      <c r="D6948" t="s">
        <v>13412</v>
      </c>
    </row>
    <row r="6949" spans="1:4" x14ac:dyDescent="0.25">
      <c r="A6949" s="180">
        <f t="shared" si="108"/>
        <v>8303223</v>
      </c>
      <c r="B6949" t="s">
        <v>13927</v>
      </c>
      <c r="C6949" t="s">
        <v>13928</v>
      </c>
      <c r="D6949" t="s">
        <v>13412</v>
      </c>
    </row>
    <row r="6950" spans="1:4" x14ac:dyDescent="0.25">
      <c r="A6950" s="180">
        <f t="shared" si="108"/>
        <v>8303223</v>
      </c>
      <c r="B6950" t="s">
        <v>13927</v>
      </c>
      <c r="C6950" t="s">
        <v>13928</v>
      </c>
      <c r="D6950" t="s">
        <v>13412</v>
      </c>
    </row>
    <row r="6951" spans="1:4" x14ac:dyDescent="0.25">
      <c r="A6951" s="180">
        <f t="shared" si="108"/>
        <v>8303223</v>
      </c>
      <c r="B6951" t="s">
        <v>13927</v>
      </c>
      <c r="C6951" t="s">
        <v>13928</v>
      </c>
      <c r="D6951" t="s">
        <v>13412</v>
      </c>
    </row>
    <row r="6952" spans="1:4" x14ac:dyDescent="0.25">
      <c r="A6952" s="180">
        <f t="shared" si="108"/>
        <v>8303223</v>
      </c>
      <c r="B6952" t="s">
        <v>13927</v>
      </c>
      <c r="C6952" t="s">
        <v>13928</v>
      </c>
      <c r="D6952" t="s">
        <v>13412</v>
      </c>
    </row>
    <row r="6953" spans="1:4" x14ac:dyDescent="0.25">
      <c r="A6953" s="180">
        <f t="shared" si="108"/>
        <v>8303223</v>
      </c>
      <c r="B6953" t="s">
        <v>13927</v>
      </c>
      <c r="C6953" t="s">
        <v>13928</v>
      </c>
      <c r="D6953" t="s">
        <v>13412</v>
      </c>
    </row>
    <row r="6954" spans="1:4" x14ac:dyDescent="0.25">
      <c r="A6954" s="180">
        <f t="shared" si="108"/>
        <v>8303223</v>
      </c>
      <c r="B6954" t="s">
        <v>13927</v>
      </c>
      <c r="C6954" t="s">
        <v>13928</v>
      </c>
      <c r="D6954" t="s">
        <v>13412</v>
      </c>
    </row>
    <row r="6955" spans="1:4" x14ac:dyDescent="0.25">
      <c r="A6955" s="180">
        <f t="shared" si="108"/>
        <v>8303223</v>
      </c>
      <c r="B6955" t="s">
        <v>13927</v>
      </c>
      <c r="C6955" t="s">
        <v>13928</v>
      </c>
      <c r="D6955" t="s">
        <v>13412</v>
      </c>
    </row>
    <row r="6956" spans="1:4" x14ac:dyDescent="0.25">
      <c r="A6956" s="180">
        <f t="shared" si="108"/>
        <v>8303223</v>
      </c>
      <c r="B6956" t="s">
        <v>13927</v>
      </c>
      <c r="C6956" t="s">
        <v>13928</v>
      </c>
      <c r="D6956" t="s">
        <v>13412</v>
      </c>
    </row>
    <row r="6957" spans="1:4" x14ac:dyDescent="0.25">
      <c r="A6957" s="180">
        <f t="shared" si="108"/>
        <v>8303223</v>
      </c>
      <c r="B6957" t="s">
        <v>13927</v>
      </c>
      <c r="C6957" t="s">
        <v>13928</v>
      </c>
      <c r="D6957" t="s">
        <v>13412</v>
      </c>
    </row>
    <row r="6958" spans="1:4" x14ac:dyDescent="0.25">
      <c r="A6958" s="180">
        <f t="shared" si="108"/>
        <v>8303297</v>
      </c>
      <c r="B6958" t="s">
        <v>4046</v>
      </c>
      <c r="C6958" t="s">
        <v>4047</v>
      </c>
      <c r="D6958" t="s">
        <v>13412</v>
      </c>
    </row>
    <row r="6959" spans="1:4" x14ac:dyDescent="0.25">
      <c r="A6959" s="180">
        <f t="shared" si="108"/>
        <v>8303297</v>
      </c>
      <c r="B6959" t="s">
        <v>4046</v>
      </c>
      <c r="C6959" t="s">
        <v>4047</v>
      </c>
      <c r="D6959" t="s">
        <v>13412</v>
      </c>
    </row>
    <row r="6960" spans="1:4" x14ac:dyDescent="0.25">
      <c r="A6960" s="180">
        <f t="shared" si="108"/>
        <v>8303297</v>
      </c>
      <c r="B6960" t="s">
        <v>4046</v>
      </c>
      <c r="C6960" t="s">
        <v>4047</v>
      </c>
      <c r="D6960" t="s">
        <v>13412</v>
      </c>
    </row>
    <row r="6961" spans="1:4" x14ac:dyDescent="0.25">
      <c r="A6961" s="180">
        <f t="shared" si="108"/>
        <v>8303297</v>
      </c>
      <c r="B6961" t="s">
        <v>4046</v>
      </c>
      <c r="C6961" t="s">
        <v>4047</v>
      </c>
      <c r="D6961" t="s">
        <v>13412</v>
      </c>
    </row>
    <row r="6962" spans="1:4" x14ac:dyDescent="0.25">
      <c r="A6962" s="180">
        <f t="shared" si="108"/>
        <v>8303297</v>
      </c>
      <c r="B6962" t="s">
        <v>4046</v>
      </c>
      <c r="C6962" t="s">
        <v>4047</v>
      </c>
      <c r="D6962" t="s">
        <v>13412</v>
      </c>
    </row>
    <row r="6963" spans="1:4" x14ac:dyDescent="0.25">
      <c r="A6963" s="180">
        <f t="shared" si="108"/>
        <v>8303297</v>
      </c>
      <c r="B6963" t="s">
        <v>4046</v>
      </c>
      <c r="C6963" t="s">
        <v>4047</v>
      </c>
      <c r="D6963" t="s">
        <v>13412</v>
      </c>
    </row>
    <row r="6964" spans="1:4" x14ac:dyDescent="0.25">
      <c r="A6964" s="180">
        <f t="shared" si="108"/>
        <v>8303298</v>
      </c>
      <c r="B6964" t="s">
        <v>4048</v>
      </c>
      <c r="C6964" t="s">
        <v>4049</v>
      </c>
      <c r="D6964" t="s">
        <v>13412</v>
      </c>
    </row>
    <row r="6965" spans="1:4" x14ac:dyDescent="0.25">
      <c r="A6965" s="180">
        <f t="shared" si="108"/>
        <v>8303298</v>
      </c>
      <c r="B6965" t="s">
        <v>4048</v>
      </c>
      <c r="C6965" t="s">
        <v>4049</v>
      </c>
      <c r="D6965" t="s">
        <v>13412</v>
      </c>
    </row>
    <row r="6966" spans="1:4" x14ac:dyDescent="0.25">
      <c r="A6966" s="180">
        <f t="shared" si="108"/>
        <v>8303299</v>
      </c>
      <c r="B6966" t="s">
        <v>4050</v>
      </c>
      <c r="C6966" t="s">
        <v>4051</v>
      </c>
      <c r="D6966" t="s">
        <v>13412</v>
      </c>
    </row>
    <row r="6967" spans="1:4" x14ac:dyDescent="0.25">
      <c r="A6967" s="180">
        <f t="shared" si="108"/>
        <v>8303300</v>
      </c>
      <c r="B6967" t="s">
        <v>4052</v>
      </c>
      <c r="C6967" t="s">
        <v>4053</v>
      </c>
      <c r="D6967" t="s">
        <v>13412</v>
      </c>
    </row>
    <row r="6968" spans="1:4" x14ac:dyDescent="0.25">
      <c r="A6968" s="180">
        <f t="shared" si="108"/>
        <v>8303300</v>
      </c>
      <c r="B6968" t="s">
        <v>4052</v>
      </c>
      <c r="C6968" t="s">
        <v>4053</v>
      </c>
      <c r="D6968" t="s">
        <v>13412</v>
      </c>
    </row>
    <row r="6969" spans="1:4" x14ac:dyDescent="0.25">
      <c r="A6969" s="180">
        <f t="shared" si="108"/>
        <v>8303300</v>
      </c>
      <c r="B6969" t="s">
        <v>4052</v>
      </c>
      <c r="C6969" t="s">
        <v>4053</v>
      </c>
      <c r="D6969" t="s">
        <v>13412</v>
      </c>
    </row>
    <row r="6970" spans="1:4" x14ac:dyDescent="0.25">
      <c r="A6970" s="180">
        <f t="shared" si="108"/>
        <v>8303356</v>
      </c>
      <c r="B6970" t="s">
        <v>4054</v>
      </c>
      <c r="C6970" t="s">
        <v>4055</v>
      </c>
    </row>
    <row r="6971" spans="1:4" x14ac:dyDescent="0.25">
      <c r="A6971" s="180">
        <f t="shared" si="108"/>
        <v>8303357</v>
      </c>
      <c r="B6971" t="s">
        <v>4056</v>
      </c>
      <c r="C6971" t="s">
        <v>3980</v>
      </c>
      <c r="D6971" t="s">
        <v>13411</v>
      </c>
    </row>
    <row r="6972" spans="1:4" x14ac:dyDescent="0.25">
      <c r="A6972" s="180">
        <f t="shared" si="108"/>
        <v>8303358</v>
      </c>
      <c r="B6972" t="s">
        <v>4057</v>
      </c>
      <c r="C6972" t="s">
        <v>4058</v>
      </c>
    </row>
    <row r="6973" spans="1:4" x14ac:dyDescent="0.25">
      <c r="A6973" s="180">
        <f t="shared" si="108"/>
        <v>8303360</v>
      </c>
      <c r="B6973" t="s">
        <v>13331</v>
      </c>
      <c r="C6973" t="s">
        <v>13332</v>
      </c>
      <c r="D6973" t="s">
        <v>13411</v>
      </c>
    </row>
    <row r="6974" spans="1:4" x14ac:dyDescent="0.25">
      <c r="A6974" s="180">
        <f t="shared" si="108"/>
        <v>8303370</v>
      </c>
      <c r="B6974" t="s">
        <v>14990</v>
      </c>
      <c r="C6974" t="s">
        <v>14991</v>
      </c>
    </row>
    <row r="6975" spans="1:4" x14ac:dyDescent="0.25">
      <c r="A6975" s="180">
        <f t="shared" ref="A6975:A7038" si="109">IFERROR(B6975*1,"")</f>
        <v>8303442</v>
      </c>
      <c r="B6975" t="s">
        <v>13929</v>
      </c>
      <c r="C6975" t="s">
        <v>13930</v>
      </c>
      <c r="D6975" t="s">
        <v>13412</v>
      </c>
    </row>
    <row r="6976" spans="1:4" x14ac:dyDescent="0.25">
      <c r="A6976" s="180">
        <f t="shared" si="109"/>
        <v>8303495</v>
      </c>
      <c r="B6976" t="s">
        <v>4059</v>
      </c>
      <c r="C6976" t="s">
        <v>4060</v>
      </c>
      <c r="D6976" t="s">
        <v>13412</v>
      </c>
    </row>
    <row r="6977" spans="1:4" x14ac:dyDescent="0.25">
      <c r="A6977" s="180">
        <f t="shared" si="109"/>
        <v>8303496</v>
      </c>
      <c r="B6977" t="s">
        <v>4061</v>
      </c>
      <c r="C6977" t="s">
        <v>4062</v>
      </c>
      <c r="D6977" t="s">
        <v>13411</v>
      </c>
    </row>
    <row r="6978" spans="1:4" x14ac:dyDescent="0.25">
      <c r="A6978" s="180">
        <f t="shared" si="109"/>
        <v>8303523</v>
      </c>
      <c r="B6978" t="s">
        <v>4063</v>
      </c>
      <c r="C6978" t="s">
        <v>4064</v>
      </c>
      <c r="D6978" t="s">
        <v>13412</v>
      </c>
    </row>
    <row r="6979" spans="1:4" x14ac:dyDescent="0.25">
      <c r="A6979" s="180">
        <f t="shared" si="109"/>
        <v>8303523</v>
      </c>
      <c r="B6979" t="s">
        <v>4063</v>
      </c>
      <c r="C6979" t="s">
        <v>4064</v>
      </c>
      <c r="D6979" t="s">
        <v>13412</v>
      </c>
    </row>
    <row r="6980" spans="1:4" x14ac:dyDescent="0.25">
      <c r="A6980" s="180">
        <f t="shared" si="109"/>
        <v>8303523</v>
      </c>
      <c r="B6980" t="s">
        <v>4063</v>
      </c>
      <c r="C6980" t="s">
        <v>4064</v>
      </c>
      <c r="D6980" t="s">
        <v>13412</v>
      </c>
    </row>
    <row r="6981" spans="1:4" x14ac:dyDescent="0.25">
      <c r="A6981" s="180">
        <f t="shared" si="109"/>
        <v>8303523</v>
      </c>
      <c r="B6981" t="s">
        <v>4063</v>
      </c>
      <c r="C6981" t="s">
        <v>4064</v>
      </c>
      <c r="D6981" t="s">
        <v>13412</v>
      </c>
    </row>
    <row r="6982" spans="1:4" x14ac:dyDescent="0.25">
      <c r="A6982" s="180">
        <f t="shared" si="109"/>
        <v>8303523</v>
      </c>
      <c r="B6982" t="s">
        <v>4063</v>
      </c>
      <c r="C6982" t="s">
        <v>4064</v>
      </c>
      <c r="D6982" t="s">
        <v>13412</v>
      </c>
    </row>
    <row r="6983" spans="1:4" x14ac:dyDescent="0.25">
      <c r="A6983" s="180">
        <f t="shared" si="109"/>
        <v>8303523</v>
      </c>
      <c r="B6983" t="s">
        <v>4063</v>
      </c>
      <c r="C6983" t="s">
        <v>4064</v>
      </c>
      <c r="D6983" t="s">
        <v>13412</v>
      </c>
    </row>
    <row r="6984" spans="1:4" x14ac:dyDescent="0.25">
      <c r="A6984" s="180">
        <f t="shared" si="109"/>
        <v>8303523</v>
      </c>
      <c r="B6984" t="s">
        <v>4063</v>
      </c>
      <c r="C6984" t="s">
        <v>4064</v>
      </c>
      <c r="D6984" t="s">
        <v>13412</v>
      </c>
    </row>
    <row r="6985" spans="1:4" x14ac:dyDescent="0.25">
      <c r="A6985" s="180">
        <f t="shared" si="109"/>
        <v>8303523</v>
      </c>
      <c r="B6985" t="s">
        <v>4063</v>
      </c>
      <c r="C6985" t="s">
        <v>4064</v>
      </c>
      <c r="D6985" t="s">
        <v>13412</v>
      </c>
    </row>
    <row r="6986" spans="1:4" x14ac:dyDescent="0.25">
      <c r="A6986" s="180">
        <f t="shared" si="109"/>
        <v>8303523</v>
      </c>
      <c r="B6986" t="s">
        <v>4063</v>
      </c>
      <c r="C6986" t="s">
        <v>4064</v>
      </c>
      <c r="D6986" t="s">
        <v>13412</v>
      </c>
    </row>
    <row r="6987" spans="1:4" x14ac:dyDescent="0.25">
      <c r="A6987" s="180">
        <f t="shared" si="109"/>
        <v>8303523</v>
      </c>
      <c r="B6987" t="s">
        <v>4063</v>
      </c>
      <c r="C6987" t="s">
        <v>4064</v>
      </c>
      <c r="D6987" t="s">
        <v>13412</v>
      </c>
    </row>
    <row r="6988" spans="1:4" x14ac:dyDescent="0.25">
      <c r="A6988" s="180">
        <f t="shared" si="109"/>
        <v>8303523</v>
      </c>
      <c r="B6988" t="s">
        <v>4063</v>
      </c>
      <c r="C6988" t="s">
        <v>4064</v>
      </c>
      <c r="D6988" t="s">
        <v>13412</v>
      </c>
    </row>
    <row r="6989" spans="1:4" x14ac:dyDescent="0.25">
      <c r="A6989" s="180">
        <f t="shared" si="109"/>
        <v>8303523</v>
      </c>
      <c r="B6989" t="s">
        <v>4063</v>
      </c>
      <c r="C6989" t="s">
        <v>4064</v>
      </c>
      <c r="D6989" t="s">
        <v>13412</v>
      </c>
    </row>
    <row r="6990" spans="1:4" x14ac:dyDescent="0.25">
      <c r="A6990" s="180">
        <f t="shared" si="109"/>
        <v>8303544</v>
      </c>
      <c r="B6990" t="s">
        <v>4065</v>
      </c>
      <c r="C6990" t="s">
        <v>4066</v>
      </c>
      <c r="D6990" t="s">
        <v>13412</v>
      </c>
    </row>
    <row r="6991" spans="1:4" x14ac:dyDescent="0.25">
      <c r="A6991" s="180">
        <f t="shared" si="109"/>
        <v>8303544</v>
      </c>
      <c r="B6991" t="s">
        <v>4065</v>
      </c>
      <c r="C6991" t="s">
        <v>4066</v>
      </c>
      <c r="D6991" t="s">
        <v>13412</v>
      </c>
    </row>
    <row r="6992" spans="1:4" x14ac:dyDescent="0.25">
      <c r="A6992" s="180">
        <f t="shared" si="109"/>
        <v>8303665</v>
      </c>
      <c r="B6992" t="s">
        <v>4067</v>
      </c>
      <c r="C6992" t="s">
        <v>4068</v>
      </c>
      <c r="D6992" t="s">
        <v>13412</v>
      </c>
    </row>
    <row r="6993" spans="1:4" x14ac:dyDescent="0.25">
      <c r="A6993" s="180">
        <f t="shared" si="109"/>
        <v>8303665</v>
      </c>
      <c r="B6993" t="s">
        <v>4067</v>
      </c>
      <c r="C6993" t="s">
        <v>4068</v>
      </c>
      <c r="D6993" t="s">
        <v>13412</v>
      </c>
    </row>
    <row r="6994" spans="1:4" x14ac:dyDescent="0.25">
      <c r="A6994" s="180">
        <f t="shared" si="109"/>
        <v>8303665</v>
      </c>
      <c r="B6994" t="s">
        <v>4067</v>
      </c>
      <c r="C6994" t="s">
        <v>4068</v>
      </c>
      <c r="D6994" t="s">
        <v>13412</v>
      </c>
    </row>
    <row r="6995" spans="1:4" x14ac:dyDescent="0.25">
      <c r="A6995" s="180">
        <f t="shared" si="109"/>
        <v>8303665</v>
      </c>
      <c r="B6995" t="s">
        <v>4067</v>
      </c>
      <c r="C6995" t="s">
        <v>4068</v>
      </c>
      <c r="D6995" t="s">
        <v>13412</v>
      </c>
    </row>
    <row r="6996" spans="1:4" x14ac:dyDescent="0.25">
      <c r="A6996" s="180">
        <f t="shared" si="109"/>
        <v>8303665</v>
      </c>
      <c r="B6996" t="s">
        <v>4067</v>
      </c>
      <c r="C6996" t="s">
        <v>4068</v>
      </c>
      <c r="D6996" t="s">
        <v>13412</v>
      </c>
    </row>
    <row r="6997" spans="1:4" x14ac:dyDescent="0.25">
      <c r="A6997" s="180">
        <f t="shared" si="109"/>
        <v>8303665</v>
      </c>
      <c r="B6997" t="s">
        <v>4067</v>
      </c>
      <c r="C6997" t="s">
        <v>4068</v>
      </c>
      <c r="D6997" t="s">
        <v>13412</v>
      </c>
    </row>
    <row r="6998" spans="1:4" x14ac:dyDescent="0.25">
      <c r="A6998" s="180">
        <f t="shared" si="109"/>
        <v>8303674</v>
      </c>
      <c r="B6998" t="s">
        <v>4069</v>
      </c>
      <c r="C6998" t="s">
        <v>4070</v>
      </c>
      <c r="D6998" t="s">
        <v>13412</v>
      </c>
    </row>
    <row r="6999" spans="1:4" x14ac:dyDescent="0.25">
      <c r="A6999" s="180">
        <f t="shared" si="109"/>
        <v>8303677</v>
      </c>
      <c r="B6999" t="s">
        <v>4071</v>
      </c>
      <c r="C6999" t="s">
        <v>4072</v>
      </c>
      <c r="D6999" t="s">
        <v>13412</v>
      </c>
    </row>
    <row r="7000" spans="1:4" x14ac:dyDescent="0.25">
      <c r="A7000" s="180">
        <f t="shared" si="109"/>
        <v>8303700</v>
      </c>
      <c r="B7000" t="s">
        <v>4073</v>
      </c>
      <c r="C7000" t="s">
        <v>4074</v>
      </c>
    </row>
    <row r="7001" spans="1:4" x14ac:dyDescent="0.25">
      <c r="A7001" s="180">
        <f t="shared" si="109"/>
        <v>8303701</v>
      </c>
      <c r="B7001" t="s">
        <v>4075</v>
      </c>
      <c r="C7001" t="s">
        <v>4076</v>
      </c>
      <c r="D7001" t="s">
        <v>13411</v>
      </c>
    </row>
    <row r="7002" spans="1:4" x14ac:dyDescent="0.25">
      <c r="A7002" s="180">
        <f t="shared" si="109"/>
        <v>8303702</v>
      </c>
      <c r="B7002" t="s">
        <v>14522</v>
      </c>
      <c r="C7002" t="s">
        <v>14523</v>
      </c>
    </row>
    <row r="7003" spans="1:4" x14ac:dyDescent="0.25">
      <c r="A7003" s="180">
        <f t="shared" si="109"/>
        <v>8303750</v>
      </c>
      <c r="B7003" t="s">
        <v>14042</v>
      </c>
      <c r="C7003" t="s">
        <v>14043</v>
      </c>
      <c r="D7003" t="s">
        <v>13412</v>
      </c>
    </row>
    <row r="7004" spans="1:4" x14ac:dyDescent="0.25">
      <c r="A7004" s="180">
        <f t="shared" si="109"/>
        <v>8303750</v>
      </c>
      <c r="B7004" t="s">
        <v>14042</v>
      </c>
      <c r="C7004" t="s">
        <v>14043</v>
      </c>
      <c r="D7004" t="s">
        <v>13412</v>
      </c>
    </row>
    <row r="7005" spans="1:4" x14ac:dyDescent="0.25">
      <c r="A7005" s="180">
        <f t="shared" si="109"/>
        <v>8303750</v>
      </c>
      <c r="B7005" t="s">
        <v>14042</v>
      </c>
      <c r="C7005" t="s">
        <v>14043</v>
      </c>
      <c r="D7005" t="s">
        <v>13412</v>
      </c>
    </row>
    <row r="7006" spans="1:4" x14ac:dyDescent="0.25">
      <c r="A7006" s="180">
        <f t="shared" si="109"/>
        <v>8303750</v>
      </c>
      <c r="B7006" t="s">
        <v>14042</v>
      </c>
      <c r="C7006" t="s">
        <v>14043</v>
      </c>
      <c r="D7006" t="s">
        <v>13412</v>
      </c>
    </row>
    <row r="7007" spans="1:4" x14ac:dyDescent="0.25">
      <c r="A7007" s="180">
        <f t="shared" si="109"/>
        <v>8303750</v>
      </c>
      <c r="B7007" t="s">
        <v>14042</v>
      </c>
      <c r="C7007" t="s">
        <v>14043</v>
      </c>
      <c r="D7007" t="s">
        <v>13412</v>
      </c>
    </row>
    <row r="7008" spans="1:4" x14ac:dyDescent="0.25">
      <c r="A7008" s="180">
        <f t="shared" si="109"/>
        <v>8303750</v>
      </c>
      <c r="B7008" t="s">
        <v>14042</v>
      </c>
      <c r="C7008" t="s">
        <v>14043</v>
      </c>
      <c r="D7008" t="s">
        <v>13412</v>
      </c>
    </row>
    <row r="7009" spans="1:4" x14ac:dyDescent="0.25">
      <c r="A7009" s="180">
        <f t="shared" si="109"/>
        <v>8303750</v>
      </c>
      <c r="B7009" t="s">
        <v>14042</v>
      </c>
      <c r="C7009" t="s">
        <v>14043</v>
      </c>
      <c r="D7009" t="s">
        <v>13412</v>
      </c>
    </row>
    <row r="7010" spans="1:4" x14ac:dyDescent="0.25">
      <c r="A7010" s="180">
        <f t="shared" si="109"/>
        <v>8303750</v>
      </c>
      <c r="B7010" t="s">
        <v>14042</v>
      </c>
      <c r="C7010" t="s">
        <v>14043</v>
      </c>
      <c r="D7010" t="s">
        <v>13412</v>
      </c>
    </row>
    <row r="7011" spans="1:4" x14ac:dyDescent="0.25">
      <c r="A7011" s="180">
        <f t="shared" si="109"/>
        <v>8303800</v>
      </c>
      <c r="B7011" t="s">
        <v>4077</v>
      </c>
      <c r="C7011" t="s">
        <v>4078</v>
      </c>
      <c r="D7011" t="s">
        <v>13412</v>
      </c>
    </row>
    <row r="7012" spans="1:4" x14ac:dyDescent="0.25">
      <c r="A7012" s="180">
        <f t="shared" si="109"/>
        <v>8303900</v>
      </c>
      <c r="B7012" t="s">
        <v>4079</v>
      </c>
      <c r="C7012" t="s">
        <v>4080</v>
      </c>
      <c r="D7012" t="s">
        <v>13412</v>
      </c>
    </row>
    <row r="7013" spans="1:4" x14ac:dyDescent="0.25">
      <c r="A7013" s="180">
        <f t="shared" si="109"/>
        <v>8303900</v>
      </c>
      <c r="B7013" t="s">
        <v>4079</v>
      </c>
      <c r="C7013" t="s">
        <v>4080</v>
      </c>
      <c r="D7013" t="s">
        <v>13412</v>
      </c>
    </row>
    <row r="7014" spans="1:4" x14ac:dyDescent="0.25">
      <c r="A7014" s="180">
        <f t="shared" si="109"/>
        <v>8303901</v>
      </c>
      <c r="B7014" t="s">
        <v>4081</v>
      </c>
      <c r="C7014" t="s">
        <v>4082</v>
      </c>
    </row>
    <row r="7015" spans="1:4" x14ac:dyDescent="0.25">
      <c r="A7015" s="180">
        <f t="shared" si="109"/>
        <v>8303902</v>
      </c>
      <c r="B7015" t="s">
        <v>4083</v>
      </c>
      <c r="C7015" t="s">
        <v>4084</v>
      </c>
      <c r="D7015" t="s">
        <v>13412</v>
      </c>
    </row>
    <row r="7016" spans="1:4" x14ac:dyDescent="0.25">
      <c r="A7016" s="180">
        <f t="shared" si="109"/>
        <v>8303987</v>
      </c>
      <c r="B7016" t="s">
        <v>4085</v>
      </c>
      <c r="C7016" t="s">
        <v>4086</v>
      </c>
      <c r="D7016" t="s">
        <v>13411</v>
      </c>
    </row>
    <row r="7017" spans="1:4" x14ac:dyDescent="0.25">
      <c r="A7017" s="180">
        <f t="shared" si="109"/>
        <v>8305000</v>
      </c>
      <c r="B7017" t="s">
        <v>4087</v>
      </c>
      <c r="C7017" t="s">
        <v>4088</v>
      </c>
      <c r="D7017" t="s">
        <v>13412</v>
      </c>
    </row>
    <row r="7018" spans="1:4" x14ac:dyDescent="0.25">
      <c r="A7018" s="180">
        <f t="shared" si="109"/>
        <v>8305000</v>
      </c>
      <c r="B7018" t="s">
        <v>4087</v>
      </c>
      <c r="C7018" t="s">
        <v>4088</v>
      </c>
      <c r="D7018" t="s">
        <v>13412</v>
      </c>
    </row>
    <row r="7019" spans="1:4" x14ac:dyDescent="0.25">
      <c r="A7019" s="180">
        <f t="shared" si="109"/>
        <v>8305000</v>
      </c>
      <c r="B7019" t="s">
        <v>4087</v>
      </c>
      <c r="C7019" t="s">
        <v>4088</v>
      </c>
      <c r="D7019" t="s">
        <v>13412</v>
      </c>
    </row>
    <row r="7020" spans="1:4" x14ac:dyDescent="0.25">
      <c r="A7020" s="180">
        <f t="shared" si="109"/>
        <v>8305000</v>
      </c>
      <c r="B7020" t="s">
        <v>4087</v>
      </c>
      <c r="C7020" t="s">
        <v>4088</v>
      </c>
      <c r="D7020" t="s">
        <v>13412</v>
      </c>
    </row>
    <row r="7021" spans="1:4" x14ac:dyDescent="0.25">
      <c r="A7021" s="180">
        <f t="shared" si="109"/>
        <v>8305000</v>
      </c>
      <c r="B7021" t="s">
        <v>4087</v>
      </c>
      <c r="C7021" t="s">
        <v>4088</v>
      </c>
      <c r="D7021" t="s">
        <v>13412</v>
      </c>
    </row>
    <row r="7022" spans="1:4" x14ac:dyDescent="0.25">
      <c r="A7022" s="180">
        <f t="shared" si="109"/>
        <v>8305000</v>
      </c>
      <c r="B7022" t="s">
        <v>4087</v>
      </c>
      <c r="C7022" t="s">
        <v>4088</v>
      </c>
      <c r="D7022" t="s">
        <v>13412</v>
      </c>
    </row>
    <row r="7023" spans="1:4" x14ac:dyDescent="0.25">
      <c r="A7023" s="180">
        <f t="shared" si="109"/>
        <v>8305000</v>
      </c>
      <c r="B7023" t="s">
        <v>4087</v>
      </c>
      <c r="C7023" t="s">
        <v>4088</v>
      </c>
      <c r="D7023" t="s">
        <v>13412</v>
      </c>
    </row>
    <row r="7024" spans="1:4" x14ac:dyDescent="0.25">
      <c r="A7024" s="180">
        <f t="shared" si="109"/>
        <v>8305000</v>
      </c>
      <c r="B7024" t="s">
        <v>4087</v>
      </c>
      <c r="C7024" t="s">
        <v>4088</v>
      </c>
      <c r="D7024" t="s">
        <v>13412</v>
      </c>
    </row>
    <row r="7025" spans="1:4" x14ac:dyDescent="0.25">
      <c r="A7025" s="180">
        <f t="shared" si="109"/>
        <v>8305000</v>
      </c>
      <c r="B7025" t="s">
        <v>4087</v>
      </c>
      <c r="C7025" t="s">
        <v>4088</v>
      </c>
      <c r="D7025" t="s">
        <v>13412</v>
      </c>
    </row>
    <row r="7026" spans="1:4" x14ac:dyDescent="0.25">
      <c r="A7026" s="180">
        <f t="shared" si="109"/>
        <v>8305000</v>
      </c>
      <c r="B7026" t="s">
        <v>4087</v>
      </c>
      <c r="C7026" t="s">
        <v>4088</v>
      </c>
      <c r="D7026" t="s">
        <v>13412</v>
      </c>
    </row>
    <row r="7027" spans="1:4" x14ac:dyDescent="0.25">
      <c r="A7027" s="180">
        <f t="shared" si="109"/>
        <v>8305000</v>
      </c>
      <c r="B7027" t="s">
        <v>4087</v>
      </c>
      <c r="C7027" t="s">
        <v>4088</v>
      </c>
      <c r="D7027" t="s">
        <v>13412</v>
      </c>
    </row>
    <row r="7028" spans="1:4" x14ac:dyDescent="0.25">
      <c r="A7028" s="180">
        <f t="shared" si="109"/>
        <v>8305001</v>
      </c>
      <c r="B7028" t="s">
        <v>4089</v>
      </c>
      <c r="C7028" t="s">
        <v>4090</v>
      </c>
      <c r="D7028" t="s">
        <v>13412</v>
      </c>
    </row>
    <row r="7029" spans="1:4" x14ac:dyDescent="0.25">
      <c r="A7029" s="180">
        <f t="shared" si="109"/>
        <v>8305001</v>
      </c>
      <c r="B7029" t="s">
        <v>4089</v>
      </c>
      <c r="C7029" t="s">
        <v>4090</v>
      </c>
      <c r="D7029" t="s">
        <v>13412</v>
      </c>
    </row>
    <row r="7030" spans="1:4" x14ac:dyDescent="0.25">
      <c r="A7030" s="180">
        <f t="shared" si="109"/>
        <v>8305001</v>
      </c>
      <c r="B7030" t="s">
        <v>4089</v>
      </c>
      <c r="C7030" t="s">
        <v>4090</v>
      </c>
      <c r="D7030" t="s">
        <v>13412</v>
      </c>
    </row>
    <row r="7031" spans="1:4" x14ac:dyDescent="0.25">
      <c r="A7031" s="180">
        <f t="shared" si="109"/>
        <v>8305001</v>
      </c>
      <c r="B7031" t="s">
        <v>4089</v>
      </c>
      <c r="C7031" t="s">
        <v>4090</v>
      </c>
      <c r="D7031" t="s">
        <v>13412</v>
      </c>
    </row>
    <row r="7032" spans="1:4" x14ac:dyDescent="0.25">
      <c r="A7032" s="180">
        <f t="shared" si="109"/>
        <v>8305001</v>
      </c>
      <c r="B7032" t="s">
        <v>4089</v>
      </c>
      <c r="C7032" t="s">
        <v>4090</v>
      </c>
      <c r="D7032" t="s">
        <v>13412</v>
      </c>
    </row>
    <row r="7033" spans="1:4" x14ac:dyDescent="0.25">
      <c r="A7033" s="180">
        <f t="shared" si="109"/>
        <v>8305002</v>
      </c>
      <c r="B7033" t="s">
        <v>4091</v>
      </c>
      <c r="C7033" t="s">
        <v>4092</v>
      </c>
      <c r="D7033" t="s">
        <v>13412</v>
      </c>
    </row>
    <row r="7034" spans="1:4" x14ac:dyDescent="0.25">
      <c r="A7034" s="180">
        <f t="shared" si="109"/>
        <v>8305002</v>
      </c>
      <c r="B7034" t="s">
        <v>4091</v>
      </c>
      <c r="C7034" t="s">
        <v>4092</v>
      </c>
      <c r="D7034" t="s">
        <v>13412</v>
      </c>
    </row>
    <row r="7035" spans="1:4" x14ac:dyDescent="0.25">
      <c r="A7035" s="180">
        <f t="shared" si="109"/>
        <v>8305002</v>
      </c>
      <c r="B7035" t="s">
        <v>4091</v>
      </c>
      <c r="C7035" t="s">
        <v>4092</v>
      </c>
      <c r="D7035" t="s">
        <v>13412</v>
      </c>
    </row>
    <row r="7036" spans="1:4" x14ac:dyDescent="0.25">
      <c r="A7036" s="180">
        <f t="shared" si="109"/>
        <v>8305002</v>
      </c>
      <c r="B7036" t="s">
        <v>4091</v>
      </c>
      <c r="C7036" t="s">
        <v>4092</v>
      </c>
      <c r="D7036" t="s">
        <v>13412</v>
      </c>
    </row>
    <row r="7037" spans="1:4" x14ac:dyDescent="0.25">
      <c r="A7037" s="180">
        <f t="shared" si="109"/>
        <v>8305002</v>
      </c>
      <c r="B7037" t="s">
        <v>4091</v>
      </c>
      <c r="C7037" t="s">
        <v>4092</v>
      </c>
      <c r="D7037" t="s">
        <v>13412</v>
      </c>
    </row>
    <row r="7038" spans="1:4" x14ac:dyDescent="0.25">
      <c r="A7038" s="180">
        <f t="shared" si="109"/>
        <v>8305002</v>
      </c>
      <c r="B7038" t="s">
        <v>4091</v>
      </c>
      <c r="C7038" t="s">
        <v>4092</v>
      </c>
      <c r="D7038" t="s">
        <v>13412</v>
      </c>
    </row>
    <row r="7039" spans="1:4" x14ac:dyDescent="0.25">
      <c r="A7039" s="180">
        <f t="shared" ref="A7039:A7102" si="110">IFERROR(B7039*1,"")</f>
        <v>8305002</v>
      </c>
      <c r="B7039" t="s">
        <v>4091</v>
      </c>
      <c r="C7039" t="s">
        <v>4092</v>
      </c>
      <c r="D7039" t="s">
        <v>13412</v>
      </c>
    </row>
    <row r="7040" spans="1:4" x14ac:dyDescent="0.25">
      <c r="A7040" s="180">
        <f t="shared" si="110"/>
        <v>8305002</v>
      </c>
      <c r="B7040" t="s">
        <v>4091</v>
      </c>
      <c r="C7040" t="s">
        <v>4092</v>
      </c>
      <c r="D7040" t="s">
        <v>13412</v>
      </c>
    </row>
    <row r="7041" spans="1:4" x14ac:dyDescent="0.25">
      <c r="A7041" s="180">
        <f t="shared" si="110"/>
        <v>8305002</v>
      </c>
      <c r="B7041" t="s">
        <v>4091</v>
      </c>
      <c r="C7041" t="s">
        <v>4092</v>
      </c>
      <c r="D7041" t="s">
        <v>13412</v>
      </c>
    </row>
    <row r="7042" spans="1:4" x14ac:dyDescent="0.25">
      <c r="A7042" s="180">
        <f t="shared" si="110"/>
        <v>8305003</v>
      </c>
      <c r="B7042" t="s">
        <v>4093</v>
      </c>
      <c r="C7042" t="s">
        <v>4094</v>
      </c>
      <c r="D7042" t="s">
        <v>13412</v>
      </c>
    </row>
    <row r="7043" spans="1:4" x14ac:dyDescent="0.25">
      <c r="A7043" s="180">
        <f t="shared" si="110"/>
        <v>8305004</v>
      </c>
      <c r="B7043" t="s">
        <v>4095</v>
      </c>
      <c r="C7043" t="s">
        <v>4096</v>
      </c>
    </row>
    <row r="7044" spans="1:4" x14ac:dyDescent="0.25">
      <c r="A7044" s="180">
        <f t="shared" si="110"/>
        <v>8305006</v>
      </c>
      <c r="B7044" t="s">
        <v>4097</v>
      </c>
      <c r="C7044" t="s">
        <v>4098</v>
      </c>
      <c r="D7044" t="s">
        <v>13412</v>
      </c>
    </row>
    <row r="7045" spans="1:4" x14ac:dyDescent="0.25">
      <c r="A7045" s="180">
        <f t="shared" si="110"/>
        <v>8305006</v>
      </c>
      <c r="B7045" t="s">
        <v>4097</v>
      </c>
      <c r="C7045" t="s">
        <v>4098</v>
      </c>
      <c r="D7045" t="s">
        <v>13412</v>
      </c>
    </row>
    <row r="7046" spans="1:4" x14ac:dyDescent="0.25">
      <c r="A7046" s="180">
        <f t="shared" si="110"/>
        <v>8305006</v>
      </c>
      <c r="B7046" t="s">
        <v>4097</v>
      </c>
      <c r="C7046" t="s">
        <v>4098</v>
      </c>
      <c r="D7046" t="s">
        <v>13412</v>
      </c>
    </row>
    <row r="7047" spans="1:4" x14ac:dyDescent="0.25">
      <c r="A7047" s="180">
        <f t="shared" si="110"/>
        <v>8305006</v>
      </c>
      <c r="B7047" t="s">
        <v>4097</v>
      </c>
      <c r="C7047" t="s">
        <v>4098</v>
      </c>
      <c r="D7047" t="s">
        <v>13412</v>
      </c>
    </row>
    <row r="7048" spans="1:4" x14ac:dyDescent="0.25">
      <c r="A7048" s="180">
        <f t="shared" si="110"/>
        <v>8305006</v>
      </c>
      <c r="B7048" t="s">
        <v>4097</v>
      </c>
      <c r="C7048" t="s">
        <v>4098</v>
      </c>
      <c r="D7048" t="s">
        <v>13412</v>
      </c>
    </row>
    <row r="7049" spans="1:4" x14ac:dyDescent="0.25">
      <c r="A7049" s="180">
        <f t="shared" si="110"/>
        <v>8305006</v>
      </c>
      <c r="B7049" t="s">
        <v>4097</v>
      </c>
      <c r="C7049" t="s">
        <v>4098</v>
      </c>
      <c r="D7049" t="s">
        <v>13412</v>
      </c>
    </row>
    <row r="7050" spans="1:4" x14ac:dyDescent="0.25">
      <c r="A7050" s="180">
        <f t="shared" si="110"/>
        <v>8305007</v>
      </c>
      <c r="B7050" t="s">
        <v>4099</v>
      </c>
      <c r="C7050" t="s">
        <v>4100</v>
      </c>
      <c r="D7050" t="s">
        <v>13412</v>
      </c>
    </row>
    <row r="7051" spans="1:4" x14ac:dyDescent="0.25">
      <c r="A7051" s="180">
        <f t="shared" si="110"/>
        <v>8305007</v>
      </c>
      <c r="B7051" t="s">
        <v>4099</v>
      </c>
      <c r="C7051" t="s">
        <v>4100</v>
      </c>
      <c r="D7051" t="s">
        <v>13412</v>
      </c>
    </row>
    <row r="7052" spans="1:4" x14ac:dyDescent="0.25">
      <c r="A7052" s="180">
        <f t="shared" si="110"/>
        <v>8305007</v>
      </c>
      <c r="B7052" t="s">
        <v>4099</v>
      </c>
      <c r="C7052" t="s">
        <v>4100</v>
      </c>
      <c r="D7052" t="s">
        <v>13412</v>
      </c>
    </row>
    <row r="7053" spans="1:4" x14ac:dyDescent="0.25">
      <c r="A7053" s="180">
        <f t="shared" si="110"/>
        <v>8305008</v>
      </c>
      <c r="B7053" t="s">
        <v>4101</v>
      </c>
      <c r="C7053" t="s">
        <v>4102</v>
      </c>
      <c r="D7053" t="s">
        <v>13412</v>
      </c>
    </row>
    <row r="7054" spans="1:4" x14ac:dyDescent="0.25">
      <c r="A7054" s="180">
        <f t="shared" si="110"/>
        <v>8305008</v>
      </c>
      <c r="B7054" t="s">
        <v>4101</v>
      </c>
      <c r="C7054" t="s">
        <v>4102</v>
      </c>
      <c r="D7054" t="s">
        <v>13412</v>
      </c>
    </row>
    <row r="7055" spans="1:4" x14ac:dyDescent="0.25">
      <c r="A7055" s="180">
        <f t="shared" si="110"/>
        <v>8305008</v>
      </c>
      <c r="B7055" t="s">
        <v>4101</v>
      </c>
      <c r="C7055" t="s">
        <v>4102</v>
      </c>
      <c r="D7055" t="s">
        <v>13412</v>
      </c>
    </row>
    <row r="7056" spans="1:4" x14ac:dyDescent="0.25">
      <c r="A7056" s="180">
        <f t="shared" si="110"/>
        <v>8305010</v>
      </c>
      <c r="B7056" t="s">
        <v>13968</v>
      </c>
      <c r="C7056" t="s">
        <v>13969</v>
      </c>
      <c r="D7056" t="s">
        <v>13411</v>
      </c>
    </row>
    <row r="7057" spans="1:4" x14ac:dyDescent="0.25">
      <c r="A7057" s="180">
        <f t="shared" si="110"/>
        <v>8306100</v>
      </c>
      <c r="B7057" t="s">
        <v>4103</v>
      </c>
      <c r="C7057" t="s">
        <v>14524</v>
      </c>
      <c r="D7057" t="s">
        <v>13412</v>
      </c>
    </row>
    <row r="7058" spans="1:4" x14ac:dyDescent="0.25">
      <c r="A7058" s="180">
        <f t="shared" si="110"/>
        <v>8306101</v>
      </c>
      <c r="B7058" t="s">
        <v>4104</v>
      </c>
      <c r="C7058" t="s">
        <v>4105</v>
      </c>
      <c r="D7058" t="s">
        <v>13412</v>
      </c>
    </row>
    <row r="7059" spans="1:4" x14ac:dyDescent="0.25">
      <c r="A7059" s="180">
        <f t="shared" si="110"/>
        <v>8306200</v>
      </c>
      <c r="B7059" t="s">
        <v>4106</v>
      </c>
      <c r="C7059" t="s">
        <v>4107</v>
      </c>
      <c r="D7059" t="s">
        <v>13412</v>
      </c>
    </row>
    <row r="7060" spans="1:4" x14ac:dyDescent="0.25">
      <c r="A7060" s="180">
        <f t="shared" si="110"/>
        <v>8307001</v>
      </c>
      <c r="B7060" t="s">
        <v>4108</v>
      </c>
      <c r="C7060" t="s">
        <v>4109</v>
      </c>
    </row>
    <row r="7061" spans="1:4" x14ac:dyDescent="0.25">
      <c r="A7061" s="180" t="str">
        <f t="shared" si="110"/>
        <v/>
      </c>
      <c r="B7061" t="s">
        <v>13127</v>
      </c>
    </row>
    <row r="7062" spans="1:4" x14ac:dyDescent="0.25">
      <c r="A7062" s="180">
        <f t="shared" si="110"/>
        <v>8307002</v>
      </c>
      <c r="B7062" t="s">
        <v>4110</v>
      </c>
      <c r="C7062" t="s">
        <v>4111</v>
      </c>
      <c r="D7062" t="s">
        <v>13411</v>
      </c>
    </row>
    <row r="7063" spans="1:4" x14ac:dyDescent="0.25">
      <c r="A7063" s="180">
        <f t="shared" si="110"/>
        <v>8307003</v>
      </c>
      <c r="B7063" t="s">
        <v>13526</v>
      </c>
      <c r="C7063" t="s">
        <v>13527</v>
      </c>
    </row>
    <row r="7064" spans="1:4" x14ac:dyDescent="0.25">
      <c r="A7064" s="180">
        <f t="shared" si="110"/>
        <v>8307017</v>
      </c>
      <c r="B7064" t="s">
        <v>4112</v>
      </c>
      <c r="C7064" t="s">
        <v>4113</v>
      </c>
      <c r="D7064" t="s">
        <v>13412</v>
      </c>
    </row>
    <row r="7065" spans="1:4" x14ac:dyDescent="0.25">
      <c r="A7065" s="180">
        <f t="shared" si="110"/>
        <v>8307017</v>
      </c>
      <c r="B7065" t="s">
        <v>4112</v>
      </c>
      <c r="C7065" t="s">
        <v>4113</v>
      </c>
      <c r="D7065" t="s">
        <v>13412</v>
      </c>
    </row>
    <row r="7066" spans="1:4" x14ac:dyDescent="0.25">
      <c r="A7066" s="180">
        <f t="shared" si="110"/>
        <v>8307017</v>
      </c>
      <c r="B7066" t="s">
        <v>4112</v>
      </c>
      <c r="C7066" t="s">
        <v>4113</v>
      </c>
      <c r="D7066" t="s">
        <v>13412</v>
      </c>
    </row>
    <row r="7067" spans="1:4" x14ac:dyDescent="0.25">
      <c r="A7067" s="180">
        <f t="shared" si="110"/>
        <v>8307017</v>
      </c>
      <c r="B7067" t="s">
        <v>4112</v>
      </c>
      <c r="C7067" t="s">
        <v>4113</v>
      </c>
      <c r="D7067" t="s">
        <v>13412</v>
      </c>
    </row>
    <row r="7068" spans="1:4" x14ac:dyDescent="0.25">
      <c r="A7068" s="180">
        <f t="shared" si="110"/>
        <v>8307017</v>
      </c>
      <c r="B7068" t="s">
        <v>4112</v>
      </c>
      <c r="C7068" t="s">
        <v>4113</v>
      </c>
      <c r="D7068" t="s">
        <v>13412</v>
      </c>
    </row>
    <row r="7069" spans="1:4" x14ac:dyDescent="0.25">
      <c r="A7069" s="180">
        <f t="shared" si="110"/>
        <v>8307017</v>
      </c>
      <c r="B7069" t="s">
        <v>4112</v>
      </c>
      <c r="C7069" t="s">
        <v>4113</v>
      </c>
      <c r="D7069" t="s">
        <v>13412</v>
      </c>
    </row>
    <row r="7070" spans="1:4" x14ac:dyDescent="0.25">
      <c r="A7070" s="180">
        <f t="shared" si="110"/>
        <v>8307018</v>
      </c>
      <c r="B7070" t="s">
        <v>4114</v>
      </c>
      <c r="C7070" t="s">
        <v>4115</v>
      </c>
      <c r="D7070" t="s">
        <v>13412</v>
      </c>
    </row>
    <row r="7071" spans="1:4" x14ac:dyDescent="0.25">
      <c r="A7071" s="180">
        <f t="shared" si="110"/>
        <v>8307018</v>
      </c>
      <c r="B7071" t="s">
        <v>4114</v>
      </c>
      <c r="C7071" t="s">
        <v>4115</v>
      </c>
      <c r="D7071" t="s">
        <v>13412</v>
      </c>
    </row>
    <row r="7072" spans="1:4" x14ac:dyDescent="0.25">
      <c r="A7072" s="180">
        <f t="shared" si="110"/>
        <v>8307018</v>
      </c>
      <c r="B7072" t="s">
        <v>4114</v>
      </c>
      <c r="C7072" t="s">
        <v>4115</v>
      </c>
      <c r="D7072" t="s">
        <v>13412</v>
      </c>
    </row>
    <row r="7073" spans="1:4" x14ac:dyDescent="0.25">
      <c r="A7073" s="180">
        <f t="shared" si="110"/>
        <v>8307018</v>
      </c>
      <c r="B7073" t="s">
        <v>4114</v>
      </c>
      <c r="C7073" t="s">
        <v>4115</v>
      </c>
      <c r="D7073" t="s">
        <v>13412</v>
      </c>
    </row>
    <row r="7074" spans="1:4" x14ac:dyDescent="0.25">
      <c r="A7074" s="180">
        <f t="shared" si="110"/>
        <v>8307018</v>
      </c>
      <c r="B7074" t="s">
        <v>4114</v>
      </c>
      <c r="C7074" t="s">
        <v>4115</v>
      </c>
      <c r="D7074" t="s">
        <v>13412</v>
      </c>
    </row>
    <row r="7075" spans="1:4" x14ac:dyDescent="0.25">
      <c r="A7075" s="180">
        <f t="shared" si="110"/>
        <v>8307018</v>
      </c>
      <c r="B7075" t="s">
        <v>4114</v>
      </c>
      <c r="C7075" t="s">
        <v>4115</v>
      </c>
      <c r="D7075" t="s">
        <v>13412</v>
      </c>
    </row>
    <row r="7076" spans="1:4" x14ac:dyDescent="0.25">
      <c r="A7076" s="180">
        <f t="shared" si="110"/>
        <v>8307018</v>
      </c>
      <c r="B7076" t="s">
        <v>4114</v>
      </c>
      <c r="C7076" t="s">
        <v>4115</v>
      </c>
      <c r="D7076" t="s">
        <v>13412</v>
      </c>
    </row>
    <row r="7077" spans="1:4" x14ac:dyDescent="0.25">
      <c r="A7077" s="180">
        <f t="shared" si="110"/>
        <v>8307159</v>
      </c>
      <c r="B7077" t="s">
        <v>4116</v>
      </c>
      <c r="C7077" t="s">
        <v>4117</v>
      </c>
    </row>
    <row r="7078" spans="1:4" x14ac:dyDescent="0.25">
      <c r="A7078" s="180">
        <f t="shared" si="110"/>
        <v>8307810</v>
      </c>
      <c r="B7078" t="s">
        <v>4118</v>
      </c>
      <c r="C7078" t="s">
        <v>4119</v>
      </c>
      <c r="D7078" t="s">
        <v>13412</v>
      </c>
    </row>
    <row r="7079" spans="1:4" x14ac:dyDescent="0.25">
      <c r="A7079" s="180">
        <f t="shared" si="110"/>
        <v>8307810</v>
      </c>
      <c r="B7079" t="s">
        <v>4118</v>
      </c>
      <c r="C7079" t="s">
        <v>4119</v>
      </c>
      <c r="D7079" t="s">
        <v>13412</v>
      </c>
    </row>
    <row r="7080" spans="1:4" x14ac:dyDescent="0.25">
      <c r="A7080" s="180">
        <f t="shared" si="110"/>
        <v>8307810</v>
      </c>
      <c r="B7080" t="s">
        <v>4118</v>
      </c>
      <c r="C7080" t="s">
        <v>4119</v>
      </c>
      <c r="D7080" t="s">
        <v>13412</v>
      </c>
    </row>
    <row r="7081" spans="1:4" x14ac:dyDescent="0.25">
      <c r="A7081" s="180">
        <f t="shared" si="110"/>
        <v>8307810</v>
      </c>
      <c r="B7081" t="s">
        <v>4118</v>
      </c>
      <c r="C7081" t="s">
        <v>4119</v>
      </c>
      <c r="D7081" t="s">
        <v>13412</v>
      </c>
    </row>
    <row r="7082" spans="1:4" x14ac:dyDescent="0.25">
      <c r="A7082" s="180">
        <f t="shared" si="110"/>
        <v>8307810</v>
      </c>
      <c r="B7082" t="s">
        <v>4118</v>
      </c>
      <c r="C7082" t="s">
        <v>4119</v>
      </c>
      <c r="D7082" t="s">
        <v>13412</v>
      </c>
    </row>
    <row r="7083" spans="1:4" x14ac:dyDescent="0.25">
      <c r="A7083" s="180">
        <f t="shared" si="110"/>
        <v>8307811</v>
      </c>
      <c r="B7083" t="s">
        <v>4120</v>
      </c>
      <c r="C7083" t="s">
        <v>4121</v>
      </c>
      <c r="D7083" t="s">
        <v>13412</v>
      </c>
    </row>
    <row r="7084" spans="1:4" x14ac:dyDescent="0.25">
      <c r="A7084" s="180">
        <f t="shared" si="110"/>
        <v>8307811</v>
      </c>
      <c r="B7084" t="s">
        <v>4120</v>
      </c>
      <c r="C7084" t="s">
        <v>4121</v>
      </c>
      <c r="D7084" t="s">
        <v>13412</v>
      </c>
    </row>
    <row r="7085" spans="1:4" x14ac:dyDescent="0.25">
      <c r="A7085" s="180">
        <f t="shared" si="110"/>
        <v>8307811</v>
      </c>
      <c r="B7085" t="s">
        <v>4120</v>
      </c>
      <c r="C7085" t="s">
        <v>4121</v>
      </c>
      <c r="D7085" t="s">
        <v>13412</v>
      </c>
    </row>
    <row r="7086" spans="1:4" x14ac:dyDescent="0.25">
      <c r="A7086" s="180">
        <f t="shared" si="110"/>
        <v>8307811</v>
      </c>
      <c r="B7086" t="s">
        <v>4120</v>
      </c>
      <c r="C7086" t="s">
        <v>4121</v>
      </c>
      <c r="D7086" t="s">
        <v>13412</v>
      </c>
    </row>
    <row r="7087" spans="1:4" x14ac:dyDescent="0.25">
      <c r="A7087" s="180">
        <f t="shared" si="110"/>
        <v>8351026</v>
      </c>
      <c r="B7087" t="s">
        <v>4122</v>
      </c>
      <c r="C7087" t="s">
        <v>4123</v>
      </c>
    </row>
    <row r="7088" spans="1:4" x14ac:dyDescent="0.25">
      <c r="A7088" s="180">
        <f t="shared" si="110"/>
        <v>8400000</v>
      </c>
      <c r="B7088" t="s">
        <v>4124</v>
      </c>
      <c r="C7088" t="s">
        <v>4125</v>
      </c>
      <c r="D7088" t="s">
        <v>13412</v>
      </c>
    </row>
    <row r="7089" spans="1:4" x14ac:dyDescent="0.25">
      <c r="A7089" s="180">
        <f t="shared" si="110"/>
        <v>8400001</v>
      </c>
      <c r="B7089" t="s">
        <v>4126</v>
      </c>
      <c r="C7089" t="s">
        <v>4127</v>
      </c>
    </row>
    <row r="7090" spans="1:4" x14ac:dyDescent="0.25">
      <c r="A7090" s="180">
        <f t="shared" si="110"/>
        <v>8400002</v>
      </c>
      <c r="B7090" t="s">
        <v>4128</v>
      </c>
      <c r="C7090" t="s">
        <v>4129</v>
      </c>
      <c r="D7090" t="s">
        <v>13412</v>
      </c>
    </row>
    <row r="7091" spans="1:4" x14ac:dyDescent="0.25">
      <c r="A7091" s="180">
        <f t="shared" si="110"/>
        <v>8400003</v>
      </c>
      <c r="B7091" t="s">
        <v>4130</v>
      </c>
      <c r="C7091" t="s">
        <v>6979</v>
      </c>
    </row>
    <row r="7092" spans="1:4" x14ac:dyDescent="0.25">
      <c r="A7092" s="180">
        <f t="shared" si="110"/>
        <v>8400004</v>
      </c>
      <c r="B7092" t="s">
        <v>6980</v>
      </c>
      <c r="C7092" t="s">
        <v>6981</v>
      </c>
    </row>
    <row r="7093" spans="1:4" x14ac:dyDescent="0.25">
      <c r="A7093" s="180">
        <f t="shared" si="110"/>
        <v>8400005</v>
      </c>
      <c r="B7093" t="s">
        <v>12690</v>
      </c>
      <c r="C7093" t="s">
        <v>12691</v>
      </c>
      <c r="D7093" t="s">
        <v>13412</v>
      </c>
    </row>
    <row r="7094" spans="1:4" x14ac:dyDescent="0.25">
      <c r="A7094" s="180">
        <f t="shared" si="110"/>
        <v>8400006</v>
      </c>
      <c r="B7094" t="s">
        <v>14525</v>
      </c>
      <c r="C7094" t="s">
        <v>14526</v>
      </c>
      <c r="D7094" t="s">
        <v>13411</v>
      </c>
    </row>
    <row r="7095" spans="1:4" x14ac:dyDescent="0.25">
      <c r="A7095" s="180">
        <f t="shared" si="110"/>
        <v>8400007</v>
      </c>
      <c r="B7095" t="s">
        <v>13333</v>
      </c>
      <c r="C7095" t="s">
        <v>13334</v>
      </c>
      <c r="D7095" t="s">
        <v>13411</v>
      </c>
    </row>
    <row r="7096" spans="1:4" x14ac:dyDescent="0.25">
      <c r="A7096" s="180">
        <f t="shared" si="110"/>
        <v>8400008</v>
      </c>
      <c r="B7096" t="s">
        <v>4131</v>
      </c>
      <c r="C7096" t="s">
        <v>12692</v>
      </c>
      <c r="D7096" t="s">
        <v>13412</v>
      </c>
    </row>
    <row r="7097" spans="1:4" x14ac:dyDescent="0.25">
      <c r="A7097" s="180">
        <f t="shared" si="110"/>
        <v>8400008</v>
      </c>
      <c r="B7097" t="s">
        <v>4131</v>
      </c>
      <c r="C7097" t="s">
        <v>12692</v>
      </c>
      <c r="D7097" t="s">
        <v>13412</v>
      </c>
    </row>
    <row r="7098" spans="1:4" x14ac:dyDescent="0.25">
      <c r="A7098" s="180">
        <f t="shared" si="110"/>
        <v>8400008</v>
      </c>
      <c r="B7098" t="s">
        <v>4131</v>
      </c>
      <c r="C7098" t="s">
        <v>12692</v>
      </c>
      <c r="D7098" t="s">
        <v>13412</v>
      </c>
    </row>
    <row r="7099" spans="1:4" x14ac:dyDescent="0.25">
      <c r="A7099" s="180">
        <f t="shared" si="110"/>
        <v>8400008</v>
      </c>
      <c r="B7099" t="s">
        <v>4131</v>
      </c>
      <c r="C7099" t="s">
        <v>12692</v>
      </c>
      <c r="D7099" t="s">
        <v>13412</v>
      </c>
    </row>
    <row r="7100" spans="1:4" x14ac:dyDescent="0.25">
      <c r="A7100" s="180">
        <f t="shared" si="110"/>
        <v>8400008</v>
      </c>
      <c r="B7100" t="s">
        <v>4131</v>
      </c>
      <c r="C7100" t="s">
        <v>12692</v>
      </c>
      <c r="D7100" t="s">
        <v>13412</v>
      </c>
    </row>
    <row r="7101" spans="1:4" x14ac:dyDescent="0.25">
      <c r="A7101" s="180">
        <f t="shared" si="110"/>
        <v>8400008</v>
      </c>
      <c r="B7101" t="s">
        <v>4131</v>
      </c>
      <c r="C7101" t="s">
        <v>12692</v>
      </c>
      <c r="D7101" t="s">
        <v>13412</v>
      </c>
    </row>
    <row r="7102" spans="1:4" x14ac:dyDescent="0.25">
      <c r="A7102" s="180">
        <f t="shared" si="110"/>
        <v>8400008</v>
      </c>
      <c r="B7102" t="s">
        <v>4131</v>
      </c>
      <c r="C7102" t="s">
        <v>12692</v>
      </c>
      <c r="D7102" t="s">
        <v>13412</v>
      </c>
    </row>
    <row r="7103" spans="1:4" x14ac:dyDescent="0.25">
      <c r="A7103" s="180">
        <f t="shared" ref="A7103:A7166" si="111">IFERROR(B7103*1,"")</f>
        <v>8400008</v>
      </c>
      <c r="B7103" t="s">
        <v>4131</v>
      </c>
      <c r="C7103" t="s">
        <v>12692</v>
      </c>
      <c r="D7103" t="s">
        <v>13412</v>
      </c>
    </row>
    <row r="7104" spans="1:4" x14ac:dyDescent="0.25">
      <c r="A7104" s="180">
        <f t="shared" si="111"/>
        <v>8400008</v>
      </c>
      <c r="B7104" t="s">
        <v>4131</v>
      </c>
      <c r="C7104" t="s">
        <v>12692</v>
      </c>
      <c r="D7104" t="s">
        <v>13412</v>
      </c>
    </row>
    <row r="7105" spans="1:4" x14ac:dyDescent="0.25">
      <c r="A7105" s="180">
        <f t="shared" si="111"/>
        <v>8400009</v>
      </c>
      <c r="B7105" t="s">
        <v>4132</v>
      </c>
      <c r="C7105" t="s">
        <v>4133</v>
      </c>
    </row>
    <row r="7106" spans="1:4" x14ac:dyDescent="0.25">
      <c r="A7106" s="180">
        <f t="shared" si="111"/>
        <v>8400010</v>
      </c>
      <c r="B7106" t="s">
        <v>4134</v>
      </c>
      <c r="C7106" t="s">
        <v>4135</v>
      </c>
      <c r="D7106" t="s">
        <v>13412</v>
      </c>
    </row>
    <row r="7107" spans="1:4" x14ac:dyDescent="0.25">
      <c r="A7107" s="180">
        <f t="shared" si="111"/>
        <v>8400019</v>
      </c>
      <c r="B7107" t="s">
        <v>14134</v>
      </c>
      <c r="C7107" t="s">
        <v>14135</v>
      </c>
      <c r="D7107" t="s">
        <v>13412</v>
      </c>
    </row>
    <row r="7108" spans="1:4" x14ac:dyDescent="0.25">
      <c r="A7108" s="180">
        <f t="shared" si="111"/>
        <v>8400020</v>
      </c>
      <c r="B7108" t="s">
        <v>4136</v>
      </c>
      <c r="C7108" t="s">
        <v>4137</v>
      </c>
    </row>
    <row r="7109" spans="1:4" x14ac:dyDescent="0.25">
      <c r="A7109" s="180">
        <f t="shared" si="111"/>
        <v>8400021</v>
      </c>
      <c r="B7109" t="s">
        <v>4138</v>
      </c>
      <c r="C7109" t="s">
        <v>4139</v>
      </c>
    </row>
    <row r="7110" spans="1:4" x14ac:dyDescent="0.25">
      <c r="A7110" s="180">
        <f t="shared" si="111"/>
        <v>8400024</v>
      </c>
      <c r="B7110" t="s">
        <v>4140</v>
      </c>
      <c r="C7110" t="s">
        <v>4141</v>
      </c>
      <c r="D7110" t="s">
        <v>13412</v>
      </c>
    </row>
    <row r="7111" spans="1:4" x14ac:dyDescent="0.25">
      <c r="A7111" s="180">
        <f t="shared" si="111"/>
        <v>8400025</v>
      </c>
      <c r="B7111" t="s">
        <v>4142</v>
      </c>
      <c r="C7111" t="s">
        <v>4143</v>
      </c>
    </row>
    <row r="7112" spans="1:4" x14ac:dyDescent="0.25">
      <c r="A7112" s="180">
        <f t="shared" si="111"/>
        <v>8400026</v>
      </c>
      <c r="B7112" t="s">
        <v>4144</v>
      </c>
      <c r="C7112" t="s">
        <v>4145</v>
      </c>
      <c r="D7112" t="s">
        <v>13411</v>
      </c>
    </row>
    <row r="7113" spans="1:4" x14ac:dyDescent="0.25">
      <c r="A7113" s="180">
        <f t="shared" si="111"/>
        <v>8400027</v>
      </c>
      <c r="B7113" t="s">
        <v>4146</v>
      </c>
      <c r="C7113" t="s">
        <v>4147</v>
      </c>
      <c r="D7113" t="s">
        <v>13412</v>
      </c>
    </row>
    <row r="7114" spans="1:4" x14ac:dyDescent="0.25">
      <c r="A7114" s="180">
        <f t="shared" si="111"/>
        <v>8400028</v>
      </c>
      <c r="B7114" t="s">
        <v>4148</v>
      </c>
      <c r="C7114" t="s">
        <v>4149</v>
      </c>
    </row>
    <row r="7115" spans="1:4" x14ac:dyDescent="0.25">
      <c r="A7115" s="180">
        <f t="shared" si="111"/>
        <v>8400029</v>
      </c>
      <c r="B7115" t="s">
        <v>4150</v>
      </c>
      <c r="C7115" t="s">
        <v>4151</v>
      </c>
    </row>
    <row r="7116" spans="1:4" x14ac:dyDescent="0.25">
      <c r="A7116" s="180">
        <f t="shared" si="111"/>
        <v>8400030</v>
      </c>
      <c r="B7116" t="s">
        <v>4152</v>
      </c>
      <c r="C7116" t="s">
        <v>4153</v>
      </c>
    </row>
    <row r="7117" spans="1:4" x14ac:dyDescent="0.25">
      <c r="A7117" s="180">
        <f t="shared" si="111"/>
        <v>8400032</v>
      </c>
      <c r="B7117" t="s">
        <v>4154</v>
      </c>
      <c r="C7117" t="s">
        <v>4155</v>
      </c>
      <c r="D7117" t="s">
        <v>13411</v>
      </c>
    </row>
    <row r="7118" spans="1:4" x14ac:dyDescent="0.25">
      <c r="A7118" s="180">
        <f t="shared" si="111"/>
        <v>8400035</v>
      </c>
      <c r="B7118" t="s">
        <v>4156</v>
      </c>
      <c r="C7118" t="s">
        <v>4157</v>
      </c>
    </row>
    <row r="7119" spans="1:4" x14ac:dyDescent="0.25">
      <c r="A7119" s="180">
        <f t="shared" si="111"/>
        <v>8400036</v>
      </c>
      <c r="B7119" t="s">
        <v>4158</v>
      </c>
      <c r="C7119" t="s">
        <v>4159</v>
      </c>
    </row>
    <row r="7120" spans="1:4" x14ac:dyDescent="0.25">
      <c r="A7120" s="180">
        <f t="shared" si="111"/>
        <v>8400051</v>
      </c>
      <c r="B7120" t="s">
        <v>12693</v>
      </c>
      <c r="C7120" t="s">
        <v>12694</v>
      </c>
    </row>
    <row r="7121" spans="1:4" x14ac:dyDescent="0.25">
      <c r="A7121" s="180">
        <f t="shared" si="111"/>
        <v>8400062</v>
      </c>
      <c r="B7121" t="s">
        <v>4160</v>
      </c>
      <c r="C7121" t="s">
        <v>4161</v>
      </c>
      <c r="D7121" t="s">
        <v>13411</v>
      </c>
    </row>
    <row r="7122" spans="1:4" x14ac:dyDescent="0.25">
      <c r="A7122" s="180">
        <f t="shared" si="111"/>
        <v>8400070</v>
      </c>
      <c r="B7122" t="s">
        <v>4162</v>
      </c>
      <c r="C7122" t="s">
        <v>4163</v>
      </c>
      <c r="D7122" t="s">
        <v>13412</v>
      </c>
    </row>
    <row r="7123" spans="1:4" x14ac:dyDescent="0.25">
      <c r="A7123" s="180">
        <f t="shared" si="111"/>
        <v>8400076</v>
      </c>
      <c r="B7123" t="s">
        <v>4164</v>
      </c>
      <c r="C7123" t="s">
        <v>4165</v>
      </c>
    </row>
    <row r="7124" spans="1:4" x14ac:dyDescent="0.25">
      <c r="A7124" s="180">
        <f t="shared" si="111"/>
        <v>8400080</v>
      </c>
      <c r="B7124" t="s">
        <v>4166</v>
      </c>
      <c r="C7124" t="s">
        <v>4167</v>
      </c>
      <c r="D7124" t="s">
        <v>13412</v>
      </c>
    </row>
    <row r="7125" spans="1:4" x14ac:dyDescent="0.25">
      <c r="A7125" s="180">
        <f t="shared" si="111"/>
        <v>8400085</v>
      </c>
      <c r="B7125" t="s">
        <v>4168</v>
      </c>
      <c r="C7125" t="s">
        <v>4169</v>
      </c>
    </row>
    <row r="7126" spans="1:4" x14ac:dyDescent="0.25">
      <c r="A7126" s="180">
        <f t="shared" si="111"/>
        <v>8400086</v>
      </c>
      <c r="B7126" t="s">
        <v>4170</v>
      </c>
      <c r="C7126" t="s">
        <v>4171</v>
      </c>
    </row>
    <row r="7127" spans="1:4" x14ac:dyDescent="0.25">
      <c r="A7127" s="180">
        <f t="shared" si="111"/>
        <v>8400087</v>
      </c>
      <c r="B7127" t="s">
        <v>4172</v>
      </c>
      <c r="C7127" t="s">
        <v>4173</v>
      </c>
    </row>
    <row r="7128" spans="1:4" x14ac:dyDescent="0.25">
      <c r="A7128" s="180">
        <f t="shared" si="111"/>
        <v>8400088</v>
      </c>
      <c r="B7128" t="s">
        <v>4174</v>
      </c>
      <c r="C7128" t="s">
        <v>4175</v>
      </c>
    </row>
    <row r="7129" spans="1:4" x14ac:dyDescent="0.25">
      <c r="A7129" s="180">
        <f t="shared" si="111"/>
        <v>8400089</v>
      </c>
      <c r="B7129" t="s">
        <v>4176</v>
      </c>
      <c r="C7129" t="s">
        <v>4177</v>
      </c>
    </row>
    <row r="7130" spans="1:4" x14ac:dyDescent="0.25">
      <c r="A7130" s="180">
        <f t="shared" si="111"/>
        <v>8400090</v>
      </c>
      <c r="B7130" t="s">
        <v>4178</v>
      </c>
      <c r="C7130" t="s">
        <v>4179</v>
      </c>
    </row>
    <row r="7131" spans="1:4" x14ac:dyDescent="0.25">
      <c r="A7131" s="180">
        <f t="shared" si="111"/>
        <v>8400091</v>
      </c>
      <c r="B7131" t="s">
        <v>6982</v>
      </c>
      <c r="C7131" t="s">
        <v>6983</v>
      </c>
      <c r="D7131" t="s">
        <v>13411</v>
      </c>
    </row>
    <row r="7132" spans="1:4" x14ac:dyDescent="0.25">
      <c r="A7132" s="180">
        <f t="shared" si="111"/>
        <v>8400100</v>
      </c>
      <c r="B7132" t="s">
        <v>14992</v>
      </c>
      <c r="C7132" t="s">
        <v>14993</v>
      </c>
      <c r="D7132" t="s">
        <v>13412</v>
      </c>
    </row>
    <row r="7133" spans="1:4" x14ac:dyDescent="0.25">
      <c r="A7133" s="180">
        <f t="shared" si="111"/>
        <v>8400105</v>
      </c>
      <c r="B7133" t="s">
        <v>4180</v>
      </c>
      <c r="C7133" t="s">
        <v>4181</v>
      </c>
      <c r="D7133" t="s">
        <v>13411</v>
      </c>
    </row>
    <row r="7134" spans="1:4" x14ac:dyDescent="0.25">
      <c r="A7134" s="180">
        <f t="shared" si="111"/>
        <v>8400106</v>
      </c>
      <c r="B7134" t="s">
        <v>4182</v>
      </c>
      <c r="C7134" t="s">
        <v>4183</v>
      </c>
    </row>
    <row r="7135" spans="1:4" x14ac:dyDescent="0.25">
      <c r="A7135" s="180">
        <f t="shared" si="111"/>
        <v>8400107</v>
      </c>
      <c r="B7135" t="s">
        <v>6984</v>
      </c>
      <c r="C7135" t="s">
        <v>6985</v>
      </c>
    </row>
    <row r="7136" spans="1:4" x14ac:dyDescent="0.25">
      <c r="A7136" s="180">
        <f t="shared" si="111"/>
        <v>8400110</v>
      </c>
      <c r="B7136" t="s">
        <v>4184</v>
      </c>
      <c r="C7136" t="s">
        <v>4185</v>
      </c>
      <c r="D7136" t="s">
        <v>13411</v>
      </c>
    </row>
    <row r="7137" spans="1:4" x14ac:dyDescent="0.25">
      <c r="A7137" s="180">
        <f t="shared" si="111"/>
        <v>8400111</v>
      </c>
      <c r="B7137" t="s">
        <v>4186</v>
      </c>
      <c r="C7137" t="s">
        <v>4187</v>
      </c>
    </row>
    <row r="7138" spans="1:4" x14ac:dyDescent="0.25">
      <c r="A7138" s="180">
        <f t="shared" si="111"/>
        <v>8400112</v>
      </c>
      <c r="B7138" t="s">
        <v>4188</v>
      </c>
      <c r="C7138" t="s">
        <v>4189</v>
      </c>
      <c r="D7138" t="s">
        <v>13411</v>
      </c>
    </row>
    <row r="7139" spans="1:4" x14ac:dyDescent="0.25">
      <c r="A7139" s="180">
        <f t="shared" si="111"/>
        <v>8400113</v>
      </c>
      <c r="B7139" t="s">
        <v>4190</v>
      </c>
      <c r="C7139" t="s">
        <v>4191</v>
      </c>
    </row>
    <row r="7140" spans="1:4" x14ac:dyDescent="0.25">
      <c r="A7140" s="180">
        <f t="shared" si="111"/>
        <v>8400114</v>
      </c>
      <c r="B7140" t="s">
        <v>4192</v>
      </c>
      <c r="C7140" t="s">
        <v>4193</v>
      </c>
    </row>
    <row r="7141" spans="1:4" x14ac:dyDescent="0.25">
      <c r="A7141" s="180">
        <f t="shared" si="111"/>
        <v>8400116</v>
      </c>
      <c r="B7141" t="s">
        <v>4194</v>
      </c>
      <c r="C7141" t="s">
        <v>4195</v>
      </c>
      <c r="D7141" t="s">
        <v>13411</v>
      </c>
    </row>
    <row r="7142" spans="1:4" x14ac:dyDescent="0.25">
      <c r="A7142" s="180">
        <f t="shared" si="111"/>
        <v>8400117</v>
      </c>
      <c r="B7142" t="s">
        <v>4196</v>
      </c>
      <c r="C7142" t="s">
        <v>4197</v>
      </c>
    </row>
    <row r="7143" spans="1:4" x14ac:dyDescent="0.25">
      <c r="A7143" s="180">
        <f t="shared" si="111"/>
        <v>8400119</v>
      </c>
      <c r="B7143" t="s">
        <v>4198</v>
      </c>
      <c r="C7143" t="s">
        <v>12891</v>
      </c>
      <c r="D7143" t="s">
        <v>13412</v>
      </c>
    </row>
    <row r="7144" spans="1:4" x14ac:dyDescent="0.25">
      <c r="A7144" s="180">
        <f t="shared" si="111"/>
        <v>8400119</v>
      </c>
      <c r="B7144" t="s">
        <v>4198</v>
      </c>
      <c r="C7144" t="s">
        <v>12891</v>
      </c>
      <c r="D7144" t="s">
        <v>13412</v>
      </c>
    </row>
    <row r="7145" spans="1:4" x14ac:dyDescent="0.25">
      <c r="A7145" s="180">
        <f t="shared" si="111"/>
        <v>8400119</v>
      </c>
      <c r="B7145" t="s">
        <v>4198</v>
      </c>
      <c r="C7145" t="s">
        <v>12891</v>
      </c>
      <c r="D7145" t="s">
        <v>13412</v>
      </c>
    </row>
    <row r="7146" spans="1:4" x14ac:dyDescent="0.25">
      <c r="A7146" s="180">
        <f t="shared" si="111"/>
        <v>8400120</v>
      </c>
      <c r="B7146" t="s">
        <v>4199</v>
      </c>
      <c r="C7146" t="s">
        <v>4200</v>
      </c>
      <c r="D7146" t="s">
        <v>13411</v>
      </c>
    </row>
    <row r="7147" spans="1:4" x14ac:dyDescent="0.25">
      <c r="A7147" s="180">
        <f t="shared" si="111"/>
        <v>8400121</v>
      </c>
      <c r="B7147" t="s">
        <v>4201</v>
      </c>
      <c r="C7147" t="s">
        <v>4202</v>
      </c>
    </row>
    <row r="7148" spans="1:4" x14ac:dyDescent="0.25">
      <c r="A7148" s="180">
        <f t="shared" si="111"/>
        <v>8400122</v>
      </c>
      <c r="B7148" t="s">
        <v>4203</v>
      </c>
      <c r="C7148" t="s">
        <v>4204</v>
      </c>
    </row>
    <row r="7149" spans="1:4" x14ac:dyDescent="0.25">
      <c r="A7149" s="180">
        <f t="shared" si="111"/>
        <v>8400123</v>
      </c>
      <c r="B7149" t="s">
        <v>4205</v>
      </c>
      <c r="C7149" t="s">
        <v>4206</v>
      </c>
      <c r="D7149" t="s">
        <v>13412</v>
      </c>
    </row>
    <row r="7150" spans="1:4" x14ac:dyDescent="0.25">
      <c r="A7150" s="180">
        <f t="shared" si="111"/>
        <v>8400124</v>
      </c>
      <c r="B7150" t="s">
        <v>4207</v>
      </c>
      <c r="C7150" t="s">
        <v>4208</v>
      </c>
      <c r="D7150" t="s">
        <v>13411</v>
      </c>
    </row>
    <row r="7151" spans="1:4" x14ac:dyDescent="0.25">
      <c r="A7151" s="180">
        <f t="shared" si="111"/>
        <v>8400125</v>
      </c>
      <c r="B7151" t="s">
        <v>4209</v>
      </c>
      <c r="C7151" t="s">
        <v>4210</v>
      </c>
      <c r="D7151" t="s">
        <v>13411</v>
      </c>
    </row>
    <row r="7152" spans="1:4" x14ac:dyDescent="0.25">
      <c r="A7152" s="180">
        <f t="shared" si="111"/>
        <v>8400126</v>
      </c>
      <c r="B7152" t="s">
        <v>4211</v>
      </c>
      <c r="C7152" t="s">
        <v>4212</v>
      </c>
      <c r="D7152" t="s">
        <v>13412</v>
      </c>
    </row>
    <row r="7153" spans="1:4" x14ac:dyDescent="0.25">
      <c r="A7153" s="180">
        <f t="shared" si="111"/>
        <v>8400126</v>
      </c>
      <c r="B7153" t="s">
        <v>4211</v>
      </c>
      <c r="C7153" t="s">
        <v>4212</v>
      </c>
      <c r="D7153" t="s">
        <v>13412</v>
      </c>
    </row>
    <row r="7154" spans="1:4" x14ac:dyDescent="0.25">
      <c r="A7154" s="180">
        <f t="shared" si="111"/>
        <v>8400127</v>
      </c>
      <c r="B7154" t="s">
        <v>4213</v>
      </c>
      <c r="C7154" t="s">
        <v>4214</v>
      </c>
    </row>
    <row r="7155" spans="1:4" x14ac:dyDescent="0.25">
      <c r="A7155" s="180">
        <f t="shared" si="111"/>
        <v>8400128</v>
      </c>
      <c r="B7155" t="s">
        <v>4215</v>
      </c>
      <c r="C7155" t="s">
        <v>4216</v>
      </c>
      <c r="D7155" t="s">
        <v>13411</v>
      </c>
    </row>
    <row r="7156" spans="1:4" x14ac:dyDescent="0.25">
      <c r="A7156" s="180">
        <f t="shared" si="111"/>
        <v>8400129</v>
      </c>
      <c r="B7156" t="s">
        <v>4217</v>
      </c>
      <c r="C7156" t="s">
        <v>4218</v>
      </c>
      <c r="D7156" t="s">
        <v>13411</v>
      </c>
    </row>
    <row r="7157" spans="1:4" x14ac:dyDescent="0.25">
      <c r="A7157" s="180">
        <f t="shared" si="111"/>
        <v>8400130</v>
      </c>
      <c r="B7157" t="s">
        <v>4219</v>
      </c>
      <c r="C7157" t="s">
        <v>4220</v>
      </c>
      <c r="D7157" t="s">
        <v>13411</v>
      </c>
    </row>
    <row r="7158" spans="1:4" x14ac:dyDescent="0.25">
      <c r="A7158" s="180">
        <f t="shared" si="111"/>
        <v>8400131</v>
      </c>
      <c r="B7158" t="s">
        <v>4221</v>
      </c>
      <c r="C7158" t="s">
        <v>4222</v>
      </c>
      <c r="D7158" t="s">
        <v>13411</v>
      </c>
    </row>
    <row r="7159" spans="1:4" x14ac:dyDescent="0.25">
      <c r="A7159" s="180">
        <f t="shared" si="111"/>
        <v>8400132</v>
      </c>
      <c r="B7159" t="s">
        <v>4223</v>
      </c>
      <c r="C7159" t="s">
        <v>4224</v>
      </c>
    </row>
    <row r="7160" spans="1:4" x14ac:dyDescent="0.25">
      <c r="A7160" s="180">
        <f t="shared" si="111"/>
        <v>8400142</v>
      </c>
      <c r="B7160" t="s">
        <v>4225</v>
      </c>
      <c r="C7160" t="s">
        <v>4226</v>
      </c>
      <c r="D7160" t="s">
        <v>13411</v>
      </c>
    </row>
    <row r="7161" spans="1:4" x14ac:dyDescent="0.25">
      <c r="A7161" s="180">
        <f t="shared" si="111"/>
        <v>8400150</v>
      </c>
      <c r="B7161" t="s">
        <v>4227</v>
      </c>
      <c r="C7161" t="s">
        <v>4228</v>
      </c>
      <c r="D7161" t="s">
        <v>13411</v>
      </c>
    </row>
    <row r="7162" spans="1:4" x14ac:dyDescent="0.25">
      <c r="A7162" s="180">
        <f t="shared" si="111"/>
        <v>8400155</v>
      </c>
      <c r="B7162" t="s">
        <v>4229</v>
      </c>
      <c r="C7162" t="s">
        <v>4230</v>
      </c>
    </row>
    <row r="7163" spans="1:4" x14ac:dyDescent="0.25">
      <c r="A7163" s="180">
        <f t="shared" si="111"/>
        <v>8400158</v>
      </c>
      <c r="B7163" t="s">
        <v>4231</v>
      </c>
      <c r="C7163" t="s">
        <v>4232</v>
      </c>
    </row>
    <row r="7164" spans="1:4" x14ac:dyDescent="0.25">
      <c r="A7164" s="180">
        <f t="shared" si="111"/>
        <v>8400164</v>
      </c>
      <c r="B7164" t="s">
        <v>4233</v>
      </c>
      <c r="C7164" t="s">
        <v>4234</v>
      </c>
    </row>
    <row r="7165" spans="1:4" x14ac:dyDescent="0.25">
      <c r="A7165" s="180">
        <f t="shared" si="111"/>
        <v>8400165</v>
      </c>
      <c r="B7165" t="s">
        <v>4235</v>
      </c>
      <c r="C7165" t="s">
        <v>4236</v>
      </c>
    </row>
    <row r="7166" spans="1:4" x14ac:dyDescent="0.25">
      <c r="A7166" s="180">
        <f t="shared" si="111"/>
        <v>8400166</v>
      </c>
      <c r="B7166" t="s">
        <v>4237</v>
      </c>
      <c r="C7166" t="s">
        <v>4238</v>
      </c>
    </row>
    <row r="7167" spans="1:4" x14ac:dyDescent="0.25">
      <c r="A7167" s="180">
        <f t="shared" ref="A7167:A7230" si="112">IFERROR(B7167*1,"")</f>
        <v>8400167</v>
      </c>
      <c r="B7167" t="s">
        <v>4239</v>
      </c>
      <c r="C7167" t="s">
        <v>4240</v>
      </c>
      <c r="D7167" t="s">
        <v>13411</v>
      </c>
    </row>
    <row r="7168" spans="1:4" x14ac:dyDescent="0.25">
      <c r="A7168" s="180">
        <f t="shared" si="112"/>
        <v>8400168</v>
      </c>
      <c r="B7168" t="s">
        <v>4241</v>
      </c>
      <c r="C7168" t="s">
        <v>4242</v>
      </c>
      <c r="D7168" t="s">
        <v>13411</v>
      </c>
    </row>
    <row r="7169" spans="1:4" x14ac:dyDescent="0.25">
      <c r="A7169" s="180">
        <f t="shared" si="112"/>
        <v>8400169</v>
      </c>
      <c r="B7169" t="s">
        <v>4243</v>
      </c>
      <c r="C7169" t="s">
        <v>4244</v>
      </c>
      <c r="D7169" t="s">
        <v>13411</v>
      </c>
    </row>
    <row r="7170" spans="1:4" x14ac:dyDescent="0.25">
      <c r="A7170" s="180">
        <f t="shared" si="112"/>
        <v>8400170</v>
      </c>
      <c r="B7170" t="s">
        <v>4245</v>
      </c>
      <c r="C7170" t="s">
        <v>4246</v>
      </c>
      <c r="D7170" t="s">
        <v>13412</v>
      </c>
    </row>
    <row r="7171" spans="1:4" x14ac:dyDescent="0.25">
      <c r="A7171" s="180">
        <f t="shared" si="112"/>
        <v>8400173</v>
      </c>
      <c r="B7171" t="s">
        <v>4247</v>
      </c>
      <c r="C7171" t="s">
        <v>4248</v>
      </c>
      <c r="D7171" t="s">
        <v>13411</v>
      </c>
    </row>
    <row r="7172" spans="1:4" x14ac:dyDescent="0.25">
      <c r="A7172" s="180">
        <f t="shared" si="112"/>
        <v>8400174</v>
      </c>
      <c r="B7172" t="s">
        <v>4249</v>
      </c>
      <c r="C7172" t="s">
        <v>4250</v>
      </c>
    </row>
    <row r="7173" spans="1:4" x14ac:dyDescent="0.25">
      <c r="A7173" s="180">
        <f t="shared" si="112"/>
        <v>8400175</v>
      </c>
      <c r="B7173" t="s">
        <v>6986</v>
      </c>
      <c r="C7173" t="s">
        <v>6987</v>
      </c>
    </row>
    <row r="7174" spans="1:4" x14ac:dyDescent="0.25">
      <c r="A7174" s="180">
        <f t="shared" si="112"/>
        <v>8400190</v>
      </c>
      <c r="B7174" t="s">
        <v>4251</v>
      </c>
      <c r="C7174" t="s">
        <v>4252</v>
      </c>
    </row>
    <row r="7175" spans="1:4" x14ac:dyDescent="0.25">
      <c r="A7175" s="180">
        <f t="shared" si="112"/>
        <v>8400214</v>
      </c>
      <c r="B7175" t="s">
        <v>4253</v>
      </c>
      <c r="C7175" t="s">
        <v>4254</v>
      </c>
    </row>
    <row r="7176" spans="1:4" x14ac:dyDescent="0.25">
      <c r="A7176" s="180">
        <f t="shared" si="112"/>
        <v>8400222</v>
      </c>
      <c r="B7176" t="s">
        <v>4255</v>
      </c>
      <c r="C7176" t="s">
        <v>4256</v>
      </c>
    </row>
    <row r="7177" spans="1:4" x14ac:dyDescent="0.25">
      <c r="A7177" s="180">
        <f t="shared" si="112"/>
        <v>8400223</v>
      </c>
      <c r="B7177" t="s">
        <v>4257</v>
      </c>
      <c r="C7177" t="s">
        <v>4258</v>
      </c>
    </row>
    <row r="7178" spans="1:4" x14ac:dyDescent="0.25">
      <c r="A7178" s="180">
        <f t="shared" si="112"/>
        <v>8400224</v>
      </c>
      <c r="B7178" t="s">
        <v>4259</v>
      </c>
      <c r="C7178" t="s">
        <v>4260</v>
      </c>
      <c r="D7178" t="s">
        <v>13412</v>
      </c>
    </row>
    <row r="7179" spans="1:4" x14ac:dyDescent="0.25">
      <c r="A7179" s="180">
        <f t="shared" si="112"/>
        <v>8400240</v>
      </c>
      <c r="B7179" t="s">
        <v>4261</v>
      </c>
      <c r="C7179" t="s">
        <v>4262</v>
      </c>
      <c r="D7179" t="s">
        <v>13411</v>
      </c>
    </row>
    <row r="7180" spans="1:4" x14ac:dyDescent="0.25">
      <c r="A7180" s="180">
        <f t="shared" si="112"/>
        <v>8400252</v>
      </c>
      <c r="B7180" t="s">
        <v>4263</v>
      </c>
      <c r="C7180" t="s">
        <v>4264</v>
      </c>
      <c r="D7180" t="s">
        <v>13412</v>
      </c>
    </row>
    <row r="7181" spans="1:4" x14ac:dyDescent="0.25">
      <c r="A7181" s="180">
        <f t="shared" si="112"/>
        <v>8400265</v>
      </c>
      <c r="B7181" t="s">
        <v>4265</v>
      </c>
      <c r="C7181" t="s">
        <v>4266</v>
      </c>
    </row>
    <row r="7182" spans="1:4" x14ac:dyDescent="0.25">
      <c r="A7182" s="180">
        <f t="shared" si="112"/>
        <v>8400266</v>
      </c>
      <c r="B7182" t="s">
        <v>6988</v>
      </c>
      <c r="C7182" t="s">
        <v>6989</v>
      </c>
    </row>
    <row r="7183" spans="1:4" x14ac:dyDescent="0.25">
      <c r="A7183" s="180">
        <f t="shared" si="112"/>
        <v>8400267</v>
      </c>
      <c r="B7183" t="s">
        <v>14527</v>
      </c>
      <c r="C7183" t="s">
        <v>14528</v>
      </c>
    </row>
    <row r="7184" spans="1:4" x14ac:dyDescent="0.25">
      <c r="A7184" s="180">
        <f t="shared" si="112"/>
        <v>8400280</v>
      </c>
      <c r="B7184" t="s">
        <v>4267</v>
      </c>
      <c r="C7184" t="s">
        <v>4268</v>
      </c>
    </row>
    <row r="7185" spans="1:4" x14ac:dyDescent="0.25">
      <c r="A7185" s="180">
        <f t="shared" si="112"/>
        <v>8400286</v>
      </c>
      <c r="B7185" t="s">
        <v>4269</v>
      </c>
      <c r="C7185" t="s">
        <v>4270</v>
      </c>
      <c r="D7185" t="s">
        <v>13412</v>
      </c>
    </row>
    <row r="7186" spans="1:4" x14ac:dyDescent="0.25">
      <c r="A7186" s="180">
        <f t="shared" si="112"/>
        <v>8400287</v>
      </c>
      <c r="B7186" t="s">
        <v>4271</v>
      </c>
      <c r="C7186" t="s">
        <v>4272</v>
      </c>
    </row>
    <row r="7187" spans="1:4" x14ac:dyDescent="0.25">
      <c r="A7187" s="180">
        <f t="shared" si="112"/>
        <v>8400292</v>
      </c>
      <c r="B7187" t="s">
        <v>4273</v>
      </c>
      <c r="C7187" t="s">
        <v>4274</v>
      </c>
      <c r="D7187" t="s">
        <v>13412</v>
      </c>
    </row>
    <row r="7188" spans="1:4" x14ac:dyDescent="0.25">
      <c r="A7188" s="180">
        <f t="shared" si="112"/>
        <v>8400300</v>
      </c>
      <c r="B7188" t="s">
        <v>4275</v>
      </c>
      <c r="C7188" t="s">
        <v>4276</v>
      </c>
      <c r="D7188" t="s">
        <v>13411</v>
      </c>
    </row>
    <row r="7189" spans="1:4" x14ac:dyDescent="0.25">
      <c r="A7189" s="180">
        <f t="shared" si="112"/>
        <v>8400309</v>
      </c>
      <c r="B7189" t="s">
        <v>4277</v>
      </c>
      <c r="C7189" t="s">
        <v>4278</v>
      </c>
    </row>
    <row r="7190" spans="1:4" x14ac:dyDescent="0.25">
      <c r="A7190" s="180">
        <f t="shared" si="112"/>
        <v>8400311</v>
      </c>
      <c r="B7190" t="s">
        <v>4279</v>
      </c>
      <c r="C7190" t="s">
        <v>4280</v>
      </c>
      <c r="D7190" t="s">
        <v>13412</v>
      </c>
    </row>
    <row r="7191" spans="1:4" x14ac:dyDescent="0.25">
      <c r="A7191" s="180">
        <f t="shared" si="112"/>
        <v>8400312</v>
      </c>
      <c r="B7191" t="s">
        <v>4281</v>
      </c>
      <c r="C7191" t="s">
        <v>4282</v>
      </c>
    </row>
    <row r="7192" spans="1:4" x14ac:dyDescent="0.25">
      <c r="A7192" s="180">
        <f t="shared" si="112"/>
        <v>8400323</v>
      </c>
      <c r="B7192" t="s">
        <v>4283</v>
      </c>
      <c r="C7192" t="s">
        <v>4284</v>
      </c>
      <c r="D7192" t="s">
        <v>13411</v>
      </c>
    </row>
    <row r="7193" spans="1:4" x14ac:dyDescent="0.25">
      <c r="A7193" s="180">
        <f t="shared" si="112"/>
        <v>8400330</v>
      </c>
      <c r="B7193" t="s">
        <v>4285</v>
      </c>
      <c r="C7193" t="s">
        <v>4286</v>
      </c>
      <c r="D7193" t="s">
        <v>13411</v>
      </c>
    </row>
    <row r="7194" spans="1:4" x14ac:dyDescent="0.25">
      <c r="A7194" s="180">
        <f t="shared" si="112"/>
        <v>8400331</v>
      </c>
      <c r="B7194" t="s">
        <v>12892</v>
      </c>
      <c r="C7194" t="s">
        <v>12893</v>
      </c>
      <c r="D7194" t="s">
        <v>13411</v>
      </c>
    </row>
    <row r="7195" spans="1:4" x14ac:dyDescent="0.25">
      <c r="A7195" s="180">
        <f t="shared" si="112"/>
        <v>8400333</v>
      </c>
      <c r="B7195" t="s">
        <v>4287</v>
      </c>
      <c r="C7195" t="s">
        <v>4288</v>
      </c>
      <c r="D7195" t="s">
        <v>13412</v>
      </c>
    </row>
    <row r="7196" spans="1:4" x14ac:dyDescent="0.25">
      <c r="A7196" s="180">
        <f t="shared" si="112"/>
        <v>8400356</v>
      </c>
      <c r="B7196" t="s">
        <v>4289</v>
      </c>
      <c r="C7196" t="s">
        <v>4290</v>
      </c>
      <c r="D7196" t="s">
        <v>13412</v>
      </c>
    </row>
    <row r="7197" spans="1:4" x14ac:dyDescent="0.25">
      <c r="A7197" s="180">
        <f t="shared" si="112"/>
        <v>8400357</v>
      </c>
      <c r="B7197" t="s">
        <v>4291</v>
      </c>
      <c r="C7197" t="s">
        <v>4292</v>
      </c>
      <c r="D7197" t="s">
        <v>13412</v>
      </c>
    </row>
    <row r="7198" spans="1:4" x14ac:dyDescent="0.25">
      <c r="A7198" s="180">
        <f t="shared" si="112"/>
        <v>8400360</v>
      </c>
      <c r="B7198" t="s">
        <v>4293</v>
      </c>
      <c r="C7198" t="s">
        <v>4294</v>
      </c>
      <c r="D7198" t="s">
        <v>13411</v>
      </c>
    </row>
    <row r="7199" spans="1:4" x14ac:dyDescent="0.25">
      <c r="A7199" s="180">
        <f t="shared" si="112"/>
        <v>8400367</v>
      </c>
      <c r="B7199" t="s">
        <v>4295</v>
      </c>
      <c r="C7199" t="s">
        <v>4296</v>
      </c>
      <c r="D7199" t="s">
        <v>13411</v>
      </c>
    </row>
    <row r="7200" spans="1:4" x14ac:dyDescent="0.25">
      <c r="A7200" s="180">
        <f t="shared" si="112"/>
        <v>8400368</v>
      </c>
      <c r="B7200" t="s">
        <v>4297</v>
      </c>
      <c r="C7200" t="s">
        <v>4298</v>
      </c>
      <c r="D7200" t="s">
        <v>13412</v>
      </c>
    </row>
    <row r="7201" spans="1:4" x14ac:dyDescent="0.25">
      <c r="A7201" s="180">
        <f t="shared" si="112"/>
        <v>8400369</v>
      </c>
      <c r="B7201" t="s">
        <v>4299</v>
      </c>
      <c r="C7201" t="s">
        <v>4300</v>
      </c>
    </row>
    <row r="7202" spans="1:4" x14ac:dyDescent="0.25">
      <c r="A7202" s="180">
        <f t="shared" si="112"/>
        <v>8400370</v>
      </c>
      <c r="B7202" t="s">
        <v>4301</v>
      </c>
      <c r="C7202" t="s">
        <v>4302</v>
      </c>
      <c r="D7202" t="s">
        <v>13411</v>
      </c>
    </row>
    <row r="7203" spans="1:4" x14ac:dyDescent="0.25">
      <c r="A7203" s="180">
        <f t="shared" si="112"/>
        <v>8400390</v>
      </c>
      <c r="B7203" t="s">
        <v>4303</v>
      </c>
      <c r="C7203" t="s">
        <v>4304</v>
      </c>
      <c r="D7203" t="s">
        <v>13411</v>
      </c>
    </row>
    <row r="7204" spans="1:4" x14ac:dyDescent="0.25">
      <c r="A7204" s="180">
        <f t="shared" si="112"/>
        <v>8400391</v>
      </c>
      <c r="B7204" t="s">
        <v>4305</v>
      </c>
      <c r="C7204" t="s">
        <v>4306</v>
      </c>
      <c r="D7204" t="s">
        <v>13411</v>
      </c>
    </row>
    <row r="7205" spans="1:4" x14ac:dyDescent="0.25">
      <c r="A7205" s="180">
        <f t="shared" si="112"/>
        <v>8400392</v>
      </c>
      <c r="B7205" t="s">
        <v>4307</v>
      </c>
      <c r="C7205" t="s">
        <v>13335</v>
      </c>
      <c r="D7205" t="s">
        <v>13412</v>
      </c>
    </row>
    <row r="7206" spans="1:4" x14ac:dyDescent="0.25">
      <c r="A7206" s="180">
        <f t="shared" si="112"/>
        <v>8400393</v>
      </c>
      <c r="B7206" t="s">
        <v>4308</v>
      </c>
      <c r="C7206" t="s">
        <v>4309</v>
      </c>
      <c r="D7206" t="s">
        <v>13411</v>
      </c>
    </row>
    <row r="7207" spans="1:4" x14ac:dyDescent="0.25">
      <c r="A7207" s="180">
        <f t="shared" si="112"/>
        <v>8400452</v>
      </c>
      <c r="B7207" t="s">
        <v>4310</v>
      </c>
      <c r="C7207" t="s">
        <v>4311</v>
      </c>
    </row>
    <row r="7208" spans="1:4" x14ac:dyDescent="0.25">
      <c r="A7208" s="180">
        <f t="shared" si="112"/>
        <v>8400456</v>
      </c>
      <c r="B7208" t="s">
        <v>4312</v>
      </c>
      <c r="C7208" t="s">
        <v>4313</v>
      </c>
    </row>
    <row r="7209" spans="1:4" x14ac:dyDescent="0.25">
      <c r="A7209" s="180">
        <f t="shared" si="112"/>
        <v>8400564</v>
      </c>
      <c r="B7209" t="s">
        <v>4314</v>
      </c>
      <c r="C7209" t="s">
        <v>4315</v>
      </c>
    </row>
    <row r="7210" spans="1:4" x14ac:dyDescent="0.25">
      <c r="A7210" s="180">
        <f t="shared" si="112"/>
        <v>8400650</v>
      </c>
      <c r="B7210" t="s">
        <v>4316</v>
      </c>
      <c r="C7210" t="s">
        <v>4317</v>
      </c>
      <c r="D7210" t="s">
        <v>13412</v>
      </c>
    </row>
    <row r="7211" spans="1:4" x14ac:dyDescent="0.25">
      <c r="A7211" s="180">
        <f t="shared" si="112"/>
        <v>8400651</v>
      </c>
      <c r="B7211" t="s">
        <v>4318</v>
      </c>
      <c r="C7211" t="s">
        <v>4319</v>
      </c>
    </row>
    <row r="7212" spans="1:4" x14ac:dyDescent="0.25">
      <c r="A7212" s="180">
        <f t="shared" si="112"/>
        <v>8400654</v>
      </c>
      <c r="B7212" t="s">
        <v>4320</v>
      </c>
      <c r="C7212" t="s">
        <v>4321</v>
      </c>
    </row>
    <row r="7213" spans="1:4" x14ac:dyDescent="0.25">
      <c r="A7213" s="180">
        <f t="shared" si="112"/>
        <v>8400661</v>
      </c>
      <c r="B7213" t="s">
        <v>4322</v>
      </c>
      <c r="C7213" t="s">
        <v>4323</v>
      </c>
    </row>
    <row r="7214" spans="1:4" x14ac:dyDescent="0.25">
      <c r="A7214" s="180">
        <f t="shared" si="112"/>
        <v>8400662</v>
      </c>
      <c r="B7214" t="s">
        <v>4324</v>
      </c>
      <c r="C7214" t="s">
        <v>4325</v>
      </c>
      <c r="D7214" t="s">
        <v>13411</v>
      </c>
    </row>
    <row r="7215" spans="1:4" x14ac:dyDescent="0.25">
      <c r="A7215" s="180">
        <f t="shared" si="112"/>
        <v>8400663</v>
      </c>
      <c r="B7215" t="s">
        <v>4326</v>
      </c>
      <c r="C7215" t="s">
        <v>4327</v>
      </c>
    </row>
    <row r="7216" spans="1:4" x14ac:dyDescent="0.25">
      <c r="A7216" s="180">
        <f t="shared" si="112"/>
        <v>8400664</v>
      </c>
      <c r="B7216" t="s">
        <v>4328</v>
      </c>
      <c r="C7216" t="s">
        <v>4329</v>
      </c>
    </row>
    <row r="7217" spans="1:4" x14ac:dyDescent="0.25">
      <c r="A7217" s="180">
        <f t="shared" si="112"/>
        <v>8400689</v>
      </c>
      <c r="B7217" t="s">
        <v>4330</v>
      </c>
      <c r="C7217" t="s">
        <v>4331</v>
      </c>
      <c r="D7217" t="s">
        <v>13412</v>
      </c>
    </row>
    <row r="7218" spans="1:4" x14ac:dyDescent="0.25">
      <c r="A7218" s="180">
        <f t="shared" si="112"/>
        <v>8400691</v>
      </c>
      <c r="B7218" t="s">
        <v>4332</v>
      </c>
      <c r="C7218" t="s">
        <v>4333</v>
      </c>
      <c r="D7218" t="s">
        <v>13412</v>
      </c>
    </row>
    <row r="7219" spans="1:4" x14ac:dyDescent="0.25">
      <c r="A7219" s="180">
        <f t="shared" si="112"/>
        <v>8400753</v>
      </c>
      <c r="B7219" t="s">
        <v>4334</v>
      </c>
      <c r="C7219" t="s">
        <v>14994</v>
      </c>
      <c r="D7219" t="s">
        <v>13412</v>
      </c>
    </row>
    <row r="7220" spans="1:4" x14ac:dyDescent="0.25">
      <c r="A7220" s="180">
        <f t="shared" si="112"/>
        <v>8400753</v>
      </c>
      <c r="B7220" t="s">
        <v>4334</v>
      </c>
      <c r="C7220" t="s">
        <v>14994</v>
      </c>
      <c r="D7220" t="s">
        <v>13412</v>
      </c>
    </row>
    <row r="7221" spans="1:4" x14ac:dyDescent="0.25">
      <c r="A7221" s="180">
        <f t="shared" si="112"/>
        <v>8400852</v>
      </c>
      <c r="B7221" t="s">
        <v>4335</v>
      </c>
      <c r="C7221" t="s">
        <v>4336</v>
      </c>
      <c r="D7221" t="s">
        <v>13411</v>
      </c>
    </row>
    <row r="7222" spans="1:4" x14ac:dyDescent="0.25">
      <c r="A7222" s="180">
        <f t="shared" si="112"/>
        <v>8400907</v>
      </c>
      <c r="B7222" t="s">
        <v>4337</v>
      </c>
      <c r="C7222" t="s">
        <v>4338</v>
      </c>
    </row>
    <row r="7223" spans="1:4" x14ac:dyDescent="0.25">
      <c r="A7223" s="180">
        <f t="shared" si="112"/>
        <v>8400908</v>
      </c>
      <c r="B7223" t="s">
        <v>4339</v>
      </c>
      <c r="C7223" t="s">
        <v>4340</v>
      </c>
      <c r="D7223" t="s">
        <v>13412</v>
      </c>
    </row>
    <row r="7224" spans="1:4" x14ac:dyDescent="0.25">
      <c r="A7224" s="180">
        <f t="shared" si="112"/>
        <v>8400951</v>
      </c>
      <c r="B7224" t="s">
        <v>4341</v>
      </c>
      <c r="C7224" t="s">
        <v>4342</v>
      </c>
    </row>
    <row r="7225" spans="1:4" x14ac:dyDescent="0.25">
      <c r="A7225" s="180">
        <f t="shared" si="112"/>
        <v>8401001</v>
      </c>
      <c r="B7225" t="s">
        <v>4343</v>
      </c>
      <c r="C7225" t="s">
        <v>13336</v>
      </c>
      <c r="D7225" t="s">
        <v>13412</v>
      </c>
    </row>
    <row r="7226" spans="1:4" x14ac:dyDescent="0.25">
      <c r="A7226" s="180">
        <f t="shared" si="112"/>
        <v>8401002</v>
      </c>
      <c r="B7226" t="s">
        <v>4344</v>
      </c>
      <c r="C7226" t="s">
        <v>6990</v>
      </c>
    </row>
    <row r="7227" spans="1:4" x14ac:dyDescent="0.25">
      <c r="A7227" s="180">
        <f t="shared" si="112"/>
        <v>8401003</v>
      </c>
      <c r="B7227" t="s">
        <v>4345</v>
      </c>
      <c r="C7227" t="s">
        <v>4346</v>
      </c>
      <c r="D7227" t="s">
        <v>13412</v>
      </c>
    </row>
    <row r="7228" spans="1:4" x14ac:dyDescent="0.25">
      <c r="A7228" s="180">
        <f t="shared" si="112"/>
        <v>8401004</v>
      </c>
      <c r="B7228" t="s">
        <v>4347</v>
      </c>
      <c r="C7228" t="s">
        <v>4348</v>
      </c>
      <c r="D7228" t="s">
        <v>13412</v>
      </c>
    </row>
    <row r="7229" spans="1:4" x14ac:dyDescent="0.25">
      <c r="A7229" s="180">
        <f t="shared" si="112"/>
        <v>8401004</v>
      </c>
      <c r="B7229" t="s">
        <v>4347</v>
      </c>
      <c r="C7229" t="s">
        <v>4348</v>
      </c>
      <c r="D7229" t="s">
        <v>13412</v>
      </c>
    </row>
    <row r="7230" spans="1:4" x14ac:dyDescent="0.25">
      <c r="A7230" s="180">
        <f t="shared" si="112"/>
        <v>8401005</v>
      </c>
      <c r="B7230" t="s">
        <v>4349</v>
      </c>
      <c r="C7230" t="s">
        <v>4350</v>
      </c>
      <c r="D7230" t="s">
        <v>13412</v>
      </c>
    </row>
    <row r="7231" spans="1:4" x14ac:dyDescent="0.25">
      <c r="A7231" s="180">
        <f t="shared" ref="A7231:A7294" si="113">IFERROR(B7231*1,"")</f>
        <v>8401006</v>
      </c>
      <c r="B7231" t="s">
        <v>4351</v>
      </c>
      <c r="C7231" t="s">
        <v>4352</v>
      </c>
      <c r="D7231" t="s">
        <v>13412</v>
      </c>
    </row>
    <row r="7232" spans="1:4" x14ac:dyDescent="0.25">
      <c r="A7232" s="180">
        <f t="shared" si="113"/>
        <v>8401006</v>
      </c>
      <c r="B7232" t="s">
        <v>4351</v>
      </c>
      <c r="C7232" t="s">
        <v>4352</v>
      </c>
      <c r="D7232" t="s">
        <v>13412</v>
      </c>
    </row>
    <row r="7233" spans="1:4" x14ac:dyDescent="0.25">
      <c r="A7233" s="180">
        <f t="shared" si="113"/>
        <v>8401007</v>
      </c>
      <c r="B7233" t="s">
        <v>4353</v>
      </c>
      <c r="C7233" t="s">
        <v>4354</v>
      </c>
    </row>
    <row r="7234" spans="1:4" x14ac:dyDescent="0.25">
      <c r="A7234" s="180">
        <f t="shared" si="113"/>
        <v>8401008</v>
      </c>
      <c r="B7234" t="s">
        <v>4355</v>
      </c>
      <c r="C7234" t="s">
        <v>4356</v>
      </c>
    </row>
    <row r="7235" spans="1:4" x14ac:dyDescent="0.25">
      <c r="A7235" s="180">
        <f t="shared" si="113"/>
        <v>8401009</v>
      </c>
      <c r="B7235" t="s">
        <v>4357</v>
      </c>
      <c r="C7235" t="s">
        <v>4358</v>
      </c>
      <c r="D7235" t="s">
        <v>13412</v>
      </c>
    </row>
    <row r="7236" spans="1:4" x14ac:dyDescent="0.25">
      <c r="A7236" s="180">
        <f t="shared" si="113"/>
        <v>8401009</v>
      </c>
      <c r="B7236" t="s">
        <v>4357</v>
      </c>
      <c r="C7236" t="s">
        <v>4358</v>
      </c>
      <c r="D7236" t="s">
        <v>13412</v>
      </c>
    </row>
    <row r="7237" spans="1:4" x14ac:dyDescent="0.25">
      <c r="A7237" s="180">
        <f t="shared" si="113"/>
        <v>8401010</v>
      </c>
      <c r="B7237" t="s">
        <v>4359</v>
      </c>
      <c r="C7237" t="s">
        <v>4360</v>
      </c>
      <c r="D7237" t="s">
        <v>13412</v>
      </c>
    </row>
    <row r="7238" spans="1:4" x14ac:dyDescent="0.25">
      <c r="A7238" s="180">
        <f t="shared" si="113"/>
        <v>8401011</v>
      </c>
      <c r="B7238" t="s">
        <v>4361</v>
      </c>
      <c r="C7238" t="s">
        <v>4362</v>
      </c>
      <c r="D7238" t="s">
        <v>13412</v>
      </c>
    </row>
    <row r="7239" spans="1:4" x14ac:dyDescent="0.25">
      <c r="A7239" s="180">
        <f t="shared" si="113"/>
        <v>8401012</v>
      </c>
      <c r="B7239" t="s">
        <v>4363</v>
      </c>
      <c r="C7239" t="s">
        <v>4364</v>
      </c>
      <c r="D7239" t="s">
        <v>13412</v>
      </c>
    </row>
    <row r="7240" spans="1:4" x14ac:dyDescent="0.25">
      <c r="A7240" s="180">
        <f t="shared" si="113"/>
        <v>8401012</v>
      </c>
      <c r="B7240" t="s">
        <v>4363</v>
      </c>
      <c r="C7240" t="s">
        <v>4364</v>
      </c>
      <c r="D7240" t="s">
        <v>13412</v>
      </c>
    </row>
    <row r="7241" spans="1:4" x14ac:dyDescent="0.25">
      <c r="A7241" s="180">
        <f t="shared" si="113"/>
        <v>8401013</v>
      </c>
      <c r="B7241" t="s">
        <v>6991</v>
      </c>
      <c r="C7241" t="s">
        <v>6992</v>
      </c>
      <c r="D7241" t="s">
        <v>13412</v>
      </c>
    </row>
    <row r="7242" spans="1:4" x14ac:dyDescent="0.25">
      <c r="A7242" s="180">
        <f t="shared" si="113"/>
        <v>8401014</v>
      </c>
      <c r="B7242" t="s">
        <v>13528</v>
      </c>
      <c r="C7242" t="s">
        <v>13529</v>
      </c>
      <c r="D7242" t="s">
        <v>13412</v>
      </c>
    </row>
    <row r="7243" spans="1:4" x14ac:dyDescent="0.25">
      <c r="A7243" s="180">
        <f t="shared" si="113"/>
        <v>8401133</v>
      </c>
      <c r="B7243" t="s">
        <v>12894</v>
      </c>
      <c r="C7243" t="s">
        <v>12895</v>
      </c>
      <c r="D7243" t="s">
        <v>13411</v>
      </c>
    </row>
    <row r="7244" spans="1:4" x14ac:dyDescent="0.25">
      <c r="A7244" s="180">
        <f t="shared" si="113"/>
        <v>8401134</v>
      </c>
      <c r="B7244" t="s">
        <v>12896</v>
      </c>
      <c r="C7244" t="s">
        <v>12897</v>
      </c>
    </row>
    <row r="7245" spans="1:4" x14ac:dyDescent="0.25">
      <c r="A7245" s="180">
        <f t="shared" si="113"/>
        <v>8401232</v>
      </c>
      <c r="B7245" t="s">
        <v>4365</v>
      </c>
      <c r="C7245" t="s">
        <v>4366</v>
      </c>
      <c r="D7245" t="s">
        <v>13412</v>
      </c>
    </row>
    <row r="7246" spans="1:4" x14ac:dyDescent="0.25">
      <c r="A7246" s="180">
        <f t="shared" si="113"/>
        <v>8500001</v>
      </c>
      <c r="B7246" t="s">
        <v>4367</v>
      </c>
      <c r="C7246" t="s">
        <v>4368</v>
      </c>
      <c r="D7246" t="s">
        <v>13412</v>
      </c>
    </row>
    <row r="7247" spans="1:4" x14ac:dyDescent="0.25">
      <c r="A7247" s="180">
        <f t="shared" si="113"/>
        <v>8500002</v>
      </c>
      <c r="B7247" t="s">
        <v>4369</v>
      </c>
      <c r="C7247" t="s">
        <v>4370</v>
      </c>
    </row>
    <row r="7248" spans="1:4" x14ac:dyDescent="0.25">
      <c r="A7248" s="180">
        <f t="shared" si="113"/>
        <v>8500003</v>
      </c>
      <c r="B7248" t="s">
        <v>4371</v>
      </c>
      <c r="C7248" t="s">
        <v>4372</v>
      </c>
      <c r="D7248" t="s">
        <v>13412</v>
      </c>
    </row>
    <row r="7249" spans="1:4" x14ac:dyDescent="0.25">
      <c r="A7249" s="180">
        <f t="shared" si="113"/>
        <v>8500300</v>
      </c>
      <c r="B7249" t="s">
        <v>4373</v>
      </c>
      <c r="C7249" t="s">
        <v>4374</v>
      </c>
    </row>
    <row r="7250" spans="1:4" x14ac:dyDescent="0.25">
      <c r="A7250" s="180">
        <f t="shared" si="113"/>
        <v>8500500</v>
      </c>
      <c r="B7250" t="s">
        <v>4375</v>
      </c>
      <c r="C7250" t="s">
        <v>4376</v>
      </c>
      <c r="D7250" t="s">
        <v>13412</v>
      </c>
    </row>
    <row r="7251" spans="1:4" x14ac:dyDescent="0.25">
      <c r="A7251" s="180">
        <f t="shared" si="113"/>
        <v>8501001</v>
      </c>
      <c r="B7251" t="s">
        <v>4377</v>
      </c>
      <c r="C7251" t="s">
        <v>4378</v>
      </c>
    </row>
    <row r="7252" spans="1:4" x14ac:dyDescent="0.25">
      <c r="A7252" s="180">
        <f t="shared" si="113"/>
        <v>8501015</v>
      </c>
      <c r="B7252" t="s">
        <v>4379</v>
      </c>
      <c r="C7252" t="s">
        <v>4380</v>
      </c>
      <c r="D7252" t="s">
        <v>13412</v>
      </c>
    </row>
    <row r="7253" spans="1:4" x14ac:dyDescent="0.25">
      <c r="A7253" s="180">
        <f t="shared" si="113"/>
        <v>8501024</v>
      </c>
      <c r="B7253" t="s">
        <v>4381</v>
      </c>
      <c r="C7253" t="s">
        <v>6993</v>
      </c>
    </row>
    <row r="7254" spans="1:4" x14ac:dyDescent="0.25">
      <c r="A7254" s="180">
        <f t="shared" si="113"/>
        <v>8501025</v>
      </c>
      <c r="B7254" t="s">
        <v>4382</v>
      </c>
      <c r="C7254" t="s">
        <v>4383</v>
      </c>
      <c r="D7254" t="s">
        <v>13412</v>
      </c>
    </row>
    <row r="7255" spans="1:4" x14ac:dyDescent="0.25">
      <c r="A7255" s="180">
        <f t="shared" si="113"/>
        <v>8501026</v>
      </c>
      <c r="B7255" t="s">
        <v>4384</v>
      </c>
      <c r="C7255" t="s">
        <v>4385</v>
      </c>
      <c r="D7255" t="s">
        <v>13412</v>
      </c>
    </row>
    <row r="7256" spans="1:4" x14ac:dyDescent="0.25">
      <c r="A7256" s="180">
        <f t="shared" si="113"/>
        <v>8501026</v>
      </c>
      <c r="B7256" t="s">
        <v>4384</v>
      </c>
      <c r="C7256" t="s">
        <v>4385</v>
      </c>
      <c r="D7256" t="s">
        <v>13412</v>
      </c>
    </row>
    <row r="7257" spans="1:4" x14ac:dyDescent="0.25">
      <c r="A7257" s="180">
        <f t="shared" si="113"/>
        <v>8501027</v>
      </c>
      <c r="B7257" t="s">
        <v>4386</v>
      </c>
      <c r="C7257" t="s">
        <v>4387</v>
      </c>
      <c r="D7257" t="s">
        <v>13412</v>
      </c>
    </row>
    <row r="7258" spans="1:4" x14ac:dyDescent="0.25">
      <c r="A7258" s="180">
        <f t="shared" si="113"/>
        <v>8501034</v>
      </c>
      <c r="B7258" t="s">
        <v>4388</v>
      </c>
      <c r="C7258" t="s">
        <v>4389</v>
      </c>
    </row>
    <row r="7259" spans="1:4" x14ac:dyDescent="0.25">
      <c r="A7259" s="180">
        <f t="shared" si="113"/>
        <v>8501228</v>
      </c>
      <c r="B7259" t="s">
        <v>4390</v>
      </c>
      <c r="C7259" t="s">
        <v>4391</v>
      </c>
    </row>
    <row r="7260" spans="1:4" x14ac:dyDescent="0.25">
      <c r="A7260" s="180">
        <f t="shared" si="113"/>
        <v>8501551</v>
      </c>
      <c r="B7260" t="s">
        <v>4392</v>
      </c>
      <c r="C7260" t="s">
        <v>4393</v>
      </c>
      <c r="D7260" t="s">
        <v>13412</v>
      </c>
    </row>
    <row r="7261" spans="1:4" x14ac:dyDescent="0.25">
      <c r="A7261" s="180">
        <f t="shared" si="113"/>
        <v>8501594</v>
      </c>
      <c r="B7261" t="s">
        <v>4394</v>
      </c>
      <c r="C7261" t="s">
        <v>4395</v>
      </c>
    </row>
    <row r="7262" spans="1:4" x14ac:dyDescent="0.25">
      <c r="A7262" s="180">
        <f t="shared" si="113"/>
        <v>8501602</v>
      </c>
      <c r="B7262" t="s">
        <v>4396</v>
      </c>
      <c r="C7262" t="s">
        <v>4397</v>
      </c>
    </row>
    <row r="7263" spans="1:4" x14ac:dyDescent="0.25">
      <c r="A7263" s="180">
        <f t="shared" si="113"/>
        <v>8501621</v>
      </c>
      <c r="B7263" t="s">
        <v>4398</v>
      </c>
      <c r="C7263" t="s">
        <v>4399</v>
      </c>
    </row>
    <row r="7264" spans="1:4" x14ac:dyDescent="0.25">
      <c r="A7264" s="180">
        <f t="shared" si="113"/>
        <v>8501654</v>
      </c>
      <c r="B7264" t="s">
        <v>4400</v>
      </c>
      <c r="C7264" t="s">
        <v>4401</v>
      </c>
    </row>
    <row r="7265" spans="1:4" x14ac:dyDescent="0.25">
      <c r="A7265" s="180">
        <f t="shared" si="113"/>
        <v>8501655</v>
      </c>
      <c r="B7265" t="s">
        <v>4402</v>
      </c>
      <c r="C7265" t="s">
        <v>4403</v>
      </c>
    </row>
    <row r="7266" spans="1:4" x14ac:dyDescent="0.25">
      <c r="A7266" s="180">
        <f t="shared" si="113"/>
        <v>8501662</v>
      </c>
      <c r="B7266" t="s">
        <v>4404</v>
      </c>
      <c r="C7266" t="s">
        <v>6994</v>
      </c>
      <c r="D7266" t="s">
        <v>13412</v>
      </c>
    </row>
    <row r="7267" spans="1:4" x14ac:dyDescent="0.25">
      <c r="A7267" s="180">
        <f t="shared" si="113"/>
        <v>8501700</v>
      </c>
      <c r="B7267" t="s">
        <v>4405</v>
      </c>
      <c r="C7267" t="s">
        <v>4406</v>
      </c>
      <c r="D7267" t="s">
        <v>13411</v>
      </c>
    </row>
    <row r="7268" spans="1:4" x14ac:dyDescent="0.25">
      <c r="A7268" s="180">
        <f t="shared" si="113"/>
        <v>8503000</v>
      </c>
      <c r="B7268" t="s">
        <v>4407</v>
      </c>
      <c r="C7268" t="s">
        <v>4408</v>
      </c>
      <c r="D7268" t="s">
        <v>13412</v>
      </c>
    </row>
    <row r="7269" spans="1:4" x14ac:dyDescent="0.25">
      <c r="A7269" s="180">
        <f t="shared" si="113"/>
        <v>8503000</v>
      </c>
      <c r="B7269" t="s">
        <v>4407</v>
      </c>
      <c r="C7269" t="s">
        <v>4408</v>
      </c>
      <c r="D7269" t="s">
        <v>13412</v>
      </c>
    </row>
    <row r="7270" spans="1:4" x14ac:dyDescent="0.25">
      <c r="A7270" s="180">
        <f t="shared" si="113"/>
        <v>8503003</v>
      </c>
      <c r="B7270" t="s">
        <v>4409</v>
      </c>
      <c r="C7270" t="s">
        <v>4410</v>
      </c>
      <c r="D7270" t="s">
        <v>13412</v>
      </c>
    </row>
    <row r="7271" spans="1:4" x14ac:dyDescent="0.25">
      <c r="A7271" s="180">
        <f t="shared" si="113"/>
        <v>8503011</v>
      </c>
      <c r="B7271" t="s">
        <v>4411</v>
      </c>
      <c r="C7271" t="s">
        <v>4412</v>
      </c>
    </row>
    <row r="7272" spans="1:4" x14ac:dyDescent="0.25">
      <c r="A7272" s="180">
        <f t="shared" si="113"/>
        <v>8503012</v>
      </c>
      <c r="B7272" t="s">
        <v>4413</v>
      </c>
      <c r="C7272" t="s">
        <v>4414</v>
      </c>
      <c r="D7272" t="s">
        <v>13412</v>
      </c>
    </row>
    <row r="7273" spans="1:4" x14ac:dyDescent="0.25">
      <c r="A7273" s="180">
        <f t="shared" si="113"/>
        <v>8503020</v>
      </c>
      <c r="B7273" t="s">
        <v>4415</v>
      </c>
      <c r="C7273" t="s">
        <v>4416</v>
      </c>
      <c r="D7273" t="s">
        <v>13412</v>
      </c>
    </row>
    <row r="7274" spans="1:4" x14ac:dyDescent="0.25">
      <c r="A7274" s="180">
        <f t="shared" si="113"/>
        <v>8503026</v>
      </c>
      <c r="B7274" t="s">
        <v>4417</v>
      </c>
      <c r="C7274" t="s">
        <v>4418</v>
      </c>
    </row>
    <row r="7275" spans="1:4" x14ac:dyDescent="0.25">
      <c r="A7275" s="180">
        <f t="shared" si="113"/>
        <v>8503045</v>
      </c>
      <c r="B7275" t="s">
        <v>4419</v>
      </c>
      <c r="C7275" t="s">
        <v>4420</v>
      </c>
      <c r="D7275" t="s">
        <v>13412</v>
      </c>
    </row>
    <row r="7276" spans="1:4" x14ac:dyDescent="0.25">
      <c r="A7276" s="180">
        <f t="shared" si="113"/>
        <v>8503046</v>
      </c>
      <c r="B7276" t="s">
        <v>4421</v>
      </c>
      <c r="C7276" t="s">
        <v>4422</v>
      </c>
    </row>
    <row r="7277" spans="1:4" x14ac:dyDescent="0.25">
      <c r="A7277" s="180">
        <f t="shared" si="113"/>
        <v>8503060</v>
      </c>
      <c r="B7277" t="s">
        <v>4423</v>
      </c>
      <c r="C7277" t="s">
        <v>4424</v>
      </c>
    </row>
    <row r="7278" spans="1:4" x14ac:dyDescent="0.25">
      <c r="A7278" s="180">
        <f t="shared" si="113"/>
        <v>8503061</v>
      </c>
      <c r="B7278" t="s">
        <v>4425</v>
      </c>
      <c r="C7278" t="s">
        <v>4426</v>
      </c>
      <c r="D7278" t="s">
        <v>13412</v>
      </c>
    </row>
    <row r="7279" spans="1:4" x14ac:dyDescent="0.25">
      <c r="A7279" s="180">
        <f t="shared" si="113"/>
        <v>850306101</v>
      </c>
      <c r="B7279" t="s">
        <v>4427</v>
      </c>
      <c r="C7279" t="s">
        <v>4428</v>
      </c>
    </row>
    <row r="7280" spans="1:4" x14ac:dyDescent="0.25">
      <c r="A7280" s="180">
        <f t="shared" si="113"/>
        <v>8503063</v>
      </c>
      <c r="B7280" t="s">
        <v>4429</v>
      </c>
      <c r="C7280" t="s">
        <v>4430</v>
      </c>
      <c r="D7280" t="s">
        <v>13412</v>
      </c>
    </row>
    <row r="7281" spans="1:4" x14ac:dyDescent="0.25">
      <c r="A7281" s="180">
        <f t="shared" si="113"/>
        <v>8503090</v>
      </c>
      <c r="B7281" t="s">
        <v>4431</v>
      </c>
      <c r="C7281" t="s">
        <v>4432</v>
      </c>
      <c r="D7281" t="s">
        <v>13411</v>
      </c>
    </row>
    <row r="7282" spans="1:4" x14ac:dyDescent="0.25">
      <c r="A7282" s="180">
        <f t="shared" si="113"/>
        <v>8503091</v>
      </c>
      <c r="B7282" t="s">
        <v>4433</v>
      </c>
      <c r="C7282" t="s">
        <v>4434</v>
      </c>
    </row>
    <row r="7283" spans="1:4" x14ac:dyDescent="0.25">
      <c r="A7283" s="180" t="str">
        <f t="shared" si="113"/>
        <v/>
      </c>
      <c r="B7283" t="s">
        <v>13128</v>
      </c>
    </row>
    <row r="7284" spans="1:4" x14ac:dyDescent="0.25">
      <c r="A7284" s="180">
        <f t="shared" si="113"/>
        <v>8503092</v>
      </c>
      <c r="B7284" t="s">
        <v>12695</v>
      </c>
      <c r="C7284" t="s">
        <v>12696</v>
      </c>
    </row>
    <row r="7285" spans="1:4" x14ac:dyDescent="0.25">
      <c r="A7285" s="180">
        <f t="shared" si="113"/>
        <v>8503097</v>
      </c>
      <c r="B7285" t="s">
        <v>13931</v>
      </c>
      <c r="C7285" t="s">
        <v>13932</v>
      </c>
      <c r="D7285" t="s">
        <v>13411</v>
      </c>
    </row>
    <row r="7286" spans="1:4" x14ac:dyDescent="0.25">
      <c r="A7286" s="180">
        <f t="shared" si="113"/>
        <v>8503098</v>
      </c>
      <c r="B7286" t="s">
        <v>4435</v>
      </c>
      <c r="C7286" t="s">
        <v>4436</v>
      </c>
      <c r="D7286" t="s">
        <v>13411</v>
      </c>
    </row>
    <row r="7287" spans="1:4" x14ac:dyDescent="0.25">
      <c r="A7287" s="180">
        <f t="shared" si="113"/>
        <v>8503100</v>
      </c>
      <c r="B7287" t="s">
        <v>4437</v>
      </c>
      <c r="C7287" t="s">
        <v>4438</v>
      </c>
      <c r="D7287" t="s">
        <v>13412</v>
      </c>
    </row>
    <row r="7288" spans="1:4" x14ac:dyDescent="0.25">
      <c r="A7288" s="180">
        <f t="shared" si="113"/>
        <v>8503111</v>
      </c>
      <c r="B7288" t="s">
        <v>4439</v>
      </c>
      <c r="C7288" t="s">
        <v>4440</v>
      </c>
      <c r="D7288" t="s">
        <v>13412</v>
      </c>
    </row>
    <row r="7289" spans="1:4" x14ac:dyDescent="0.25">
      <c r="A7289" s="180">
        <f t="shared" si="113"/>
        <v>8503125</v>
      </c>
      <c r="B7289" t="s">
        <v>4441</v>
      </c>
      <c r="C7289" t="s">
        <v>13337</v>
      </c>
      <c r="D7289" t="s">
        <v>13412</v>
      </c>
    </row>
    <row r="7290" spans="1:4" x14ac:dyDescent="0.25">
      <c r="A7290" s="180">
        <f t="shared" si="113"/>
        <v>8503130</v>
      </c>
      <c r="B7290" t="s">
        <v>4442</v>
      </c>
      <c r="C7290" t="s">
        <v>4443</v>
      </c>
    </row>
    <row r="7291" spans="1:4" x14ac:dyDescent="0.25">
      <c r="A7291" s="180">
        <f t="shared" si="113"/>
        <v>8503159</v>
      </c>
      <c r="B7291" t="s">
        <v>4444</v>
      </c>
      <c r="C7291" t="s">
        <v>4445</v>
      </c>
    </row>
    <row r="7292" spans="1:4" x14ac:dyDescent="0.25">
      <c r="A7292" s="180">
        <f t="shared" si="113"/>
        <v>8503168</v>
      </c>
      <c r="B7292" t="s">
        <v>4446</v>
      </c>
      <c r="C7292" t="s">
        <v>6995</v>
      </c>
    </row>
    <row r="7293" spans="1:4" x14ac:dyDescent="0.25">
      <c r="A7293" s="180">
        <f t="shared" si="113"/>
        <v>8503201</v>
      </c>
      <c r="B7293" t="s">
        <v>4447</v>
      </c>
      <c r="C7293" t="s">
        <v>4448</v>
      </c>
      <c r="D7293" t="s">
        <v>13412</v>
      </c>
    </row>
    <row r="7294" spans="1:4" x14ac:dyDescent="0.25">
      <c r="A7294" s="180">
        <f t="shared" si="113"/>
        <v>8503202</v>
      </c>
      <c r="B7294" t="s">
        <v>4449</v>
      </c>
      <c r="C7294" t="s">
        <v>4450</v>
      </c>
      <c r="D7294" t="s">
        <v>13412</v>
      </c>
    </row>
    <row r="7295" spans="1:4" x14ac:dyDescent="0.25">
      <c r="A7295" s="180">
        <f t="shared" ref="A7295:A7358" si="114">IFERROR(B7295*1,"")</f>
        <v>8503209</v>
      </c>
      <c r="B7295" t="s">
        <v>4451</v>
      </c>
      <c r="C7295" t="s">
        <v>4452</v>
      </c>
      <c r="D7295" t="s">
        <v>13412</v>
      </c>
    </row>
    <row r="7296" spans="1:4" x14ac:dyDescent="0.25">
      <c r="A7296" s="180">
        <f t="shared" si="114"/>
        <v>8503224</v>
      </c>
      <c r="B7296" t="s">
        <v>4453</v>
      </c>
      <c r="C7296" t="s">
        <v>6996</v>
      </c>
      <c r="D7296" t="s">
        <v>13412</v>
      </c>
    </row>
    <row r="7297" spans="1:4" x14ac:dyDescent="0.25">
      <c r="A7297" s="180">
        <f t="shared" si="114"/>
        <v>8503225</v>
      </c>
      <c r="B7297" t="s">
        <v>12898</v>
      </c>
      <c r="C7297" t="s">
        <v>12899</v>
      </c>
      <c r="D7297" t="s">
        <v>13412</v>
      </c>
    </row>
    <row r="7298" spans="1:4" x14ac:dyDescent="0.25">
      <c r="A7298" s="180">
        <f t="shared" si="114"/>
        <v>8503230</v>
      </c>
      <c r="B7298" t="s">
        <v>4454</v>
      </c>
      <c r="C7298" t="s">
        <v>4455</v>
      </c>
    </row>
    <row r="7299" spans="1:4" x14ac:dyDescent="0.25">
      <c r="A7299" s="180">
        <f t="shared" si="114"/>
        <v>8503234</v>
      </c>
      <c r="B7299" t="s">
        <v>4456</v>
      </c>
      <c r="C7299" t="s">
        <v>4457</v>
      </c>
      <c r="D7299" t="s">
        <v>13411</v>
      </c>
    </row>
    <row r="7300" spans="1:4" x14ac:dyDescent="0.25">
      <c r="A7300" s="180">
        <f t="shared" si="114"/>
        <v>8503235</v>
      </c>
      <c r="B7300" t="s">
        <v>4458</v>
      </c>
      <c r="C7300" t="s">
        <v>4459</v>
      </c>
    </row>
    <row r="7301" spans="1:4" x14ac:dyDescent="0.25">
      <c r="A7301" s="180">
        <f t="shared" si="114"/>
        <v>8503236</v>
      </c>
      <c r="B7301" t="s">
        <v>4460</v>
      </c>
      <c r="C7301" t="s">
        <v>4461</v>
      </c>
    </row>
    <row r="7302" spans="1:4" x14ac:dyDescent="0.25">
      <c r="A7302" s="180">
        <f t="shared" si="114"/>
        <v>8503238</v>
      </c>
      <c r="B7302" t="s">
        <v>4462</v>
      </c>
      <c r="C7302" t="s">
        <v>4463</v>
      </c>
    </row>
    <row r="7303" spans="1:4" x14ac:dyDescent="0.25">
      <c r="A7303" s="180">
        <f t="shared" si="114"/>
        <v>8503250</v>
      </c>
      <c r="B7303" t="s">
        <v>4464</v>
      </c>
      <c r="C7303" t="s">
        <v>4465</v>
      </c>
    </row>
    <row r="7304" spans="1:4" x14ac:dyDescent="0.25">
      <c r="A7304" s="180">
        <f t="shared" si="114"/>
        <v>8503258</v>
      </c>
      <c r="B7304" t="s">
        <v>4466</v>
      </c>
      <c r="C7304" t="s">
        <v>4467</v>
      </c>
      <c r="D7304" t="s">
        <v>13412</v>
      </c>
    </row>
    <row r="7305" spans="1:4" x14ac:dyDescent="0.25">
      <c r="A7305" s="180">
        <f t="shared" si="114"/>
        <v>8503302</v>
      </c>
      <c r="B7305" t="s">
        <v>4468</v>
      </c>
      <c r="C7305" t="s">
        <v>4469</v>
      </c>
    </row>
    <row r="7306" spans="1:4" x14ac:dyDescent="0.25">
      <c r="A7306" s="180">
        <f t="shared" si="114"/>
        <v>8503303</v>
      </c>
      <c r="B7306" t="s">
        <v>4470</v>
      </c>
      <c r="C7306" t="s">
        <v>4471</v>
      </c>
      <c r="D7306" t="s">
        <v>13412</v>
      </c>
    </row>
    <row r="7307" spans="1:4" x14ac:dyDescent="0.25">
      <c r="A7307" s="180">
        <f t="shared" si="114"/>
        <v>8503304</v>
      </c>
      <c r="B7307" t="s">
        <v>4472</v>
      </c>
      <c r="C7307" t="s">
        <v>4473</v>
      </c>
    </row>
    <row r="7308" spans="1:4" x14ac:dyDescent="0.25">
      <c r="A7308" s="180">
        <f t="shared" si="114"/>
        <v>8503305</v>
      </c>
      <c r="B7308" t="s">
        <v>4474</v>
      </c>
      <c r="C7308" t="s">
        <v>4475</v>
      </c>
      <c r="D7308" t="s">
        <v>13412</v>
      </c>
    </row>
    <row r="7309" spans="1:4" x14ac:dyDescent="0.25">
      <c r="A7309" s="180">
        <f t="shared" si="114"/>
        <v>8503305</v>
      </c>
      <c r="B7309" t="s">
        <v>4474</v>
      </c>
      <c r="C7309" t="s">
        <v>4475</v>
      </c>
      <c r="D7309" t="s">
        <v>13412</v>
      </c>
    </row>
    <row r="7310" spans="1:4" x14ac:dyDescent="0.25">
      <c r="A7310" s="180">
        <f t="shared" si="114"/>
        <v>8503310</v>
      </c>
      <c r="B7310" t="s">
        <v>4476</v>
      </c>
      <c r="C7310" t="s">
        <v>4477</v>
      </c>
    </row>
    <row r="7311" spans="1:4" x14ac:dyDescent="0.25">
      <c r="A7311" s="180">
        <f t="shared" si="114"/>
        <v>8503320</v>
      </c>
      <c r="B7311" t="s">
        <v>4478</v>
      </c>
      <c r="C7311" t="s">
        <v>4479</v>
      </c>
      <c r="D7311" t="s">
        <v>13412</v>
      </c>
    </row>
    <row r="7312" spans="1:4" x14ac:dyDescent="0.25">
      <c r="A7312" s="180">
        <f t="shared" si="114"/>
        <v>8503332</v>
      </c>
      <c r="B7312" t="s">
        <v>12697</v>
      </c>
      <c r="C7312" t="s">
        <v>12698</v>
      </c>
      <c r="D7312" t="s">
        <v>13412</v>
      </c>
    </row>
    <row r="7313" spans="1:4" x14ac:dyDescent="0.25">
      <c r="A7313" s="180">
        <f t="shared" si="114"/>
        <v>8503401</v>
      </c>
      <c r="B7313" t="s">
        <v>4480</v>
      </c>
      <c r="C7313" t="s">
        <v>4481</v>
      </c>
    </row>
    <row r="7314" spans="1:4" x14ac:dyDescent="0.25">
      <c r="A7314" s="180">
        <f t="shared" si="114"/>
        <v>8503402</v>
      </c>
      <c r="B7314" t="s">
        <v>4482</v>
      </c>
      <c r="C7314" t="s">
        <v>4483</v>
      </c>
      <c r="D7314" t="s">
        <v>13412</v>
      </c>
    </row>
    <row r="7315" spans="1:4" x14ac:dyDescent="0.25">
      <c r="A7315" s="180">
        <f t="shared" si="114"/>
        <v>8503424</v>
      </c>
      <c r="B7315" t="s">
        <v>4484</v>
      </c>
      <c r="C7315" t="s">
        <v>4485</v>
      </c>
      <c r="D7315" t="s">
        <v>13412</v>
      </c>
    </row>
    <row r="7316" spans="1:4" x14ac:dyDescent="0.25">
      <c r="A7316" s="180">
        <f t="shared" si="114"/>
        <v>8503425</v>
      </c>
      <c r="B7316" t="s">
        <v>4486</v>
      </c>
      <c r="C7316" t="s">
        <v>4487</v>
      </c>
      <c r="D7316" t="s">
        <v>13411</v>
      </c>
    </row>
    <row r="7317" spans="1:4" x14ac:dyDescent="0.25">
      <c r="A7317" s="180">
        <f t="shared" si="114"/>
        <v>8503426</v>
      </c>
      <c r="B7317" t="s">
        <v>4488</v>
      </c>
      <c r="C7317" t="s">
        <v>4489</v>
      </c>
    </row>
    <row r="7318" spans="1:4" x14ac:dyDescent="0.25">
      <c r="A7318" s="180">
        <f t="shared" si="114"/>
        <v>8503427</v>
      </c>
      <c r="B7318" t="s">
        <v>4490</v>
      </c>
      <c r="C7318" t="s">
        <v>4491</v>
      </c>
    </row>
    <row r="7319" spans="1:4" x14ac:dyDescent="0.25">
      <c r="A7319" s="180">
        <f t="shared" si="114"/>
        <v>8503428</v>
      </c>
      <c r="B7319" t="s">
        <v>4492</v>
      </c>
      <c r="C7319" t="s">
        <v>6997</v>
      </c>
      <c r="D7319" t="s">
        <v>13412</v>
      </c>
    </row>
    <row r="7320" spans="1:4" x14ac:dyDescent="0.25">
      <c r="A7320" s="180">
        <f t="shared" si="114"/>
        <v>8503429</v>
      </c>
      <c r="B7320" t="s">
        <v>4493</v>
      </c>
      <c r="C7320" t="s">
        <v>4494</v>
      </c>
      <c r="D7320" t="s">
        <v>13412</v>
      </c>
    </row>
    <row r="7321" spans="1:4" x14ac:dyDescent="0.25">
      <c r="A7321" s="180">
        <f t="shared" si="114"/>
        <v>8503451</v>
      </c>
      <c r="B7321" t="s">
        <v>4495</v>
      </c>
      <c r="C7321" t="s">
        <v>4496</v>
      </c>
      <c r="D7321" t="s">
        <v>13412</v>
      </c>
    </row>
    <row r="7322" spans="1:4" x14ac:dyDescent="0.25">
      <c r="A7322" s="180">
        <f t="shared" si="114"/>
        <v>8503456</v>
      </c>
      <c r="B7322" t="s">
        <v>4497</v>
      </c>
      <c r="C7322" t="s">
        <v>4422</v>
      </c>
    </row>
    <row r="7323" spans="1:4" x14ac:dyDescent="0.25">
      <c r="A7323" s="180">
        <f t="shared" si="114"/>
        <v>8503457</v>
      </c>
      <c r="B7323" t="s">
        <v>4498</v>
      </c>
      <c r="C7323" t="s">
        <v>4499</v>
      </c>
      <c r="D7323" t="s">
        <v>13412</v>
      </c>
    </row>
    <row r="7324" spans="1:4" x14ac:dyDescent="0.25">
      <c r="A7324" s="180">
        <f t="shared" si="114"/>
        <v>8503458</v>
      </c>
      <c r="B7324" t="s">
        <v>4500</v>
      </c>
      <c r="C7324" t="s">
        <v>4501</v>
      </c>
    </row>
    <row r="7325" spans="1:4" x14ac:dyDescent="0.25">
      <c r="A7325" s="180">
        <f t="shared" si="114"/>
        <v>8503500</v>
      </c>
      <c r="B7325" t="s">
        <v>4502</v>
      </c>
      <c r="C7325" t="s">
        <v>4503</v>
      </c>
      <c r="D7325" t="s">
        <v>13412</v>
      </c>
    </row>
    <row r="7326" spans="1:4" x14ac:dyDescent="0.25">
      <c r="A7326" s="180">
        <f t="shared" si="114"/>
        <v>8503501</v>
      </c>
      <c r="B7326" t="s">
        <v>13970</v>
      </c>
      <c r="C7326" t="s">
        <v>13971</v>
      </c>
      <c r="D7326" t="s">
        <v>13412</v>
      </c>
    </row>
    <row r="7327" spans="1:4" x14ac:dyDescent="0.25">
      <c r="A7327" s="180">
        <f t="shared" si="114"/>
        <v>8503505</v>
      </c>
      <c r="B7327" t="s">
        <v>4504</v>
      </c>
      <c r="C7327" t="s">
        <v>4505</v>
      </c>
      <c r="D7327" t="s">
        <v>13412</v>
      </c>
    </row>
    <row r="7328" spans="1:4" x14ac:dyDescent="0.25">
      <c r="A7328" s="180">
        <f t="shared" si="114"/>
        <v>8503600</v>
      </c>
      <c r="B7328" t="s">
        <v>4506</v>
      </c>
      <c r="C7328" t="s">
        <v>4507</v>
      </c>
      <c r="D7328" t="s">
        <v>13412</v>
      </c>
    </row>
    <row r="7329" spans="1:4" x14ac:dyDescent="0.25">
      <c r="A7329" s="180">
        <f t="shared" si="114"/>
        <v>8503600</v>
      </c>
      <c r="B7329" t="s">
        <v>4506</v>
      </c>
      <c r="C7329" t="s">
        <v>4507</v>
      </c>
      <c r="D7329" t="s">
        <v>13412</v>
      </c>
    </row>
    <row r="7330" spans="1:4" x14ac:dyDescent="0.25">
      <c r="A7330" s="180">
        <f t="shared" si="114"/>
        <v>8503637</v>
      </c>
      <c r="B7330" t="s">
        <v>14529</v>
      </c>
      <c r="C7330" t="s">
        <v>14530</v>
      </c>
      <c r="D7330" t="s">
        <v>13412</v>
      </c>
    </row>
    <row r="7331" spans="1:4" x14ac:dyDescent="0.25">
      <c r="A7331" s="180">
        <f t="shared" si="114"/>
        <v>8503638</v>
      </c>
      <c r="B7331" t="s">
        <v>4508</v>
      </c>
      <c r="C7331" t="s">
        <v>4509</v>
      </c>
      <c r="D7331" t="s">
        <v>13412</v>
      </c>
    </row>
    <row r="7332" spans="1:4" x14ac:dyDescent="0.25">
      <c r="A7332" s="180">
        <f t="shared" si="114"/>
        <v>8503639</v>
      </c>
      <c r="B7332" t="s">
        <v>4510</v>
      </c>
      <c r="C7332" t="s">
        <v>4511</v>
      </c>
      <c r="D7332" t="s">
        <v>13412</v>
      </c>
    </row>
    <row r="7333" spans="1:4" x14ac:dyDescent="0.25">
      <c r="A7333" s="180">
        <f t="shared" si="114"/>
        <v>8503712</v>
      </c>
      <c r="B7333" t="s">
        <v>4512</v>
      </c>
      <c r="C7333" t="s">
        <v>4513</v>
      </c>
    </row>
    <row r="7334" spans="1:4" x14ac:dyDescent="0.25">
      <c r="A7334" s="180">
        <f t="shared" si="114"/>
        <v>8503716</v>
      </c>
      <c r="B7334" t="s">
        <v>4514</v>
      </c>
      <c r="C7334" t="s">
        <v>4515</v>
      </c>
      <c r="D7334" t="s">
        <v>13412</v>
      </c>
    </row>
    <row r="7335" spans="1:4" x14ac:dyDescent="0.25">
      <c r="A7335" s="180">
        <f t="shared" si="114"/>
        <v>8503750</v>
      </c>
      <c r="B7335" t="s">
        <v>4516</v>
      </c>
      <c r="C7335" t="s">
        <v>4517</v>
      </c>
      <c r="D7335" t="s">
        <v>13412</v>
      </c>
    </row>
    <row r="7336" spans="1:4" x14ac:dyDescent="0.25">
      <c r="A7336" s="180">
        <f t="shared" si="114"/>
        <v>8503760</v>
      </c>
      <c r="B7336" t="s">
        <v>4518</v>
      </c>
      <c r="C7336" t="s">
        <v>4519</v>
      </c>
      <c r="D7336" t="s">
        <v>13412</v>
      </c>
    </row>
    <row r="7337" spans="1:4" x14ac:dyDescent="0.25">
      <c r="A7337" s="180">
        <f t="shared" si="114"/>
        <v>8503800</v>
      </c>
      <c r="B7337" t="s">
        <v>4520</v>
      </c>
      <c r="C7337" t="s">
        <v>4521</v>
      </c>
    </row>
    <row r="7338" spans="1:4" x14ac:dyDescent="0.25">
      <c r="A7338" s="180">
        <f t="shared" si="114"/>
        <v>8503801</v>
      </c>
      <c r="B7338" t="s">
        <v>4522</v>
      </c>
      <c r="C7338" t="s">
        <v>4523</v>
      </c>
      <c r="D7338" t="s">
        <v>13412</v>
      </c>
    </row>
    <row r="7339" spans="1:4" x14ac:dyDescent="0.25">
      <c r="A7339" s="180">
        <f t="shared" si="114"/>
        <v>8503802</v>
      </c>
      <c r="B7339" t="s">
        <v>4524</v>
      </c>
      <c r="C7339" t="s">
        <v>4525</v>
      </c>
      <c r="D7339" t="s">
        <v>13412</v>
      </c>
    </row>
    <row r="7340" spans="1:4" x14ac:dyDescent="0.25">
      <c r="A7340" s="180">
        <f t="shared" si="114"/>
        <v>8503803</v>
      </c>
      <c r="B7340" t="s">
        <v>4526</v>
      </c>
      <c r="C7340" t="s">
        <v>4527</v>
      </c>
      <c r="D7340" t="s">
        <v>13412</v>
      </c>
    </row>
    <row r="7341" spans="1:4" x14ac:dyDescent="0.25">
      <c r="A7341" s="180">
        <f t="shared" si="114"/>
        <v>8503804</v>
      </c>
      <c r="B7341" t="s">
        <v>4528</v>
      </c>
      <c r="C7341" t="s">
        <v>4529</v>
      </c>
      <c r="D7341" t="s">
        <v>13412</v>
      </c>
    </row>
    <row r="7342" spans="1:4" x14ac:dyDescent="0.25">
      <c r="A7342" s="180">
        <f t="shared" si="114"/>
        <v>8503808</v>
      </c>
      <c r="B7342" t="s">
        <v>4530</v>
      </c>
      <c r="C7342" t="s">
        <v>4531</v>
      </c>
    </row>
    <row r="7343" spans="1:4" x14ac:dyDescent="0.25">
      <c r="A7343" s="180">
        <f t="shared" si="114"/>
        <v>8503820</v>
      </c>
      <c r="B7343" t="s">
        <v>4532</v>
      </c>
      <c r="C7343" t="s">
        <v>4533</v>
      </c>
      <c r="D7343" t="s">
        <v>13412</v>
      </c>
    </row>
    <row r="7344" spans="1:4" x14ac:dyDescent="0.25">
      <c r="A7344" s="180">
        <f t="shared" si="114"/>
        <v>8503820</v>
      </c>
      <c r="B7344" t="s">
        <v>4532</v>
      </c>
      <c r="C7344" t="s">
        <v>4533</v>
      </c>
      <c r="D7344" t="s">
        <v>13412</v>
      </c>
    </row>
    <row r="7345" spans="1:4" x14ac:dyDescent="0.25">
      <c r="A7345" s="180">
        <f t="shared" si="114"/>
        <v>8503821</v>
      </c>
      <c r="B7345" t="s">
        <v>4534</v>
      </c>
      <c r="C7345" t="s">
        <v>4535</v>
      </c>
    </row>
    <row r="7346" spans="1:4" x14ac:dyDescent="0.25">
      <c r="A7346" s="180">
        <f t="shared" si="114"/>
        <v>8503825</v>
      </c>
      <c r="B7346" t="s">
        <v>4536</v>
      </c>
      <c r="C7346" t="s">
        <v>4537</v>
      </c>
    </row>
    <row r="7347" spans="1:4" x14ac:dyDescent="0.25">
      <c r="A7347" s="180">
        <f t="shared" si="114"/>
        <v>8503826</v>
      </c>
      <c r="B7347" t="s">
        <v>4538</v>
      </c>
      <c r="C7347" t="s">
        <v>4539</v>
      </c>
    </row>
    <row r="7348" spans="1:4" x14ac:dyDescent="0.25">
      <c r="A7348" s="180">
        <f t="shared" si="114"/>
        <v>8503827</v>
      </c>
      <c r="B7348" t="s">
        <v>4540</v>
      </c>
      <c r="C7348" t="s">
        <v>4541</v>
      </c>
    </row>
    <row r="7349" spans="1:4" x14ac:dyDescent="0.25">
      <c r="A7349" s="180">
        <f t="shared" si="114"/>
        <v>8503828</v>
      </c>
      <c r="B7349" t="s">
        <v>4542</v>
      </c>
      <c r="C7349" t="s">
        <v>4543</v>
      </c>
    </row>
    <row r="7350" spans="1:4" x14ac:dyDescent="0.25">
      <c r="A7350" s="180">
        <f t="shared" si="114"/>
        <v>8503829</v>
      </c>
      <c r="B7350" t="s">
        <v>4544</v>
      </c>
      <c r="C7350" t="s">
        <v>4545</v>
      </c>
    </row>
    <row r="7351" spans="1:4" x14ac:dyDescent="0.25">
      <c r="A7351" s="180">
        <f t="shared" si="114"/>
        <v>8503830</v>
      </c>
      <c r="B7351" t="s">
        <v>4546</v>
      </c>
      <c r="C7351" t="s">
        <v>4547</v>
      </c>
      <c r="D7351" t="s">
        <v>13412</v>
      </c>
    </row>
    <row r="7352" spans="1:4" x14ac:dyDescent="0.25">
      <c r="A7352" s="180">
        <f t="shared" si="114"/>
        <v>8503833</v>
      </c>
      <c r="B7352" t="s">
        <v>4548</v>
      </c>
      <c r="C7352" t="s">
        <v>4549</v>
      </c>
    </row>
    <row r="7353" spans="1:4" x14ac:dyDescent="0.25">
      <c r="A7353" s="180">
        <f t="shared" si="114"/>
        <v>8503834</v>
      </c>
      <c r="B7353" t="s">
        <v>4550</v>
      </c>
      <c r="C7353" t="s">
        <v>4551</v>
      </c>
    </row>
    <row r="7354" spans="1:4" x14ac:dyDescent="0.25">
      <c r="A7354" s="180">
        <f t="shared" si="114"/>
        <v>8503835</v>
      </c>
      <c r="B7354" t="s">
        <v>4552</v>
      </c>
      <c r="C7354" t="s">
        <v>4553</v>
      </c>
    </row>
    <row r="7355" spans="1:4" x14ac:dyDescent="0.25">
      <c r="A7355" s="180">
        <f t="shared" si="114"/>
        <v>8503836</v>
      </c>
      <c r="B7355" t="s">
        <v>4554</v>
      </c>
      <c r="C7355" t="s">
        <v>4555</v>
      </c>
    </row>
    <row r="7356" spans="1:4" x14ac:dyDescent="0.25">
      <c r="A7356" s="180">
        <f t="shared" si="114"/>
        <v>8503837</v>
      </c>
      <c r="B7356" t="s">
        <v>4556</v>
      </c>
      <c r="C7356" t="s">
        <v>4557</v>
      </c>
    </row>
    <row r="7357" spans="1:4" x14ac:dyDescent="0.25">
      <c r="A7357" s="180">
        <f t="shared" si="114"/>
        <v>8503853</v>
      </c>
      <c r="B7357" t="s">
        <v>4558</v>
      </c>
      <c r="C7357" t="s">
        <v>4559</v>
      </c>
    </row>
    <row r="7358" spans="1:4" x14ac:dyDescent="0.25">
      <c r="A7358" s="180">
        <f t="shared" si="114"/>
        <v>8503888</v>
      </c>
      <c r="B7358" t="s">
        <v>4560</v>
      </c>
      <c r="C7358" t="s">
        <v>4561</v>
      </c>
    </row>
    <row r="7359" spans="1:4" x14ac:dyDescent="0.25">
      <c r="A7359" s="180">
        <f t="shared" ref="A7359:A7422" si="115">IFERROR(B7359*1,"")</f>
        <v>8503901</v>
      </c>
      <c r="B7359" t="s">
        <v>4562</v>
      </c>
      <c r="C7359" t="s">
        <v>4563</v>
      </c>
      <c r="D7359" t="s">
        <v>13412</v>
      </c>
    </row>
    <row r="7360" spans="1:4" x14ac:dyDescent="0.25">
      <c r="A7360" s="180">
        <f t="shared" si="115"/>
        <v>8503983</v>
      </c>
      <c r="B7360" t="s">
        <v>4564</v>
      </c>
      <c r="C7360" t="s">
        <v>4565</v>
      </c>
      <c r="D7360" t="s">
        <v>13411</v>
      </c>
    </row>
    <row r="7361" spans="1:4" x14ac:dyDescent="0.25">
      <c r="A7361" s="180">
        <f t="shared" si="115"/>
        <v>8503984</v>
      </c>
      <c r="B7361" t="s">
        <v>4566</v>
      </c>
      <c r="C7361" t="s">
        <v>4567</v>
      </c>
      <c r="D7361" t="s">
        <v>13411</v>
      </c>
    </row>
    <row r="7362" spans="1:4" x14ac:dyDescent="0.25">
      <c r="A7362" s="180">
        <f t="shared" si="115"/>
        <v>8503999</v>
      </c>
      <c r="B7362" t="s">
        <v>4568</v>
      </c>
      <c r="C7362" t="s">
        <v>4569</v>
      </c>
      <c r="D7362" t="s">
        <v>13412</v>
      </c>
    </row>
    <row r="7363" spans="1:4" x14ac:dyDescent="0.25">
      <c r="A7363" s="180">
        <f t="shared" si="115"/>
        <v>8505000</v>
      </c>
      <c r="B7363" t="s">
        <v>4570</v>
      </c>
      <c r="C7363" t="s">
        <v>4571</v>
      </c>
    </row>
    <row r="7364" spans="1:4" x14ac:dyDescent="0.25">
      <c r="A7364" s="180">
        <f t="shared" si="115"/>
        <v>8505001</v>
      </c>
      <c r="B7364" t="s">
        <v>4572</v>
      </c>
      <c r="C7364" t="s">
        <v>4573</v>
      </c>
      <c r="D7364" t="s">
        <v>13411</v>
      </c>
    </row>
    <row r="7365" spans="1:4" x14ac:dyDescent="0.25">
      <c r="A7365" s="180">
        <f t="shared" si="115"/>
        <v>8505002</v>
      </c>
      <c r="B7365" t="s">
        <v>4574</v>
      </c>
      <c r="C7365" t="s">
        <v>4575</v>
      </c>
    </row>
    <row r="7366" spans="1:4" x14ac:dyDescent="0.25">
      <c r="A7366" s="180">
        <f t="shared" si="115"/>
        <v>8505003</v>
      </c>
      <c r="B7366" t="s">
        <v>4576</v>
      </c>
      <c r="C7366" t="s">
        <v>4577</v>
      </c>
      <c r="D7366" t="s">
        <v>13411</v>
      </c>
    </row>
    <row r="7367" spans="1:4" x14ac:dyDescent="0.25">
      <c r="A7367" s="180">
        <f t="shared" si="115"/>
        <v>8505004</v>
      </c>
      <c r="B7367" t="s">
        <v>4578</v>
      </c>
      <c r="C7367" t="s">
        <v>4579</v>
      </c>
    </row>
    <row r="7368" spans="1:4" x14ac:dyDescent="0.25">
      <c r="A7368" s="180">
        <f t="shared" si="115"/>
        <v>8505005</v>
      </c>
      <c r="B7368" t="s">
        <v>4580</v>
      </c>
      <c r="C7368" t="s">
        <v>4581</v>
      </c>
    </row>
    <row r="7369" spans="1:4" x14ac:dyDescent="0.25">
      <c r="A7369" s="180">
        <f t="shared" si="115"/>
        <v>8505006</v>
      </c>
      <c r="B7369" t="s">
        <v>4582</v>
      </c>
      <c r="C7369" t="s">
        <v>4583</v>
      </c>
      <c r="D7369" t="s">
        <v>13411</v>
      </c>
    </row>
    <row r="7370" spans="1:4" x14ac:dyDescent="0.25">
      <c r="A7370" s="180">
        <f t="shared" si="115"/>
        <v>8505007</v>
      </c>
      <c r="B7370" t="s">
        <v>4584</v>
      </c>
      <c r="C7370" t="s">
        <v>4585</v>
      </c>
    </row>
    <row r="7371" spans="1:4" x14ac:dyDescent="0.25">
      <c r="A7371" s="180">
        <f t="shared" si="115"/>
        <v>8505008</v>
      </c>
      <c r="B7371" t="s">
        <v>4586</v>
      </c>
      <c r="C7371" t="s">
        <v>4587</v>
      </c>
    </row>
    <row r="7372" spans="1:4" x14ac:dyDescent="0.25">
      <c r="A7372" s="180">
        <f t="shared" si="115"/>
        <v>8505009</v>
      </c>
      <c r="B7372" t="s">
        <v>4588</v>
      </c>
      <c r="C7372" t="s">
        <v>4589</v>
      </c>
    </row>
    <row r="7373" spans="1:4" x14ac:dyDescent="0.25">
      <c r="A7373" s="180">
        <f t="shared" si="115"/>
        <v>8505010</v>
      </c>
      <c r="B7373" t="s">
        <v>4590</v>
      </c>
      <c r="C7373" t="s">
        <v>4591</v>
      </c>
    </row>
    <row r="7374" spans="1:4" x14ac:dyDescent="0.25">
      <c r="A7374" s="180">
        <f t="shared" si="115"/>
        <v>8505011</v>
      </c>
      <c r="B7374" t="s">
        <v>4592</v>
      </c>
      <c r="C7374" t="s">
        <v>4593</v>
      </c>
    </row>
    <row r="7375" spans="1:4" x14ac:dyDescent="0.25">
      <c r="A7375" s="180">
        <f t="shared" si="115"/>
        <v>8505012</v>
      </c>
      <c r="B7375" t="s">
        <v>4594</v>
      </c>
      <c r="C7375" t="s">
        <v>4595</v>
      </c>
    </row>
    <row r="7376" spans="1:4" x14ac:dyDescent="0.25">
      <c r="A7376" s="180">
        <f t="shared" si="115"/>
        <v>8505013</v>
      </c>
      <c r="B7376" t="s">
        <v>4596</v>
      </c>
      <c r="C7376" t="s">
        <v>4597</v>
      </c>
    </row>
    <row r="7377" spans="1:4" x14ac:dyDescent="0.25">
      <c r="A7377" s="180">
        <f t="shared" si="115"/>
        <v>8505014</v>
      </c>
      <c r="B7377" t="s">
        <v>4598</v>
      </c>
      <c r="C7377" t="s">
        <v>4599</v>
      </c>
      <c r="D7377" t="s">
        <v>13411</v>
      </c>
    </row>
    <row r="7378" spans="1:4" x14ac:dyDescent="0.25">
      <c r="A7378" s="180">
        <f t="shared" si="115"/>
        <v>8505014</v>
      </c>
      <c r="B7378" t="s">
        <v>4598</v>
      </c>
      <c r="C7378" t="s">
        <v>4599</v>
      </c>
      <c r="D7378" t="s">
        <v>13411</v>
      </c>
    </row>
    <row r="7379" spans="1:4" x14ac:dyDescent="0.25">
      <c r="A7379" s="180">
        <f t="shared" si="115"/>
        <v>8505014</v>
      </c>
      <c r="B7379" t="s">
        <v>4598</v>
      </c>
      <c r="C7379" t="s">
        <v>4599</v>
      </c>
      <c r="D7379" t="s">
        <v>13411</v>
      </c>
    </row>
    <row r="7380" spans="1:4" x14ac:dyDescent="0.25">
      <c r="A7380" s="180">
        <f t="shared" si="115"/>
        <v>8505014</v>
      </c>
      <c r="B7380" t="s">
        <v>4598</v>
      </c>
      <c r="C7380" t="s">
        <v>4599</v>
      </c>
      <c r="D7380" t="s">
        <v>13411</v>
      </c>
    </row>
    <row r="7381" spans="1:4" x14ac:dyDescent="0.25">
      <c r="A7381" s="180">
        <f t="shared" si="115"/>
        <v>8505014</v>
      </c>
      <c r="B7381" t="s">
        <v>4598</v>
      </c>
      <c r="C7381" t="s">
        <v>4599</v>
      </c>
      <c r="D7381" t="s">
        <v>13411</v>
      </c>
    </row>
    <row r="7382" spans="1:4" x14ac:dyDescent="0.25">
      <c r="A7382" s="180">
        <f t="shared" si="115"/>
        <v>8505014</v>
      </c>
      <c r="B7382" t="s">
        <v>4598</v>
      </c>
      <c r="C7382" t="s">
        <v>4599</v>
      </c>
      <c r="D7382" t="s">
        <v>13411</v>
      </c>
    </row>
    <row r="7383" spans="1:4" x14ac:dyDescent="0.25">
      <c r="A7383" s="180">
        <f t="shared" si="115"/>
        <v>8505014</v>
      </c>
      <c r="B7383" t="s">
        <v>4598</v>
      </c>
      <c r="C7383" t="s">
        <v>4599</v>
      </c>
      <c r="D7383" t="s">
        <v>13411</v>
      </c>
    </row>
    <row r="7384" spans="1:4" x14ac:dyDescent="0.25">
      <c r="A7384" s="180">
        <f t="shared" si="115"/>
        <v>8505014</v>
      </c>
      <c r="B7384" t="s">
        <v>4598</v>
      </c>
      <c r="C7384" t="s">
        <v>4599</v>
      </c>
      <c r="D7384" t="s">
        <v>13411</v>
      </c>
    </row>
    <row r="7385" spans="1:4" x14ac:dyDescent="0.25">
      <c r="A7385" s="180">
        <f t="shared" si="115"/>
        <v>8505014</v>
      </c>
      <c r="B7385" t="s">
        <v>4598</v>
      </c>
      <c r="C7385" t="s">
        <v>4599</v>
      </c>
      <c r="D7385" t="s">
        <v>13411</v>
      </c>
    </row>
    <row r="7386" spans="1:4" x14ac:dyDescent="0.25">
      <c r="A7386" s="180">
        <f t="shared" si="115"/>
        <v>8505015</v>
      </c>
      <c r="B7386" t="s">
        <v>4600</v>
      </c>
      <c r="C7386" t="s">
        <v>4601</v>
      </c>
    </row>
    <row r="7387" spans="1:4" x14ac:dyDescent="0.25">
      <c r="A7387" s="180">
        <f t="shared" si="115"/>
        <v>8505016</v>
      </c>
      <c r="B7387" t="s">
        <v>4602</v>
      </c>
      <c r="C7387" t="s">
        <v>4603</v>
      </c>
      <c r="D7387" t="s">
        <v>13411</v>
      </c>
    </row>
    <row r="7388" spans="1:4" x14ac:dyDescent="0.25">
      <c r="A7388" s="180">
        <f t="shared" si="115"/>
        <v>8505016</v>
      </c>
      <c r="B7388" t="s">
        <v>4602</v>
      </c>
      <c r="C7388" t="s">
        <v>4603</v>
      </c>
      <c r="D7388" t="s">
        <v>13411</v>
      </c>
    </row>
    <row r="7389" spans="1:4" x14ac:dyDescent="0.25">
      <c r="A7389" s="180">
        <f t="shared" si="115"/>
        <v>8505017</v>
      </c>
      <c r="B7389" t="s">
        <v>4604</v>
      </c>
      <c r="C7389" t="s">
        <v>13338</v>
      </c>
      <c r="D7389" t="s">
        <v>13411</v>
      </c>
    </row>
    <row r="7390" spans="1:4" x14ac:dyDescent="0.25">
      <c r="A7390" s="180">
        <f t="shared" si="115"/>
        <v>8505018</v>
      </c>
      <c r="B7390" t="s">
        <v>4605</v>
      </c>
      <c r="C7390" t="s">
        <v>4606</v>
      </c>
    </row>
    <row r="7391" spans="1:4" x14ac:dyDescent="0.25">
      <c r="A7391" s="180">
        <f t="shared" si="115"/>
        <v>8505019</v>
      </c>
      <c r="B7391" t="s">
        <v>4607</v>
      </c>
      <c r="C7391" t="s">
        <v>13339</v>
      </c>
      <c r="D7391" t="s">
        <v>13411</v>
      </c>
    </row>
    <row r="7392" spans="1:4" x14ac:dyDescent="0.25">
      <c r="A7392" s="180">
        <f t="shared" si="115"/>
        <v>8505020</v>
      </c>
      <c r="B7392" t="s">
        <v>4608</v>
      </c>
      <c r="C7392" t="s">
        <v>4609</v>
      </c>
    </row>
    <row r="7393" spans="1:4" x14ac:dyDescent="0.25">
      <c r="A7393" s="180">
        <f t="shared" si="115"/>
        <v>8505021</v>
      </c>
      <c r="B7393" t="s">
        <v>4610</v>
      </c>
      <c r="C7393" t="s">
        <v>4611</v>
      </c>
      <c r="D7393" t="s">
        <v>13411</v>
      </c>
    </row>
    <row r="7394" spans="1:4" x14ac:dyDescent="0.25">
      <c r="A7394" s="180">
        <f t="shared" si="115"/>
        <v>8505022</v>
      </c>
      <c r="B7394" t="s">
        <v>4612</v>
      </c>
      <c r="C7394" t="s">
        <v>4613</v>
      </c>
      <c r="D7394" t="s">
        <v>13411</v>
      </c>
    </row>
    <row r="7395" spans="1:4" x14ac:dyDescent="0.25">
      <c r="A7395" s="180">
        <f t="shared" si="115"/>
        <v>850502201</v>
      </c>
      <c r="B7395" t="s">
        <v>4614</v>
      </c>
      <c r="C7395" t="s">
        <v>4615</v>
      </c>
    </row>
    <row r="7396" spans="1:4" x14ac:dyDescent="0.25">
      <c r="A7396" s="180">
        <f t="shared" si="115"/>
        <v>8505023</v>
      </c>
      <c r="B7396" t="s">
        <v>4616</v>
      </c>
      <c r="C7396" t="s">
        <v>4617</v>
      </c>
      <c r="D7396" t="s">
        <v>13411</v>
      </c>
    </row>
    <row r="7397" spans="1:4" x14ac:dyDescent="0.25">
      <c r="A7397" s="180">
        <f t="shared" si="115"/>
        <v>850502302</v>
      </c>
      <c r="B7397" t="s">
        <v>4618</v>
      </c>
      <c r="C7397" t="s">
        <v>4619</v>
      </c>
    </row>
    <row r="7398" spans="1:4" x14ac:dyDescent="0.25">
      <c r="A7398" s="180">
        <f t="shared" si="115"/>
        <v>8505024</v>
      </c>
      <c r="B7398" t="s">
        <v>4620</v>
      </c>
      <c r="C7398" t="s">
        <v>4621</v>
      </c>
      <c r="D7398" t="s">
        <v>13411</v>
      </c>
    </row>
    <row r="7399" spans="1:4" x14ac:dyDescent="0.25">
      <c r="A7399" s="180">
        <f t="shared" si="115"/>
        <v>850502403</v>
      </c>
      <c r="B7399" t="s">
        <v>4622</v>
      </c>
      <c r="C7399" t="s">
        <v>4623</v>
      </c>
    </row>
    <row r="7400" spans="1:4" x14ac:dyDescent="0.25">
      <c r="A7400" s="180">
        <f t="shared" si="115"/>
        <v>8505025</v>
      </c>
      <c r="B7400" t="s">
        <v>4624</v>
      </c>
      <c r="C7400" t="s">
        <v>4625</v>
      </c>
      <c r="D7400" t="s">
        <v>13411</v>
      </c>
    </row>
    <row r="7401" spans="1:4" x14ac:dyDescent="0.25">
      <c r="A7401" s="180">
        <f t="shared" si="115"/>
        <v>8505026</v>
      </c>
      <c r="B7401" t="s">
        <v>4626</v>
      </c>
      <c r="C7401" t="s">
        <v>4627</v>
      </c>
      <c r="D7401" t="s">
        <v>13411</v>
      </c>
    </row>
    <row r="7402" spans="1:4" x14ac:dyDescent="0.25">
      <c r="A7402" s="180">
        <f t="shared" si="115"/>
        <v>8505027</v>
      </c>
      <c r="B7402" t="s">
        <v>4628</v>
      </c>
      <c r="C7402" t="s">
        <v>4629</v>
      </c>
    </row>
    <row r="7403" spans="1:4" x14ac:dyDescent="0.25">
      <c r="A7403" s="180">
        <f t="shared" si="115"/>
        <v>8505028</v>
      </c>
      <c r="B7403" t="s">
        <v>4630</v>
      </c>
      <c r="C7403" t="s">
        <v>4631</v>
      </c>
      <c r="D7403" t="s">
        <v>13411</v>
      </c>
    </row>
    <row r="7404" spans="1:4" x14ac:dyDescent="0.25">
      <c r="A7404" s="180">
        <f t="shared" si="115"/>
        <v>8505029</v>
      </c>
      <c r="B7404" t="s">
        <v>4632</v>
      </c>
      <c r="C7404" t="s">
        <v>4633</v>
      </c>
      <c r="D7404" t="s">
        <v>13411</v>
      </c>
    </row>
    <row r="7405" spans="1:4" x14ac:dyDescent="0.25">
      <c r="A7405" s="180">
        <f t="shared" si="115"/>
        <v>8505030</v>
      </c>
      <c r="B7405" t="s">
        <v>4634</v>
      </c>
      <c r="C7405" t="s">
        <v>4635</v>
      </c>
      <c r="D7405" t="s">
        <v>13411</v>
      </c>
    </row>
    <row r="7406" spans="1:4" x14ac:dyDescent="0.25">
      <c r="A7406" s="180">
        <f t="shared" si="115"/>
        <v>8505031</v>
      </c>
      <c r="B7406" t="s">
        <v>4636</v>
      </c>
      <c r="C7406" t="s">
        <v>4637</v>
      </c>
      <c r="D7406" t="s">
        <v>13411</v>
      </c>
    </row>
    <row r="7407" spans="1:4" x14ac:dyDescent="0.25">
      <c r="A7407" s="180">
        <f t="shared" si="115"/>
        <v>8505032</v>
      </c>
      <c r="B7407" t="s">
        <v>4638</v>
      </c>
      <c r="C7407" t="s">
        <v>4639</v>
      </c>
      <c r="D7407" t="s">
        <v>13411</v>
      </c>
    </row>
    <row r="7408" spans="1:4" x14ac:dyDescent="0.25">
      <c r="A7408" s="180">
        <f t="shared" si="115"/>
        <v>8505033</v>
      </c>
      <c r="B7408" t="s">
        <v>4640</v>
      </c>
      <c r="C7408" t="s">
        <v>4641</v>
      </c>
      <c r="D7408" t="s">
        <v>13411</v>
      </c>
    </row>
    <row r="7409" spans="1:4" x14ac:dyDescent="0.25">
      <c r="A7409" s="180">
        <f t="shared" si="115"/>
        <v>8505034</v>
      </c>
      <c r="B7409" t="s">
        <v>13340</v>
      </c>
      <c r="C7409" t="s">
        <v>13341</v>
      </c>
      <c r="D7409" t="s">
        <v>13411</v>
      </c>
    </row>
    <row r="7410" spans="1:4" x14ac:dyDescent="0.25">
      <c r="A7410" s="180">
        <f t="shared" si="115"/>
        <v>8505036</v>
      </c>
      <c r="B7410" t="s">
        <v>14995</v>
      </c>
      <c r="C7410" t="s">
        <v>14996</v>
      </c>
    </row>
    <row r="7411" spans="1:4" x14ac:dyDescent="0.25">
      <c r="A7411" s="180">
        <f t="shared" si="115"/>
        <v>8505040</v>
      </c>
      <c r="B7411" t="s">
        <v>6998</v>
      </c>
      <c r="C7411" t="s">
        <v>6999</v>
      </c>
    </row>
    <row r="7412" spans="1:4" x14ac:dyDescent="0.25">
      <c r="A7412" s="180">
        <f t="shared" si="115"/>
        <v>8505041</v>
      </c>
      <c r="B7412" t="s">
        <v>7000</v>
      </c>
      <c r="C7412" t="s">
        <v>7001</v>
      </c>
    </row>
    <row r="7413" spans="1:4" x14ac:dyDescent="0.25">
      <c r="A7413" s="180">
        <f t="shared" si="115"/>
        <v>8505042</v>
      </c>
      <c r="B7413" t="s">
        <v>7002</v>
      </c>
      <c r="C7413" t="s">
        <v>7003</v>
      </c>
    </row>
    <row r="7414" spans="1:4" x14ac:dyDescent="0.25">
      <c r="A7414" s="180">
        <f t="shared" si="115"/>
        <v>8505043</v>
      </c>
      <c r="B7414" t="s">
        <v>7004</v>
      </c>
      <c r="C7414" t="s">
        <v>7005</v>
      </c>
    </row>
    <row r="7415" spans="1:4" x14ac:dyDescent="0.25">
      <c r="A7415" s="180">
        <f t="shared" si="115"/>
        <v>8505044</v>
      </c>
      <c r="B7415" t="s">
        <v>7006</v>
      </c>
      <c r="C7415" t="s">
        <v>7007</v>
      </c>
    </row>
    <row r="7416" spans="1:4" x14ac:dyDescent="0.25">
      <c r="A7416" s="180">
        <f t="shared" si="115"/>
        <v>8505045</v>
      </c>
      <c r="B7416" t="s">
        <v>7008</v>
      </c>
      <c r="C7416" t="s">
        <v>7009</v>
      </c>
    </row>
    <row r="7417" spans="1:4" x14ac:dyDescent="0.25">
      <c r="A7417" s="180">
        <f t="shared" si="115"/>
        <v>8505046</v>
      </c>
      <c r="B7417" t="s">
        <v>7010</v>
      </c>
      <c r="C7417" t="s">
        <v>7011</v>
      </c>
    </row>
    <row r="7418" spans="1:4" x14ac:dyDescent="0.25">
      <c r="A7418" s="180">
        <f t="shared" si="115"/>
        <v>8505047</v>
      </c>
      <c r="B7418" t="s">
        <v>7012</v>
      </c>
      <c r="C7418" t="s">
        <v>7013</v>
      </c>
    </row>
    <row r="7419" spans="1:4" x14ac:dyDescent="0.25">
      <c r="A7419" s="180">
        <f t="shared" si="115"/>
        <v>8505048</v>
      </c>
      <c r="B7419" t="s">
        <v>7014</v>
      </c>
      <c r="C7419" t="s">
        <v>7015</v>
      </c>
    </row>
    <row r="7420" spans="1:4" x14ac:dyDescent="0.25">
      <c r="A7420" s="180">
        <f t="shared" si="115"/>
        <v>8505050</v>
      </c>
      <c r="B7420" t="s">
        <v>13342</v>
      </c>
      <c r="C7420" t="s">
        <v>13343</v>
      </c>
      <c r="D7420" t="s">
        <v>13411</v>
      </c>
    </row>
    <row r="7421" spans="1:4" x14ac:dyDescent="0.25">
      <c r="A7421" s="180">
        <f t="shared" si="115"/>
        <v>8505051</v>
      </c>
      <c r="B7421" t="s">
        <v>13344</v>
      </c>
      <c r="C7421" t="s">
        <v>13345</v>
      </c>
      <c r="D7421" t="s">
        <v>13411</v>
      </c>
    </row>
    <row r="7422" spans="1:4" x14ac:dyDescent="0.25">
      <c r="A7422" s="180">
        <f t="shared" si="115"/>
        <v>8505052</v>
      </c>
      <c r="B7422" t="s">
        <v>13346</v>
      </c>
      <c r="C7422" t="s">
        <v>13347</v>
      </c>
      <c r="D7422" t="s">
        <v>13411</v>
      </c>
    </row>
    <row r="7423" spans="1:4" x14ac:dyDescent="0.25">
      <c r="A7423" s="180">
        <f t="shared" ref="A7423:A7486" si="116">IFERROR(B7423*1,"")</f>
        <v>8505053</v>
      </c>
      <c r="B7423" t="s">
        <v>13348</v>
      </c>
      <c r="C7423" t="s">
        <v>13349</v>
      </c>
      <c r="D7423" t="s">
        <v>13411</v>
      </c>
    </row>
    <row r="7424" spans="1:4" x14ac:dyDescent="0.25">
      <c r="A7424" s="180">
        <f t="shared" si="116"/>
        <v>8505054</v>
      </c>
      <c r="B7424" t="s">
        <v>13350</v>
      </c>
      <c r="C7424" t="s">
        <v>13351</v>
      </c>
      <c r="D7424" t="s">
        <v>13411</v>
      </c>
    </row>
    <row r="7425" spans="1:4" x14ac:dyDescent="0.25">
      <c r="A7425" s="180">
        <f t="shared" si="116"/>
        <v>8505055</v>
      </c>
      <c r="B7425" t="s">
        <v>13352</v>
      </c>
      <c r="C7425" t="s">
        <v>13353</v>
      </c>
      <c r="D7425" t="s">
        <v>13411</v>
      </c>
    </row>
    <row r="7426" spans="1:4" x14ac:dyDescent="0.25">
      <c r="A7426" s="180">
        <f t="shared" si="116"/>
        <v>8505063</v>
      </c>
      <c r="B7426" t="s">
        <v>4642</v>
      </c>
      <c r="C7426" t="s">
        <v>4643</v>
      </c>
    </row>
    <row r="7427" spans="1:4" x14ac:dyDescent="0.25">
      <c r="A7427" s="180">
        <f t="shared" si="116"/>
        <v>8505067</v>
      </c>
      <c r="B7427" t="s">
        <v>7016</v>
      </c>
      <c r="C7427" t="s">
        <v>7017</v>
      </c>
    </row>
    <row r="7428" spans="1:4" x14ac:dyDescent="0.25">
      <c r="A7428" s="180">
        <f t="shared" si="116"/>
        <v>8505068</v>
      </c>
      <c r="B7428" t="s">
        <v>4644</v>
      </c>
      <c r="C7428" t="s">
        <v>4645</v>
      </c>
    </row>
    <row r="7429" spans="1:4" x14ac:dyDescent="0.25">
      <c r="A7429" s="180">
        <f t="shared" si="116"/>
        <v>8505069</v>
      </c>
      <c r="B7429" t="s">
        <v>4646</v>
      </c>
      <c r="C7429" t="s">
        <v>4647</v>
      </c>
    </row>
    <row r="7430" spans="1:4" x14ac:dyDescent="0.25">
      <c r="A7430" s="180">
        <f t="shared" si="116"/>
        <v>8505070</v>
      </c>
      <c r="B7430" t="s">
        <v>4648</v>
      </c>
      <c r="C7430" t="s">
        <v>4649</v>
      </c>
      <c r="D7430" t="s">
        <v>13411</v>
      </c>
    </row>
    <row r="7431" spans="1:4" x14ac:dyDescent="0.25">
      <c r="A7431" s="180">
        <f t="shared" si="116"/>
        <v>8505071</v>
      </c>
      <c r="B7431" t="s">
        <v>4650</v>
      </c>
      <c r="C7431" t="s">
        <v>4651</v>
      </c>
    </row>
    <row r="7432" spans="1:4" x14ac:dyDescent="0.25">
      <c r="A7432" s="180">
        <f t="shared" si="116"/>
        <v>8505072</v>
      </c>
      <c r="B7432" t="s">
        <v>4652</v>
      </c>
      <c r="C7432" t="s">
        <v>4653</v>
      </c>
    </row>
    <row r="7433" spans="1:4" x14ac:dyDescent="0.25">
      <c r="A7433" s="180">
        <f t="shared" si="116"/>
        <v>8505073</v>
      </c>
      <c r="B7433" t="s">
        <v>4654</v>
      </c>
      <c r="C7433" t="s">
        <v>4655</v>
      </c>
    </row>
    <row r="7434" spans="1:4" x14ac:dyDescent="0.25">
      <c r="A7434" s="180">
        <f t="shared" si="116"/>
        <v>8505074</v>
      </c>
      <c r="B7434" t="s">
        <v>4656</v>
      </c>
      <c r="C7434" t="s">
        <v>4657</v>
      </c>
      <c r="D7434" t="s">
        <v>13411</v>
      </c>
    </row>
    <row r="7435" spans="1:4" x14ac:dyDescent="0.25">
      <c r="A7435" s="180">
        <f t="shared" si="116"/>
        <v>8505075</v>
      </c>
      <c r="B7435" t="s">
        <v>4658</v>
      </c>
      <c r="C7435" t="s">
        <v>4659</v>
      </c>
      <c r="D7435" t="s">
        <v>13411</v>
      </c>
    </row>
    <row r="7436" spans="1:4" x14ac:dyDescent="0.25">
      <c r="A7436" s="180">
        <f t="shared" si="116"/>
        <v>8505076</v>
      </c>
      <c r="B7436" t="s">
        <v>4660</v>
      </c>
      <c r="C7436" t="s">
        <v>4661</v>
      </c>
    </row>
    <row r="7437" spans="1:4" x14ac:dyDescent="0.25">
      <c r="A7437" s="180">
        <f t="shared" si="116"/>
        <v>8505100</v>
      </c>
      <c r="B7437" t="s">
        <v>4662</v>
      </c>
      <c r="C7437" t="s">
        <v>4663</v>
      </c>
      <c r="D7437" t="s">
        <v>13412</v>
      </c>
    </row>
    <row r="7438" spans="1:4" x14ac:dyDescent="0.25">
      <c r="A7438" s="180">
        <f t="shared" si="116"/>
        <v>8505101</v>
      </c>
      <c r="B7438" t="s">
        <v>4664</v>
      </c>
      <c r="C7438" t="s">
        <v>4665</v>
      </c>
      <c r="D7438" t="s">
        <v>13411</v>
      </c>
    </row>
    <row r="7439" spans="1:4" x14ac:dyDescent="0.25">
      <c r="A7439" s="180">
        <f t="shared" si="116"/>
        <v>8505109</v>
      </c>
      <c r="B7439" t="s">
        <v>4666</v>
      </c>
      <c r="C7439" t="s">
        <v>4667</v>
      </c>
    </row>
    <row r="7440" spans="1:4" x14ac:dyDescent="0.25">
      <c r="A7440" s="180">
        <f t="shared" si="116"/>
        <v>8505110</v>
      </c>
      <c r="B7440" t="s">
        <v>4668</v>
      </c>
      <c r="C7440" t="s">
        <v>4669</v>
      </c>
    </row>
    <row r="7441" spans="1:4" x14ac:dyDescent="0.25">
      <c r="A7441" s="180">
        <f t="shared" si="116"/>
        <v>8505111</v>
      </c>
      <c r="B7441" t="s">
        <v>4670</v>
      </c>
      <c r="C7441" t="s">
        <v>4671</v>
      </c>
      <c r="D7441" t="s">
        <v>13411</v>
      </c>
    </row>
    <row r="7442" spans="1:4" x14ac:dyDescent="0.25">
      <c r="A7442" s="180">
        <f t="shared" si="116"/>
        <v>8505118</v>
      </c>
      <c r="B7442" t="s">
        <v>4672</v>
      </c>
      <c r="C7442" t="s">
        <v>4673</v>
      </c>
    </row>
    <row r="7443" spans="1:4" x14ac:dyDescent="0.25">
      <c r="A7443" s="180">
        <f t="shared" si="116"/>
        <v>8505120</v>
      </c>
      <c r="B7443" t="s">
        <v>4674</v>
      </c>
      <c r="C7443" t="s">
        <v>4675</v>
      </c>
      <c r="D7443" t="s">
        <v>13411</v>
      </c>
    </row>
    <row r="7444" spans="1:4" x14ac:dyDescent="0.25">
      <c r="A7444" s="180">
        <f t="shared" si="116"/>
        <v>8505121</v>
      </c>
      <c r="B7444" t="s">
        <v>4676</v>
      </c>
      <c r="C7444" t="s">
        <v>4677</v>
      </c>
      <c r="D7444" t="s">
        <v>13411</v>
      </c>
    </row>
    <row r="7445" spans="1:4" x14ac:dyDescent="0.25">
      <c r="A7445" s="180">
        <f t="shared" si="116"/>
        <v>8505122</v>
      </c>
      <c r="B7445" t="s">
        <v>4678</v>
      </c>
      <c r="C7445" t="s">
        <v>4679</v>
      </c>
      <c r="D7445" t="s">
        <v>13411</v>
      </c>
    </row>
    <row r="7446" spans="1:4" x14ac:dyDescent="0.25">
      <c r="A7446" s="180">
        <f t="shared" si="116"/>
        <v>8505123</v>
      </c>
      <c r="B7446" t="s">
        <v>4680</v>
      </c>
      <c r="C7446" t="s">
        <v>4681</v>
      </c>
      <c r="D7446" t="s">
        <v>13411</v>
      </c>
    </row>
    <row r="7447" spans="1:4" x14ac:dyDescent="0.25">
      <c r="A7447" s="180">
        <f t="shared" si="116"/>
        <v>8505124</v>
      </c>
      <c r="B7447" t="s">
        <v>4682</v>
      </c>
      <c r="C7447" t="s">
        <v>4683</v>
      </c>
      <c r="D7447" t="s">
        <v>13411</v>
      </c>
    </row>
    <row r="7448" spans="1:4" x14ac:dyDescent="0.25">
      <c r="A7448" s="180">
        <f t="shared" si="116"/>
        <v>8505125</v>
      </c>
      <c r="B7448" t="s">
        <v>4684</v>
      </c>
      <c r="C7448" t="s">
        <v>4685</v>
      </c>
      <c r="D7448" t="s">
        <v>13411</v>
      </c>
    </row>
    <row r="7449" spans="1:4" x14ac:dyDescent="0.25">
      <c r="A7449" s="180">
        <f t="shared" si="116"/>
        <v>8505126</v>
      </c>
      <c r="B7449" t="s">
        <v>4686</v>
      </c>
      <c r="C7449" t="s">
        <v>4687</v>
      </c>
      <c r="D7449" t="s">
        <v>13411</v>
      </c>
    </row>
    <row r="7450" spans="1:4" x14ac:dyDescent="0.25">
      <c r="A7450" s="180">
        <f t="shared" si="116"/>
        <v>8505127</v>
      </c>
      <c r="B7450" t="s">
        <v>4688</v>
      </c>
      <c r="C7450" t="s">
        <v>4689</v>
      </c>
      <c r="D7450" t="s">
        <v>13411</v>
      </c>
    </row>
    <row r="7451" spans="1:4" x14ac:dyDescent="0.25">
      <c r="A7451" s="180">
        <f t="shared" si="116"/>
        <v>8505128</v>
      </c>
      <c r="B7451" t="s">
        <v>4690</v>
      </c>
      <c r="C7451" t="s">
        <v>4691</v>
      </c>
      <c r="D7451" t="s">
        <v>13411</v>
      </c>
    </row>
    <row r="7452" spans="1:4" x14ac:dyDescent="0.25">
      <c r="A7452" s="180">
        <f t="shared" si="116"/>
        <v>8505129</v>
      </c>
      <c r="B7452" t="s">
        <v>4692</v>
      </c>
      <c r="C7452" t="s">
        <v>4693</v>
      </c>
      <c r="D7452" t="s">
        <v>13411</v>
      </c>
    </row>
    <row r="7453" spans="1:4" x14ac:dyDescent="0.25">
      <c r="A7453" s="180">
        <f t="shared" si="116"/>
        <v>8505130</v>
      </c>
      <c r="B7453" t="s">
        <v>4694</v>
      </c>
      <c r="C7453" t="s">
        <v>4695</v>
      </c>
      <c r="D7453" t="s">
        <v>13411</v>
      </c>
    </row>
    <row r="7454" spans="1:4" x14ac:dyDescent="0.25">
      <c r="A7454" s="180">
        <f t="shared" si="116"/>
        <v>8505131</v>
      </c>
      <c r="B7454" t="s">
        <v>4696</v>
      </c>
      <c r="C7454" t="s">
        <v>4697</v>
      </c>
      <c r="D7454" t="s">
        <v>13411</v>
      </c>
    </row>
    <row r="7455" spans="1:4" x14ac:dyDescent="0.25">
      <c r="A7455" s="180">
        <f t="shared" si="116"/>
        <v>8505132</v>
      </c>
      <c r="B7455" t="s">
        <v>4698</v>
      </c>
      <c r="C7455" t="s">
        <v>4699</v>
      </c>
    </row>
    <row r="7456" spans="1:4" x14ac:dyDescent="0.25">
      <c r="A7456" s="180">
        <f t="shared" si="116"/>
        <v>8505133</v>
      </c>
      <c r="B7456" t="s">
        <v>4700</v>
      </c>
      <c r="C7456" t="s">
        <v>4701</v>
      </c>
      <c r="D7456" t="s">
        <v>13411</v>
      </c>
    </row>
    <row r="7457" spans="1:4" x14ac:dyDescent="0.25">
      <c r="A7457" s="180">
        <f t="shared" si="116"/>
        <v>8505134</v>
      </c>
      <c r="B7457" t="s">
        <v>4702</v>
      </c>
      <c r="C7457" t="s">
        <v>4703</v>
      </c>
      <c r="D7457" t="s">
        <v>13411</v>
      </c>
    </row>
    <row r="7458" spans="1:4" x14ac:dyDescent="0.25">
      <c r="A7458" s="180">
        <f t="shared" si="116"/>
        <v>8505134</v>
      </c>
      <c r="B7458" t="s">
        <v>4702</v>
      </c>
      <c r="C7458" t="s">
        <v>4703</v>
      </c>
      <c r="D7458" t="s">
        <v>13411</v>
      </c>
    </row>
    <row r="7459" spans="1:4" x14ac:dyDescent="0.25">
      <c r="A7459" s="180">
        <f t="shared" si="116"/>
        <v>8505135</v>
      </c>
      <c r="B7459" t="s">
        <v>4704</v>
      </c>
      <c r="C7459" t="s">
        <v>4705</v>
      </c>
      <c r="D7459" t="s">
        <v>13411</v>
      </c>
    </row>
    <row r="7460" spans="1:4" x14ac:dyDescent="0.25">
      <c r="A7460" s="180">
        <f t="shared" si="116"/>
        <v>8505135</v>
      </c>
      <c r="B7460" t="s">
        <v>4704</v>
      </c>
      <c r="C7460" t="s">
        <v>4705</v>
      </c>
      <c r="D7460" t="s">
        <v>13411</v>
      </c>
    </row>
    <row r="7461" spans="1:4" x14ac:dyDescent="0.25">
      <c r="A7461" s="180">
        <f t="shared" si="116"/>
        <v>8505136</v>
      </c>
      <c r="B7461" t="s">
        <v>4706</v>
      </c>
      <c r="C7461" t="s">
        <v>4707</v>
      </c>
      <c r="D7461" t="s">
        <v>13411</v>
      </c>
    </row>
    <row r="7462" spans="1:4" x14ac:dyDescent="0.25">
      <c r="A7462" s="180">
        <f t="shared" si="116"/>
        <v>8505136</v>
      </c>
      <c r="B7462" t="s">
        <v>4706</v>
      </c>
      <c r="C7462" t="s">
        <v>4707</v>
      </c>
      <c r="D7462" t="s">
        <v>13411</v>
      </c>
    </row>
    <row r="7463" spans="1:4" x14ac:dyDescent="0.25">
      <c r="A7463" s="180">
        <f t="shared" si="116"/>
        <v>8505136</v>
      </c>
      <c r="B7463" t="s">
        <v>4706</v>
      </c>
      <c r="C7463" t="s">
        <v>4707</v>
      </c>
      <c r="D7463" t="s">
        <v>13411</v>
      </c>
    </row>
    <row r="7464" spans="1:4" x14ac:dyDescent="0.25">
      <c r="A7464" s="180">
        <f t="shared" si="116"/>
        <v>8505137</v>
      </c>
      <c r="B7464" t="s">
        <v>4708</v>
      </c>
      <c r="C7464" t="s">
        <v>4709</v>
      </c>
      <c r="D7464" t="s">
        <v>13411</v>
      </c>
    </row>
    <row r="7465" spans="1:4" x14ac:dyDescent="0.25">
      <c r="A7465" s="180">
        <f t="shared" si="116"/>
        <v>8505137</v>
      </c>
      <c r="B7465" t="s">
        <v>4708</v>
      </c>
      <c r="C7465" t="s">
        <v>4709</v>
      </c>
      <c r="D7465" t="s">
        <v>13411</v>
      </c>
    </row>
    <row r="7466" spans="1:4" x14ac:dyDescent="0.25">
      <c r="A7466" s="180">
        <f t="shared" si="116"/>
        <v>8505138</v>
      </c>
      <c r="B7466" t="s">
        <v>4710</v>
      </c>
      <c r="C7466" t="s">
        <v>4711</v>
      </c>
      <c r="D7466" t="s">
        <v>13411</v>
      </c>
    </row>
    <row r="7467" spans="1:4" x14ac:dyDescent="0.25">
      <c r="A7467" s="180">
        <f t="shared" si="116"/>
        <v>8505138</v>
      </c>
      <c r="B7467" t="s">
        <v>4710</v>
      </c>
      <c r="C7467" t="s">
        <v>4711</v>
      </c>
      <c r="D7467" t="s">
        <v>13411</v>
      </c>
    </row>
    <row r="7468" spans="1:4" x14ac:dyDescent="0.25">
      <c r="A7468" s="180">
        <f t="shared" si="116"/>
        <v>8505139</v>
      </c>
      <c r="B7468" t="s">
        <v>4712</v>
      </c>
      <c r="C7468" t="s">
        <v>4713</v>
      </c>
      <c r="D7468" t="s">
        <v>13411</v>
      </c>
    </row>
    <row r="7469" spans="1:4" x14ac:dyDescent="0.25">
      <c r="A7469" s="180">
        <f t="shared" si="116"/>
        <v>8505140</v>
      </c>
      <c r="B7469" t="s">
        <v>4714</v>
      </c>
      <c r="C7469" t="s">
        <v>4715</v>
      </c>
      <c r="D7469" t="s">
        <v>13411</v>
      </c>
    </row>
    <row r="7470" spans="1:4" x14ac:dyDescent="0.25">
      <c r="A7470" s="180">
        <f t="shared" si="116"/>
        <v>8505141</v>
      </c>
      <c r="B7470" t="s">
        <v>4716</v>
      </c>
      <c r="C7470" t="s">
        <v>4717</v>
      </c>
      <c r="D7470" t="s">
        <v>13411</v>
      </c>
    </row>
    <row r="7471" spans="1:4" x14ac:dyDescent="0.25">
      <c r="A7471" s="180">
        <f t="shared" si="116"/>
        <v>8505142</v>
      </c>
      <c r="B7471" t="s">
        <v>4718</v>
      </c>
      <c r="C7471" t="s">
        <v>4719</v>
      </c>
      <c r="D7471" t="s">
        <v>13411</v>
      </c>
    </row>
    <row r="7472" spans="1:4" x14ac:dyDescent="0.25">
      <c r="A7472" s="180">
        <f t="shared" si="116"/>
        <v>8505149</v>
      </c>
      <c r="B7472" t="s">
        <v>4720</v>
      </c>
      <c r="C7472" t="s">
        <v>4721</v>
      </c>
      <c r="D7472" t="s">
        <v>13411</v>
      </c>
    </row>
    <row r="7473" spans="1:4" x14ac:dyDescent="0.25">
      <c r="A7473" s="180">
        <f t="shared" si="116"/>
        <v>8505150</v>
      </c>
      <c r="B7473" t="s">
        <v>4722</v>
      </c>
      <c r="C7473" t="s">
        <v>7018</v>
      </c>
    </row>
    <row r="7474" spans="1:4" x14ac:dyDescent="0.25">
      <c r="A7474" s="180">
        <f t="shared" si="116"/>
        <v>8505151</v>
      </c>
      <c r="B7474" t="s">
        <v>4723</v>
      </c>
      <c r="C7474" t="s">
        <v>4724</v>
      </c>
      <c r="D7474" t="s">
        <v>13411</v>
      </c>
    </row>
    <row r="7475" spans="1:4" x14ac:dyDescent="0.25">
      <c r="A7475" s="180">
        <f t="shared" si="116"/>
        <v>8505153</v>
      </c>
      <c r="B7475" t="s">
        <v>4725</v>
      </c>
      <c r="C7475" t="s">
        <v>4726</v>
      </c>
      <c r="D7475" t="s">
        <v>13411</v>
      </c>
    </row>
    <row r="7476" spans="1:4" x14ac:dyDescent="0.25">
      <c r="A7476" s="180">
        <f t="shared" si="116"/>
        <v>8505154</v>
      </c>
      <c r="B7476" t="s">
        <v>4727</v>
      </c>
      <c r="C7476" t="s">
        <v>4728</v>
      </c>
      <c r="D7476" t="s">
        <v>13411</v>
      </c>
    </row>
    <row r="7477" spans="1:4" x14ac:dyDescent="0.25">
      <c r="A7477" s="180">
        <f t="shared" si="116"/>
        <v>8505155</v>
      </c>
      <c r="B7477" t="s">
        <v>4729</v>
      </c>
      <c r="C7477" t="s">
        <v>4730</v>
      </c>
      <c r="D7477" t="s">
        <v>13411</v>
      </c>
    </row>
    <row r="7478" spans="1:4" x14ac:dyDescent="0.25">
      <c r="A7478" s="180">
        <f t="shared" si="116"/>
        <v>8505156</v>
      </c>
      <c r="B7478" t="s">
        <v>4731</v>
      </c>
      <c r="C7478" t="s">
        <v>4732</v>
      </c>
      <c r="D7478" t="s">
        <v>13411</v>
      </c>
    </row>
    <row r="7479" spans="1:4" x14ac:dyDescent="0.25">
      <c r="A7479" s="180">
        <f t="shared" si="116"/>
        <v>8505157</v>
      </c>
      <c r="B7479" t="s">
        <v>4733</v>
      </c>
      <c r="C7479" t="s">
        <v>4734</v>
      </c>
      <c r="D7479" t="s">
        <v>13411</v>
      </c>
    </row>
    <row r="7480" spans="1:4" x14ac:dyDescent="0.25">
      <c r="A7480" s="180">
        <f t="shared" si="116"/>
        <v>8505158</v>
      </c>
      <c r="B7480" t="s">
        <v>4735</v>
      </c>
      <c r="C7480" t="s">
        <v>4736</v>
      </c>
      <c r="D7480" t="s">
        <v>13411</v>
      </c>
    </row>
    <row r="7481" spans="1:4" x14ac:dyDescent="0.25">
      <c r="A7481" s="180">
        <f t="shared" si="116"/>
        <v>8505159</v>
      </c>
      <c r="B7481" t="s">
        <v>4737</v>
      </c>
      <c r="C7481" t="s">
        <v>4738</v>
      </c>
      <c r="D7481" t="s">
        <v>13411</v>
      </c>
    </row>
    <row r="7482" spans="1:4" x14ac:dyDescent="0.25">
      <c r="A7482" s="180">
        <f t="shared" si="116"/>
        <v>8505160</v>
      </c>
      <c r="B7482" t="s">
        <v>4739</v>
      </c>
      <c r="C7482" t="s">
        <v>4740</v>
      </c>
      <c r="D7482" t="s">
        <v>13411</v>
      </c>
    </row>
    <row r="7483" spans="1:4" x14ac:dyDescent="0.25">
      <c r="A7483" s="180">
        <f t="shared" si="116"/>
        <v>8505161</v>
      </c>
      <c r="B7483" t="s">
        <v>4741</v>
      </c>
      <c r="C7483" t="s">
        <v>4742</v>
      </c>
      <c r="D7483" t="s">
        <v>13411</v>
      </c>
    </row>
    <row r="7484" spans="1:4" x14ac:dyDescent="0.25">
      <c r="A7484" s="180">
        <f t="shared" si="116"/>
        <v>8505162</v>
      </c>
      <c r="B7484" t="s">
        <v>4743</v>
      </c>
      <c r="C7484" t="s">
        <v>4744</v>
      </c>
      <c r="D7484" t="s">
        <v>13411</v>
      </c>
    </row>
    <row r="7485" spans="1:4" x14ac:dyDescent="0.25">
      <c r="A7485" s="180">
        <f t="shared" si="116"/>
        <v>8505163</v>
      </c>
      <c r="B7485" t="s">
        <v>4745</v>
      </c>
      <c r="C7485" t="s">
        <v>4746</v>
      </c>
      <c r="D7485" t="s">
        <v>13411</v>
      </c>
    </row>
    <row r="7486" spans="1:4" x14ac:dyDescent="0.25">
      <c r="A7486" s="180">
        <f t="shared" si="116"/>
        <v>8505164</v>
      </c>
      <c r="B7486" t="s">
        <v>4747</v>
      </c>
      <c r="C7486" t="s">
        <v>4748</v>
      </c>
    </row>
    <row r="7487" spans="1:4" x14ac:dyDescent="0.25">
      <c r="A7487" s="180">
        <f t="shared" ref="A7487:A7550" si="117">IFERROR(B7487*1,"")</f>
        <v>8505165</v>
      </c>
      <c r="B7487" t="s">
        <v>4749</v>
      </c>
      <c r="C7487" t="s">
        <v>4750</v>
      </c>
    </row>
    <row r="7488" spans="1:4" x14ac:dyDescent="0.25">
      <c r="A7488" s="180">
        <f t="shared" si="117"/>
        <v>8505166</v>
      </c>
      <c r="B7488" t="s">
        <v>4751</v>
      </c>
      <c r="C7488" t="s">
        <v>4752</v>
      </c>
    </row>
    <row r="7489" spans="1:4" x14ac:dyDescent="0.25">
      <c r="A7489" s="180">
        <f t="shared" si="117"/>
        <v>8505167</v>
      </c>
      <c r="B7489" t="s">
        <v>4753</v>
      </c>
      <c r="C7489" t="s">
        <v>4754</v>
      </c>
      <c r="D7489" t="s">
        <v>13411</v>
      </c>
    </row>
    <row r="7490" spans="1:4" x14ac:dyDescent="0.25">
      <c r="A7490" s="180">
        <f t="shared" si="117"/>
        <v>8505168</v>
      </c>
      <c r="B7490" t="s">
        <v>4755</v>
      </c>
      <c r="C7490" t="s">
        <v>4756</v>
      </c>
      <c r="D7490" t="s">
        <v>13411</v>
      </c>
    </row>
    <row r="7491" spans="1:4" x14ac:dyDescent="0.25">
      <c r="A7491" s="180">
        <f t="shared" si="117"/>
        <v>8505169</v>
      </c>
      <c r="B7491" t="s">
        <v>4757</v>
      </c>
      <c r="C7491" t="s">
        <v>4758</v>
      </c>
      <c r="D7491" t="s">
        <v>13411</v>
      </c>
    </row>
    <row r="7492" spans="1:4" x14ac:dyDescent="0.25">
      <c r="A7492" s="180">
        <f t="shared" si="117"/>
        <v>8505170</v>
      </c>
      <c r="B7492" t="s">
        <v>4759</v>
      </c>
      <c r="C7492" t="s">
        <v>4760</v>
      </c>
      <c r="D7492" t="s">
        <v>13411</v>
      </c>
    </row>
    <row r="7493" spans="1:4" x14ac:dyDescent="0.25">
      <c r="A7493" s="180">
        <f t="shared" si="117"/>
        <v>8505171</v>
      </c>
      <c r="B7493" t="s">
        <v>4761</v>
      </c>
      <c r="C7493" t="s">
        <v>4762</v>
      </c>
      <c r="D7493" t="s">
        <v>13411</v>
      </c>
    </row>
    <row r="7494" spans="1:4" x14ac:dyDescent="0.25">
      <c r="A7494" s="180">
        <f t="shared" si="117"/>
        <v>8505172</v>
      </c>
      <c r="B7494" t="s">
        <v>4763</v>
      </c>
      <c r="C7494" t="s">
        <v>4764</v>
      </c>
      <c r="D7494" t="s">
        <v>13411</v>
      </c>
    </row>
    <row r="7495" spans="1:4" x14ac:dyDescent="0.25">
      <c r="A7495" s="180">
        <f t="shared" si="117"/>
        <v>8505172</v>
      </c>
      <c r="B7495" t="s">
        <v>4763</v>
      </c>
      <c r="C7495" t="s">
        <v>4764</v>
      </c>
      <c r="D7495" t="s">
        <v>13411</v>
      </c>
    </row>
    <row r="7496" spans="1:4" x14ac:dyDescent="0.25">
      <c r="A7496" s="180">
        <f t="shared" si="117"/>
        <v>8505173</v>
      </c>
      <c r="B7496" t="s">
        <v>4765</v>
      </c>
      <c r="C7496" t="s">
        <v>4766</v>
      </c>
      <c r="D7496" t="s">
        <v>13411</v>
      </c>
    </row>
    <row r="7497" spans="1:4" x14ac:dyDescent="0.25">
      <c r="A7497" s="180">
        <f t="shared" si="117"/>
        <v>8505174</v>
      </c>
      <c r="B7497" t="s">
        <v>12900</v>
      </c>
      <c r="C7497" t="s">
        <v>12901</v>
      </c>
      <c r="D7497" t="s">
        <v>13411</v>
      </c>
    </row>
    <row r="7498" spans="1:4" x14ac:dyDescent="0.25">
      <c r="A7498" s="180">
        <f t="shared" si="117"/>
        <v>8505175</v>
      </c>
      <c r="B7498" t="s">
        <v>4767</v>
      </c>
      <c r="C7498" t="s">
        <v>4768</v>
      </c>
      <c r="D7498" t="s">
        <v>13411</v>
      </c>
    </row>
    <row r="7499" spans="1:4" x14ac:dyDescent="0.25">
      <c r="A7499" s="180">
        <f t="shared" si="117"/>
        <v>8505176</v>
      </c>
      <c r="B7499" t="s">
        <v>4769</v>
      </c>
      <c r="C7499" t="s">
        <v>4770</v>
      </c>
      <c r="D7499" t="s">
        <v>13411</v>
      </c>
    </row>
    <row r="7500" spans="1:4" x14ac:dyDescent="0.25">
      <c r="A7500" s="180">
        <f t="shared" si="117"/>
        <v>8505177</v>
      </c>
      <c r="B7500" t="s">
        <v>4771</v>
      </c>
      <c r="C7500" t="s">
        <v>4772</v>
      </c>
      <c r="D7500" t="s">
        <v>13411</v>
      </c>
    </row>
    <row r="7501" spans="1:4" x14ac:dyDescent="0.25">
      <c r="A7501" s="180">
        <f t="shared" si="117"/>
        <v>8505178</v>
      </c>
      <c r="B7501" t="s">
        <v>4773</v>
      </c>
      <c r="C7501" t="s">
        <v>4774</v>
      </c>
      <c r="D7501" t="s">
        <v>13411</v>
      </c>
    </row>
    <row r="7502" spans="1:4" x14ac:dyDescent="0.25">
      <c r="A7502" s="180">
        <f t="shared" si="117"/>
        <v>8505196</v>
      </c>
      <c r="B7502" t="s">
        <v>4775</v>
      </c>
      <c r="C7502" t="s">
        <v>4776</v>
      </c>
      <c r="D7502" t="s">
        <v>13411</v>
      </c>
    </row>
    <row r="7503" spans="1:4" x14ac:dyDescent="0.25">
      <c r="A7503" s="180">
        <f t="shared" si="117"/>
        <v>8505200</v>
      </c>
      <c r="B7503" t="s">
        <v>4777</v>
      </c>
      <c r="C7503" t="s">
        <v>4778</v>
      </c>
    </row>
    <row r="7504" spans="1:4" x14ac:dyDescent="0.25">
      <c r="A7504" s="180">
        <f t="shared" si="117"/>
        <v>8505201</v>
      </c>
      <c r="B7504" t="s">
        <v>4779</v>
      </c>
      <c r="C7504" t="s">
        <v>4780</v>
      </c>
      <c r="D7504" t="s">
        <v>13411</v>
      </c>
    </row>
    <row r="7505" spans="1:4" x14ac:dyDescent="0.25">
      <c r="A7505" s="180">
        <f t="shared" si="117"/>
        <v>8505202</v>
      </c>
      <c r="B7505" t="s">
        <v>4781</v>
      </c>
      <c r="C7505" t="s">
        <v>4782</v>
      </c>
      <c r="D7505" t="s">
        <v>13411</v>
      </c>
    </row>
    <row r="7506" spans="1:4" x14ac:dyDescent="0.25">
      <c r="A7506" s="180">
        <f t="shared" si="117"/>
        <v>8505203</v>
      </c>
      <c r="B7506" t="s">
        <v>4783</v>
      </c>
      <c r="C7506" t="s">
        <v>4784</v>
      </c>
    </row>
    <row r="7507" spans="1:4" x14ac:dyDescent="0.25">
      <c r="A7507" s="180">
        <f t="shared" si="117"/>
        <v>8505204</v>
      </c>
      <c r="B7507" t="s">
        <v>4785</v>
      </c>
      <c r="C7507" t="s">
        <v>4786</v>
      </c>
    </row>
    <row r="7508" spans="1:4" x14ac:dyDescent="0.25">
      <c r="A7508" s="180">
        <f t="shared" si="117"/>
        <v>8505205</v>
      </c>
      <c r="B7508" t="s">
        <v>4787</v>
      </c>
      <c r="C7508" t="s">
        <v>4788</v>
      </c>
      <c r="D7508" t="s">
        <v>13411</v>
      </c>
    </row>
    <row r="7509" spans="1:4" x14ac:dyDescent="0.25">
      <c r="A7509" s="180">
        <f t="shared" si="117"/>
        <v>8505206</v>
      </c>
      <c r="B7509" t="s">
        <v>4789</v>
      </c>
      <c r="C7509" t="s">
        <v>4790</v>
      </c>
      <c r="D7509" t="s">
        <v>13411</v>
      </c>
    </row>
    <row r="7510" spans="1:4" x14ac:dyDescent="0.25">
      <c r="A7510" s="180">
        <f t="shared" si="117"/>
        <v>8505207</v>
      </c>
      <c r="B7510" t="s">
        <v>4791</v>
      </c>
      <c r="C7510" t="s">
        <v>4792</v>
      </c>
      <c r="D7510" t="s">
        <v>13411</v>
      </c>
    </row>
    <row r="7511" spans="1:4" x14ac:dyDescent="0.25">
      <c r="A7511" s="180">
        <f t="shared" si="117"/>
        <v>8505208</v>
      </c>
      <c r="B7511" t="s">
        <v>4793</v>
      </c>
      <c r="C7511" t="s">
        <v>4794</v>
      </c>
    </row>
    <row r="7512" spans="1:4" x14ac:dyDescent="0.25">
      <c r="A7512" s="180">
        <f t="shared" si="117"/>
        <v>8505209</v>
      </c>
      <c r="B7512" t="s">
        <v>4795</v>
      </c>
      <c r="C7512" t="s">
        <v>4796</v>
      </c>
      <c r="D7512" t="s">
        <v>13411</v>
      </c>
    </row>
    <row r="7513" spans="1:4" x14ac:dyDescent="0.25">
      <c r="A7513" s="180">
        <f t="shared" si="117"/>
        <v>8505210</v>
      </c>
      <c r="B7513" t="s">
        <v>4797</v>
      </c>
      <c r="C7513" t="s">
        <v>4798</v>
      </c>
      <c r="D7513" t="s">
        <v>13411</v>
      </c>
    </row>
    <row r="7514" spans="1:4" x14ac:dyDescent="0.25">
      <c r="A7514" s="180">
        <f t="shared" si="117"/>
        <v>8505211</v>
      </c>
      <c r="B7514" t="s">
        <v>4799</v>
      </c>
      <c r="C7514" t="s">
        <v>4800</v>
      </c>
      <c r="D7514" t="s">
        <v>13411</v>
      </c>
    </row>
    <row r="7515" spans="1:4" x14ac:dyDescent="0.25">
      <c r="A7515" s="180">
        <f t="shared" si="117"/>
        <v>8505215</v>
      </c>
      <c r="B7515" t="s">
        <v>4801</v>
      </c>
      <c r="C7515" t="s">
        <v>4802</v>
      </c>
      <c r="D7515" t="s">
        <v>13411</v>
      </c>
    </row>
    <row r="7516" spans="1:4" x14ac:dyDescent="0.25">
      <c r="A7516" s="180">
        <f t="shared" si="117"/>
        <v>8505216</v>
      </c>
      <c r="B7516" t="s">
        <v>4803</v>
      </c>
      <c r="C7516" t="s">
        <v>4804</v>
      </c>
    </row>
    <row r="7517" spans="1:4" x14ac:dyDescent="0.25">
      <c r="A7517" s="180">
        <f t="shared" si="117"/>
        <v>8505217</v>
      </c>
      <c r="B7517" t="s">
        <v>4805</v>
      </c>
      <c r="C7517" t="s">
        <v>4806</v>
      </c>
    </row>
    <row r="7518" spans="1:4" x14ac:dyDescent="0.25">
      <c r="A7518" s="180">
        <f t="shared" si="117"/>
        <v>8505219</v>
      </c>
      <c r="B7518" t="s">
        <v>4807</v>
      </c>
      <c r="C7518" t="s">
        <v>4808</v>
      </c>
    </row>
    <row r="7519" spans="1:4" x14ac:dyDescent="0.25">
      <c r="A7519" s="180">
        <f t="shared" si="117"/>
        <v>8505220</v>
      </c>
      <c r="B7519" t="s">
        <v>4809</v>
      </c>
      <c r="C7519" t="s">
        <v>4810</v>
      </c>
      <c r="D7519" t="s">
        <v>13411</v>
      </c>
    </row>
    <row r="7520" spans="1:4" x14ac:dyDescent="0.25">
      <c r="A7520" s="180">
        <f t="shared" si="117"/>
        <v>8505220</v>
      </c>
      <c r="B7520" t="s">
        <v>4809</v>
      </c>
      <c r="C7520" t="s">
        <v>4810</v>
      </c>
      <c r="D7520" t="s">
        <v>13411</v>
      </c>
    </row>
    <row r="7521" spans="1:4" x14ac:dyDescent="0.25">
      <c r="A7521" s="180">
        <f t="shared" si="117"/>
        <v>8505220</v>
      </c>
      <c r="B7521" t="s">
        <v>4809</v>
      </c>
      <c r="C7521" t="s">
        <v>4810</v>
      </c>
      <c r="D7521" t="s">
        <v>13411</v>
      </c>
    </row>
    <row r="7522" spans="1:4" x14ac:dyDescent="0.25">
      <c r="A7522" s="180">
        <f t="shared" si="117"/>
        <v>8505220</v>
      </c>
      <c r="B7522" t="s">
        <v>4809</v>
      </c>
      <c r="C7522" t="s">
        <v>4810</v>
      </c>
      <c r="D7522" t="s">
        <v>13411</v>
      </c>
    </row>
    <row r="7523" spans="1:4" x14ac:dyDescent="0.25">
      <c r="A7523" s="180">
        <f t="shared" si="117"/>
        <v>8505220</v>
      </c>
      <c r="B7523" t="s">
        <v>4809</v>
      </c>
      <c r="C7523" t="s">
        <v>4810</v>
      </c>
      <c r="D7523" t="s">
        <v>13411</v>
      </c>
    </row>
    <row r="7524" spans="1:4" x14ac:dyDescent="0.25">
      <c r="A7524" s="180">
        <f t="shared" si="117"/>
        <v>8505220</v>
      </c>
      <c r="B7524" t="s">
        <v>4809</v>
      </c>
      <c r="C7524" t="s">
        <v>4810</v>
      </c>
      <c r="D7524" t="s">
        <v>13411</v>
      </c>
    </row>
    <row r="7525" spans="1:4" x14ac:dyDescent="0.25">
      <c r="A7525" s="180">
        <f t="shared" si="117"/>
        <v>8505220</v>
      </c>
      <c r="B7525" t="s">
        <v>4809</v>
      </c>
      <c r="C7525" t="s">
        <v>4810</v>
      </c>
      <c r="D7525" t="s">
        <v>13411</v>
      </c>
    </row>
    <row r="7526" spans="1:4" x14ac:dyDescent="0.25">
      <c r="A7526" s="180">
        <f t="shared" si="117"/>
        <v>8505220</v>
      </c>
      <c r="B7526" t="s">
        <v>4809</v>
      </c>
      <c r="C7526" t="s">
        <v>4810</v>
      </c>
      <c r="D7526" t="s">
        <v>13411</v>
      </c>
    </row>
    <row r="7527" spans="1:4" x14ac:dyDescent="0.25">
      <c r="A7527" s="180">
        <f t="shared" si="117"/>
        <v>8505220</v>
      </c>
      <c r="B7527" t="s">
        <v>4809</v>
      </c>
      <c r="C7527" t="s">
        <v>4810</v>
      </c>
      <c r="D7527" t="s">
        <v>13411</v>
      </c>
    </row>
    <row r="7528" spans="1:4" x14ac:dyDescent="0.25">
      <c r="A7528" s="180">
        <f t="shared" si="117"/>
        <v>8505221</v>
      </c>
      <c r="B7528" t="s">
        <v>4811</v>
      </c>
      <c r="C7528" t="s">
        <v>4812</v>
      </c>
      <c r="D7528" t="s">
        <v>13411</v>
      </c>
    </row>
    <row r="7529" spans="1:4" x14ac:dyDescent="0.25">
      <c r="A7529" s="180">
        <f t="shared" si="117"/>
        <v>8505221</v>
      </c>
      <c r="B7529" t="s">
        <v>4811</v>
      </c>
      <c r="C7529" t="s">
        <v>4812</v>
      </c>
      <c r="D7529" t="s">
        <v>13411</v>
      </c>
    </row>
    <row r="7530" spans="1:4" x14ac:dyDescent="0.25">
      <c r="A7530" s="180">
        <f t="shared" si="117"/>
        <v>8505221</v>
      </c>
      <c r="B7530" t="s">
        <v>4811</v>
      </c>
      <c r="C7530" t="s">
        <v>4812</v>
      </c>
      <c r="D7530" t="s">
        <v>13411</v>
      </c>
    </row>
    <row r="7531" spans="1:4" x14ac:dyDescent="0.25">
      <c r="A7531" s="180">
        <f t="shared" si="117"/>
        <v>8505221</v>
      </c>
      <c r="B7531" t="s">
        <v>4811</v>
      </c>
      <c r="C7531" t="s">
        <v>4812</v>
      </c>
      <c r="D7531" t="s">
        <v>13411</v>
      </c>
    </row>
    <row r="7532" spans="1:4" x14ac:dyDescent="0.25">
      <c r="A7532" s="180">
        <f t="shared" si="117"/>
        <v>8505221</v>
      </c>
      <c r="B7532" t="s">
        <v>4811</v>
      </c>
      <c r="C7532" t="s">
        <v>4812</v>
      </c>
      <c r="D7532" t="s">
        <v>13411</v>
      </c>
    </row>
    <row r="7533" spans="1:4" x14ac:dyDescent="0.25">
      <c r="A7533" s="180">
        <f t="shared" si="117"/>
        <v>8505221</v>
      </c>
      <c r="B7533" t="s">
        <v>4811</v>
      </c>
      <c r="C7533" t="s">
        <v>4812</v>
      </c>
      <c r="D7533" t="s">
        <v>13411</v>
      </c>
    </row>
    <row r="7534" spans="1:4" x14ac:dyDescent="0.25">
      <c r="A7534" s="180">
        <f t="shared" si="117"/>
        <v>8505223</v>
      </c>
      <c r="B7534" t="s">
        <v>4813</v>
      </c>
      <c r="C7534" t="s">
        <v>4814</v>
      </c>
      <c r="D7534" t="s">
        <v>13411</v>
      </c>
    </row>
    <row r="7535" spans="1:4" x14ac:dyDescent="0.25">
      <c r="A7535" s="180">
        <f t="shared" si="117"/>
        <v>8505224</v>
      </c>
      <c r="B7535" t="s">
        <v>4815</v>
      </c>
      <c r="C7535" t="s">
        <v>4816</v>
      </c>
      <c r="D7535" t="s">
        <v>13411</v>
      </c>
    </row>
    <row r="7536" spans="1:4" x14ac:dyDescent="0.25">
      <c r="A7536" s="180">
        <f t="shared" si="117"/>
        <v>8505225</v>
      </c>
      <c r="B7536" t="s">
        <v>4817</v>
      </c>
      <c r="C7536" t="s">
        <v>4818</v>
      </c>
    </row>
    <row r="7537" spans="1:4" x14ac:dyDescent="0.25">
      <c r="A7537" s="180">
        <f t="shared" si="117"/>
        <v>8505233</v>
      </c>
      <c r="B7537" t="s">
        <v>4819</v>
      </c>
      <c r="C7537" t="s">
        <v>4820</v>
      </c>
      <c r="D7537" t="s">
        <v>13411</v>
      </c>
    </row>
    <row r="7538" spans="1:4" x14ac:dyDescent="0.25">
      <c r="A7538" s="180">
        <f t="shared" si="117"/>
        <v>8505233</v>
      </c>
      <c r="B7538" t="s">
        <v>4819</v>
      </c>
      <c r="C7538" t="s">
        <v>4820</v>
      </c>
      <c r="D7538" t="s">
        <v>13411</v>
      </c>
    </row>
    <row r="7539" spans="1:4" x14ac:dyDescent="0.25">
      <c r="A7539" s="180">
        <f t="shared" si="117"/>
        <v>8505243</v>
      </c>
      <c r="B7539" t="s">
        <v>4821</v>
      </c>
      <c r="C7539" t="s">
        <v>4822</v>
      </c>
      <c r="D7539" t="s">
        <v>13411</v>
      </c>
    </row>
    <row r="7540" spans="1:4" x14ac:dyDescent="0.25">
      <c r="A7540" s="180">
        <f t="shared" si="117"/>
        <v>8505250</v>
      </c>
      <c r="B7540" t="s">
        <v>4823</v>
      </c>
      <c r="C7540" t="s">
        <v>4824</v>
      </c>
      <c r="D7540" t="s">
        <v>13411</v>
      </c>
    </row>
    <row r="7541" spans="1:4" x14ac:dyDescent="0.25">
      <c r="A7541" s="180">
        <f t="shared" si="117"/>
        <v>8505262</v>
      </c>
      <c r="B7541" t="s">
        <v>4825</v>
      </c>
      <c r="C7541" t="s">
        <v>4826</v>
      </c>
      <c r="D7541" t="s">
        <v>13411</v>
      </c>
    </row>
    <row r="7542" spans="1:4" x14ac:dyDescent="0.25">
      <c r="A7542" s="180">
        <f t="shared" si="117"/>
        <v>8505263</v>
      </c>
      <c r="B7542" t="s">
        <v>4827</v>
      </c>
      <c r="C7542" t="s">
        <v>4828</v>
      </c>
    </row>
    <row r="7543" spans="1:4" x14ac:dyDescent="0.25">
      <c r="A7543" s="180">
        <f t="shared" si="117"/>
        <v>8505264</v>
      </c>
      <c r="B7543" t="s">
        <v>4829</v>
      </c>
      <c r="C7543" t="s">
        <v>4830</v>
      </c>
    </row>
    <row r="7544" spans="1:4" x14ac:dyDescent="0.25">
      <c r="A7544" s="180" t="str">
        <f t="shared" si="117"/>
        <v/>
      </c>
      <c r="B7544" t="s">
        <v>13129</v>
      </c>
    </row>
    <row r="7545" spans="1:4" x14ac:dyDescent="0.25">
      <c r="A7545" s="180">
        <f t="shared" si="117"/>
        <v>8505290</v>
      </c>
      <c r="B7545" t="s">
        <v>4831</v>
      </c>
      <c r="C7545" t="s">
        <v>4832</v>
      </c>
    </row>
    <row r="7546" spans="1:4" x14ac:dyDescent="0.25">
      <c r="A7546" s="180">
        <f t="shared" si="117"/>
        <v>8505291</v>
      </c>
      <c r="B7546" t="s">
        <v>4833</v>
      </c>
      <c r="C7546" t="s">
        <v>4834</v>
      </c>
    </row>
    <row r="7547" spans="1:4" x14ac:dyDescent="0.25">
      <c r="A7547" s="180">
        <f t="shared" si="117"/>
        <v>8505320</v>
      </c>
      <c r="B7547" t="s">
        <v>4835</v>
      </c>
      <c r="C7547" t="s">
        <v>4836</v>
      </c>
      <c r="D7547" t="s">
        <v>13411</v>
      </c>
    </row>
    <row r="7548" spans="1:4" x14ac:dyDescent="0.25">
      <c r="A7548" s="180">
        <f t="shared" si="117"/>
        <v>8505322</v>
      </c>
      <c r="B7548" t="s">
        <v>4837</v>
      </c>
      <c r="C7548" t="s">
        <v>4838</v>
      </c>
    </row>
    <row r="7549" spans="1:4" x14ac:dyDescent="0.25">
      <c r="A7549" s="180">
        <f t="shared" si="117"/>
        <v>8505324</v>
      </c>
      <c r="B7549" t="s">
        <v>4839</v>
      </c>
      <c r="C7549" t="s">
        <v>4840</v>
      </c>
    </row>
    <row r="7550" spans="1:4" x14ac:dyDescent="0.25">
      <c r="A7550" s="180">
        <f t="shared" si="117"/>
        <v>8505329</v>
      </c>
      <c r="B7550" t="s">
        <v>4841</v>
      </c>
      <c r="C7550" t="s">
        <v>4842</v>
      </c>
      <c r="D7550" t="s">
        <v>13411</v>
      </c>
    </row>
    <row r="7551" spans="1:4" x14ac:dyDescent="0.25">
      <c r="A7551" s="180">
        <f t="shared" ref="A7551:A7614" si="118">IFERROR(B7551*1,"")</f>
        <v>8505330</v>
      </c>
      <c r="B7551" t="s">
        <v>4843</v>
      </c>
      <c r="C7551" t="s">
        <v>4844</v>
      </c>
    </row>
    <row r="7552" spans="1:4" x14ac:dyDescent="0.25">
      <c r="A7552" s="180">
        <f t="shared" si="118"/>
        <v>8505331</v>
      </c>
      <c r="B7552" t="s">
        <v>4845</v>
      </c>
      <c r="C7552" t="s">
        <v>4846</v>
      </c>
      <c r="D7552" t="s">
        <v>13411</v>
      </c>
    </row>
    <row r="7553" spans="1:4" x14ac:dyDescent="0.25">
      <c r="A7553" s="180">
        <f t="shared" si="118"/>
        <v>8505367</v>
      </c>
      <c r="B7553" t="s">
        <v>4847</v>
      </c>
      <c r="C7553" t="s">
        <v>4848</v>
      </c>
      <c r="D7553" t="s">
        <v>13411</v>
      </c>
    </row>
    <row r="7554" spans="1:4" x14ac:dyDescent="0.25">
      <c r="A7554" s="180">
        <f t="shared" si="118"/>
        <v>8505401</v>
      </c>
      <c r="B7554" t="s">
        <v>12902</v>
      </c>
      <c r="C7554" t="s">
        <v>12903</v>
      </c>
      <c r="D7554" t="s">
        <v>13411</v>
      </c>
    </row>
    <row r="7555" spans="1:4" x14ac:dyDescent="0.25">
      <c r="A7555" s="180">
        <f t="shared" si="118"/>
        <v>8505402</v>
      </c>
      <c r="B7555" t="s">
        <v>12904</v>
      </c>
      <c r="C7555" t="s">
        <v>12905</v>
      </c>
      <c r="D7555" t="s">
        <v>13411</v>
      </c>
    </row>
    <row r="7556" spans="1:4" x14ac:dyDescent="0.25">
      <c r="A7556" s="180">
        <f t="shared" si="118"/>
        <v>8505403</v>
      </c>
      <c r="B7556" t="s">
        <v>12906</v>
      </c>
      <c r="C7556" t="s">
        <v>12907</v>
      </c>
      <c r="D7556" t="s">
        <v>13411</v>
      </c>
    </row>
    <row r="7557" spans="1:4" x14ac:dyDescent="0.25">
      <c r="A7557" s="180">
        <f t="shared" si="118"/>
        <v>8505404</v>
      </c>
      <c r="B7557" t="s">
        <v>12908</v>
      </c>
      <c r="C7557" t="s">
        <v>12909</v>
      </c>
      <c r="D7557" t="s">
        <v>13411</v>
      </c>
    </row>
    <row r="7558" spans="1:4" x14ac:dyDescent="0.25">
      <c r="A7558" s="180">
        <f t="shared" si="118"/>
        <v>8505405</v>
      </c>
      <c r="B7558" t="s">
        <v>12910</v>
      </c>
      <c r="C7558" t="s">
        <v>12911</v>
      </c>
    </row>
    <row r="7559" spans="1:4" x14ac:dyDescent="0.25">
      <c r="A7559" s="180">
        <f t="shared" si="118"/>
        <v>8505406</v>
      </c>
      <c r="B7559" t="s">
        <v>12912</v>
      </c>
      <c r="C7559" t="s">
        <v>12913</v>
      </c>
      <c r="D7559" t="s">
        <v>13411</v>
      </c>
    </row>
    <row r="7560" spans="1:4" x14ac:dyDescent="0.25">
      <c r="A7560" s="180">
        <f t="shared" si="118"/>
        <v>8505590</v>
      </c>
      <c r="B7560" t="s">
        <v>13130</v>
      </c>
      <c r="C7560" t="s">
        <v>13933</v>
      </c>
      <c r="D7560" t="s">
        <v>13411</v>
      </c>
    </row>
    <row r="7561" spans="1:4" x14ac:dyDescent="0.25">
      <c r="A7561" s="180">
        <f t="shared" si="118"/>
        <v>8505591</v>
      </c>
      <c r="B7561" t="s">
        <v>13934</v>
      </c>
      <c r="C7561" t="s">
        <v>13935</v>
      </c>
      <c r="D7561" t="s">
        <v>13411</v>
      </c>
    </row>
    <row r="7562" spans="1:4" x14ac:dyDescent="0.25">
      <c r="A7562" s="180">
        <f t="shared" si="118"/>
        <v>8505592</v>
      </c>
      <c r="B7562" t="s">
        <v>14044</v>
      </c>
      <c r="C7562" t="s">
        <v>14045</v>
      </c>
      <c r="D7562" t="s">
        <v>13411</v>
      </c>
    </row>
    <row r="7563" spans="1:4" x14ac:dyDescent="0.25">
      <c r="A7563" s="180">
        <f t="shared" si="118"/>
        <v>8505600</v>
      </c>
      <c r="B7563" t="s">
        <v>4849</v>
      </c>
      <c r="C7563" t="s">
        <v>4850</v>
      </c>
    </row>
    <row r="7564" spans="1:4" x14ac:dyDescent="0.25">
      <c r="A7564" s="180">
        <f t="shared" si="118"/>
        <v>8505601</v>
      </c>
      <c r="B7564" t="s">
        <v>4851</v>
      </c>
      <c r="C7564" t="s">
        <v>4852</v>
      </c>
      <c r="D7564" t="s">
        <v>13411</v>
      </c>
    </row>
    <row r="7565" spans="1:4" x14ac:dyDescent="0.25">
      <c r="A7565" s="180">
        <f t="shared" si="118"/>
        <v>8505602</v>
      </c>
      <c r="B7565" t="s">
        <v>4853</v>
      </c>
      <c r="C7565" t="s">
        <v>4854</v>
      </c>
      <c r="D7565" t="s">
        <v>13411</v>
      </c>
    </row>
    <row r="7566" spans="1:4" x14ac:dyDescent="0.25">
      <c r="A7566" s="180">
        <f t="shared" si="118"/>
        <v>8505603</v>
      </c>
      <c r="B7566" t="s">
        <v>4855</v>
      </c>
      <c r="C7566" t="s">
        <v>4856</v>
      </c>
      <c r="D7566" t="s">
        <v>13411</v>
      </c>
    </row>
    <row r="7567" spans="1:4" x14ac:dyDescent="0.25">
      <c r="A7567" s="180">
        <f t="shared" si="118"/>
        <v>8505604</v>
      </c>
      <c r="B7567" t="s">
        <v>4857</v>
      </c>
      <c r="C7567" t="s">
        <v>4858</v>
      </c>
      <c r="D7567" t="s">
        <v>13411</v>
      </c>
    </row>
    <row r="7568" spans="1:4" x14ac:dyDescent="0.25">
      <c r="A7568" s="180">
        <f t="shared" si="118"/>
        <v>8505605</v>
      </c>
      <c r="B7568" t="s">
        <v>4859</v>
      </c>
      <c r="C7568" t="s">
        <v>4860</v>
      </c>
      <c r="D7568" t="s">
        <v>13411</v>
      </c>
    </row>
    <row r="7569" spans="1:4" x14ac:dyDescent="0.25">
      <c r="A7569" s="180">
        <f t="shared" si="118"/>
        <v>8505606</v>
      </c>
      <c r="B7569" t="s">
        <v>4861</v>
      </c>
      <c r="C7569" t="s">
        <v>4862</v>
      </c>
      <c r="D7569" t="s">
        <v>13411</v>
      </c>
    </row>
    <row r="7570" spans="1:4" x14ac:dyDescent="0.25">
      <c r="A7570" s="180">
        <f t="shared" si="118"/>
        <v>8505607</v>
      </c>
      <c r="B7570" t="s">
        <v>4863</v>
      </c>
      <c r="C7570" t="s">
        <v>4864</v>
      </c>
      <c r="D7570" t="s">
        <v>13411</v>
      </c>
    </row>
    <row r="7571" spans="1:4" x14ac:dyDescent="0.25">
      <c r="A7571" s="180">
        <f t="shared" si="118"/>
        <v>8505650</v>
      </c>
      <c r="B7571" t="s">
        <v>7019</v>
      </c>
      <c r="C7571" t="s">
        <v>7020</v>
      </c>
      <c r="D7571" t="s">
        <v>13412</v>
      </c>
    </row>
    <row r="7572" spans="1:4" x14ac:dyDescent="0.25">
      <c r="A7572" s="180">
        <f t="shared" si="118"/>
        <v>8505688</v>
      </c>
      <c r="B7572" t="s">
        <v>4865</v>
      </c>
      <c r="C7572" t="s">
        <v>4866</v>
      </c>
      <c r="D7572" t="s">
        <v>13411</v>
      </c>
    </row>
    <row r="7573" spans="1:4" x14ac:dyDescent="0.25">
      <c r="A7573" s="180">
        <f t="shared" si="118"/>
        <v>8505689</v>
      </c>
      <c r="B7573" t="s">
        <v>4867</v>
      </c>
      <c r="C7573" t="s">
        <v>4868</v>
      </c>
      <c r="D7573" t="s">
        <v>13411</v>
      </c>
    </row>
    <row r="7574" spans="1:4" x14ac:dyDescent="0.25">
      <c r="A7574" s="180">
        <f t="shared" si="118"/>
        <v>8505690</v>
      </c>
      <c r="B7574" t="s">
        <v>4869</v>
      </c>
      <c r="C7574" t="s">
        <v>4870</v>
      </c>
      <c r="D7574" t="s">
        <v>13411</v>
      </c>
    </row>
    <row r="7575" spans="1:4" x14ac:dyDescent="0.25">
      <c r="A7575" s="180">
        <f t="shared" si="118"/>
        <v>8505691</v>
      </c>
      <c r="B7575" t="s">
        <v>4871</v>
      </c>
      <c r="C7575" t="s">
        <v>4872</v>
      </c>
      <c r="D7575" t="s">
        <v>13411</v>
      </c>
    </row>
    <row r="7576" spans="1:4" x14ac:dyDescent="0.25">
      <c r="A7576" s="180">
        <f t="shared" si="118"/>
        <v>8505692</v>
      </c>
      <c r="B7576" t="s">
        <v>4873</v>
      </c>
      <c r="C7576" t="s">
        <v>4874</v>
      </c>
      <c r="D7576" t="s">
        <v>13411</v>
      </c>
    </row>
    <row r="7577" spans="1:4" x14ac:dyDescent="0.25">
      <c r="A7577" s="180">
        <f t="shared" si="118"/>
        <v>8505693</v>
      </c>
      <c r="B7577" t="s">
        <v>4875</v>
      </c>
      <c r="C7577" t="s">
        <v>4876</v>
      </c>
      <c r="D7577" t="s">
        <v>13411</v>
      </c>
    </row>
    <row r="7578" spans="1:4" x14ac:dyDescent="0.25">
      <c r="A7578" s="180">
        <f t="shared" si="118"/>
        <v>8505694</v>
      </c>
      <c r="B7578" t="s">
        <v>14531</v>
      </c>
      <c r="C7578" t="s">
        <v>14532</v>
      </c>
      <c r="D7578" t="s">
        <v>13411</v>
      </c>
    </row>
    <row r="7579" spans="1:4" x14ac:dyDescent="0.25">
      <c r="A7579" s="180">
        <f t="shared" si="118"/>
        <v>8505701</v>
      </c>
      <c r="B7579" t="s">
        <v>4877</v>
      </c>
      <c r="C7579" t="s">
        <v>4878</v>
      </c>
      <c r="D7579" t="s">
        <v>13411</v>
      </c>
    </row>
    <row r="7580" spans="1:4" x14ac:dyDescent="0.25">
      <c r="A7580" s="180">
        <f t="shared" si="118"/>
        <v>8505702</v>
      </c>
      <c r="B7580" t="s">
        <v>4879</v>
      </c>
      <c r="C7580" t="s">
        <v>4880</v>
      </c>
    </row>
    <row r="7581" spans="1:4" x14ac:dyDescent="0.25">
      <c r="A7581" s="180">
        <f t="shared" si="118"/>
        <v>8505703</v>
      </c>
      <c r="B7581" t="s">
        <v>4881</v>
      </c>
      <c r="C7581" t="s">
        <v>4882</v>
      </c>
      <c r="D7581" t="s">
        <v>13411</v>
      </c>
    </row>
    <row r="7582" spans="1:4" x14ac:dyDescent="0.25">
      <c r="A7582" s="180">
        <f t="shared" si="118"/>
        <v>8505704</v>
      </c>
      <c r="B7582" t="s">
        <v>4883</v>
      </c>
      <c r="C7582" t="s">
        <v>4884</v>
      </c>
      <c r="D7582" t="s">
        <v>13411</v>
      </c>
    </row>
    <row r="7583" spans="1:4" x14ac:dyDescent="0.25">
      <c r="A7583" s="180">
        <f t="shared" si="118"/>
        <v>8505705</v>
      </c>
      <c r="B7583" t="s">
        <v>4885</v>
      </c>
      <c r="C7583" t="s">
        <v>4886</v>
      </c>
      <c r="D7583" t="s">
        <v>13411</v>
      </c>
    </row>
    <row r="7584" spans="1:4" x14ac:dyDescent="0.25">
      <c r="A7584" s="180">
        <f t="shared" si="118"/>
        <v>8505706</v>
      </c>
      <c r="B7584" t="s">
        <v>4887</v>
      </c>
      <c r="C7584" t="s">
        <v>4888</v>
      </c>
      <c r="D7584" t="s">
        <v>13411</v>
      </c>
    </row>
    <row r="7585" spans="1:4" x14ac:dyDescent="0.25">
      <c r="A7585" s="180">
        <f t="shared" si="118"/>
        <v>8505707</v>
      </c>
      <c r="B7585" t="s">
        <v>4889</v>
      </c>
      <c r="C7585" t="s">
        <v>4890</v>
      </c>
      <c r="D7585" t="s">
        <v>13411</v>
      </c>
    </row>
    <row r="7586" spans="1:4" x14ac:dyDescent="0.25">
      <c r="A7586" s="180">
        <f t="shared" si="118"/>
        <v>8505708</v>
      </c>
      <c r="B7586" t="s">
        <v>4891</v>
      </c>
      <c r="C7586" t="s">
        <v>4892</v>
      </c>
      <c r="D7586" t="s">
        <v>13411</v>
      </c>
    </row>
    <row r="7587" spans="1:4" x14ac:dyDescent="0.25">
      <c r="A7587" s="180">
        <f t="shared" si="118"/>
        <v>8505709</v>
      </c>
      <c r="B7587" t="s">
        <v>4893</v>
      </c>
      <c r="C7587" t="s">
        <v>4894</v>
      </c>
      <c r="D7587" t="s">
        <v>13411</v>
      </c>
    </row>
    <row r="7588" spans="1:4" x14ac:dyDescent="0.25">
      <c r="A7588" s="180">
        <f t="shared" si="118"/>
        <v>8505710</v>
      </c>
      <c r="B7588" t="s">
        <v>4895</v>
      </c>
      <c r="C7588" t="s">
        <v>4896</v>
      </c>
    </row>
    <row r="7589" spans="1:4" x14ac:dyDescent="0.25">
      <c r="A7589" s="180">
        <f t="shared" si="118"/>
        <v>8505711</v>
      </c>
      <c r="B7589" t="s">
        <v>4897</v>
      </c>
      <c r="C7589" t="s">
        <v>4898</v>
      </c>
    </row>
    <row r="7590" spans="1:4" x14ac:dyDescent="0.25">
      <c r="A7590" s="180">
        <f t="shared" si="118"/>
        <v>8505712</v>
      </c>
      <c r="B7590" t="s">
        <v>4899</v>
      </c>
      <c r="C7590" t="s">
        <v>4900</v>
      </c>
      <c r="D7590" t="s">
        <v>13411</v>
      </c>
    </row>
    <row r="7591" spans="1:4" x14ac:dyDescent="0.25">
      <c r="A7591" s="180">
        <f t="shared" si="118"/>
        <v>8505713</v>
      </c>
      <c r="B7591" t="s">
        <v>4901</v>
      </c>
      <c r="C7591" t="s">
        <v>4902</v>
      </c>
    </row>
    <row r="7592" spans="1:4" x14ac:dyDescent="0.25">
      <c r="A7592" s="180">
        <f t="shared" si="118"/>
        <v>8505714</v>
      </c>
      <c r="B7592" t="s">
        <v>4903</v>
      </c>
      <c r="C7592" t="s">
        <v>4904</v>
      </c>
    </row>
    <row r="7593" spans="1:4" x14ac:dyDescent="0.25">
      <c r="A7593" s="180">
        <f t="shared" si="118"/>
        <v>8505750</v>
      </c>
      <c r="B7593" t="s">
        <v>14046</v>
      </c>
      <c r="C7593" t="s">
        <v>14047</v>
      </c>
      <c r="D7593" t="s">
        <v>13411</v>
      </c>
    </row>
    <row r="7594" spans="1:4" x14ac:dyDescent="0.25">
      <c r="A7594" s="180">
        <f t="shared" si="118"/>
        <v>8505789</v>
      </c>
      <c r="B7594" t="s">
        <v>4905</v>
      </c>
      <c r="C7594" t="s">
        <v>4906</v>
      </c>
      <c r="D7594" t="s">
        <v>13411</v>
      </c>
    </row>
    <row r="7595" spans="1:4" x14ac:dyDescent="0.25">
      <c r="A7595" s="180">
        <f t="shared" si="118"/>
        <v>8505800</v>
      </c>
      <c r="B7595" t="s">
        <v>12914</v>
      </c>
      <c r="C7595" t="s">
        <v>12915</v>
      </c>
      <c r="D7595" t="s">
        <v>13411</v>
      </c>
    </row>
    <row r="7596" spans="1:4" x14ac:dyDescent="0.25">
      <c r="A7596" s="180">
        <f t="shared" si="118"/>
        <v>8505800</v>
      </c>
      <c r="B7596" t="s">
        <v>12914</v>
      </c>
      <c r="C7596" t="s">
        <v>12915</v>
      </c>
      <c r="D7596" t="s">
        <v>13411</v>
      </c>
    </row>
    <row r="7597" spans="1:4" x14ac:dyDescent="0.25">
      <c r="A7597" s="180">
        <f t="shared" si="118"/>
        <v>8505800</v>
      </c>
      <c r="B7597" t="s">
        <v>12914</v>
      </c>
      <c r="C7597" t="s">
        <v>12915</v>
      </c>
      <c r="D7597" t="s">
        <v>13411</v>
      </c>
    </row>
    <row r="7598" spans="1:4" x14ac:dyDescent="0.25">
      <c r="A7598" s="180">
        <f t="shared" si="118"/>
        <v>8505800</v>
      </c>
      <c r="B7598" t="s">
        <v>12914</v>
      </c>
      <c r="C7598" t="s">
        <v>12915</v>
      </c>
      <c r="D7598" t="s">
        <v>13411</v>
      </c>
    </row>
    <row r="7599" spans="1:4" x14ac:dyDescent="0.25">
      <c r="A7599" s="180">
        <f t="shared" si="118"/>
        <v>8505800</v>
      </c>
      <c r="B7599" t="s">
        <v>12914</v>
      </c>
      <c r="C7599" t="s">
        <v>12915</v>
      </c>
      <c r="D7599" t="s">
        <v>13411</v>
      </c>
    </row>
    <row r="7600" spans="1:4" x14ac:dyDescent="0.25">
      <c r="A7600" s="180">
        <f t="shared" si="118"/>
        <v>8505800</v>
      </c>
      <c r="B7600" t="s">
        <v>12914</v>
      </c>
      <c r="C7600" t="s">
        <v>12915</v>
      </c>
      <c r="D7600" t="s">
        <v>13411</v>
      </c>
    </row>
    <row r="7601" spans="1:4" x14ac:dyDescent="0.25">
      <c r="A7601" s="180">
        <f t="shared" si="118"/>
        <v>8505800</v>
      </c>
      <c r="B7601" t="s">
        <v>12914</v>
      </c>
      <c r="C7601" t="s">
        <v>12915</v>
      </c>
      <c r="D7601" t="s">
        <v>13411</v>
      </c>
    </row>
    <row r="7602" spans="1:4" x14ac:dyDescent="0.25">
      <c r="A7602" s="180">
        <f t="shared" si="118"/>
        <v>8505800</v>
      </c>
      <c r="B7602" t="s">
        <v>12914</v>
      </c>
      <c r="C7602" t="s">
        <v>12915</v>
      </c>
      <c r="D7602" t="s">
        <v>13411</v>
      </c>
    </row>
    <row r="7603" spans="1:4" x14ac:dyDescent="0.25">
      <c r="A7603" s="180">
        <f t="shared" si="118"/>
        <v>8505801</v>
      </c>
      <c r="B7603" t="s">
        <v>12916</v>
      </c>
      <c r="C7603" t="s">
        <v>12917</v>
      </c>
      <c r="D7603" t="s">
        <v>13411</v>
      </c>
    </row>
    <row r="7604" spans="1:4" x14ac:dyDescent="0.25">
      <c r="A7604" s="180">
        <f t="shared" si="118"/>
        <v>8505809</v>
      </c>
      <c r="B7604" t="s">
        <v>4907</v>
      </c>
      <c r="C7604" t="s">
        <v>4908</v>
      </c>
    </row>
    <row r="7605" spans="1:4" x14ac:dyDescent="0.25">
      <c r="A7605" s="180">
        <f t="shared" si="118"/>
        <v>8505810</v>
      </c>
      <c r="B7605" t="s">
        <v>4909</v>
      </c>
      <c r="C7605" t="s">
        <v>4910</v>
      </c>
    </row>
    <row r="7606" spans="1:4" x14ac:dyDescent="0.25">
      <c r="A7606" s="180">
        <f t="shared" si="118"/>
        <v>8505820</v>
      </c>
      <c r="B7606" t="s">
        <v>4911</v>
      </c>
      <c r="C7606" t="s">
        <v>4912</v>
      </c>
      <c r="D7606" t="s">
        <v>13411</v>
      </c>
    </row>
    <row r="7607" spans="1:4" x14ac:dyDescent="0.25">
      <c r="A7607" s="180">
        <f t="shared" si="118"/>
        <v>8505821</v>
      </c>
      <c r="B7607" t="s">
        <v>4913</v>
      </c>
      <c r="C7607" t="s">
        <v>4914</v>
      </c>
      <c r="D7607" t="s">
        <v>13411</v>
      </c>
    </row>
    <row r="7608" spans="1:4" x14ac:dyDescent="0.25">
      <c r="A7608" s="180">
        <f t="shared" si="118"/>
        <v>8505822</v>
      </c>
      <c r="B7608" t="s">
        <v>4915</v>
      </c>
      <c r="C7608" t="s">
        <v>4916</v>
      </c>
      <c r="D7608" t="s">
        <v>13411</v>
      </c>
    </row>
    <row r="7609" spans="1:4" x14ac:dyDescent="0.25">
      <c r="A7609" s="180">
        <f t="shared" si="118"/>
        <v>8505823</v>
      </c>
      <c r="B7609" t="s">
        <v>4917</v>
      </c>
      <c r="C7609" t="s">
        <v>4918</v>
      </c>
      <c r="D7609" t="s">
        <v>13411</v>
      </c>
    </row>
    <row r="7610" spans="1:4" x14ac:dyDescent="0.25">
      <c r="A7610" s="180">
        <f t="shared" si="118"/>
        <v>8505824</v>
      </c>
      <c r="B7610" t="s">
        <v>4919</v>
      </c>
      <c r="C7610" t="s">
        <v>4920</v>
      </c>
      <c r="D7610" t="s">
        <v>13411</v>
      </c>
    </row>
    <row r="7611" spans="1:4" x14ac:dyDescent="0.25">
      <c r="A7611" s="180">
        <f t="shared" si="118"/>
        <v>8505824</v>
      </c>
      <c r="B7611" t="s">
        <v>4919</v>
      </c>
      <c r="C7611" t="s">
        <v>4920</v>
      </c>
      <c r="D7611" t="s">
        <v>13411</v>
      </c>
    </row>
    <row r="7612" spans="1:4" x14ac:dyDescent="0.25">
      <c r="A7612" s="180">
        <f t="shared" si="118"/>
        <v>8505824</v>
      </c>
      <c r="B7612" t="s">
        <v>4919</v>
      </c>
      <c r="C7612" t="s">
        <v>4920</v>
      </c>
      <c r="D7612" t="s">
        <v>13411</v>
      </c>
    </row>
    <row r="7613" spans="1:4" x14ac:dyDescent="0.25">
      <c r="A7613" s="180">
        <f t="shared" si="118"/>
        <v>8505825</v>
      </c>
      <c r="B7613" t="s">
        <v>4921</v>
      </c>
      <c r="C7613" t="s">
        <v>4922</v>
      </c>
      <c r="D7613" t="s">
        <v>13412</v>
      </c>
    </row>
    <row r="7614" spans="1:4" x14ac:dyDescent="0.25">
      <c r="A7614" s="180">
        <f t="shared" si="118"/>
        <v>8505826</v>
      </c>
      <c r="B7614" t="s">
        <v>4923</v>
      </c>
      <c r="C7614" t="s">
        <v>4924</v>
      </c>
      <c r="D7614" t="s">
        <v>13412</v>
      </c>
    </row>
    <row r="7615" spans="1:4" x14ac:dyDescent="0.25">
      <c r="A7615" s="180">
        <f t="shared" ref="A7615:A7678" si="119">IFERROR(B7615*1,"")</f>
        <v>8505827</v>
      </c>
      <c r="B7615" t="s">
        <v>4925</v>
      </c>
      <c r="C7615" t="s">
        <v>4926</v>
      </c>
      <c r="D7615" t="s">
        <v>13412</v>
      </c>
    </row>
    <row r="7616" spans="1:4" x14ac:dyDescent="0.25">
      <c r="A7616" s="180">
        <f t="shared" si="119"/>
        <v>8505838</v>
      </c>
      <c r="B7616" t="s">
        <v>4927</v>
      </c>
      <c r="C7616" t="s">
        <v>4928</v>
      </c>
    </row>
    <row r="7617" spans="1:4" x14ac:dyDescent="0.25">
      <c r="A7617" s="180">
        <f t="shared" si="119"/>
        <v>8507002</v>
      </c>
      <c r="B7617" t="s">
        <v>4929</v>
      </c>
      <c r="C7617" t="s">
        <v>4930</v>
      </c>
      <c r="D7617" t="s">
        <v>13412</v>
      </c>
    </row>
    <row r="7618" spans="1:4" x14ac:dyDescent="0.25">
      <c r="A7618" s="180">
        <f t="shared" si="119"/>
        <v>8508065</v>
      </c>
      <c r="B7618" t="s">
        <v>4931</v>
      </c>
      <c r="C7618" t="s">
        <v>4932</v>
      </c>
    </row>
    <row r="7619" spans="1:4" x14ac:dyDescent="0.25">
      <c r="A7619" s="180">
        <f t="shared" si="119"/>
        <v>8508121</v>
      </c>
      <c r="B7619" t="s">
        <v>4933</v>
      </c>
      <c r="C7619" t="s">
        <v>4934</v>
      </c>
    </row>
    <row r="7620" spans="1:4" x14ac:dyDescent="0.25">
      <c r="A7620" s="180">
        <f t="shared" si="119"/>
        <v>850812160</v>
      </c>
      <c r="B7620" t="s">
        <v>4935</v>
      </c>
      <c r="C7620" t="s">
        <v>4934</v>
      </c>
    </row>
    <row r="7621" spans="1:4" x14ac:dyDescent="0.25">
      <c r="A7621" s="180">
        <f t="shared" si="119"/>
        <v>8508132</v>
      </c>
      <c r="B7621" t="s">
        <v>4936</v>
      </c>
      <c r="C7621" t="s">
        <v>4937</v>
      </c>
      <c r="D7621" t="s">
        <v>13412</v>
      </c>
    </row>
    <row r="7622" spans="1:4" x14ac:dyDescent="0.25">
      <c r="A7622" s="180">
        <f t="shared" si="119"/>
        <v>850814110</v>
      </c>
      <c r="B7622" t="s">
        <v>4938</v>
      </c>
      <c r="C7622" t="s">
        <v>4939</v>
      </c>
    </row>
    <row r="7623" spans="1:4" x14ac:dyDescent="0.25">
      <c r="A7623" s="180">
        <f t="shared" si="119"/>
        <v>850822000</v>
      </c>
      <c r="B7623" t="s">
        <v>4940</v>
      </c>
      <c r="C7623" t="s">
        <v>4941</v>
      </c>
    </row>
    <row r="7624" spans="1:4" x14ac:dyDescent="0.25">
      <c r="A7624" s="180">
        <f t="shared" si="119"/>
        <v>8508507</v>
      </c>
      <c r="B7624" t="s">
        <v>4942</v>
      </c>
      <c r="C7624" t="s">
        <v>4943</v>
      </c>
      <c r="D7624" t="s">
        <v>13412</v>
      </c>
    </row>
    <row r="7625" spans="1:4" x14ac:dyDescent="0.25">
      <c r="A7625" s="180">
        <f t="shared" si="119"/>
        <v>850850712</v>
      </c>
      <c r="B7625" t="s">
        <v>4944</v>
      </c>
      <c r="C7625" t="s">
        <v>4944</v>
      </c>
    </row>
    <row r="7626" spans="1:4" x14ac:dyDescent="0.25">
      <c r="A7626" s="180">
        <f t="shared" si="119"/>
        <v>8509729</v>
      </c>
      <c r="B7626" t="s">
        <v>4945</v>
      </c>
      <c r="C7626" t="s">
        <v>4946</v>
      </c>
      <c r="D7626" t="s">
        <v>13411</v>
      </c>
    </row>
    <row r="7627" spans="1:4" x14ac:dyDescent="0.25">
      <c r="A7627" s="180">
        <f t="shared" si="119"/>
        <v>8511115</v>
      </c>
      <c r="B7627" t="s">
        <v>4947</v>
      </c>
      <c r="C7627" t="s">
        <v>4948</v>
      </c>
      <c r="D7627" t="s">
        <v>13411</v>
      </c>
    </row>
    <row r="7628" spans="1:4" x14ac:dyDescent="0.25">
      <c r="A7628" s="180">
        <f t="shared" si="119"/>
        <v>8511421</v>
      </c>
      <c r="B7628" t="s">
        <v>4949</v>
      </c>
      <c r="C7628" t="s">
        <v>4950</v>
      </c>
      <c r="D7628" t="s">
        <v>13412</v>
      </c>
    </row>
    <row r="7629" spans="1:4" x14ac:dyDescent="0.25">
      <c r="A7629" s="180">
        <f t="shared" si="119"/>
        <v>8511446</v>
      </c>
      <c r="B7629" t="s">
        <v>4951</v>
      </c>
      <c r="C7629" t="s">
        <v>4952</v>
      </c>
      <c r="D7629" t="s">
        <v>13412</v>
      </c>
    </row>
    <row r="7630" spans="1:4" x14ac:dyDescent="0.25">
      <c r="A7630" s="180">
        <f t="shared" si="119"/>
        <v>8511522</v>
      </c>
      <c r="B7630" t="s">
        <v>4953</v>
      </c>
      <c r="C7630" t="s">
        <v>4954</v>
      </c>
      <c r="D7630" t="s">
        <v>13412</v>
      </c>
    </row>
    <row r="7631" spans="1:4" x14ac:dyDescent="0.25">
      <c r="A7631" s="180">
        <f t="shared" si="119"/>
        <v>8511744</v>
      </c>
      <c r="B7631" t="s">
        <v>4955</v>
      </c>
      <c r="C7631" t="s">
        <v>4956</v>
      </c>
      <c r="D7631" t="s">
        <v>13412</v>
      </c>
    </row>
    <row r="7632" spans="1:4" x14ac:dyDescent="0.25">
      <c r="A7632" s="180">
        <f t="shared" si="119"/>
        <v>8513001</v>
      </c>
      <c r="B7632" t="s">
        <v>4957</v>
      </c>
      <c r="C7632" t="s">
        <v>4958</v>
      </c>
      <c r="D7632" t="s">
        <v>13412</v>
      </c>
    </row>
    <row r="7633" spans="1:4" x14ac:dyDescent="0.25">
      <c r="A7633" s="180">
        <f t="shared" si="119"/>
        <v>8513012</v>
      </c>
      <c r="B7633" t="s">
        <v>4959</v>
      </c>
      <c r="C7633" t="s">
        <v>4960</v>
      </c>
      <c r="D7633" t="s">
        <v>13412</v>
      </c>
    </row>
    <row r="7634" spans="1:4" x14ac:dyDescent="0.25">
      <c r="A7634" s="180">
        <f t="shared" si="119"/>
        <v>8513160</v>
      </c>
      <c r="B7634" t="s">
        <v>4961</v>
      </c>
      <c r="C7634" t="s">
        <v>4962</v>
      </c>
      <c r="D7634" t="s">
        <v>13412</v>
      </c>
    </row>
    <row r="7635" spans="1:4" x14ac:dyDescent="0.25">
      <c r="A7635" s="180">
        <f t="shared" si="119"/>
        <v>8513173</v>
      </c>
      <c r="B7635" t="s">
        <v>4963</v>
      </c>
      <c r="C7635" t="s">
        <v>12918</v>
      </c>
      <c r="D7635" t="s">
        <v>13412</v>
      </c>
    </row>
    <row r="7636" spans="1:4" x14ac:dyDescent="0.25">
      <c r="A7636" s="180">
        <f t="shared" si="119"/>
        <v>8513174</v>
      </c>
      <c r="B7636" t="s">
        <v>4964</v>
      </c>
      <c r="C7636" t="s">
        <v>4965</v>
      </c>
      <c r="D7636" t="s">
        <v>13412</v>
      </c>
    </row>
    <row r="7637" spans="1:4" x14ac:dyDescent="0.25">
      <c r="A7637" s="180">
        <f t="shared" si="119"/>
        <v>8513175</v>
      </c>
      <c r="B7637" t="s">
        <v>4966</v>
      </c>
      <c r="C7637" t="s">
        <v>4967</v>
      </c>
      <c r="D7637" t="s">
        <v>13412</v>
      </c>
    </row>
    <row r="7638" spans="1:4" x14ac:dyDescent="0.25">
      <c r="A7638" s="180">
        <f t="shared" si="119"/>
        <v>8513202</v>
      </c>
      <c r="B7638" t="s">
        <v>13936</v>
      </c>
      <c r="C7638" t="s">
        <v>13937</v>
      </c>
      <c r="D7638" t="s">
        <v>13412</v>
      </c>
    </row>
    <row r="7639" spans="1:4" x14ac:dyDescent="0.25">
      <c r="A7639" s="180">
        <f t="shared" si="119"/>
        <v>8513224</v>
      </c>
      <c r="B7639" t="s">
        <v>4968</v>
      </c>
      <c r="C7639" t="s">
        <v>4969</v>
      </c>
      <c r="D7639" t="s">
        <v>13412</v>
      </c>
    </row>
    <row r="7640" spans="1:4" x14ac:dyDescent="0.25">
      <c r="A7640" s="180">
        <f t="shared" si="119"/>
        <v>8513243</v>
      </c>
      <c r="B7640" t="s">
        <v>4970</v>
      </c>
      <c r="C7640" t="s">
        <v>4971</v>
      </c>
    </row>
    <row r="7641" spans="1:4" x14ac:dyDescent="0.25">
      <c r="A7641" s="180">
        <f t="shared" si="119"/>
        <v>8513244</v>
      </c>
      <c r="B7641" t="s">
        <v>4972</v>
      </c>
      <c r="C7641" t="s">
        <v>4973</v>
      </c>
      <c r="D7641" t="s">
        <v>13412</v>
      </c>
    </row>
    <row r="7642" spans="1:4" x14ac:dyDescent="0.25">
      <c r="A7642" s="180">
        <f t="shared" si="119"/>
        <v>8513245</v>
      </c>
      <c r="B7642" t="s">
        <v>4974</v>
      </c>
      <c r="C7642" t="s">
        <v>4975</v>
      </c>
    </row>
    <row r="7643" spans="1:4" x14ac:dyDescent="0.25">
      <c r="A7643" s="180">
        <f t="shared" si="119"/>
        <v>8513303</v>
      </c>
      <c r="B7643" t="s">
        <v>4976</v>
      </c>
      <c r="C7643" t="s">
        <v>4977</v>
      </c>
      <c r="D7643" t="s">
        <v>13412</v>
      </c>
    </row>
    <row r="7644" spans="1:4" x14ac:dyDescent="0.25">
      <c r="A7644" s="180">
        <f t="shared" si="119"/>
        <v>8513405</v>
      </c>
      <c r="B7644" t="s">
        <v>4978</v>
      </c>
      <c r="C7644" t="s">
        <v>4979</v>
      </c>
      <c r="D7644" t="s">
        <v>13412</v>
      </c>
    </row>
    <row r="7645" spans="1:4" x14ac:dyDescent="0.25">
      <c r="A7645" s="180">
        <f t="shared" si="119"/>
        <v>8513505</v>
      </c>
      <c r="B7645" t="s">
        <v>14048</v>
      </c>
      <c r="C7645" t="s">
        <v>14049</v>
      </c>
      <c r="D7645" t="s">
        <v>13412</v>
      </c>
    </row>
    <row r="7646" spans="1:4" x14ac:dyDescent="0.25">
      <c r="A7646" s="180">
        <f t="shared" si="119"/>
        <v>8515001</v>
      </c>
      <c r="B7646" t="s">
        <v>4980</v>
      </c>
      <c r="C7646" t="s">
        <v>4981</v>
      </c>
    </row>
    <row r="7647" spans="1:4" x14ac:dyDescent="0.25">
      <c r="A7647" s="180">
        <f t="shared" si="119"/>
        <v>8515004</v>
      </c>
      <c r="B7647" t="s">
        <v>4982</v>
      </c>
      <c r="C7647" t="s">
        <v>4983</v>
      </c>
    </row>
    <row r="7648" spans="1:4" x14ac:dyDescent="0.25">
      <c r="A7648" s="180">
        <f t="shared" si="119"/>
        <v>8515180</v>
      </c>
      <c r="B7648" t="s">
        <v>4984</v>
      </c>
      <c r="C7648" t="s">
        <v>4985</v>
      </c>
    </row>
    <row r="7649" spans="1:4" x14ac:dyDescent="0.25">
      <c r="A7649" s="180">
        <f t="shared" si="119"/>
        <v>8515181</v>
      </c>
      <c r="B7649" t="s">
        <v>4986</v>
      </c>
      <c r="C7649" t="s">
        <v>4987</v>
      </c>
      <c r="D7649" t="s">
        <v>13412</v>
      </c>
    </row>
    <row r="7650" spans="1:4" x14ac:dyDescent="0.25">
      <c r="A7650" s="180">
        <f t="shared" si="119"/>
        <v>8515740</v>
      </c>
      <c r="B7650" t="s">
        <v>12919</v>
      </c>
      <c r="C7650" t="s">
        <v>12920</v>
      </c>
      <c r="D7650" t="s">
        <v>13411</v>
      </c>
    </row>
    <row r="7651" spans="1:4" x14ac:dyDescent="0.25">
      <c r="A7651" s="180">
        <f t="shared" si="119"/>
        <v>8515746</v>
      </c>
      <c r="B7651" t="s">
        <v>4988</v>
      </c>
      <c r="C7651" t="s">
        <v>4989</v>
      </c>
      <c r="D7651" t="s">
        <v>13411</v>
      </c>
    </row>
    <row r="7652" spans="1:4" x14ac:dyDescent="0.25">
      <c r="A7652" s="180">
        <f t="shared" si="119"/>
        <v>8515747</v>
      </c>
      <c r="B7652" t="s">
        <v>4990</v>
      </c>
      <c r="C7652" t="s">
        <v>4991</v>
      </c>
      <c r="D7652" t="s">
        <v>13411</v>
      </c>
    </row>
    <row r="7653" spans="1:4" x14ac:dyDescent="0.25">
      <c r="A7653" s="180">
        <f t="shared" si="119"/>
        <v>8515748</v>
      </c>
      <c r="B7653" t="s">
        <v>4992</v>
      </c>
      <c r="C7653" t="s">
        <v>4993</v>
      </c>
      <c r="D7653" t="s">
        <v>13411</v>
      </c>
    </row>
    <row r="7654" spans="1:4" x14ac:dyDescent="0.25">
      <c r="A7654" s="180">
        <f t="shared" si="119"/>
        <v>8515749</v>
      </c>
      <c r="B7654" t="s">
        <v>4994</v>
      </c>
      <c r="C7654" t="s">
        <v>4995</v>
      </c>
    </row>
    <row r="7655" spans="1:4" x14ac:dyDescent="0.25">
      <c r="A7655" s="180">
        <f t="shared" si="119"/>
        <v>8515750</v>
      </c>
      <c r="B7655" t="s">
        <v>13354</v>
      </c>
      <c r="C7655" t="s">
        <v>13355</v>
      </c>
      <c r="D7655" t="s">
        <v>13411</v>
      </c>
    </row>
    <row r="7656" spans="1:4" x14ac:dyDescent="0.25">
      <c r="A7656" s="180">
        <f t="shared" si="119"/>
        <v>8515751</v>
      </c>
      <c r="B7656" t="s">
        <v>13530</v>
      </c>
      <c r="C7656" t="s">
        <v>13531</v>
      </c>
      <c r="D7656" t="s">
        <v>13411</v>
      </c>
    </row>
    <row r="7657" spans="1:4" x14ac:dyDescent="0.25">
      <c r="A7657" s="180">
        <f t="shared" si="119"/>
        <v>8515760</v>
      </c>
      <c r="B7657" t="s">
        <v>4996</v>
      </c>
      <c r="C7657" t="s">
        <v>4997</v>
      </c>
      <c r="D7657" t="s">
        <v>13411</v>
      </c>
    </row>
    <row r="7658" spans="1:4" x14ac:dyDescent="0.25">
      <c r="A7658" s="180">
        <f t="shared" si="119"/>
        <v>8515770</v>
      </c>
      <c r="B7658" t="s">
        <v>13356</v>
      </c>
      <c r="C7658" t="s">
        <v>13357</v>
      </c>
    </row>
    <row r="7659" spans="1:4" x14ac:dyDescent="0.25">
      <c r="A7659" s="180">
        <f t="shared" si="119"/>
        <v>8516000</v>
      </c>
      <c r="B7659" t="s">
        <v>4998</v>
      </c>
      <c r="C7659" t="s">
        <v>4999</v>
      </c>
      <c r="D7659" t="s">
        <v>13411</v>
      </c>
    </row>
    <row r="7660" spans="1:4" x14ac:dyDescent="0.25">
      <c r="A7660" s="180">
        <f t="shared" si="119"/>
        <v>8517000</v>
      </c>
      <c r="B7660" t="s">
        <v>5000</v>
      </c>
      <c r="C7660" t="s">
        <v>5001</v>
      </c>
      <c r="D7660" t="s">
        <v>13412</v>
      </c>
    </row>
    <row r="7661" spans="1:4" x14ac:dyDescent="0.25">
      <c r="A7661" s="180">
        <f t="shared" si="119"/>
        <v>8517000</v>
      </c>
      <c r="B7661" t="s">
        <v>5000</v>
      </c>
      <c r="C7661" t="s">
        <v>5001</v>
      </c>
      <c r="D7661" t="s">
        <v>13412</v>
      </c>
    </row>
    <row r="7662" spans="1:4" x14ac:dyDescent="0.25">
      <c r="A7662" s="180">
        <f t="shared" si="119"/>
        <v>8517000</v>
      </c>
      <c r="B7662" t="s">
        <v>5000</v>
      </c>
      <c r="C7662" t="s">
        <v>5001</v>
      </c>
      <c r="D7662" t="s">
        <v>13412</v>
      </c>
    </row>
    <row r="7663" spans="1:4" x14ac:dyDescent="0.25">
      <c r="A7663" s="180">
        <f t="shared" si="119"/>
        <v>8517000</v>
      </c>
      <c r="B7663" t="s">
        <v>5000</v>
      </c>
      <c r="C7663" t="s">
        <v>5001</v>
      </c>
      <c r="D7663" t="s">
        <v>13412</v>
      </c>
    </row>
    <row r="7664" spans="1:4" x14ac:dyDescent="0.25">
      <c r="A7664" s="180">
        <f t="shared" si="119"/>
        <v>8517000</v>
      </c>
      <c r="B7664" t="s">
        <v>5000</v>
      </c>
      <c r="C7664" t="s">
        <v>5001</v>
      </c>
      <c r="D7664" t="s">
        <v>13412</v>
      </c>
    </row>
    <row r="7665" spans="1:4" x14ac:dyDescent="0.25">
      <c r="A7665" s="180">
        <f t="shared" si="119"/>
        <v>8517000</v>
      </c>
      <c r="B7665" t="s">
        <v>5000</v>
      </c>
      <c r="C7665" t="s">
        <v>5001</v>
      </c>
      <c r="D7665" t="s">
        <v>13412</v>
      </c>
    </row>
    <row r="7666" spans="1:4" x14ac:dyDescent="0.25">
      <c r="A7666" s="180">
        <f t="shared" si="119"/>
        <v>8517000</v>
      </c>
      <c r="B7666" t="s">
        <v>5000</v>
      </c>
      <c r="C7666" t="s">
        <v>5001</v>
      </c>
      <c r="D7666" t="s">
        <v>13412</v>
      </c>
    </row>
    <row r="7667" spans="1:4" x14ac:dyDescent="0.25">
      <c r="A7667" s="180">
        <f t="shared" si="119"/>
        <v>8517000</v>
      </c>
      <c r="B7667" t="s">
        <v>5000</v>
      </c>
      <c r="C7667" t="s">
        <v>5001</v>
      </c>
      <c r="D7667" t="s">
        <v>13412</v>
      </c>
    </row>
    <row r="7668" spans="1:4" x14ac:dyDescent="0.25">
      <c r="A7668" s="180">
        <f t="shared" si="119"/>
        <v>8517000</v>
      </c>
      <c r="B7668" t="s">
        <v>5000</v>
      </c>
      <c r="C7668" t="s">
        <v>5001</v>
      </c>
      <c r="D7668" t="s">
        <v>13412</v>
      </c>
    </row>
    <row r="7669" spans="1:4" x14ac:dyDescent="0.25">
      <c r="A7669" s="180">
        <f t="shared" si="119"/>
        <v>8517000</v>
      </c>
      <c r="B7669" t="s">
        <v>5000</v>
      </c>
      <c r="C7669" t="s">
        <v>5001</v>
      </c>
      <c r="D7669" t="s">
        <v>13412</v>
      </c>
    </row>
    <row r="7670" spans="1:4" x14ac:dyDescent="0.25">
      <c r="A7670" s="180">
        <f t="shared" si="119"/>
        <v>8517001</v>
      </c>
      <c r="B7670" t="s">
        <v>5002</v>
      </c>
      <c r="C7670" t="s">
        <v>5003</v>
      </c>
    </row>
    <row r="7671" spans="1:4" x14ac:dyDescent="0.25">
      <c r="A7671" s="180">
        <f t="shared" si="119"/>
        <v>8517004</v>
      </c>
      <c r="B7671" t="s">
        <v>5005</v>
      </c>
      <c r="C7671" t="s">
        <v>5006</v>
      </c>
      <c r="D7671" t="s">
        <v>13412</v>
      </c>
    </row>
    <row r="7672" spans="1:4" x14ac:dyDescent="0.25">
      <c r="A7672" s="180">
        <f t="shared" si="119"/>
        <v>8517035</v>
      </c>
      <c r="B7672" t="s">
        <v>5007</v>
      </c>
      <c r="C7672" t="s">
        <v>5008</v>
      </c>
    </row>
    <row r="7673" spans="1:4" x14ac:dyDescent="0.25">
      <c r="A7673" s="180">
        <f t="shared" si="119"/>
        <v>8517050</v>
      </c>
      <c r="B7673" t="s">
        <v>5009</v>
      </c>
      <c r="C7673" t="s">
        <v>5010</v>
      </c>
      <c r="D7673" t="s">
        <v>13412</v>
      </c>
    </row>
    <row r="7674" spans="1:4" x14ac:dyDescent="0.25">
      <c r="A7674" s="180">
        <f t="shared" si="119"/>
        <v>8517051</v>
      </c>
      <c r="B7674" t="s">
        <v>5011</v>
      </c>
      <c r="C7674" t="s">
        <v>5012</v>
      </c>
      <c r="D7674" t="s">
        <v>13412</v>
      </c>
    </row>
    <row r="7675" spans="1:4" x14ac:dyDescent="0.25">
      <c r="A7675" s="180">
        <f t="shared" si="119"/>
        <v>8517103</v>
      </c>
      <c r="B7675" t="s">
        <v>5013</v>
      </c>
      <c r="C7675" t="s">
        <v>5014</v>
      </c>
      <c r="D7675" t="s">
        <v>13411</v>
      </c>
    </row>
    <row r="7676" spans="1:4" x14ac:dyDescent="0.25">
      <c r="A7676" s="180">
        <f t="shared" si="119"/>
        <v>851710307</v>
      </c>
      <c r="B7676" t="s">
        <v>5015</v>
      </c>
      <c r="C7676" t="s">
        <v>5016</v>
      </c>
    </row>
    <row r="7677" spans="1:4" x14ac:dyDescent="0.25">
      <c r="A7677" s="180">
        <f t="shared" si="119"/>
        <v>851710308</v>
      </c>
      <c r="B7677" t="s">
        <v>5017</v>
      </c>
      <c r="C7677" t="s">
        <v>5018</v>
      </c>
    </row>
    <row r="7678" spans="1:4" x14ac:dyDescent="0.25">
      <c r="A7678" s="180">
        <f t="shared" si="119"/>
        <v>851710309</v>
      </c>
      <c r="B7678" t="s">
        <v>5019</v>
      </c>
      <c r="C7678" t="s">
        <v>5020</v>
      </c>
    </row>
    <row r="7679" spans="1:4" x14ac:dyDescent="0.25">
      <c r="A7679" s="180">
        <f t="shared" ref="A7679:A7742" si="120">IFERROR(B7679*1,"")</f>
        <v>851710310</v>
      </c>
      <c r="B7679" t="s">
        <v>5021</v>
      </c>
      <c r="C7679" t="s">
        <v>5022</v>
      </c>
    </row>
    <row r="7680" spans="1:4" x14ac:dyDescent="0.25">
      <c r="A7680" s="180">
        <f t="shared" si="120"/>
        <v>851710375</v>
      </c>
      <c r="B7680" t="s">
        <v>5023</v>
      </c>
      <c r="C7680" t="s">
        <v>5024</v>
      </c>
    </row>
    <row r="7681" spans="1:4" x14ac:dyDescent="0.25">
      <c r="A7681" s="180">
        <f t="shared" si="120"/>
        <v>851710385</v>
      </c>
      <c r="B7681" t="s">
        <v>5025</v>
      </c>
      <c r="C7681" t="s">
        <v>5026</v>
      </c>
    </row>
    <row r="7682" spans="1:4" x14ac:dyDescent="0.25">
      <c r="A7682" s="180">
        <f t="shared" si="120"/>
        <v>851710395</v>
      </c>
      <c r="B7682" t="s">
        <v>5027</v>
      </c>
      <c r="C7682" t="s">
        <v>5028</v>
      </c>
    </row>
    <row r="7683" spans="1:4" x14ac:dyDescent="0.25">
      <c r="A7683" s="180">
        <f t="shared" si="120"/>
        <v>8517104</v>
      </c>
      <c r="B7683" t="s">
        <v>5029</v>
      </c>
      <c r="C7683" t="s">
        <v>5030</v>
      </c>
    </row>
    <row r="7684" spans="1:4" x14ac:dyDescent="0.25">
      <c r="A7684" s="180">
        <f t="shared" si="120"/>
        <v>8517110</v>
      </c>
      <c r="B7684" t="s">
        <v>5031</v>
      </c>
      <c r="C7684" t="s">
        <v>5032</v>
      </c>
      <c r="D7684" t="s">
        <v>13412</v>
      </c>
    </row>
    <row r="7685" spans="1:4" x14ac:dyDescent="0.25">
      <c r="A7685" s="180">
        <f t="shared" si="120"/>
        <v>8517235</v>
      </c>
      <c r="B7685" t="s">
        <v>5033</v>
      </c>
      <c r="C7685" t="s">
        <v>5034</v>
      </c>
      <c r="D7685" t="s">
        <v>13412</v>
      </c>
    </row>
    <row r="7686" spans="1:4" x14ac:dyDescent="0.25">
      <c r="A7686" s="180">
        <f t="shared" si="120"/>
        <v>8517235</v>
      </c>
      <c r="B7686" t="s">
        <v>5033</v>
      </c>
      <c r="C7686" t="s">
        <v>5034</v>
      </c>
      <c r="D7686" t="s">
        <v>13412</v>
      </c>
    </row>
    <row r="7687" spans="1:4" x14ac:dyDescent="0.25">
      <c r="A7687" s="180">
        <f t="shared" si="120"/>
        <v>8517235</v>
      </c>
      <c r="B7687" t="s">
        <v>5033</v>
      </c>
      <c r="C7687" t="s">
        <v>5034</v>
      </c>
      <c r="D7687" t="s">
        <v>13412</v>
      </c>
    </row>
    <row r="7688" spans="1:4" x14ac:dyDescent="0.25">
      <c r="A7688" s="180">
        <f t="shared" si="120"/>
        <v>8517235</v>
      </c>
      <c r="B7688" t="s">
        <v>5033</v>
      </c>
      <c r="C7688" t="s">
        <v>5034</v>
      </c>
      <c r="D7688" t="s">
        <v>13412</v>
      </c>
    </row>
    <row r="7689" spans="1:4" x14ac:dyDescent="0.25">
      <c r="A7689" s="180">
        <f t="shared" si="120"/>
        <v>8517235</v>
      </c>
      <c r="B7689" t="s">
        <v>5033</v>
      </c>
      <c r="C7689" t="s">
        <v>5034</v>
      </c>
      <c r="D7689" t="s">
        <v>13412</v>
      </c>
    </row>
    <row r="7690" spans="1:4" x14ac:dyDescent="0.25">
      <c r="A7690" s="180">
        <f t="shared" si="120"/>
        <v>8517235</v>
      </c>
      <c r="B7690" t="s">
        <v>5033</v>
      </c>
      <c r="C7690" t="s">
        <v>5034</v>
      </c>
      <c r="D7690" t="s">
        <v>13412</v>
      </c>
    </row>
    <row r="7691" spans="1:4" x14ac:dyDescent="0.25">
      <c r="A7691" s="180">
        <f t="shared" si="120"/>
        <v>8517235</v>
      </c>
      <c r="B7691" t="s">
        <v>5033</v>
      </c>
      <c r="C7691" t="s">
        <v>5034</v>
      </c>
      <c r="D7691" t="s">
        <v>13412</v>
      </c>
    </row>
    <row r="7692" spans="1:4" x14ac:dyDescent="0.25">
      <c r="A7692" s="180">
        <f t="shared" si="120"/>
        <v>8517235</v>
      </c>
      <c r="B7692" t="s">
        <v>5033</v>
      </c>
      <c r="C7692" t="s">
        <v>5034</v>
      </c>
      <c r="D7692" t="s">
        <v>13412</v>
      </c>
    </row>
    <row r="7693" spans="1:4" x14ac:dyDescent="0.25">
      <c r="A7693" s="180">
        <f t="shared" si="120"/>
        <v>8517235</v>
      </c>
      <c r="B7693" t="s">
        <v>5033</v>
      </c>
      <c r="C7693" t="s">
        <v>5034</v>
      </c>
      <c r="D7693" t="s">
        <v>13412</v>
      </c>
    </row>
    <row r="7694" spans="1:4" x14ac:dyDescent="0.25">
      <c r="A7694" s="180">
        <f t="shared" si="120"/>
        <v>8517235</v>
      </c>
      <c r="B7694" t="s">
        <v>5033</v>
      </c>
      <c r="C7694" t="s">
        <v>5034</v>
      </c>
      <c r="D7694" t="s">
        <v>13412</v>
      </c>
    </row>
    <row r="7695" spans="1:4" x14ac:dyDescent="0.25">
      <c r="A7695" s="180">
        <f t="shared" si="120"/>
        <v>8517300</v>
      </c>
      <c r="B7695" t="s">
        <v>5035</v>
      </c>
      <c r="C7695" t="s">
        <v>5036</v>
      </c>
      <c r="D7695" t="s">
        <v>13411</v>
      </c>
    </row>
    <row r="7696" spans="1:4" x14ac:dyDescent="0.25">
      <c r="A7696" s="180">
        <f t="shared" si="120"/>
        <v>8517408</v>
      </c>
      <c r="B7696" t="s">
        <v>5037</v>
      </c>
      <c r="C7696" t="s">
        <v>5038</v>
      </c>
    </row>
    <row r="7697" spans="1:4" x14ac:dyDescent="0.25">
      <c r="A7697" s="180">
        <f t="shared" si="120"/>
        <v>8517900</v>
      </c>
      <c r="B7697" t="s">
        <v>5039</v>
      </c>
      <c r="C7697" t="s">
        <v>14050</v>
      </c>
      <c r="D7697" t="s">
        <v>13412</v>
      </c>
    </row>
    <row r="7698" spans="1:4" x14ac:dyDescent="0.25">
      <c r="A7698" s="180">
        <f t="shared" si="120"/>
        <v>8517900</v>
      </c>
      <c r="B7698" t="s">
        <v>5039</v>
      </c>
      <c r="C7698" t="s">
        <v>14050</v>
      </c>
      <c r="D7698" t="s">
        <v>13412</v>
      </c>
    </row>
    <row r="7699" spans="1:4" x14ac:dyDescent="0.25">
      <c r="A7699" s="180">
        <f t="shared" si="120"/>
        <v>8517900</v>
      </c>
      <c r="B7699" t="s">
        <v>5039</v>
      </c>
      <c r="C7699" t="s">
        <v>14050</v>
      </c>
      <c r="D7699" t="s">
        <v>13412</v>
      </c>
    </row>
    <row r="7700" spans="1:4" x14ac:dyDescent="0.25">
      <c r="A7700" s="180">
        <f t="shared" si="120"/>
        <v>8517900</v>
      </c>
      <c r="B7700" t="s">
        <v>5039</v>
      </c>
      <c r="C7700" t="s">
        <v>14050</v>
      </c>
      <c r="D7700" t="s">
        <v>13412</v>
      </c>
    </row>
    <row r="7701" spans="1:4" x14ac:dyDescent="0.25">
      <c r="A7701" s="180">
        <f t="shared" si="120"/>
        <v>8517900</v>
      </c>
      <c r="B7701" t="s">
        <v>5039</v>
      </c>
      <c r="C7701" t="s">
        <v>14050</v>
      </c>
      <c r="D7701" t="s">
        <v>13412</v>
      </c>
    </row>
    <row r="7702" spans="1:4" x14ac:dyDescent="0.25">
      <c r="A7702" s="180">
        <f t="shared" si="120"/>
        <v>8517900</v>
      </c>
      <c r="B7702" t="s">
        <v>5039</v>
      </c>
      <c r="C7702" t="s">
        <v>14050</v>
      </c>
      <c r="D7702" t="s">
        <v>13412</v>
      </c>
    </row>
    <row r="7703" spans="1:4" x14ac:dyDescent="0.25">
      <c r="A7703" s="180">
        <f t="shared" si="120"/>
        <v>8517900</v>
      </c>
      <c r="B7703" t="s">
        <v>5039</v>
      </c>
      <c r="C7703" t="s">
        <v>14050</v>
      </c>
      <c r="D7703" t="s">
        <v>13412</v>
      </c>
    </row>
    <row r="7704" spans="1:4" x14ac:dyDescent="0.25">
      <c r="A7704" s="180">
        <f t="shared" si="120"/>
        <v>8517900</v>
      </c>
      <c r="B7704" t="s">
        <v>5039</v>
      </c>
      <c r="C7704" t="s">
        <v>14050</v>
      </c>
      <c r="D7704" t="s">
        <v>13412</v>
      </c>
    </row>
    <row r="7705" spans="1:4" x14ac:dyDescent="0.25">
      <c r="A7705" s="180">
        <f t="shared" si="120"/>
        <v>8517900</v>
      </c>
      <c r="B7705" t="s">
        <v>5039</v>
      </c>
      <c r="C7705" t="s">
        <v>14050</v>
      </c>
      <c r="D7705" t="s">
        <v>13412</v>
      </c>
    </row>
    <row r="7706" spans="1:4" x14ac:dyDescent="0.25">
      <c r="A7706" s="180">
        <f t="shared" si="120"/>
        <v>8517900</v>
      </c>
      <c r="B7706" t="s">
        <v>5039</v>
      </c>
      <c r="C7706" t="s">
        <v>14050</v>
      </c>
      <c r="D7706" t="s">
        <v>13412</v>
      </c>
    </row>
    <row r="7707" spans="1:4" x14ac:dyDescent="0.25">
      <c r="A7707" s="180">
        <f t="shared" si="120"/>
        <v>8517900</v>
      </c>
      <c r="B7707" t="s">
        <v>5039</v>
      </c>
      <c r="C7707" t="s">
        <v>14050</v>
      </c>
      <c r="D7707" t="s">
        <v>13412</v>
      </c>
    </row>
    <row r="7708" spans="1:4" x14ac:dyDescent="0.25">
      <c r="A7708" s="180">
        <f t="shared" si="120"/>
        <v>8517901</v>
      </c>
      <c r="B7708" t="s">
        <v>5040</v>
      </c>
      <c r="C7708" t="s">
        <v>7021</v>
      </c>
      <c r="D7708" t="s">
        <v>13412</v>
      </c>
    </row>
    <row r="7709" spans="1:4" x14ac:dyDescent="0.25">
      <c r="A7709" s="180">
        <f t="shared" si="120"/>
        <v>8517901</v>
      </c>
      <c r="B7709" t="s">
        <v>5040</v>
      </c>
      <c r="C7709" t="s">
        <v>7021</v>
      </c>
      <c r="D7709" t="s">
        <v>13412</v>
      </c>
    </row>
    <row r="7710" spans="1:4" x14ac:dyDescent="0.25">
      <c r="A7710" s="180">
        <f t="shared" si="120"/>
        <v>8517901</v>
      </c>
      <c r="B7710" t="s">
        <v>5040</v>
      </c>
      <c r="C7710" t="s">
        <v>7021</v>
      </c>
      <c r="D7710" t="s">
        <v>13412</v>
      </c>
    </row>
    <row r="7711" spans="1:4" x14ac:dyDescent="0.25">
      <c r="A7711" s="180">
        <f t="shared" si="120"/>
        <v>8517901</v>
      </c>
      <c r="B7711" t="s">
        <v>5040</v>
      </c>
      <c r="C7711" t="s">
        <v>7021</v>
      </c>
      <c r="D7711" t="s">
        <v>13412</v>
      </c>
    </row>
    <row r="7712" spans="1:4" x14ac:dyDescent="0.25">
      <c r="A7712" s="180">
        <f t="shared" si="120"/>
        <v>8517901</v>
      </c>
      <c r="B7712" t="s">
        <v>5040</v>
      </c>
      <c r="C7712" t="s">
        <v>7021</v>
      </c>
      <c r="D7712" t="s">
        <v>13412</v>
      </c>
    </row>
    <row r="7713" spans="1:4" x14ac:dyDescent="0.25">
      <c r="A7713" s="180">
        <f t="shared" si="120"/>
        <v>8517901</v>
      </c>
      <c r="B7713" t="s">
        <v>5040</v>
      </c>
      <c r="C7713" t="s">
        <v>7021</v>
      </c>
      <c r="D7713" t="s">
        <v>13412</v>
      </c>
    </row>
    <row r="7714" spans="1:4" x14ac:dyDescent="0.25">
      <c r="A7714" s="180">
        <f t="shared" si="120"/>
        <v>8517901</v>
      </c>
      <c r="B7714" t="s">
        <v>5040</v>
      </c>
      <c r="C7714" t="s">
        <v>7021</v>
      </c>
      <c r="D7714" t="s">
        <v>13412</v>
      </c>
    </row>
    <row r="7715" spans="1:4" x14ac:dyDescent="0.25">
      <c r="A7715" s="180">
        <f t="shared" si="120"/>
        <v>8517902</v>
      </c>
      <c r="B7715" t="s">
        <v>5041</v>
      </c>
      <c r="C7715" t="s">
        <v>14051</v>
      </c>
      <c r="D7715" t="s">
        <v>13412</v>
      </c>
    </row>
    <row r="7716" spans="1:4" x14ac:dyDescent="0.25">
      <c r="A7716" s="180">
        <f t="shared" si="120"/>
        <v>8517902</v>
      </c>
      <c r="B7716" t="s">
        <v>5041</v>
      </c>
      <c r="C7716" t="s">
        <v>14051</v>
      </c>
      <c r="D7716" t="s">
        <v>13412</v>
      </c>
    </row>
    <row r="7717" spans="1:4" x14ac:dyDescent="0.25">
      <c r="A7717" s="180">
        <f t="shared" si="120"/>
        <v>8517902</v>
      </c>
      <c r="B7717" t="s">
        <v>5041</v>
      </c>
      <c r="C7717" t="s">
        <v>14051</v>
      </c>
      <c r="D7717" t="s">
        <v>13412</v>
      </c>
    </row>
    <row r="7718" spans="1:4" x14ac:dyDescent="0.25">
      <c r="A7718" s="180">
        <f t="shared" si="120"/>
        <v>8517902</v>
      </c>
      <c r="B7718" t="s">
        <v>5041</v>
      </c>
      <c r="C7718" t="s">
        <v>14051</v>
      </c>
      <c r="D7718" t="s">
        <v>13412</v>
      </c>
    </row>
    <row r="7719" spans="1:4" x14ac:dyDescent="0.25">
      <c r="A7719" s="180">
        <f t="shared" si="120"/>
        <v>8517902</v>
      </c>
      <c r="B7719" t="s">
        <v>5041</v>
      </c>
      <c r="C7719" t="s">
        <v>14051</v>
      </c>
      <c r="D7719" t="s">
        <v>13412</v>
      </c>
    </row>
    <row r="7720" spans="1:4" x14ac:dyDescent="0.25">
      <c r="A7720" s="180">
        <f t="shared" si="120"/>
        <v>8517902</v>
      </c>
      <c r="B7720" t="s">
        <v>5041</v>
      </c>
      <c r="C7720" t="s">
        <v>14051</v>
      </c>
      <c r="D7720" t="s">
        <v>13412</v>
      </c>
    </row>
    <row r="7721" spans="1:4" x14ac:dyDescent="0.25">
      <c r="A7721" s="180">
        <f t="shared" si="120"/>
        <v>8517902</v>
      </c>
      <c r="B7721" t="s">
        <v>5041</v>
      </c>
      <c r="C7721" t="s">
        <v>14051</v>
      </c>
      <c r="D7721" t="s">
        <v>13412</v>
      </c>
    </row>
    <row r="7722" spans="1:4" x14ac:dyDescent="0.25">
      <c r="A7722" s="180">
        <f t="shared" si="120"/>
        <v>8517902</v>
      </c>
      <c r="B7722" t="s">
        <v>5041</v>
      </c>
      <c r="C7722" t="s">
        <v>14051</v>
      </c>
      <c r="D7722" t="s">
        <v>13412</v>
      </c>
    </row>
    <row r="7723" spans="1:4" x14ac:dyDescent="0.25">
      <c r="A7723" s="180">
        <f t="shared" si="120"/>
        <v>8517902</v>
      </c>
      <c r="B7723" t="s">
        <v>5041</v>
      </c>
      <c r="C7723" t="s">
        <v>14051</v>
      </c>
      <c r="D7723" t="s">
        <v>13412</v>
      </c>
    </row>
    <row r="7724" spans="1:4" x14ac:dyDescent="0.25">
      <c r="A7724" s="180">
        <f t="shared" si="120"/>
        <v>8517902</v>
      </c>
      <c r="B7724" t="s">
        <v>5041</v>
      </c>
      <c r="C7724" t="s">
        <v>14051</v>
      </c>
      <c r="D7724" t="s">
        <v>13412</v>
      </c>
    </row>
    <row r="7725" spans="1:4" x14ac:dyDescent="0.25">
      <c r="A7725" s="180">
        <f t="shared" si="120"/>
        <v>8517902</v>
      </c>
      <c r="B7725" t="s">
        <v>5041</v>
      </c>
      <c r="C7725" t="s">
        <v>14051</v>
      </c>
      <c r="D7725" t="s">
        <v>13412</v>
      </c>
    </row>
    <row r="7726" spans="1:4" x14ac:dyDescent="0.25">
      <c r="A7726" s="180">
        <f t="shared" si="120"/>
        <v>8517902</v>
      </c>
      <c r="B7726" t="s">
        <v>5041</v>
      </c>
      <c r="C7726" t="s">
        <v>14051</v>
      </c>
      <c r="D7726" t="s">
        <v>13412</v>
      </c>
    </row>
    <row r="7727" spans="1:4" x14ac:dyDescent="0.25">
      <c r="A7727" s="180">
        <f t="shared" si="120"/>
        <v>8517902</v>
      </c>
      <c r="B7727" t="s">
        <v>5041</v>
      </c>
      <c r="C7727" t="s">
        <v>14051</v>
      </c>
      <c r="D7727" t="s">
        <v>13412</v>
      </c>
    </row>
    <row r="7728" spans="1:4" x14ac:dyDescent="0.25">
      <c r="A7728" s="180">
        <f t="shared" si="120"/>
        <v>8517903</v>
      </c>
      <c r="B7728" t="s">
        <v>12921</v>
      </c>
      <c r="C7728" t="s">
        <v>14052</v>
      </c>
      <c r="D7728" t="s">
        <v>13412</v>
      </c>
    </row>
    <row r="7729" spans="1:4" x14ac:dyDescent="0.25">
      <c r="A7729" s="180">
        <f t="shared" si="120"/>
        <v>8517903</v>
      </c>
      <c r="B7729" t="s">
        <v>12921</v>
      </c>
      <c r="C7729" t="s">
        <v>14052</v>
      </c>
      <c r="D7729" t="s">
        <v>13412</v>
      </c>
    </row>
    <row r="7730" spans="1:4" x14ac:dyDescent="0.25">
      <c r="A7730" s="180">
        <f t="shared" si="120"/>
        <v>8517903</v>
      </c>
      <c r="B7730" t="s">
        <v>12921</v>
      </c>
      <c r="C7730" t="s">
        <v>14052</v>
      </c>
      <c r="D7730" t="s">
        <v>13412</v>
      </c>
    </row>
    <row r="7731" spans="1:4" x14ac:dyDescent="0.25">
      <c r="A7731" s="180">
        <f t="shared" si="120"/>
        <v>8517903</v>
      </c>
      <c r="B7731" t="s">
        <v>12921</v>
      </c>
      <c r="C7731" t="s">
        <v>14052</v>
      </c>
      <c r="D7731" t="s">
        <v>13412</v>
      </c>
    </row>
    <row r="7732" spans="1:4" x14ac:dyDescent="0.25">
      <c r="A7732" s="180">
        <f t="shared" si="120"/>
        <v>8517903</v>
      </c>
      <c r="B7732" t="s">
        <v>12921</v>
      </c>
      <c r="C7732" t="s">
        <v>14052</v>
      </c>
      <c r="D7732" t="s">
        <v>13412</v>
      </c>
    </row>
    <row r="7733" spans="1:4" x14ac:dyDescent="0.25">
      <c r="A7733" s="180">
        <f t="shared" si="120"/>
        <v>8517903</v>
      </c>
      <c r="B7733" t="s">
        <v>12921</v>
      </c>
      <c r="C7733" t="s">
        <v>14052</v>
      </c>
      <c r="D7733" t="s">
        <v>13412</v>
      </c>
    </row>
    <row r="7734" spans="1:4" x14ac:dyDescent="0.25">
      <c r="A7734" s="180">
        <f t="shared" si="120"/>
        <v>8517904</v>
      </c>
      <c r="B7734" t="s">
        <v>5042</v>
      </c>
      <c r="C7734" t="s">
        <v>14053</v>
      </c>
      <c r="D7734" t="s">
        <v>13412</v>
      </c>
    </row>
    <row r="7735" spans="1:4" x14ac:dyDescent="0.25">
      <c r="A7735" s="180">
        <f t="shared" si="120"/>
        <v>8517904</v>
      </c>
      <c r="B7735" t="s">
        <v>5042</v>
      </c>
      <c r="C7735" t="s">
        <v>14053</v>
      </c>
      <c r="D7735" t="s">
        <v>13412</v>
      </c>
    </row>
    <row r="7736" spans="1:4" x14ac:dyDescent="0.25">
      <c r="A7736" s="180">
        <f t="shared" si="120"/>
        <v>8517904</v>
      </c>
      <c r="B7736" t="s">
        <v>5042</v>
      </c>
      <c r="C7736" t="s">
        <v>14053</v>
      </c>
      <c r="D7736" t="s">
        <v>13412</v>
      </c>
    </row>
    <row r="7737" spans="1:4" x14ac:dyDescent="0.25">
      <c r="A7737" s="180">
        <f t="shared" si="120"/>
        <v>8517904</v>
      </c>
      <c r="B7737" t="s">
        <v>5042</v>
      </c>
      <c r="C7737" t="s">
        <v>14053</v>
      </c>
      <c r="D7737" t="s">
        <v>13412</v>
      </c>
    </row>
    <row r="7738" spans="1:4" x14ac:dyDescent="0.25">
      <c r="A7738" s="180">
        <f t="shared" si="120"/>
        <v>8517904</v>
      </c>
      <c r="B7738" t="s">
        <v>5042</v>
      </c>
      <c r="C7738" t="s">
        <v>14053</v>
      </c>
      <c r="D7738" t="s">
        <v>13412</v>
      </c>
    </row>
    <row r="7739" spans="1:4" x14ac:dyDescent="0.25">
      <c r="A7739" s="180">
        <f t="shared" si="120"/>
        <v>8517904</v>
      </c>
      <c r="B7739" t="s">
        <v>5042</v>
      </c>
      <c r="C7739" t="s">
        <v>14053</v>
      </c>
      <c r="D7739" t="s">
        <v>13412</v>
      </c>
    </row>
    <row r="7740" spans="1:4" x14ac:dyDescent="0.25">
      <c r="A7740" s="180">
        <f t="shared" si="120"/>
        <v>8517904</v>
      </c>
      <c r="B7740" t="s">
        <v>5042</v>
      </c>
      <c r="C7740" t="s">
        <v>14053</v>
      </c>
      <c r="D7740" t="s">
        <v>13412</v>
      </c>
    </row>
    <row r="7741" spans="1:4" x14ac:dyDescent="0.25">
      <c r="A7741" s="180">
        <f t="shared" si="120"/>
        <v>8517905</v>
      </c>
      <c r="B7741" t="s">
        <v>5043</v>
      </c>
      <c r="C7741" t="s">
        <v>14054</v>
      </c>
      <c r="D7741" t="s">
        <v>13412</v>
      </c>
    </row>
    <row r="7742" spans="1:4" x14ac:dyDescent="0.25">
      <c r="A7742" s="180">
        <f t="shared" si="120"/>
        <v>8517905</v>
      </c>
      <c r="B7742" t="s">
        <v>5043</v>
      </c>
      <c r="C7742" t="s">
        <v>14054</v>
      </c>
      <c r="D7742" t="s">
        <v>13412</v>
      </c>
    </row>
    <row r="7743" spans="1:4" x14ac:dyDescent="0.25">
      <c r="A7743" s="180">
        <f t="shared" ref="A7743:A7806" si="121">IFERROR(B7743*1,"")</f>
        <v>8517905</v>
      </c>
      <c r="B7743" t="s">
        <v>5043</v>
      </c>
      <c r="C7743" t="s">
        <v>14054</v>
      </c>
      <c r="D7743" t="s">
        <v>13412</v>
      </c>
    </row>
    <row r="7744" spans="1:4" x14ac:dyDescent="0.25">
      <c r="A7744" s="180">
        <f t="shared" si="121"/>
        <v>8517905</v>
      </c>
      <c r="B7744" t="s">
        <v>5043</v>
      </c>
      <c r="C7744" t="s">
        <v>14054</v>
      </c>
      <c r="D7744" t="s">
        <v>13412</v>
      </c>
    </row>
    <row r="7745" spans="1:4" x14ac:dyDescent="0.25">
      <c r="A7745" s="180">
        <f t="shared" si="121"/>
        <v>8517905</v>
      </c>
      <c r="B7745" t="s">
        <v>5043</v>
      </c>
      <c r="C7745" t="s">
        <v>14054</v>
      </c>
      <c r="D7745" t="s">
        <v>13412</v>
      </c>
    </row>
    <row r="7746" spans="1:4" x14ac:dyDescent="0.25">
      <c r="A7746" s="180">
        <f t="shared" si="121"/>
        <v>8517905</v>
      </c>
      <c r="B7746" t="s">
        <v>5043</v>
      </c>
      <c r="C7746" t="s">
        <v>14054</v>
      </c>
      <c r="D7746" t="s">
        <v>13412</v>
      </c>
    </row>
    <row r="7747" spans="1:4" x14ac:dyDescent="0.25">
      <c r="A7747" s="180">
        <f t="shared" si="121"/>
        <v>8517905</v>
      </c>
      <c r="B7747" t="s">
        <v>5043</v>
      </c>
      <c r="C7747" t="s">
        <v>14054</v>
      </c>
      <c r="D7747" t="s">
        <v>13412</v>
      </c>
    </row>
    <row r="7748" spans="1:4" x14ac:dyDescent="0.25">
      <c r="A7748" s="180">
        <f t="shared" si="121"/>
        <v>8517906</v>
      </c>
      <c r="B7748" t="s">
        <v>7022</v>
      </c>
      <c r="C7748" t="s">
        <v>14055</v>
      </c>
      <c r="D7748" t="s">
        <v>13412</v>
      </c>
    </row>
    <row r="7749" spans="1:4" x14ac:dyDescent="0.25">
      <c r="A7749" s="180">
        <f t="shared" si="121"/>
        <v>8517906</v>
      </c>
      <c r="B7749" t="s">
        <v>7022</v>
      </c>
      <c r="C7749" t="s">
        <v>14055</v>
      </c>
      <c r="D7749" t="s">
        <v>13412</v>
      </c>
    </row>
    <row r="7750" spans="1:4" x14ac:dyDescent="0.25">
      <c r="A7750" s="180">
        <f t="shared" si="121"/>
        <v>8517906</v>
      </c>
      <c r="B7750" t="s">
        <v>7022</v>
      </c>
      <c r="C7750" t="s">
        <v>14055</v>
      </c>
      <c r="D7750" t="s">
        <v>13412</v>
      </c>
    </row>
    <row r="7751" spans="1:4" x14ac:dyDescent="0.25">
      <c r="A7751" s="180">
        <f t="shared" si="121"/>
        <v>8517906</v>
      </c>
      <c r="B7751" t="s">
        <v>7022</v>
      </c>
      <c r="C7751" t="s">
        <v>14055</v>
      </c>
      <c r="D7751" t="s">
        <v>13412</v>
      </c>
    </row>
    <row r="7752" spans="1:4" x14ac:dyDescent="0.25">
      <c r="A7752" s="180">
        <f t="shared" si="121"/>
        <v>8517906</v>
      </c>
      <c r="B7752" t="s">
        <v>7022</v>
      </c>
      <c r="C7752" t="s">
        <v>14055</v>
      </c>
      <c r="D7752" t="s">
        <v>13412</v>
      </c>
    </row>
    <row r="7753" spans="1:4" x14ac:dyDescent="0.25">
      <c r="A7753" s="180">
        <f t="shared" si="121"/>
        <v>8517906</v>
      </c>
      <c r="B7753" t="s">
        <v>7022</v>
      </c>
      <c r="C7753" t="s">
        <v>14055</v>
      </c>
      <c r="D7753" t="s">
        <v>13412</v>
      </c>
    </row>
    <row r="7754" spans="1:4" x14ac:dyDescent="0.25">
      <c r="A7754" s="180">
        <f t="shared" si="121"/>
        <v>8517907</v>
      </c>
      <c r="B7754" t="s">
        <v>5044</v>
      </c>
      <c r="C7754" t="s">
        <v>5045</v>
      </c>
    </row>
    <row r="7755" spans="1:4" x14ac:dyDescent="0.25">
      <c r="A7755" s="180">
        <f t="shared" si="121"/>
        <v>8517907</v>
      </c>
      <c r="B7755" t="s">
        <v>5044</v>
      </c>
      <c r="C7755" t="s">
        <v>5045</v>
      </c>
    </row>
    <row r="7756" spans="1:4" x14ac:dyDescent="0.25">
      <c r="A7756" s="180">
        <f t="shared" si="121"/>
        <v>8518000</v>
      </c>
      <c r="B7756" t="s">
        <v>5046</v>
      </c>
      <c r="C7756" t="s">
        <v>5047</v>
      </c>
    </row>
    <row r="7757" spans="1:4" x14ac:dyDescent="0.25">
      <c r="A7757" s="180">
        <f t="shared" si="121"/>
        <v>8518011</v>
      </c>
      <c r="B7757" t="s">
        <v>5048</v>
      </c>
      <c r="C7757" t="s">
        <v>5049</v>
      </c>
      <c r="D7757" t="s">
        <v>13412</v>
      </c>
    </row>
    <row r="7758" spans="1:4" x14ac:dyDescent="0.25">
      <c r="A7758" s="180">
        <f t="shared" si="121"/>
        <v>8518012</v>
      </c>
      <c r="B7758" t="s">
        <v>5050</v>
      </c>
      <c r="C7758" t="s">
        <v>5051</v>
      </c>
    </row>
    <row r="7759" spans="1:4" x14ac:dyDescent="0.25">
      <c r="A7759" s="180">
        <f t="shared" si="121"/>
        <v>8518013</v>
      </c>
      <c r="B7759" t="s">
        <v>5052</v>
      </c>
      <c r="C7759" t="s">
        <v>5053</v>
      </c>
      <c r="D7759" t="s">
        <v>13412</v>
      </c>
    </row>
    <row r="7760" spans="1:4" x14ac:dyDescent="0.25">
      <c r="A7760" s="180">
        <f t="shared" si="121"/>
        <v>8518014</v>
      </c>
      <c r="B7760" t="s">
        <v>5054</v>
      </c>
      <c r="C7760" t="s">
        <v>5055</v>
      </c>
      <c r="D7760" t="s">
        <v>13412</v>
      </c>
    </row>
    <row r="7761" spans="1:4" x14ac:dyDescent="0.25">
      <c r="A7761" s="180">
        <f t="shared" si="121"/>
        <v>8518014</v>
      </c>
      <c r="B7761" t="s">
        <v>5054</v>
      </c>
      <c r="C7761" t="s">
        <v>5055</v>
      </c>
      <c r="D7761" t="s">
        <v>13412</v>
      </c>
    </row>
    <row r="7762" spans="1:4" x14ac:dyDescent="0.25">
      <c r="A7762" s="180">
        <f t="shared" si="121"/>
        <v>8518014</v>
      </c>
      <c r="B7762" t="s">
        <v>5054</v>
      </c>
      <c r="C7762" t="s">
        <v>5055</v>
      </c>
      <c r="D7762" t="s">
        <v>13412</v>
      </c>
    </row>
    <row r="7763" spans="1:4" x14ac:dyDescent="0.25">
      <c r="A7763" s="180">
        <f t="shared" si="121"/>
        <v>8518014</v>
      </c>
      <c r="B7763" t="s">
        <v>5054</v>
      </c>
      <c r="C7763" t="s">
        <v>5055</v>
      </c>
      <c r="D7763" t="s">
        <v>13412</v>
      </c>
    </row>
    <row r="7764" spans="1:4" x14ac:dyDescent="0.25">
      <c r="A7764" s="180">
        <f t="shared" si="121"/>
        <v>8518014</v>
      </c>
      <c r="B7764" t="s">
        <v>5054</v>
      </c>
      <c r="C7764" t="s">
        <v>5055</v>
      </c>
      <c r="D7764" t="s">
        <v>13412</v>
      </c>
    </row>
    <row r="7765" spans="1:4" x14ac:dyDescent="0.25">
      <c r="A7765" s="180">
        <f t="shared" si="121"/>
        <v>8518014</v>
      </c>
      <c r="B7765" t="s">
        <v>5054</v>
      </c>
      <c r="C7765" t="s">
        <v>5055</v>
      </c>
      <c r="D7765" t="s">
        <v>13412</v>
      </c>
    </row>
    <row r="7766" spans="1:4" x14ac:dyDescent="0.25">
      <c r="A7766" s="180">
        <f t="shared" si="121"/>
        <v>8518015</v>
      </c>
      <c r="B7766" t="s">
        <v>5056</v>
      </c>
      <c r="C7766" t="s">
        <v>5057</v>
      </c>
    </row>
    <row r="7767" spans="1:4" x14ac:dyDescent="0.25">
      <c r="A7767" s="180">
        <f t="shared" si="121"/>
        <v>8518016</v>
      </c>
      <c r="B7767" t="s">
        <v>5058</v>
      </c>
      <c r="C7767" t="s">
        <v>5059</v>
      </c>
    </row>
    <row r="7768" spans="1:4" x14ac:dyDescent="0.25">
      <c r="A7768" s="180">
        <f t="shared" si="121"/>
        <v>8518017</v>
      </c>
      <c r="B7768" t="s">
        <v>5060</v>
      </c>
      <c r="C7768" t="s">
        <v>5061</v>
      </c>
    </row>
    <row r="7769" spans="1:4" x14ac:dyDescent="0.25">
      <c r="A7769" s="180">
        <f t="shared" si="121"/>
        <v>8518018</v>
      </c>
      <c r="B7769" t="s">
        <v>5062</v>
      </c>
      <c r="C7769" t="s">
        <v>5063</v>
      </c>
    </row>
    <row r="7770" spans="1:4" x14ac:dyDescent="0.25">
      <c r="A7770" s="180">
        <f t="shared" si="121"/>
        <v>8518019</v>
      </c>
      <c r="B7770" t="s">
        <v>5064</v>
      </c>
      <c r="C7770" t="s">
        <v>5065</v>
      </c>
    </row>
    <row r="7771" spans="1:4" x14ac:dyDescent="0.25">
      <c r="A7771" s="180">
        <f t="shared" si="121"/>
        <v>8518159</v>
      </c>
      <c r="B7771" t="s">
        <v>5066</v>
      </c>
      <c r="C7771" t="s">
        <v>5067</v>
      </c>
      <c r="D7771" t="s">
        <v>13412</v>
      </c>
    </row>
    <row r="7772" spans="1:4" x14ac:dyDescent="0.25">
      <c r="A7772" s="180">
        <f t="shared" si="121"/>
        <v>8518300</v>
      </c>
      <c r="B7772" t="s">
        <v>5068</v>
      </c>
      <c r="C7772" t="s">
        <v>5069</v>
      </c>
      <c r="D7772" t="s">
        <v>13412</v>
      </c>
    </row>
    <row r="7773" spans="1:4" x14ac:dyDescent="0.25">
      <c r="A7773" s="180">
        <f t="shared" si="121"/>
        <v>8518500</v>
      </c>
      <c r="B7773" t="s">
        <v>13972</v>
      </c>
      <c r="C7773" t="s">
        <v>13973</v>
      </c>
      <c r="D7773" t="s">
        <v>13411</v>
      </c>
    </row>
    <row r="7774" spans="1:4" x14ac:dyDescent="0.25">
      <c r="A7774" s="180">
        <f t="shared" si="121"/>
        <v>8518500</v>
      </c>
      <c r="B7774" t="s">
        <v>13972</v>
      </c>
      <c r="C7774" t="s">
        <v>13973</v>
      </c>
      <c r="D7774" t="s">
        <v>13411</v>
      </c>
    </row>
    <row r="7775" spans="1:4" x14ac:dyDescent="0.25">
      <c r="A7775" s="180">
        <f t="shared" si="121"/>
        <v>8518500</v>
      </c>
      <c r="B7775" t="s">
        <v>13972</v>
      </c>
      <c r="C7775" t="s">
        <v>13973</v>
      </c>
      <c r="D7775" t="s">
        <v>13411</v>
      </c>
    </row>
    <row r="7776" spans="1:4" x14ac:dyDescent="0.25">
      <c r="A7776" s="180">
        <f t="shared" si="121"/>
        <v>8518500</v>
      </c>
      <c r="B7776" t="s">
        <v>13972</v>
      </c>
      <c r="C7776" t="s">
        <v>13973</v>
      </c>
      <c r="D7776" t="s">
        <v>13411</v>
      </c>
    </row>
    <row r="7777" spans="1:4" x14ac:dyDescent="0.25">
      <c r="A7777" s="180">
        <f t="shared" si="121"/>
        <v>8518543</v>
      </c>
      <c r="B7777" t="s">
        <v>14281</v>
      </c>
      <c r="C7777" t="s">
        <v>14282</v>
      </c>
      <c r="D7777" t="s">
        <v>13412</v>
      </c>
    </row>
    <row r="7778" spans="1:4" x14ac:dyDescent="0.25">
      <c r="A7778" s="180">
        <f t="shared" si="121"/>
        <v>8518543</v>
      </c>
      <c r="B7778" t="s">
        <v>14281</v>
      </c>
      <c r="C7778" t="s">
        <v>14282</v>
      </c>
      <c r="D7778" t="s">
        <v>13412</v>
      </c>
    </row>
    <row r="7779" spans="1:4" x14ac:dyDescent="0.25">
      <c r="A7779" s="180">
        <f t="shared" si="121"/>
        <v>8518543</v>
      </c>
      <c r="B7779" t="s">
        <v>14281</v>
      </c>
      <c r="C7779" t="s">
        <v>14282</v>
      </c>
      <c r="D7779" t="s">
        <v>13412</v>
      </c>
    </row>
    <row r="7780" spans="1:4" x14ac:dyDescent="0.25">
      <c r="A7780" s="180">
        <f t="shared" si="121"/>
        <v>8518543</v>
      </c>
      <c r="B7780" t="s">
        <v>14281</v>
      </c>
      <c r="C7780" t="s">
        <v>14282</v>
      </c>
      <c r="D7780" t="s">
        <v>13412</v>
      </c>
    </row>
    <row r="7781" spans="1:4" x14ac:dyDescent="0.25">
      <c r="A7781" s="180">
        <f t="shared" si="121"/>
        <v>8518753</v>
      </c>
      <c r="B7781" t="s">
        <v>5070</v>
      </c>
      <c r="C7781" t="s">
        <v>5071</v>
      </c>
      <c r="D7781" t="s">
        <v>13412</v>
      </c>
    </row>
    <row r="7782" spans="1:4" x14ac:dyDescent="0.25">
      <c r="A7782" s="180">
        <f t="shared" si="121"/>
        <v>8518789</v>
      </c>
      <c r="B7782" t="s">
        <v>5072</v>
      </c>
      <c r="C7782" t="s">
        <v>5073</v>
      </c>
      <c r="D7782" t="s">
        <v>13412</v>
      </c>
    </row>
    <row r="7783" spans="1:4" x14ac:dyDescent="0.25">
      <c r="A7783" s="180">
        <f t="shared" si="121"/>
        <v>8518789</v>
      </c>
      <c r="B7783" t="s">
        <v>5072</v>
      </c>
      <c r="C7783" t="s">
        <v>5073</v>
      </c>
      <c r="D7783" t="s">
        <v>13412</v>
      </c>
    </row>
    <row r="7784" spans="1:4" x14ac:dyDescent="0.25">
      <c r="A7784" s="180">
        <f t="shared" si="121"/>
        <v>8518789</v>
      </c>
      <c r="B7784" t="s">
        <v>5072</v>
      </c>
      <c r="C7784" t="s">
        <v>5073</v>
      </c>
      <c r="D7784" t="s">
        <v>13412</v>
      </c>
    </row>
    <row r="7785" spans="1:4" x14ac:dyDescent="0.25">
      <c r="A7785" s="180">
        <f t="shared" si="121"/>
        <v>8518789</v>
      </c>
      <c r="B7785" t="s">
        <v>5072</v>
      </c>
      <c r="C7785" t="s">
        <v>5073</v>
      </c>
      <c r="D7785" t="s">
        <v>13412</v>
      </c>
    </row>
    <row r="7786" spans="1:4" x14ac:dyDescent="0.25">
      <c r="A7786" s="180">
        <f t="shared" si="121"/>
        <v>8518789</v>
      </c>
      <c r="B7786" t="s">
        <v>5072</v>
      </c>
      <c r="C7786" t="s">
        <v>5073</v>
      </c>
      <c r="D7786" t="s">
        <v>13412</v>
      </c>
    </row>
    <row r="7787" spans="1:4" x14ac:dyDescent="0.25">
      <c r="A7787" s="180">
        <f t="shared" si="121"/>
        <v>8518789</v>
      </c>
      <c r="B7787" t="s">
        <v>5072</v>
      </c>
      <c r="C7787" t="s">
        <v>5073</v>
      </c>
      <c r="D7787" t="s">
        <v>13412</v>
      </c>
    </row>
    <row r="7788" spans="1:4" x14ac:dyDescent="0.25">
      <c r="A7788" s="180">
        <f t="shared" si="121"/>
        <v>8518789</v>
      </c>
      <c r="B7788" t="s">
        <v>5072</v>
      </c>
      <c r="C7788" t="s">
        <v>5073</v>
      </c>
      <c r="D7788" t="s">
        <v>13412</v>
      </c>
    </row>
    <row r="7789" spans="1:4" x14ac:dyDescent="0.25">
      <c r="A7789" s="180">
        <f t="shared" si="121"/>
        <v>8518789</v>
      </c>
      <c r="B7789" t="s">
        <v>5072</v>
      </c>
      <c r="C7789" t="s">
        <v>5073</v>
      </c>
      <c r="D7789" t="s">
        <v>13412</v>
      </c>
    </row>
    <row r="7790" spans="1:4" x14ac:dyDescent="0.25">
      <c r="A7790" s="180">
        <f t="shared" si="121"/>
        <v>8518789</v>
      </c>
      <c r="B7790" t="s">
        <v>5072</v>
      </c>
      <c r="C7790" t="s">
        <v>5073</v>
      </c>
      <c r="D7790" t="s">
        <v>13412</v>
      </c>
    </row>
    <row r="7791" spans="1:4" x14ac:dyDescent="0.25">
      <c r="A7791" s="180">
        <f t="shared" si="121"/>
        <v>8518789</v>
      </c>
      <c r="B7791" t="s">
        <v>5072</v>
      </c>
      <c r="C7791" t="s">
        <v>5073</v>
      </c>
      <c r="D7791" t="s">
        <v>13412</v>
      </c>
    </row>
    <row r="7792" spans="1:4" x14ac:dyDescent="0.25">
      <c r="A7792" s="180">
        <f t="shared" si="121"/>
        <v>8518789</v>
      </c>
      <c r="B7792" t="s">
        <v>5072</v>
      </c>
      <c r="C7792" t="s">
        <v>5073</v>
      </c>
      <c r="D7792" t="s">
        <v>13412</v>
      </c>
    </row>
    <row r="7793" spans="1:4" x14ac:dyDescent="0.25">
      <c r="A7793" s="180">
        <f t="shared" si="121"/>
        <v>8518789</v>
      </c>
      <c r="B7793" t="s">
        <v>5072</v>
      </c>
      <c r="C7793" t="s">
        <v>5073</v>
      </c>
      <c r="D7793" t="s">
        <v>13412</v>
      </c>
    </row>
    <row r="7794" spans="1:4" x14ac:dyDescent="0.25">
      <c r="A7794" s="180">
        <f t="shared" si="121"/>
        <v>8518789</v>
      </c>
      <c r="B7794" t="s">
        <v>5072</v>
      </c>
      <c r="C7794" t="s">
        <v>5073</v>
      </c>
      <c r="D7794" t="s">
        <v>13412</v>
      </c>
    </row>
    <row r="7795" spans="1:4" x14ac:dyDescent="0.25">
      <c r="A7795" s="180">
        <f t="shared" si="121"/>
        <v>8518789</v>
      </c>
      <c r="B7795" t="s">
        <v>5072</v>
      </c>
      <c r="C7795" t="s">
        <v>5073</v>
      </c>
      <c r="D7795" t="s">
        <v>13412</v>
      </c>
    </row>
    <row r="7796" spans="1:4" x14ac:dyDescent="0.25">
      <c r="A7796" s="180">
        <f t="shared" si="121"/>
        <v>8518789</v>
      </c>
      <c r="B7796" t="s">
        <v>5072</v>
      </c>
      <c r="C7796" t="s">
        <v>5073</v>
      </c>
      <c r="D7796" t="s">
        <v>13412</v>
      </c>
    </row>
    <row r="7797" spans="1:4" x14ac:dyDescent="0.25">
      <c r="A7797" s="180">
        <f t="shared" si="121"/>
        <v>8518789</v>
      </c>
      <c r="B7797" t="s">
        <v>5072</v>
      </c>
      <c r="C7797" t="s">
        <v>5073</v>
      </c>
      <c r="D7797" t="s">
        <v>13412</v>
      </c>
    </row>
    <row r="7798" spans="1:4" x14ac:dyDescent="0.25">
      <c r="A7798" s="180">
        <f t="shared" si="121"/>
        <v>8518789</v>
      </c>
      <c r="B7798" t="s">
        <v>5072</v>
      </c>
      <c r="C7798" t="s">
        <v>5073</v>
      </c>
      <c r="D7798" t="s">
        <v>13412</v>
      </c>
    </row>
    <row r="7799" spans="1:4" x14ac:dyDescent="0.25">
      <c r="A7799" s="180">
        <f t="shared" si="121"/>
        <v>8518789</v>
      </c>
      <c r="B7799" t="s">
        <v>5072</v>
      </c>
      <c r="C7799" t="s">
        <v>5073</v>
      </c>
      <c r="D7799" t="s">
        <v>13412</v>
      </c>
    </row>
    <row r="7800" spans="1:4" x14ac:dyDescent="0.25">
      <c r="A7800" s="180">
        <f t="shared" si="121"/>
        <v>8518789</v>
      </c>
      <c r="B7800" t="s">
        <v>5072</v>
      </c>
      <c r="C7800" t="s">
        <v>5073</v>
      </c>
      <c r="D7800" t="s">
        <v>13412</v>
      </c>
    </row>
    <row r="7801" spans="1:4" x14ac:dyDescent="0.25">
      <c r="A7801" s="180">
        <f t="shared" si="121"/>
        <v>8518789</v>
      </c>
      <c r="B7801" t="s">
        <v>5072</v>
      </c>
      <c r="C7801" t="s">
        <v>5073</v>
      </c>
      <c r="D7801" t="s">
        <v>13412</v>
      </c>
    </row>
    <row r="7802" spans="1:4" x14ac:dyDescent="0.25">
      <c r="A7802" s="180">
        <f t="shared" si="121"/>
        <v>8518789</v>
      </c>
      <c r="B7802" t="s">
        <v>5072</v>
      </c>
      <c r="C7802" t="s">
        <v>5073</v>
      </c>
      <c r="D7802" t="s">
        <v>13412</v>
      </c>
    </row>
    <row r="7803" spans="1:4" x14ac:dyDescent="0.25">
      <c r="A7803" s="180">
        <f t="shared" si="121"/>
        <v>8518789</v>
      </c>
      <c r="B7803" t="s">
        <v>5072</v>
      </c>
      <c r="C7803" t="s">
        <v>5073</v>
      </c>
      <c r="D7803" t="s">
        <v>13412</v>
      </c>
    </row>
    <row r="7804" spans="1:4" x14ac:dyDescent="0.25">
      <c r="A7804" s="180">
        <f t="shared" si="121"/>
        <v>8518789</v>
      </c>
      <c r="B7804" t="s">
        <v>5072</v>
      </c>
      <c r="C7804" t="s">
        <v>5073</v>
      </c>
      <c r="D7804" t="s">
        <v>13412</v>
      </c>
    </row>
    <row r="7805" spans="1:4" x14ac:dyDescent="0.25">
      <c r="A7805" s="180">
        <f t="shared" si="121"/>
        <v>8519021</v>
      </c>
      <c r="B7805" t="s">
        <v>5074</v>
      </c>
      <c r="C7805" t="s">
        <v>5075</v>
      </c>
    </row>
    <row r="7806" spans="1:4" x14ac:dyDescent="0.25">
      <c r="A7806" s="180">
        <f t="shared" si="121"/>
        <v>8519040</v>
      </c>
      <c r="B7806" t="s">
        <v>5076</v>
      </c>
      <c r="C7806" t="s">
        <v>5077</v>
      </c>
    </row>
    <row r="7807" spans="1:4" x14ac:dyDescent="0.25">
      <c r="A7807" s="180">
        <f t="shared" ref="A7807:A7870" si="122">IFERROR(B7807*1,"")</f>
        <v>8519041</v>
      </c>
      <c r="B7807" t="s">
        <v>5078</v>
      </c>
      <c r="C7807" t="s">
        <v>5079</v>
      </c>
      <c r="D7807" t="s">
        <v>13412</v>
      </c>
    </row>
    <row r="7808" spans="1:4" x14ac:dyDescent="0.25">
      <c r="A7808" s="180">
        <f t="shared" si="122"/>
        <v>8519042</v>
      </c>
      <c r="B7808" t="s">
        <v>5080</v>
      </c>
      <c r="C7808" t="s">
        <v>13938</v>
      </c>
      <c r="D7808" t="s">
        <v>13412</v>
      </c>
    </row>
    <row r="7809" spans="1:4" x14ac:dyDescent="0.25">
      <c r="A7809" s="180">
        <f t="shared" si="122"/>
        <v>8519043</v>
      </c>
      <c r="B7809" t="s">
        <v>5081</v>
      </c>
      <c r="C7809" t="s">
        <v>5082</v>
      </c>
    </row>
    <row r="7810" spans="1:4" x14ac:dyDescent="0.25">
      <c r="A7810" s="180">
        <f t="shared" si="122"/>
        <v>8519044</v>
      </c>
      <c r="B7810" t="s">
        <v>5083</v>
      </c>
      <c r="C7810" t="s">
        <v>5084</v>
      </c>
      <c r="D7810" t="s">
        <v>13412</v>
      </c>
    </row>
    <row r="7811" spans="1:4" x14ac:dyDescent="0.25">
      <c r="A7811" s="180">
        <f t="shared" si="122"/>
        <v>8519500</v>
      </c>
      <c r="B7811" t="s">
        <v>5085</v>
      </c>
      <c r="C7811" t="s">
        <v>5086</v>
      </c>
      <c r="D7811" t="s">
        <v>13412</v>
      </c>
    </row>
    <row r="7812" spans="1:4" x14ac:dyDescent="0.25">
      <c r="A7812" s="180">
        <f t="shared" si="122"/>
        <v>851950099</v>
      </c>
      <c r="B7812" t="s">
        <v>5087</v>
      </c>
      <c r="C7812" t="s">
        <v>5088</v>
      </c>
    </row>
    <row r="7813" spans="1:4" x14ac:dyDescent="0.25">
      <c r="A7813" s="180">
        <f t="shared" si="122"/>
        <v>8519502</v>
      </c>
      <c r="B7813" t="s">
        <v>5089</v>
      </c>
      <c r="C7813" t="s">
        <v>5090</v>
      </c>
    </row>
    <row r="7814" spans="1:4" x14ac:dyDescent="0.25">
      <c r="A7814" s="180">
        <f t="shared" si="122"/>
        <v>8520000</v>
      </c>
      <c r="B7814" t="s">
        <v>5091</v>
      </c>
      <c r="C7814" t="s">
        <v>7023</v>
      </c>
      <c r="D7814" t="s">
        <v>13412</v>
      </c>
    </row>
    <row r="7815" spans="1:4" x14ac:dyDescent="0.25">
      <c r="A7815" s="180">
        <f t="shared" si="122"/>
        <v>8520001</v>
      </c>
      <c r="B7815" t="s">
        <v>5092</v>
      </c>
      <c r="C7815" t="s">
        <v>5093</v>
      </c>
    </row>
    <row r="7816" spans="1:4" x14ac:dyDescent="0.25">
      <c r="A7816" s="180">
        <f t="shared" si="122"/>
        <v>8520003</v>
      </c>
      <c r="B7816" t="s">
        <v>5094</v>
      </c>
      <c r="C7816" t="s">
        <v>5095</v>
      </c>
      <c r="D7816" t="s">
        <v>13412</v>
      </c>
    </row>
    <row r="7817" spans="1:4" x14ac:dyDescent="0.25">
      <c r="A7817" s="180">
        <f t="shared" si="122"/>
        <v>85200038</v>
      </c>
      <c r="B7817" t="s">
        <v>5096</v>
      </c>
      <c r="C7817" t="s">
        <v>5097</v>
      </c>
    </row>
    <row r="7818" spans="1:4" x14ac:dyDescent="0.25">
      <c r="A7818" s="180">
        <f t="shared" si="122"/>
        <v>8520004</v>
      </c>
      <c r="B7818" t="s">
        <v>5098</v>
      </c>
      <c r="C7818" t="s">
        <v>5099</v>
      </c>
      <c r="D7818" t="s">
        <v>13412</v>
      </c>
    </row>
    <row r="7819" spans="1:4" x14ac:dyDescent="0.25">
      <c r="A7819" s="180">
        <f t="shared" si="122"/>
        <v>8520005</v>
      </c>
      <c r="B7819" t="s">
        <v>5100</v>
      </c>
      <c r="C7819" t="s">
        <v>5101</v>
      </c>
      <c r="D7819" t="s">
        <v>13412</v>
      </c>
    </row>
    <row r="7820" spans="1:4" x14ac:dyDescent="0.25">
      <c r="A7820" s="180">
        <f t="shared" si="122"/>
        <v>8520006</v>
      </c>
      <c r="B7820" t="s">
        <v>5102</v>
      </c>
      <c r="C7820" t="s">
        <v>5103</v>
      </c>
    </row>
    <row r="7821" spans="1:4" x14ac:dyDescent="0.25">
      <c r="A7821" s="180">
        <f t="shared" si="122"/>
        <v>8520007</v>
      </c>
      <c r="B7821" t="s">
        <v>5104</v>
      </c>
      <c r="C7821" t="s">
        <v>5105</v>
      </c>
      <c r="D7821" t="s">
        <v>13412</v>
      </c>
    </row>
    <row r="7822" spans="1:4" x14ac:dyDescent="0.25">
      <c r="A7822" s="180">
        <f t="shared" si="122"/>
        <v>8520007</v>
      </c>
      <c r="B7822" t="s">
        <v>5104</v>
      </c>
      <c r="C7822" t="s">
        <v>5105</v>
      </c>
      <c r="D7822" t="s">
        <v>13412</v>
      </c>
    </row>
    <row r="7823" spans="1:4" x14ac:dyDescent="0.25">
      <c r="A7823" s="180">
        <f t="shared" si="122"/>
        <v>8520007</v>
      </c>
      <c r="B7823" t="s">
        <v>5104</v>
      </c>
      <c r="C7823" t="s">
        <v>5105</v>
      </c>
      <c r="D7823" t="s">
        <v>13412</v>
      </c>
    </row>
    <row r="7824" spans="1:4" x14ac:dyDescent="0.25">
      <c r="A7824" s="180">
        <f t="shared" si="122"/>
        <v>8520008</v>
      </c>
      <c r="B7824" t="s">
        <v>5106</v>
      </c>
      <c r="C7824" t="s">
        <v>5107</v>
      </c>
    </row>
    <row r="7825" spans="1:4" x14ac:dyDescent="0.25">
      <c r="A7825" s="180">
        <f t="shared" si="122"/>
        <v>8520009</v>
      </c>
      <c r="B7825" t="s">
        <v>5108</v>
      </c>
      <c r="C7825" t="s">
        <v>5109</v>
      </c>
      <c r="D7825" t="s">
        <v>13412</v>
      </c>
    </row>
    <row r="7826" spans="1:4" x14ac:dyDescent="0.25">
      <c r="A7826" s="180">
        <f t="shared" si="122"/>
        <v>8520010</v>
      </c>
      <c r="B7826" t="s">
        <v>5110</v>
      </c>
      <c r="C7826" t="s">
        <v>5111</v>
      </c>
      <c r="D7826" t="s">
        <v>13412</v>
      </c>
    </row>
    <row r="7827" spans="1:4" x14ac:dyDescent="0.25">
      <c r="A7827" s="180">
        <f t="shared" si="122"/>
        <v>8520011</v>
      </c>
      <c r="B7827" t="s">
        <v>5112</v>
      </c>
      <c r="C7827" t="s">
        <v>5113</v>
      </c>
      <c r="D7827" t="s">
        <v>13412</v>
      </c>
    </row>
    <row r="7828" spans="1:4" x14ac:dyDescent="0.25">
      <c r="A7828" s="180">
        <f t="shared" si="122"/>
        <v>8520012</v>
      </c>
      <c r="B7828" t="s">
        <v>5114</v>
      </c>
      <c r="C7828" t="s">
        <v>5115</v>
      </c>
    </row>
    <row r="7829" spans="1:4" x14ac:dyDescent="0.25">
      <c r="A7829" s="180">
        <f t="shared" si="122"/>
        <v>8520013</v>
      </c>
      <c r="B7829" t="s">
        <v>5116</v>
      </c>
      <c r="C7829" t="s">
        <v>5117</v>
      </c>
    </row>
    <row r="7830" spans="1:4" x14ac:dyDescent="0.25">
      <c r="A7830" s="180">
        <f t="shared" si="122"/>
        <v>8520014</v>
      </c>
      <c r="B7830" t="s">
        <v>5118</v>
      </c>
      <c r="C7830" t="s">
        <v>12699</v>
      </c>
      <c r="D7830" t="s">
        <v>13412</v>
      </c>
    </row>
    <row r="7831" spans="1:4" x14ac:dyDescent="0.25">
      <c r="A7831" s="180">
        <f t="shared" si="122"/>
        <v>8520015</v>
      </c>
      <c r="B7831" t="s">
        <v>5119</v>
      </c>
      <c r="C7831" t="s">
        <v>5120</v>
      </c>
      <c r="D7831" t="s">
        <v>13412</v>
      </c>
    </row>
    <row r="7832" spans="1:4" x14ac:dyDescent="0.25">
      <c r="A7832" s="180">
        <f t="shared" si="122"/>
        <v>8520016</v>
      </c>
      <c r="B7832" t="s">
        <v>5121</v>
      </c>
      <c r="C7832" t="s">
        <v>5122</v>
      </c>
      <c r="D7832" t="s">
        <v>13412</v>
      </c>
    </row>
    <row r="7833" spans="1:4" x14ac:dyDescent="0.25">
      <c r="A7833" s="180">
        <f t="shared" si="122"/>
        <v>8520017</v>
      </c>
      <c r="B7833" t="s">
        <v>5123</v>
      </c>
      <c r="C7833" t="s">
        <v>14056</v>
      </c>
      <c r="D7833" t="s">
        <v>13412</v>
      </c>
    </row>
    <row r="7834" spans="1:4" x14ac:dyDescent="0.25">
      <c r="A7834" s="180">
        <f t="shared" si="122"/>
        <v>8520018</v>
      </c>
      <c r="B7834" t="s">
        <v>5124</v>
      </c>
      <c r="C7834" t="s">
        <v>5125</v>
      </c>
    </row>
    <row r="7835" spans="1:4" x14ac:dyDescent="0.25">
      <c r="A7835" s="180">
        <f t="shared" si="122"/>
        <v>8520019</v>
      </c>
      <c r="B7835" t="s">
        <v>5126</v>
      </c>
      <c r="C7835" t="s">
        <v>5127</v>
      </c>
    </row>
    <row r="7836" spans="1:4" x14ac:dyDescent="0.25">
      <c r="A7836" s="180">
        <f t="shared" si="122"/>
        <v>8520020</v>
      </c>
      <c r="B7836" t="s">
        <v>5128</v>
      </c>
      <c r="C7836" t="s">
        <v>5129</v>
      </c>
    </row>
    <row r="7837" spans="1:4" x14ac:dyDescent="0.25">
      <c r="A7837" s="180">
        <f t="shared" si="122"/>
        <v>8520021</v>
      </c>
      <c r="B7837" t="s">
        <v>5130</v>
      </c>
      <c r="C7837" t="s">
        <v>5129</v>
      </c>
    </row>
    <row r="7838" spans="1:4" x14ac:dyDescent="0.25">
      <c r="A7838" s="180">
        <f t="shared" si="122"/>
        <v>8520022</v>
      </c>
      <c r="B7838" t="s">
        <v>5131</v>
      </c>
      <c r="C7838" t="s">
        <v>5132</v>
      </c>
    </row>
    <row r="7839" spans="1:4" x14ac:dyDescent="0.25">
      <c r="A7839" s="180">
        <f t="shared" si="122"/>
        <v>8520023</v>
      </c>
      <c r="B7839" t="s">
        <v>5133</v>
      </c>
      <c r="C7839" t="s">
        <v>5134</v>
      </c>
    </row>
    <row r="7840" spans="1:4" x14ac:dyDescent="0.25">
      <c r="A7840" s="180">
        <f t="shared" si="122"/>
        <v>8520024</v>
      </c>
      <c r="B7840" t="s">
        <v>5135</v>
      </c>
      <c r="C7840" t="s">
        <v>5136</v>
      </c>
    </row>
    <row r="7841" spans="1:4" x14ac:dyDescent="0.25">
      <c r="A7841" s="180">
        <f t="shared" si="122"/>
        <v>8520025</v>
      </c>
      <c r="B7841" t="s">
        <v>5137</v>
      </c>
      <c r="C7841" t="s">
        <v>5138</v>
      </c>
      <c r="D7841" t="s">
        <v>13412</v>
      </c>
    </row>
    <row r="7842" spans="1:4" x14ac:dyDescent="0.25">
      <c r="A7842" s="180">
        <f t="shared" si="122"/>
        <v>8520026</v>
      </c>
      <c r="B7842" t="s">
        <v>5139</v>
      </c>
      <c r="C7842" t="s">
        <v>5140</v>
      </c>
      <c r="D7842" t="s">
        <v>13412</v>
      </c>
    </row>
    <row r="7843" spans="1:4" x14ac:dyDescent="0.25">
      <c r="A7843" s="180">
        <f t="shared" si="122"/>
        <v>8520027</v>
      </c>
      <c r="B7843" t="s">
        <v>5141</v>
      </c>
      <c r="C7843" t="s">
        <v>5142</v>
      </c>
    </row>
    <row r="7844" spans="1:4" x14ac:dyDescent="0.25">
      <c r="A7844" s="180">
        <f t="shared" si="122"/>
        <v>8520028</v>
      </c>
      <c r="B7844" t="s">
        <v>5143</v>
      </c>
      <c r="C7844" t="s">
        <v>5144</v>
      </c>
    </row>
    <row r="7845" spans="1:4" x14ac:dyDescent="0.25">
      <c r="A7845" s="180">
        <f t="shared" si="122"/>
        <v>8520029</v>
      </c>
      <c r="B7845" t="s">
        <v>5145</v>
      </c>
      <c r="C7845" t="s">
        <v>5146</v>
      </c>
    </row>
    <row r="7846" spans="1:4" x14ac:dyDescent="0.25">
      <c r="A7846" s="180">
        <f t="shared" si="122"/>
        <v>8520030</v>
      </c>
      <c r="B7846" t="s">
        <v>5147</v>
      </c>
      <c r="C7846" t="s">
        <v>5148</v>
      </c>
      <c r="D7846" t="s">
        <v>13412</v>
      </c>
    </row>
    <row r="7847" spans="1:4" x14ac:dyDescent="0.25">
      <c r="A7847" s="180">
        <f t="shared" si="122"/>
        <v>8520031</v>
      </c>
      <c r="B7847" t="s">
        <v>5149</v>
      </c>
      <c r="C7847" t="s">
        <v>5150</v>
      </c>
    </row>
    <row r="7848" spans="1:4" x14ac:dyDescent="0.25">
      <c r="A7848" s="180">
        <f t="shared" si="122"/>
        <v>8520032</v>
      </c>
      <c r="B7848" t="s">
        <v>5151</v>
      </c>
      <c r="C7848" t="s">
        <v>5152</v>
      </c>
    </row>
    <row r="7849" spans="1:4" x14ac:dyDescent="0.25">
      <c r="A7849" s="180">
        <f t="shared" si="122"/>
        <v>8520033</v>
      </c>
      <c r="B7849" t="s">
        <v>5153</v>
      </c>
      <c r="C7849" t="s">
        <v>5154</v>
      </c>
    </row>
    <row r="7850" spans="1:4" x14ac:dyDescent="0.25">
      <c r="A7850" s="180">
        <f t="shared" si="122"/>
        <v>8520034</v>
      </c>
      <c r="B7850" t="s">
        <v>5155</v>
      </c>
      <c r="C7850" t="s">
        <v>5156</v>
      </c>
      <c r="D7850" t="s">
        <v>13412</v>
      </c>
    </row>
    <row r="7851" spans="1:4" x14ac:dyDescent="0.25">
      <c r="A7851" s="180">
        <f t="shared" si="122"/>
        <v>8520035</v>
      </c>
      <c r="B7851" t="s">
        <v>5157</v>
      </c>
      <c r="C7851" t="s">
        <v>5158</v>
      </c>
    </row>
    <row r="7852" spans="1:4" x14ac:dyDescent="0.25">
      <c r="A7852" s="180">
        <f t="shared" si="122"/>
        <v>8520036</v>
      </c>
      <c r="B7852" t="s">
        <v>5159</v>
      </c>
      <c r="C7852" t="s">
        <v>5160</v>
      </c>
    </row>
    <row r="7853" spans="1:4" x14ac:dyDescent="0.25">
      <c r="A7853" s="180">
        <f t="shared" si="122"/>
        <v>8520037</v>
      </c>
      <c r="B7853" t="s">
        <v>5161</v>
      </c>
      <c r="C7853" t="s">
        <v>5162</v>
      </c>
    </row>
    <row r="7854" spans="1:4" x14ac:dyDescent="0.25">
      <c r="A7854" s="180">
        <f t="shared" si="122"/>
        <v>8520040</v>
      </c>
      <c r="B7854" t="s">
        <v>5163</v>
      </c>
      <c r="C7854" t="s">
        <v>5164</v>
      </c>
      <c r="D7854" t="s">
        <v>13412</v>
      </c>
    </row>
    <row r="7855" spans="1:4" x14ac:dyDescent="0.25">
      <c r="A7855" s="180">
        <f t="shared" si="122"/>
        <v>8520042</v>
      </c>
      <c r="B7855" t="s">
        <v>5165</v>
      </c>
      <c r="C7855" t="s">
        <v>13532</v>
      </c>
      <c r="D7855" t="s">
        <v>13412</v>
      </c>
    </row>
    <row r="7856" spans="1:4" x14ac:dyDescent="0.25">
      <c r="A7856" s="180" t="str">
        <f t="shared" si="122"/>
        <v/>
      </c>
      <c r="B7856" t="s">
        <v>13131</v>
      </c>
    </row>
    <row r="7857" spans="1:4" x14ac:dyDescent="0.25">
      <c r="A7857" s="180">
        <f t="shared" si="122"/>
        <v>8520045</v>
      </c>
      <c r="B7857" t="s">
        <v>5166</v>
      </c>
      <c r="C7857" t="s">
        <v>5167</v>
      </c>
      <c r="D7857" t="s">
        <v>13412</v>
      </c>
    </row>
    <row r="7858" spans="1:4" x14ac:dyDescent="0.25">
      <c r="A7858" s="180">
        <f t="shared" si="122"/>
        <v>8520050</v>
      </c>
      <c r="B7858" t="s">
        <v>5168</v>
      </c>
      <c r="C7858" t="s">
        <v>5169</v>
      </c>
    </row>
    <row r="7859" spans="1:4" x14ac:dyDescent="0.25">
      <c r="A7859" s="180">
        <f t="shared" si="122"/>
        <v>8520051</v>
      </c>
      <c r="B7859" t="s">
        <v>5170</v>
      </c>
      <c r="C7859" t="s">
        <v>5171</v>
      </c>
      <c r="D7859" t="s">
        <v>13412</v>
      </c>
    </row>
    <row r="7860" spans="1:4" x14ac:dyDescent="0.25">
      <c r="A7860" s="180">
        <f t="shared" si="122"/>
        <v>8520052</v>
      </c>
      <c r="B7860" t="s">
        <v>5172</v>
      </c>
      <c r="C7860" t="s">
        <v>5173</v>
      </c>
      <c r="D7860" t="s">
        <v>13412</v>
      </c>
    </row>
    <row r="7861" spans="1:4" x14ac:dyDescent="0.25">
      <c r="A7861" s="180">
        <f t="shared" si="122"/>
        <v>8520059</v>
      </c>
      <c r="B7861" t="s">
        <v>5174</v>
      </c>
      <c r="C7861" t="s">
        <v>5175</v>
      </c>
    </row>
    <row r="7862" spans="1:4" x14ac:dyDescent="0.25">
      <c r="A7862" s="180">
        <f t="shared" si="122"/>
        <v>8520060</v>
      </c>
      <c r="B7862" t="s">
        <v>5176</v>
      </c>
      <c r="C7862" t="s">
        <v>5177</v>
      </c>
      <c r="D7862" t="s">
        <v>13412</v>
      </c>
    </row>
    <row r="7863" spans="1:4" x14ac:dyDescent="0.25">
      <c r="A7863" s="180">
        <f t="shared" si="122"/>
        <v>8520064</v>
      </c>
      <c r="B7863" t="s">
        <v>5178</v>
      </c>
      <c r="C7863" t="s">
        <v>5179</v>
      </c>
      <c r="D7863" t="s">
        <v>13412</v>
      </c>
    </row>
    <row r="7864" spans="1:4" x14ac:dyDescent="0.25">
      <c r="A7864" s="180">
        <f t="shared" si="122"/>
        <v>8520065</v>
      </c>
      <c r="B7864" t="s">
        <v>5180</v>
      </c>
      <c r="C7864" t="s">
        <v>5181</v>
      </c>
    </row>
    <row r="7865" spans="1:4" x14ac:dyDescent="0.25">
      <c r="A7865" s="180">
        <f t="shared" si="122"/>
        <v>8520066</v>
      </c>
      <c r="B7865" t="s">
        <v>5182</v>
      </c>
      <c r="C7865" t="s">
        <v>5183</v>
      </c>
    </row>
    <row r="7866" spans="1:4" x14ac:dyDescent="0.25">
      <c r="A7866" s="180">
        <f t="shared" si="122"/>
        <v>8520067</v>
      </c>
      <c r="B7866" t="s">
        <v>5184</v>
      </c>
      <c r="C7866" t="s">
        <v>5185</v>
      </c>
      <c r="D7866" t="s">
        <v>13412</v>
      </c>
    </row>
    <row r="7867" spans="1:4" x14ac:dyDescent="0.25">
      <c r="A7867" s="180">
        <f t="shared" si="122"/>
        <v>8520068</v>
      </c>
      <c r="B7867" t="s">
        <v>5186</v>
      </c>
      <c r="C7867" t="s">
        <v>5187</v>
      </c>
    </row>
    <row r="7868" spans="1:4" x14ac:dyDescent="0.25">
      <c r="A7868" s="180">
        <f t="shared" si="122"/>
        <v>8520070</v>
      </c>
      <c r="B7868" t="s">
        <v>5188</v>
      </c>
      <c r="C7868" t="s">
        <v>5189</v>
      </c>
    </row>
    <row r="7869" spans="1:4" x14ac:dyDescent="0.25">
      <c r="A7869" s="180">
        <f t="shared" si="122"/>
        <v>8520100</v>
      </c>
      <c r="B7869" t="s">
        <v>5190</v>
      </c>
      <c r="C7869" t="s">
        <v>5191</v>
      </c>
      <c r="D7869" t="s">
        <v>13412</v>
      </c>
    </row>
    <row r="7870" spans="1:4" x14ac:dyDescent="0.25">
      <c r="A7870" s="180">
        <f t="shared" si="122"/>
        <v>8520101</v>
      </c>
      <c r="B7870" t="s">
        <v>5192</v>
      </c>
      <c r="C7870" t="s">
        <v>12700</v>
      </c>
      <c r="D7870" t="s">
        <v>13412</v>
      </c>
    </row>
    <row r="7871" spans="1:4" x14ac:dyDescent="0.25">
      <c r="A7871" s="180">
        <f t="shared" ref="A7871:A7934" si="123">IFERROR(B7871*1,"")</f>
        <v>8520102</v>
      </c>
      <c r="B7871" t="s">
        <v>5193</v>
      </c>
      <c r="C7871" t="s">
        <v>5194</v>
      </c>
      <c r="D7871" t="s">
        <v>13412</v>
      </c>
    </row>
    <row r="7872" spans="1:4" x14ac:dyDescent="0.25">
      <c r="A7872" s="180">
        <f t="shared" si="123"/>
        <v>8520103</v>
      </c>
      <c r="B7872" t="s">
        <v>5195</v>
      </c>
      <c r="C7872" t="s">
        <v>5196</v>
      </c>
    </row>
    <row r="7873" spans="1:4" x14ac:dyDescent="0.25">
      <c r="A7873" s="180">
        <f t="shared" si="123"/>
        <v>8520104</v>
      </c>
      <c r="B7873" t="s">
        <v>5197</v>
      </c>
      <c r="C7873" t="s">
        <v>5198</v>
      </c>
    </row>
    <row r="7874" spans="1:4" x14ac:dyDescent="0.25">
      <c r="A7874" s="180">
        <f t="shared" si="123"/>
        <v>8520105</v>
      </c>
      <c r="B7874" t="s">
        <v>5199</v>
      </c>
      <c r="C7874" t="s">
        <v>5200</v>
      </c>
    </row>
    <row r="7875" spans="1:4" x14ac:dyDescent="0.25">
      <c r="A7875" s="180">
        <f t="shared" si="123"/>
        <v>8520106</v>
      </c>
      <c r="B7875" t="s">
        <v>5201</v>
      </c>
      <c r="C7875" t="s">
        <v>5202</v>
      </c>
    </row>
    <row r="7876" spans="1:4" x14ac:dyDescent="0.25">
      <c r="A7876" s="180">
        <f t="shared" si="123"/>
        <v>8520110</v>
      </c>
      <c r="B7876" t="s">
        <v>5203</v>
      </c>
      <c r="C7876" t="s">
        <v>5204</v>
      </c>
      <c r="D7876" t="s">
        <v>13412</v>
      </c>
    </row>
    <row r="7877" spans="1:4" x14ac:dyDescent="0.25">
      <c r="A7877" s="180">
        <f t="shared" si="123"/>
        <v>85201100</v>
      </c>
      <c r="B7877" t="s">
        <v>5205</v>
      </c>
      <c r="C7877" t="s">
        <v>5206</v>
      </c>
    </row>
    <row r="7878" spans="1:4" x14ac:dyDescent="0.25">
      <c r="A7878" s="180">
        <f t="shared" si="123"/>
        <v>8520111</v>
      </c>
      <c r="B7878" t="s">
        <v>5207</v>
      </c>
      <c r="C7878" t="s">
        <v>5208</v>
      </c>
      <c r="D7878" t="s">
        <v>13412</v>
      </c>
    </row>
    <row r="7879" spans="1:4" x14ac:dyDescent="0.25">
      <c r="A7879" s="180">
        <f t="shared" si="123"/>
        <v>8520116</v>
      </c>
      <c r="B7879" t="s">
        <v>5209</v>
      </c>
      <c r="C7879" t="s">
        <v>5210</v>
      </c>
      <c r="D7879" t="s">
        <v>13412</v>
      </c>
    </row>
    <row r="7880" spans="1:4" x14ac:dyDescent="0.25">
      <c r="A7880" s="180">
        <f t="shared" si="123"/>
        <v>8520118</v>
      </c>
      <c r="B7880" t="s">
        <v>5212</v>
      </c>
      <c r="C7880" t="s">
        <v>5213</v>
      </c>
      <c r="D7880" t="s">
        <v>13412</v>
      </c>
    </row>
    <row r="7881" spans="1:4" x14ac:dyDescent="0.25">
      <c r="A7881" s="180">
        <f t="shared" si="123"/>
        <v>8520119</v>
      </c>
      <c r="B7881" t="s">
        <v>5214</v>
      </c>
      <c r="C7881" t="s">
        <v>5215</v>
      </c>
    </row>
    <row r="7882" spans="1:4" x14ac:dyDescent="0.25">
      <c r="A7882" s="180">
        <f t="shared" si="123"/>
        <v>8520120</v>
      </c>
      <c r="B7882" t="s">
        <v>5216</v>
      </c>
      <c r="C7882" t="s">
        <v>5217</v>
      </c>
    </row>
    <row r="7883" spans="1:4" x14ac:dyDescent="0.25">
      <c r="A7883" s="180">
        <f t="shared" si="123"/>
        <v>8520121</v>
      </c>
      <c r="B7883" t="s">
        <v>5218</v>
      </c>
      <c r="C7883" t="s">
        <v>5219</v>
      </c>
    </row>
    <row r="7884" spans="1:4" x14ac:dyDescent="0.25">
      <c r="A7884" s="180">
        <f t="shared" si="123"/>
        <v>8520122</v>
      </c>
      <c r="B7884" t="s">
        <v>5220</v>
      </c>
      <c r="C7884" t="s">
        <v>5221</v>
      </c>
    </row>
    <row r="7885" spans="1:4" x14ac:dyDescent="0.25">
      <c r="A7885" s="180">
        <f t="shared" si="123"/>
        <v>8520123</v>
      </c>
      <c r="B7885" t="s">
        <v>5222</v>
      </c>
      <c r="C7885" t="s">
        <v>5223</v>
      </c>
    </row>
    <row r="7886" spans="1:4" x14ac:dyDescent="0.25">
      <c r="A7886" s="180">
        <f t="shared" si="123"/>
        <v>8520124</v>
      </c>
      <c r="B7886" t="s">
        <v>5224</v>
      </c>
      <c r="C7886" t="s">
        <v>13358</v>
      </c>
      <c r="D7886" t="s">
        <v>13412</v>
      </c>
    </row>
    <row r="7887" spans="1:4" x14ac:dyDescent="0.25">
      <c r="A7887" s="180">
        <f t="shared" si="123"/>
        <v>8520125</v>
      </c>
      <c r="B7887" t="s">
        <v>5225</v>
      </c>
      <c r="C7887" t="s">
        <v>5226</v>
      </c>
      <c r="D7887" t="s">
        <v>13412</v>
      </c>
    </row>
    <row r="7888" spans="1:4" x14ac:dyDescent="0.25">
      <c r="A7888" s="180">
        <f t="shared" si="123"/>
        <v>8520126</v>
      </c>
      <c r="B7888" t="s">
        <v>5227</v>
      </c>
      <c r="C7888" t="s">
        <v>5228</v>
      </c>
    </row>
    <row r="7889" spans="1:4" x14ac:dyDescent="0.25">
      <c r="A7889" s="180">
        <f t="shared" si="123"/>
        <v>8520127</v>
      </c>
      <c r="B7889" t="s">
        <v>5229</v>
      </c>
      <c r="C7889" t="s">
        <v>5230</v>
      </c>
    </row>
    <row r="7890" spans="1:4" x14ac:dyDescent="0.25">
      <c r="A7890" s="180">
        <f t="shared" si="123"/>
        <v>8520130</v>
      </c>
      <c r="B7890" t="s">
        <v>5231</v>
      </c>
      <c r="C7890" t="s">
        <v>5232</v>
      </c>
    </row>
    <row r="7891" spans="1:4" x14ac:dyDescent="0.25">
      <c r="A7891" s="180">
        <f t="shared" si="123"/>
        <v>8520141</v>
      </c>
      <c r="B7891" t="s">
        <v>5233</v>
      </c>
      <c r="C7891" t="s">
        <v>5234</v>
      </c>
      <c r="D7891" t="s">
        <v>13412</v>
      </c>
    </row>
    <row r="7892" spans="1:4" x14ac:dyDescent="0.25">
      <c r="A7892" s="180">
        <f t="shared" si="123"/>
        <v>8520141</v>
      </c>
      <c r="B7892" t="s">
        <v>5233</v>
      </c>
      <c r="C7892" t="s">
        <v>5234</v>
      </c>
      <c r="D7892" t="s">
        <v>13412</v>
      </c>
    </row>
    <row r="7893" spans="1:4" x14ac:dyDescent="0.25">
      <c r="A7893" s="180">
        <f t="shared" si="123"/>
        <v>8520142</v>
      </c>
      <c r="B7893" t="s">
        <v>5235</v>
      </c>
      <c r="C7893" t="s">
        <v>5236</v>
      </c>
    </row>
    <row r="7894" spans="1:4" x14ac:dyDescent="0.25">
      <c r="A7894" s="180">
        <f t="shared" si="123"/>
        <v>8520143</v>
      </c>
      <c r="B7894" t="s">
        <v>5237</v>
      </c>
      <c r="C7894" t="s">
        <v>5238</v>
      </c>
    </row>
    <row r="7895" spans="1:4" x14ac:dyDescent="0.25">
      <c r="A7895" s="180">
        <f t="shared" si="123"/>
        <v>8520144</v>
      </c>
      <c r="B7895" t="s">
        <v>5239</v>
      </c>
      <c r="C7895" t="s">
        <v>5240</v>
      </c>
    </row>
    <row r="7896" spans="1:4" x14ac:dyDescent="0.25">
      <c r="A7896" s="180">
        <f t="shared" si="123"/>
        <v>8520155</v>
      </c>
      <c r="B7896" t="s">
        <v>5241</v>
      </c>
      <c r="C7896" t="s">
        <v>5242</v>
      </c>
    </row>
    <row r="7897" spans="1:4" x14ac:dyDescent="0.25">
      <c r="A7897" s="180">
        <f t="shared" si="123"/>
        <v>8520162</v>
      </c>
      <c r="B7897" t="s">
        <v>5243</v>
      </c>
      <c r="C7897" t="s">
        <v>5244</v>
      </c>
      <c r="D7897" t="s">
        <v>13412</v>
      </c>
    </row>
    <row r="7898" spans="1:4" x14ac:dyDescent="0.25">
      <c r="A7898" s="180">
        <f t="shared" si="123"/>
        <v>8520165</v>
      </c>
      <c r="B7898" t="s">
        <v>5245</v>
      </c>
      <c r="C7898" t="s">
        <v>12701</v>
      </c>
      <c r="D7898" t="s">
        <v>13412</v>
      </c>
    </row>
    <row r="7899" spans="1:4" x14ac:dyDescent="0.25">
      <c r="A7899" s="180">
        <f t="shared" si="123"/>
        <v>8520166</v>
      </c>
      <c r="B7899" t="s">
        <v>5246</v>
      </c>
      <c r="C7899" t="s">
        <v>5247</v>
      </c>
      <c r="D7899" t="s">
        <v>13412</v>
      </c>
    </row>
    <row r="7900" spans="1:4" x14ac:dyDescent="0.25">
      <c r="A7900" s="180">
        <f t="shared" si="123"/>
        <v>8520167</v>
      </c>
      <c r="B7900" t="s">
        <v>14533</v>
      </c>
      <c r="C7900" t="s">
        <v>14534</v>
      </c>
      <c r="D7900" t="s">
        <v>13412</v>
      </c>
    </row>
    <row r="7901" spans="1:4" x14ac:dyDescent="0.25">
      <c r="A7901" s="180">
        <f t="shared" si="123"/>
        <v>8520175</v>
      </c>
      <c r="B7901" t="s">
        <v>5248</v>
      </c>
      <c r="C7901" t="s">
        <v>5249</v>
      </c>
    </row>
    <row r="7902" spans="1:4" x14ac:dyDescent="0.25">
      <c r="A7902" s="180">
        <f t="shared" si="123"/>
        <v>8520190</v>
      </c>
      <c r="B7902" t="s">
        <v>5250</v>
      </c>
      <c r="C7902" t="s">
        <v>5251</v>
      </c>
    </row>
    <row r="7903" spans="1:4" x14ac:dyDescent="0.25">
      <c r="A7903" s="180">
        <f t="shared" si="123"/>
        <v>8520209</v>
      </c>
      <c r="B7903" t="s">
        <v>5252</v>
      </c>
      <c r="C7903" t="s">
        <v>5253</v>
      </c>
      <c r="D7903" t="s">
        <v>13412</v>
      </c>
    </row>
    <row r="7904" spans="1:4" x14ac:dyDescent="0.25">
      <c r="A7904" s="180">
        <f t="shared" si="123"/>
        <v>8520220</v>
      </c>
      <c r="B7904" t="s">
        <v>5254</v>
      </c>
      <c r="C7904" t="s">
        <v>7024</v>
      </c>
      <c r="D7904" t="s">
        <v>13412</v>
      </c>
    </row>
    <row r="7905" spans="1:4" x14ac:dyDescent="0.25">
      <c r="A7905" s="180">
        <f t="shared" si="123"/>
        <v>8520220</v>
      </c>
      <c r="B7905" t="s">
        <v>5254</v>
      </c>
      <c r="C7905" t="s">
        <v>7024</v>
      </c>
      <c r="D7905" t="s">
        <v>13412</v>
      </c>
    </row>
    <row r="7906" spans="1:4" x14ac:dyDescent="0.25">
      <c r="A7906" s="180">
        <f t="shared" si="123"/>
        <v>8520220</v>
      </c>
      <c r="B7906" t="s">
        <v>5254</v>
      </c>
      <c r="C7906" t="s">
        <v>7024</v>
      </c>
      <c r="D7906" t="s">
        <v>13412</v>
      </c>
    </row>
    <row r="7907" spans="1:4" x14ac:dyDescent="0.25">
      <c r="A7907" s="180">
        <f t="shared" si="123"/>
        <v>8520222</v>
      </c>
      <c r="B7907" t="s">
        <v>5255</v>
      </c>
      <c r="C7907" t="s">
        <v>5256</v>
      </c>
    </row>
    <row r="7908" spans="1:4" x14ac:dyDescent="0.25">
      <c r="A7908" s="180">
        <f t="shared" si="123"/>
        <v>8520227</v>
      </c>
      <c r="B7908" t="s">
        <v>14057</v>
      </c>
      <c r="C7908" t="s">
        <v>14058</v>
      </c>
      <c r="D7908" t="s">
        <v>13412</v>
      </c>
    </row>
    <row r="7909" spans="1:4" x14ac:dyDescent="0.25">
      <c r="A7909" s="180">
        <f t="shared" si="123"/>
        <v>8520230</v>
      </c>
      <c r="B7909" t="s">
        <v>5257</v>
      </c>
      <c r="C7909" t="s">
        <v>5258</v>
      </c>
      <c r="D7909" t="s">
        <v>13412</v>
      </c>
    </row>
    <row r="7910" spans="1:4" x14ac:dyDescent="0.25">
      <c r="A7910" s="180">
        <f t="shared" si="123"/>
        <v>8520235</v>
      </c>
      <c r="B7910" t="s">
        <v>13533</v>
      </c>
      <c r="C7910" t="s">
        <v>13534</v>
      </c>
      <c r="D7910" t="s">
        <v>13412</v>
      </c>
    </row>
    <row r="7911" spans="1:4" x14ac:dyDescent="0.25">
      <c r="A7911" s="180">
        <f t="shared" si="123"/>
        <v>8520264</v>
      </c>
      <c r="B7911" t="s">
        <v>5259</v>
      </c>
      <c r="C7911" t="s">
        <v>5260</v>
      </c>
    </row>
    <row r="7912" spans="1:4" x14ac:dyDescent="0.25">
      <c r="A7912" s="180">
        <f t="shared" si="123"/>
        <v>8520265</v>
      </c>
      <c r="B7912" t="s">
        <v>5261</v>
      </c>
      <c r="C7912" t="s">
        <v>5262</v>
      </c>
      <c r="D7912" t="s">
        <v>13412</v>
      </c>
    </row>
    <row r="7913" spans="1:4" x14ac:dyDescent="0.25">
      <c r="A7913" s="180">
        <f t="shared" si="123"/>
        <v>8520271</v>
      </c>
      <c r="B7913" t="s">
        <v>5263</v>
      </c>
      <c r="C7913" t="s">
        <v>5264</v>
      </c>
    </row>
    <row r="7914" spans="1:4" x14ac:dyDescent="0.25">
      <c r="A7914" s="180">
        <f t="shared" si="123"/>
        <v>8520282</v>
      </c>
      <c r="B7914" t="s">
        <v>5265</v>
      </c>
      <c r="C7914" t="s">
        <v>5266</v>
      </c>
      <c r="D7914" t="s">
        <v>13412</v>
      </c>
    </row>
    <row r="7915" spans="1:4" x14ac:dyDescent="0.25">
      <c r="A7915" s="180">
        <f t="shared" si="123"/>
        <v>8520283</v>
      </c>
      <c r="B7915" t="s">
        <v>13535</v>
      </c>
      <c r="C7915" t="s">
        <v>13536</v>
      </c>
      <c r="D7915" t="s">
        <v>13412</v>
      </c>
    </row>
    <row r="7916" spans="1:4" x14ac:dyDescent="0.25">
      <c r="A7916" s="180">
        <f t="shared" si="123"/>
        <v>8520290</v>
      </c>
      <c r="B7916" t="s">
        <v>5267</v>
      </c>
      <c r="C7916" t="s">
        <v>5268</v>
      </c>
      <c r="D7916" t="s">
        <v>13412</v>
      </c>
    </row>
    <row r="7917" spans="1:4" x14ac:dyDescent="0.25">
      <c r="A7917" s="180">
        <f t="shared" si="123"/>
        <v>8520306</v>
      </c>
      <c r="B7917" t="s">
        <v>5269</v>
      </c>
      <c r="C7917" t="s">
        <v>5270</v>
      </c>
      <c r="D7917" t="s">
        <v>13412</v>
      </c>
    </row>
    <row r="7918" spans="1:4" x14ac:dyDescent="0.25">
      <c r="A7918" s="180">
        <f t="shared" si="123"/>
        <v>8520372</v>
      </c>
      <c r="B7918" t="s">
        <v>5271</v>
      </c>
      <c r="C7918" t="s">
        <v>5272</v>
      </c>
      <c r="D7918" t="s">
        <v>13412</v>
      </c>
    </row>
    <row r="7919" spans="1:4" x14ac:dyDescent="0.25">
      <c r="A7919" s="180">
        <f t="shared" si="123"/>
        <v>8520398</v>
      </c>
      <c r="B7919" t="s">
        <v>5273</v>
      </c>
      <c r="C7919" t="s">
        <v>5274</v>
      </c>
      <c r="D7919" t="s">
        <v>13412</v>
      </c>
    </row>
    <row r="7920" spans="1:4" x14ac:dyDescent="0.25">
      <c r="A7920" s="180">
        <f t="shared" si="123"/>
        <v>8520407</v>
      </c>
      <c r="B7920" t="s">
        <v>5275</v>
      </c>
      <c r="C7920" t="s">
        <v>5276</v>
      </c>
      <c r="D7920" t="s">
        <v>13412</v>
      </c>
    </row>
    <row r="7921" spans="1:4" x14ac:dyDescent="0.25">
      <c r="A7921" s="180">
        <f t="shared" si="123"/>
        <v>8520458</v>
      </c>
      <c r="B7921" t="s">
        <v>5277</v>
      </c>
      <c r="C7921" t="s">
        <v>12702</v>
      </c>
      <c r="D7921" t="s">
        <v>13412</v>
      </c>
    </row>
    <row r="7922" spans="1:4" x14ac:dyDescent="0.25">
      <c r="A7922" s="180">
        <f t="shared" si="123"/>
        <v>8520506</v>
      </c>
      <c r="B7922" t="s">
        <v>5278</v>
      </c>
      <c r="C7922" t="s">
        <v>5279</v>
      </c>
      <c r="D7922" t="s">
        <v>13412</v>
      </c>
    </row>
    <row r="7923" spans="1:4" x14ac:dyDescent="0.25">
      <c r="A7923" s="180">
        <f t="shared" si="123"/>
        <v>8520507</v>
      </c>
      <c r="B7923" t="s">
        <v>5280</v>
      </c>
      <c r="C7923" t="s">
        <v>5281</v>
      </c>
    </row>
    <row r="7924" spans="1:4" x14ac:dyDescent="0.25">
      <c r="A7924" s="180">
        <f t="shared" si="123"/>
        <v>8520508</v>
      </c>
      <c r="B7924" t="s">
        <v>5282</v>
      </c>
      <c r="C7924" t="s">
        <v>5283</v>
      </c>
    </row>
    <row r="7925" spans="1:4" x14ac:dyDescent="0.25">
      <c r="A7925" s="180">
        <f t="shared" si="123"/>
        <v>8520509</v>
      </c>
      <c r="B7925" t="s">
        <v>5284</v>
      </c>
      <c r="C7925" t="s">
        <v>5285</v>
      </c>
    </row>
    <row r="7926" spans="1:4" x14ac:dyDescent="0.25">
      <c r="A7926" s="180">
        <f t="shared" si="123"/>
        <v>8520510</v>
      </c>
      <c r="B7926" t="s">
        <v>5286</v>
      </c>
      <c r="C7926" t="s">
        <v>5287</v>
      </c>
    </row>
    <row r="7927" spans="1:4" x14ac:dyDescent="0.25">
      <c r="A7927" s="180">
        <f t="shared" si="123"/>
        <v>8520511</v>
      </c>
      <c r="B7927" t="s">
        <v>5288</v>
      </c>
      <c r="C7927" t="s">
        <v>12703</v>
      </c>
      <c r="D7927" t="s">
        <v>13412</v>
      </c>
    </row>
    <row r="7928" spans="1:4" x14ac:dyDescent="0.25">
      <c r="A7928" s="180">
        <f t="shared" si="123"/>
        <v>8520511</v>
      </c>
      <c r="B7928" t="s">
        <v>5288</v>
      </c>
      <c r="C7928" t="s">
        <v>12703</v>
      </c>
      <c r="D7928" t="s">
        <v>13412</v>
      </c>
    </row>
    <row r="7929" spans="1:4" x14ac:dyDescent="0.25">
      <c r="A7929" s="180">
        <f t="shared" si="123"/>
        <v>8520511</v>
      </c>
      <c r="B7929" t="s">
        <v>5288</v>
      </c>
      <c r="C7929" t="s">
        <v>12703</v>
      </c>
      <c r="D7929" t="s">
        <v>13412</v>
      </c>
    </row>
    <row r="7930" spans="1:4" x14ac:dyDescent="0.25">
      <c r="A7930" s="180">
        <f t="shared" si="123"/>
        <v>8520511</v>
      </c>
      <c r="B7930" t="s">
        <v>5288</v>
      </c>
      <c r="C7930" t="s">
        <v>12703</v>
      </c>
      <c r="D7930" t="s">
        <v>13412</v>
      </c>
    </row>
    <row r="7931" spans="1:4" x14ac:dyDescent="0.25">
      <c r="A7931" s="180">
        <f t="shared" si="123"/>
        <v>8520512</v>
      </c>
      <c r="B7931" t="s">
        <v>5289</v>
      </c>
      <c r="C7931" t="s">
        <v>5290</v>
      </c>
    </row>
    <row r="7932" spans="1:4" x14ac:dyDescent="0.25">
      <c r="A7932" s="180">
        <f t="shared" si="123"/>
        <v>8520513</v>
      </c>
      <c r="B7932" t="s">
        <v>5291</v>
      </c>
      <c r="C7932" t="s">
        <v>5292</v>
      </c>
      <c r="D7932" t="s">
        <v>13412</v>
      </c>
    </row>
    <row r="7933" spans="1:4" x14ac:dyDescent="0.25">
      <c r="A7933" s="180">
        <f t="shared" si="123"/>
        <v>8520517</v>
      </c>
      <c r="B7933" t="s">
        <v>5293</v>
      </c>
      <c r="C7933" t="s">
        <v>5294</v>
      </c>
      <c r="D7933" t="s">
        <v>13412</v>
      </c>
    </row>
    <row r="7934" spans="1:4" x14ac:dyDescent="0.25">
      <c r="A7934" s="180">
        <f t="shared" si="123"/>
        <v>8520535</v>
      </c>
      <c r="B7934" t="s">
        <v>14059</v>
      </c>
      <c r="C7934" t="s">
        <v>14060</v>
      </c>
      <c r="D7934" t="s">
        <v>13412</v>
      </c>
    </row>
    <row r="7935" spans="1:4" x14ac:dyDescent="0.25">
      <c r="A7935" s="180">
        <f t="shared" ref="A7935:A7998" si="124">IFERROR(B7935*1,"")</f>
        <v>8520546</v>
      </c>
      <c r="B7935" t="s">
        <v>5295</v>
      </c>
      <c r="C7935" t="s">
        <v>5296</v>
      </c>
      <c r="D7935" t="s">
        <v>13412</v>
      </c>
    </row>
    <row r="7936" spans="1:4" x14ac:dyDescent="0.25">
      <c r="A7936" s="180">
        <f t="shared" si="124"/>
        <v>8520556</v>
      </c>
      <c r="B7936" t="s">
        <v>5297</v>
      </c>
      <c r="C7936" t="s">
        <v>5298</v>
      </c>
    </row>
    <row r="7937" spans="1:4" x14ac:dyDescent="0.25">
      <c r="A7937" s="180">
        <f t="shared" si="124"/>
        <v>8520620</v>
      </c>
      <c r="B7937" t="s">
        <v>5299</v>
      </c>
      <c r="C7937" t="s">
        <v>5300</v>
      </c>
      <c r="D7937" t="s">
        <v>13412</v>
      </c>
    </row>
    <row r="7938" spans="1:4" x14ac:dyDescent="0.25">
      <c r="A7938" s="180">
        <f t="shared" si="124"/>
        <v>8520623</v>
      </c>
      <c r="B7938" t="s">
        <v>5301</v>
      </c>
      <c r="C7938" t="s">
        <v>5302</v>
      </c>
      <c r="D7938" t="s">
        <v>13412</v>
      </c>
    </row>
    <row r="7939" spans="1:4" x14ac:dyDescent="0.25">
      <c r="A7939" s="180">
        <f t="shared" si="124"/>
        <v>8520624</v>
      </c>
      <c r="B7939" t="s">
        <v>5303</v>
      </c>
      <c r="C7939" t="s">
        <v>5304</v>
      </c>
      <c r="D7939" t="s">
        <v>13412</v>
      </c>
    </row>
    <row r="7940" spans="1:4" x14ac:dyDescent="0.25">
      <c r="A7940" s="180">
        <f t="shared" si="124"/>
        <v>8520625</v>
      </c>
      <c r="B7940" t="s">
        <v>5305</v>
      </c>
      <c r="C7940" t="s">
        <v>5306</v>
      </c>
    </row>
    <row r="7941" spans="1:4" x14ac:dyDescent="0.25">
      <c r="A7941" s="180">
        <f t="shared" si="124"/>
        <v>8520626</v>
      </c>
      <c r="B7941" t="s">
        <v>5307</v>
      </c>
      <c r="C7941" t="s">
        <v>5308</v>
      </c>
      <c r="D7941" t="s">
        <v>13412</v>
      </c>
    </row>
    <row r="7942" spans="1:4" x14ac:dyDescent="0.25">
      <c r="A7942" s="180">
        <f t="shared" si="124"/>
        <v>8520629</v>
      </c>
      <c r="B7942" t="s">
        <v>5309</v>
      </c>
      <c r="C7942" t="s">
        <v>5310</v>
      </c>
      <c r="D7942" t="s">
        <v>13412</v>
      </c>
    </row>
    <row r="7943" spans="1:4" x14ac:dyDescent="0.25">
      <c r="A7943" s="180">
        <f t="shared" si="124"/>
        <v>8520629</v>
      </c>
      <c r="B7943" t="s">
        <v>5309</v>
      </c>
      <c r="C7943" t="s">
        <v>5310</v>
      </c>
      <c r="D7943" t="s">
        <v>13412</v>
      </c>
    </row>
    <row r="7944" spans="1:4" x14ac:dyDescent="0.25">
      <c r="A7944" s="180">
        <f t="shared" si="124"/>
        <v>8520629</v>
      </c>
      <c r="B7944" t="s">
        <v>5309</v>
      </c>
      <c r="C7944" t="s">
        <v>5310</v>
      </c>
      <c r="D7944" t="s">
        <v>13412</v>
      </c>
    </row>
    <row r="7945" spans="1:4" x14ac:dyDescent="0.25">
      <c r="A7945" s="180">
        <f t="shared" si="124"/>
        <v>8520629</v>
      </c>
      <c r="B7945" t="s">
        <v>5309</v>
      </c>
      <c r="C7945" t="s">
        <v>5310</v>
      </c>
      <c r="D7945" t="s">
        <v>13412</v>
      </c>
    </row>
    <row r="7946" spans="1:4" x14ac:dyDescent="0.25">
      <c r="A7946" s="180">
        <f t="shared" si="124"/>
        <v>8520690</v>
      </c>
      <c r="B7946" t="s">
        <v>5311</v>
      </c>
      <c r="C7946" t="s">
        <v>14283</v>
      </c>
      <c r="D7946" t="s">
        <v>13412</v>
      </c>
    </row>
    <row r="7947" spans="1:4" x14ac:dyDescent="0.25">
      <c r="A7947" s="180">
        <f t="shared" si="124"/>
        <v>8520691</v>
      </c>
      <c r="B7947" t="s">
        <v>5312</v>
      </c>
      <c r="C7947" t="s">
        <v>5313</v>
      </c>
      <c r="D7947" t="s">
        <v>13412</v>
      </c>
    </row>
    <row r="7948" spans="1:4" x14ac:dyDescent="0.25">
      <c r="A7948" s="180">
        <f t="shared" si="124"/>
        <v>8520710</v>
      </c>
      <c r="B7948" t="s">
        <v>5314</v>
      </c>
      <c r="C7948" t="s">
        <v>12704</v>
      </c>
      <c r="D7948" t="s">
        <v>13412</v>
      </c>
    </row>
    <row r="7949" spans="1:4" x14ac:dyDescent="0.25">
      <c r="A7949" s="180">
        <f t="shared" si="124"/>
        <v>8520726</v>
      </c>
      <c r="B7949" t="s">
        <v>5315</v>
      </c>
      <c r="C7949" t="s">
        <v>5316</v>
      </c>
      <c r="D7949" t="s">
        <v>13412</v>
      </c>
    </row>
    <row r="7950" spans="1:4" x14ac:dyDescent="0.25">
      <c r="A7950" s="180">
        <f t="shared" si="124"/>
        <v>8520728</v>
      </c>
      <c r="B7950" t="s">
        <v>5317</v>
      </c>
      <c r="C7950" t="s">
        <v>5318</v>
      </c>
    </row>
    <row r="7951" spans="1:4" x14ac:dyDescent="0.25">
      <c r="A7951" s="180">
        <f t="shared" si="124"/>
        <v>8520729</v>
      </c>
      <c r="B7951" t="s">
        <v>5319</v>
      </c>
      <c r="C7951" t="s">
        <v>5320</v>
      </c>
      <c r="D7951" t="s">
        <v>13412</v>
      </c>
    </row>
    <row r="7952" spans="1:4" x14ac:dyDescent="0.25">
      <c r="A7952" s="180">
        <f t="shared" si="124"/>
        <v>8520733</v>
      </c>
      <c r="B7952" t="s">
        <v>5321</v>
      </c>
      <c r="C7952" t="s">
        <v>5322</v>
      </c>
      <c r="D7952" t="s">
        <v>13412</v>
      </c>
    </row>
    <row r="7953" spans="1:4" x14ac:dyDescent="0.25">
      <c r="A7953" s="180">
        <f t="shared" si="124"/>
        <v>8520738</v>
      </c>
      <c r="B7953" t="s">
        <v>5323</v>
      </c>
      <c r="C7953" t="s">
        <v>7025</v>
      </c>
      <c r="D7953" t="s">
        <v>13412</v>
      </c>
    </row>
    <row r="7954" spans="1:4" x14ac:dyDescent="0.25">
      <c r="A7954" s="180">
        <f t="shared" si="124"/>
        <v>8520745</v>
      </c>
      <c r="B7954" t="s">
        <v>5324</v>
      </c>
      <c r="C7954" t="s">
        <v>5325</v>
      </c>
      <c r="D7954" t="s">
        <v>13412</v>
      </c>
    </row>
    <row r="7955" spans="1:4" x14ac:dyDescent="0.25">
      <c r="A7955" s="180">
        <f t="shared" si="124"/>
        <v>8520746</v>
      </c>
      <c r="B7955" t="s">
        <v>5326</v>
      </c>
      <c r="C7955" t="s">
        <v>5327</v>
      </c>
    </row>
    <row r="7956" spans="1:4" x14ac:dyDescent="0.25">
      <c r="A7956" s="180">
        <f t="shared" si="124"/>
        <v>8520750</v>
      </c>
      <c r="B7956" t="s">
        <v>5328</v>
      </c>
      <c r="C7956" t="s">
        <v>7026</v>
      </c>
      <c r="D7956" t="s">
        <v>13412</v>
      </c>
    </row>
    <row r="7957" spans="1:4" x14ac:dyDescent="0.25">
      <c r="A7957" s="180">
        <f t="shared" si="124"/>
        <v>8520751</v>
      </c>
      <c r="B7957" t="s">
        <v>5329</v>
      </c>
      <c r="C7957" t="s">
        <v>5330</v>
      </c>
    </row>
    <row r="7958" spans="1:4" x14ac:dyDescent="0.25">
      <c r="A7958" s="180">
        <f t="shared" si="124"/>
        <v>8520776</v>
      </c>
      <c r="B7958" t="s">
        <v>5331</v>
      </c>
      <c r="C7958" t="s">
        <v>5158</v>
      </c>
    </row>
    <row r="7959" spans="1:4" x14ac:dyDescent="0.25">
      <c r="A7959" s="180">
        <f t="shared" si="124"/>
        <v>8520779</v>
      </c>
      <c r="B7959" t="s">
        <v>5332</v>
      </c>
      <c r="C7959" t="s">
        <v>5333</v>
      </c>
    </row>
    <row r="7960" spans="1:4" x14ac:dyDescent="0.25">
      <c r="A7960" s="180">
        <f t="shared" si="124"/>
        <v>8520781</v>
      </c>
      <c r="B7960" t="s">
        <v>5334</v>
      </c>
      <c r="C7960" t="s">
        <v>5335</v>
      </c>
      <c r="D7960" t="s">
        <v>13412</v>
      </c>
    </row>
    <row r="7961" spans="1:4" x14ac:dyDescent="0.25">
      <c r="A7961" s="180">
        <f t="shared" si="124"/>
        <v>8520802</v>
      </c>
      <c r="B7961" t="s">
        <v>5336</v>
      </c>
      <c r="C7961" t="s">
        <v>12705</v>
      </c>
      <c r="D7961" t="s">
        <v>13412</v>
      </c>
    </row>
    <row r="7962" spans="1:4" x14ac:dyDescent="0.25">
      <c r="A7962" s="180">
        <f t="shared" si="124"/>
        <v>8520804</v>
      </c>
      <c r="B7962" t="s">
        <v>5337</v>
      </c>
      <c r="C7962" t="s">
        <v>5338</v>
      </c>
      <c r="D7962" t="s">
        <v>13412</v>
      </c>
    </row>
    <row r="7963" spans="1:4" x14ac:dyDescent="0.25">
      <c r="A7963" s="180">
        <f t="shared" si="124"/>
        <v>8520813</v>
      </c>
      <c r="B7963" t="s">
        <v>5339</v>
      </c>
      <c r="C7963" t="s">
        <v>5340</v>
      </c>
      <c r="D7963" t="s">
        <v>13412</v>
      </c>
    </row>
    <row r="7964" spans="1:4" x14ac:dyDescent="0.25">
      <c r="A7964" s="180">
        <f t="shared" si="124"/>
        <v>8520814</v>
      </c>
      <c r="B7964" t="s">
        <v>5341</v>
      </c>
      <c r="C7964" t="s">
        <v>12922</v>
      </c>
      <c r="D7964" t="s">
        <v>13412</v>
      </c>
    </row>
    <row r="7965" spans="1:4" x14ac:dyDescent="0.25">
      <c r="A7965" s="180">
        <f t="shared" si="124"/>
        <v>8520817</v>
      </c>
      <c r="B7965" t="s">
        <v>5342</v>
      </c>
      <c r="C7965" t="s">
        <v>5343</v>
      </c>
      <c r="D7965" t="s">
        <v>13412</v>
      </c>
    </row>
    <row r="7966" spans="1:4" x14ac:dyDescent="0.25">
      <c r="A7966" s="180">
        <f t="shared" si="124"/>
        <v>8520821</v>
      </c>
      <c r="B7966" t="s">
        <v>5344</v>
      </c>
      <c r="C7966" t="s">
        <v>5345</v>
      </c>
    </row>
    <row r="7967" spans="1:4" x14ac:dyDescent="0.25">
      <c r="A7967" s="180">
        <f t="shared" si="124"/>
        <v>8520824</v>
      </c>
      <c r="B7967" t="s">
        <v>5346</v>
      </c>
      <c r="C7967" t="s">
        <v>5347</v>
      </c>
      <c r="D7967" t="s">
        <v>13412</v>
      </c>
    </row>
    <row r="7968" spans="1:4" x14ac:dyDescent="0.25">
      <c r="A7968" s="180">
        <f t="shared" si="124"/>
        <v>8520866</v>
      </c>
      <c r="B7968" t="s">
        <v>5348</v>
      </c>
      <c r="C7968" t="s">
        <v>5349</v>
      </c>
      <c r="D7968" t="s">
        <v>13412</v>
      </c>
    </row>
    <row r="7969" spans="1:4" x14ac:dyDescent="0.25">
      <c r="A7969" s="180">
        <f t="shared" si="124"/>
        <v>8520925</v>
      </c>
      <c r="B7969" t="s">
        <v>5350</v>
      </c>
      <c r="C7969" t="s">
        <v>5351</v>
      </c>
    </row>
    <row r="7970" spans="1:4" x14ac:dyDescent="0.25">
      <c r="A7970" s="180">
        <f t="shared" si="124"/>
        <v>8520932</v>
      </c>
      <c r="B7970" t="s">
        <v>5352</v>
      </c>
      <c r="C7970" t="s">
        <v>5353</v>
      </c>
      <c r="D7970" t="s">
        <v>13412</v>
      </c>
    </row>
    <row r="7971" spans="1:4" x14ac:dyDescent="0.25">
      <c r="A7971" s="180">
        <f t="shared" si="124"/>
        <v>8520936</v>
      </c>
      <c r="B7971" t="s">
        <v>5354</v>
      </c>
      <c r="C7971" t="s">
        <v>5355</v>
      </c>
      <c r="D7971" t="s">
        <v>13412</v>
      </c>
    </row>
    <row r="7972" spans="1:4" x14ac:dyDescent="0.25">
      <c r="A7972" s="180">
        <f t="shared" si="124"/>
        <v>8520941</v>
      </c>
      <c r="B7972" t="s">
        <v>5356</v>
      </c>
      <c r="C7972" t="s">
        <v>5357</v>
      </c>
      <c r="D7972" t="s">
        <v>13412</v>
      </c>
    </row>
    <row r="7973" spans="1:4" x14ac:dyDescent="0.25">
      <c r="A7973" s="180">
        <f t="shared" si="124"/>
        <v>8520942</v>
      </c>
      <c r="B7973" t="s">
        <v>5358</v>
      </c>
      <c r="C7973" t="s">
        <v>5359</v>
      </c>
    </row>
    <row r="7974" spans="1:4" x14ac:dyDescent="0.25">
      <c r="A7974" s="180">
        <f t="shared" si="124"/>
        <v>8520945</v>
      </c>
      <c r="B7974" t="s">
        <v>5360</v>
      </c>
      <c r="C7974" t="s">
        <v>5361</v>
      </c>
    </row>
    <row r="7975" spans="1:4" x14ac:dyDescent="0.25">
      <c r="A7975" s="180">
        <f t="shared" si="124"/>
        <v>8520946</v>
      </c>
      <c r="B7975" t="s">
        <v>5362</v>
      </c>
      <c r="C7975" t="s">
        <v>7027</v>
      </c>
      <c r="D7975" t="s">
        <v>13412</v>
      </c>
    </row>
    <row r="7976" spans="1:4" x14ac:dyDescent="0.25">
      <c r="A7976" s="180">
        <f t="shared" si="124"/>
        <v>8520947</v>
      </c>
      <c r="B7976" t="s">
        <v>5363</v>
      </c>
      <c r="C7976" t="s">
        <v>5364</v>
      </c>
      <c r="D7976" t="s">
        <v>13412</v>
      </c>
    </row>
    <row r="7977" spans="1:4" x14ac:dyDescent="0.25">
      <c r="A7977" s="180">
        <f t="shared" si="124"/>
        <v>8520948</v>
      </c>
      <c r="B7977" t="s">
        <v>5365</v>
      </c>
      <c r="C7977" t="s">
        <v>5366</v>
      </c>
    </row>
    <row r="7978" spans="1:4" x14ac:dyDescent="0.25">
      <c r="A7978" s="180">
        <f t="shared" si="124"/>
        <v>8520953</v>
      </c>
      <c r="B7978" t="s">
        <v>5367</v>
      </c>
      <c r="C7978" t="s">
        <v>5368</v>
      </c>
    </row>
    <row r="7979" spans="1:4" x14ac:dyDescent="0.25">
      <c r="A7979" s="180">
        <f t="shared" si="124"/>
        <v>8520986</v>
      </c>
      <c r="B7979" t="s">
        <v>12706</v>
      </c>
      <c r="C7979" t="s">
        <v>12707</v>
      </c>
      <c r="D7979" t="s">
        <v>13412</v>
      </c>
    </row>
    <row r="7980" spans="1:4" x14ac:dyDescent="0.25">
      <c r="A7980" s="180">
        <f t="shared" si="124"/>
        <v>8520994</v>
      </c>
      <c r="B7980" t="s">
        <v>5369</v>
      </c>
      <c r="C7980" t="s">
        <v>5370</v>
      </c>
    </row>
    <row r="7981" spans="1:4" x14ac:dyDescent="0.25">
      <c r="A7981" s="180">
        <f t="shared" si="124"/>
        <v>8520999</v>
      </c>
      <c r="B7981" t="s">
        <v>5371</v>
      </c>
      <c r="C7981" t="s">
        <v>5372</v>
      </c>
      <c r="D7981" t="s">
        <v>13412</v>
      </c>
    </row>
    <row r="7982" spans="1:4" x14ac:dyDescent="0.25">
      <c r="A7982" s="180">
        <f t="shared" si="124"/>
        <v>8521001</v>
      </c>
      <c r="B7982" t="s">
        <v>5373</v>
      </c>
      <c r="C7982" t="s">
        <v>5374</v>
      </c>
    </row>
    <row r="7983" spans="1:4" x14ac:dyDescent="0.25">
      <c r="A7983" s="180">
        <f t="shared" si="124"/>
        <v>8521002</v>
      </c>
      <c r="B7983" t="s">
        <v>5375</v>
      </c>
      <c r="C7983" t="s">
        <v>5376</v>
      </c>
      <c r="D7983" t="s">
        <v>13412</v>
      </c>
    </row>
    <row r="7984" spans="1:4" x14ac:dyDescent="0.25">
      <c r="A7984" s="180">
        <f t="shared" si="124"/>
        <v>8521013</v>
      </c>
      <c r="B7984" t="s">
        <v>5377</v>
      </c>
      <c r="C7984" t="s">
        <v>5378</v>
      </c>
      <c r="D7984" t="s">
        <v>13412</v>
      </c>
    </row>
    <row r="7985" spans="1:4" x14ac:dyDescent="0.25">
      <c r="A7985" s="180">
        <f t="shared" si="124"/>
        <v>8521014</v>
      </c>
      <c r="B7985" t="s">
        <v>5379</v>
      </c>
      <c r="C7985" t="s">
        <v>5380</v>
      </c>
      <c r="D7985" t="s">
        <v>13412</v>
      </c>
    </row>
    <row r="7986" spans="1:4" x14ac:dyDescent="0.25">
      <c r="A7986" s="180">
        <f t="shared" si="124"/>
        <v>8521015</v>
      </c>
      <c r="B7986" t="s">
        <v>5381</v>
      </c>
      <c r="C7986" t="s">
        <v>5382</v>
      </c>
      <c r="D7986" t="s">
        <v>13412</v>
      </c>
    </row>
    <row r="7987" spans="1:4" x14ac:dyDescent="0.25">
      <c r="A7987" s="180">
        <f t="shared" si="124"/>
        <v>8521021</v>
      </c>
      <c r="B7987" t="s">
        <v>5383</v>
      </c>
      <c r="C7987" t="s">
        <v>5384</v>
      </c>
    </row>
    <row r="7988" spans="1:4" x14ac:dyDescent="0.25">
      <c r="A7988" s="180">
        <f t="shared" si="124"/>
        <v>8521024</v>
      </c>
      <c r="B7988" t="s">
        <v>5385</v>
      </c>
      <c r="C7988" t="s">
        <v>12923</v>
      </c>
      <c r="D7988" t="s">
        <v>13412</v>
      </c>
    </row>
    <row r="7989" spans="1:4" x14ac:dyDescent="0.25">
      <c r="A7989" s="180">
        <f t="shared" si="124"/>
        <v>8521029</v>
      </c>
      <c r="B7989" t="s">
        <v>5386</v>
      </c>
      <c r="C7989" t="s">
        <v>5387</v>
      </c>
    </row>
    <row r="7990" spans="1:4" x14ac:dyDescent="0.25">
      <c r="A7990" s="180">
        <f t="shared" si="124"/>
        <v>8521030</v>
      </c>
      <c r="B7990" t="s">
        <v>5388</v>
      </c>
      <c r="C7990" t="s">
        <v>5389</v>
      </c>
    </row>
    <row r="7991" spans="1:4" x14ac:dyDescent="0.25">
      <c r="A7991" s="180">
        <f t="shared" si="124"/>
        <v>8521031</v>
      </c>
      <c r="B7991" t="s">
        <v>5390</v>
      </c>
      <c r="C7991" t="s">
        <v>5391</v>
      </c>
    </row>
    <row r="7992" spans="1:4" x14ac:dyDescent="0.25">
      <c r="A7992" s="180">
        <f t="shared" si="124"/>
        <v>8521032</v>
      </c>
      <c r="B7992" t="s">
        <v>5392</v>
      </c>
      <c r="C7992" t="s">
        <v>5393</v>
      </c>
    </row>
    <row r="7993" spans="1:4" x14ac:dyDescent="0.25">
      <c r="A7993" s="180">
        <f t="shared" si="124"/>
        <v>8521033</v>
      </c>
      <c r="B7993" t="s">
        <v>5394</v>
      </c>
      <c r="C7993" t="s">
        <v>5395</v>
      </c>
    </row>
    <row r="7994" spans="1:4" x14ac:dyDescent="0.25">
      <c r="A7994" s="180">
        <f t="shared" si="124"/>
        <v>8521034</v>
      </c>
      <c r="B7994" t="s">
        <v>5396</v>
      </c>
      <c r="C7994" t="s">
        <v>5397</v>
      </c>
      <c r="D7994" t="s">
        <v>13412</v>
      </c>
    </row>
    <row r="7995" spans="1:4" x14ac:dyDescent="0.25">
      <c r="A7995" s="180">
        <f t="shared" si="124"/>
        <v>8521036</v>
      </c>
      <c r="B7995" t="s">
        <v>5398</v>
      </c>
      <c r="C7995" t="s">
        <v>5399</v>
      </c>
      <c r="D7995" t="s">
        <v>13412</v>
      </c>
    </row>
    <row r="7996" spans="1:4" x14ac:dyDescent="0.25">
      <c r="A7996" s="180">
        <f t="shared" si="124"/>
        <v>8521040</v>
      </c>
      <c r="B7996" t="s">
        <v>5400</v>
      </c>
      <c r="C7996" t="s">
        <v>12708</v>
      </c>
      <c r="D7996" t="s">
        <v>13412</v>
      </c>
    </row>
    <row r="7997" spans="1:4" x14ac:dyDescent="0.25">
      <c r="A7997" s="180">
        <f t="shared" si="124"/>
        <v>8521042</v>
      </c>
      <c r="B7997" t="s">
        <v>5401</v>
      </c>
      <c r="C7997" t="s">
        <v>5402</v>
      </c>
    </row>
    <row r="7998" spans="1:4" x14ac:dyDescent="0.25">
      <c r="A7998" s="180">
        <f t="shared" si="124"/>
        <v>8521043</v>
      </c>
      <c r="B7998" t="s">
        <v>5403</v>
      </c>
      <c r="C7998" t="s">
        <v>5404</v>
      </c>
    </row>
    <row r="7999" spans="1:4" x14ac:dyDescent="0.25">
      <c r="A7999" s="180">
        <f t="shared" ref="A7999:A8062" si="125">IFERROR(B7999*1,"")</f>
        <v>8521045</v>
      </c>
      <c r="B7999" t="s">
        <v>5405</v>
      </c>
      <c r="C7999" t="s">
        <v>5406</v>
      </c>
    </row>
    <row r="8000" spans="1:4" x14ac:dyDescent="0.25">
      <c r="A8000" s="180">
        <f t="shared" si="125"/>
        <v>8521046</v>
      </c>
      <c r="B8000" t="s">
        <v>5407</v>
      </c>
      <c r="C8000" t="s">
        <v>5408</v>
      </c>
    </row>
    <row r="8001" spans="1:4" x14ac:dyDescent="0.25">
      <c r="A8001" s="180">
        <f t="shared" si="125"/>
        <v>8521050</v>
      </c>
      <c r="B8001" t="s">
        <v>5409</v>
      </c>
      <c r="C8001" t="s">
        <v>5410</v>
      </c>
      <c r="D8001" t="s">
        <v>13412</v>
      </c>
    </row>
    <row r="8002" spans="1:4" x14ac:dyDescent="0.25">
      <c r="A8002" s="180">
        <f t="shared" si="125"/>
        <v>8521060</v>
      </c>
      <c r="B8002" t="s">
        <v>5411</v>
      </c>
      <c r="C8002" t="s">
        <v>5412</v>
      </c>
    </row>
    <row r="8003" spans="1:4" x14ac:dyDescent="0.25">
      <c r="A8003" s="180">
        <f t="shared" si="125"/>
        <v>8521061</v>
      </c>
      <c r="B8003" t="s">
        <v>5413</v>
      </c>
      <c r="C8003" t="s">
        <v>5414</v>
      </c>
    </row>
    <row r="8004" spans="1:4" x14ac:dyDescent="0.25">
      <c r="A8004" s="180">
        <f t="shared" si="125"/>
        <v>8521062</v>
      </c>
      <c r="B8004" t="s">
        <v>5415</v>
      </c>
      <c r="C8004" t="s">
        <v>5416</v>
      </c>
    </row>
    <row r="8005" spans="1:4" x14ac:dyDescent="0.25">
      <c r="A8005" s="180">
        <f t="shared" si="125"/>
        <v>8521063</v>
      </c>
      <c r="B8005" t="s">
        <v>5417</v>
      </c>
      <c r="C8005" t="s">
        <v>5418</v>
      </c>
      <c r="D8005" t="s">
        <v>13412</v>
      </c>
    </row>
    <row r="8006" spans="1:4" x14ac:dyDescent="0.25">
      <c r="A8006" s="180">
        <f t="shared" si="125"/>
        <v>8521064</v>
      </c>
      <c r="B8006" t="s">
        <v>5419</v>
      </c>
      <c r="C8006" t="s">
        <v>5420</v>
      </c>
    </row>
    <row r="8007" spans="1:4" x14ac:dyDescent="0.25">
      <c r="A8007" s="180">
        <f t="shared" si="125"/>
        <v>8521100</v>
      </c>
      <c r="B8007" t="s">
        <v>5421</v>
      </c>
      <c r="C8007" t="s">
        <v>5422</v>
      </c>
      <c r="D8007" t="s">
        <v>13412</v>
      </c>
    </row>
    <row r="8008" spans="1:4" x14ac:dyDescent="0.25">
      <c r="A8008" s="180">
        <f t="shared" si="125"/>
        <v>8521101</v>
      </c>
      <c r="B8008" t="s">
        <v>5423</v>
      </c>
      <c r="C8008" t="s">
        <v>5424</v>
      </c>
    </row>
    <row r="8009" spans="1:4" x14ac:dyDescent="0.25">
      <c r="A8009" s="180">
        <f t="shared" si="125"/>
        <v>8521102</v>
      </c>
      <c r="B8009" t="s">
        <v>5425</v>
      </c>
      <c r="C8009" t="s">
        <v>13359</v>
      </c>
      <c r="D8009" t="s">
        <v>13412</v>
      </c>
    </row>
    <row r="8010" spans="1:4" x14ac:dyDescent="0.25">
      <c r="A8010" s="180">
        <f t="shared" si="125"/>
        <v>8521120</v>
      </c>
      <c r="B8010" t="s">
        <v>5426</v>
      </c>
      <c r="C8010" t="s">
        <v>5427</v>
      </c>
      <c r="D8010" t="s">
        <v>13412</v>
      </c>
    </row>
    <row r="8011" spans="1:4" x14ac:dyDescent="0.25">
      <c r="A8011" s="180">
        <f t="shared" si="125"/>
        <v>8521129</v>
      </c>
      <c r="B8011" t="s">
        <v>5428</v>
      </c>
      <c r="C8011" t="s">
        <v>5429</v>
      </c>
    </row>
    <row r="8012" spans="1:4" x14ac:dyDescent="0.25">
      <c r="A8012" s="180">
        <f t="shared" si="125"/>
        <v>8521160</v>
      </c>
      <c r="B8012" t="s">
        <v>5430</v>
      </c>
      <c r="C8012" t="s">
        <v>5431</v>
      </c>
    </row>
    <row r="8013" spans="1:4" x14ac:dyDescent="0.25">
      <c r="A8013" s="180">
        <f t="shared" si="125"/>
        <v>8521290</v>
      </c>
      <c r="B8013" t="s">
        <v>5432</v>
      </c>
      <c r="C8013" t="s">
        <v>5433</v>
      </c>
    </row>
    <row r="8014" spans="1:4" x14ac:dyDescent="0.25">
      <c r="A8014" s="180">
        <f t="shared" si="125"/>
        <v>8521300</v>
      </c>
      <c r="B8014" t="s">
        <v>5434</v>
      </c>
      <c r="C8014" t="s">
        <v>5435</v>
      </c>
      <c r="D8014" t="s">
        <v>13412</v>
      </c>
    </row>
    <row r="8015" spans="1:4" x14ac:dyDescent="0.25">
      <c r="A8015" s="180">
        <f t="shared" si="125"/>
        <v>8521301</v>
      </c>
      <c r="B8015" t="s">
        <v>5436</v>
      </c>
      <c r="C8015" t="s">
        <v>5437</v>
      </c>
      <c r="D8015" t="s">
        <v>13412</v>
      </c>
    </row>
    <row r="8016" spans="1:4" x14ac:dyDescent="0.25">
      <c r="A8016" s="180">
        <f t="shared" si="125"/>
        <v>8521302</v>
      </c>
      <c r="B8016" t="s">
        <v>5438</v>
      </c>
      <c r="C8016" t="s">
        <v>5439</v>
      </c>
      <c r="D8016" t="s">
        <v>13412</v>
      </c>
    </row>
    <row r="8017" spans="1:4" x14ac:dyDescent="0.25">
      <c r="A8017" s="180">
        <f t="shared" si="125"/>
        <v>8521303</v>
      </c>
      <c r="B8017" t="s">
        <v>5440</v>
      </c>
      <c r="C8017" t="s">
        <v>12709</v>
      </c>
      <c r="D8017" t="s">
        <v>13412</v>
      </c>
    </row>
    <row r="8018" spans="1:4" x14ac:dyDescent="0.25">
      <c r="A8018" s="180">
        <f t="shared" si="125"/>
        <v>8521304</v>
      </c>
      <c r="B8018" t="s">
        <v>5441</v>
      </c>
      <c r="C8018" t="s">
        <v>5442</v>
      </c>
      <c r="D8018" t="s">
        <v>13412</v>
      </c>
    </row>
    <row r="8019" spans="1:4" x14ac:dyDescent="0.25">
      <c r="A8019" s="180">
        <f t="shared" si="125"/>
        <v>8521305</v>
      </c>
      <c r="B8019" t="s">
        <v>5443</v>
      </c>
      <c r="C8019" t="s">
        <v>5444</v>
      </c>
      <c r="D8019" t="s">
        <v>13412</v>
      </c>
    </row>
    <row r="8020" spans="1:4" x14ac:dyDescent="0.25">
      <c r="A8020" s="180">
        <f t="shared" si="125"/>
        <v>8521306</v>
      </c>
      <c r="B8020" t="s">
        <v>5445</v>
      </c>
      <c r="C8020" t="s">
        <v>5446</v>
      </c>
      <c r="D8020" t="s">
        <v>13412</v>
      </c>
    </row>
    <row r="8021" spans="1:4" x14ac:dyDescent="0.25">
      <c r="A8021" s="180">
        <f t="shared" si="125"/>
        <v>8521307</v>
      </c>
      <c r="B8021" t="s">
        <v>12710</v>
      </c>
      <c r="C8021" t="s">
        <v>12711</v>
      </c>
      <c r="D8021" t="s">
        <v>13412</v>
      </c>
    </row>
    <row r="8022" spans="1:4" x14ac:dyDescent="0.25">
      <c r="A8022" s="180">
        <f t="shared" si="125"/>
        <v>8521374</v>
      </c>
      <c r="B8022" t="s">
        <v>5447</v>
      </c>
      <c r="C8022" t="s">
        <v>13537</v>
      </c>
      <c r="D8022" t="s">
        <v>13412</v>
      </c>
    </row>
    <row r="8023" spans="1:4" x14ac:dyDescent="0.25">
      <c r="A8023" s="180">
        <f t="shared" si="125"/>
        <v>8521443</v>
      </c>
      <c r="B8023" t="s">
        <v>5448</v>
      </c>
      <c r="C8023" t="s">
        <v>5449</v>
      </c>
      <c r="D8023" t="s">
        <v>13412</v>
      </c>
    </row>
    <row r="8024" spans="1:4" x14ac:dyDescent="0.25">
      <c r="A8024" s="180">
        <f t="shared" si="125"/>
        <v>8521455</v>
      </c>
      <c r="B8024" t="s">
        <v>5450</v>
      </c>
      <c r="C8024" t="s">
        <v>5451</v>
      </c>
    </row>
    <row r="8025" spans="1:4" x14ac:dyDescent="0.25">
      <c r="A8025" s="180">
        <f t="shared" si="125"/>
        <v>8521458</v>
      </c>
      <c r="B8025" t="s">
        <v>5452</v>
      </c>
      <c r="C8025" t="s">
        <v>5453</v>
      </c>
      <c r="D8025" t="s">
        <v>13412</v>
      </c>
    </row>
    <row r="8026" spans="1:4" x14ac:dyDescent="0.25">
      <c r="A8026" s="180">
        <f t="shared" si="125"/>
        <v>8521467</v>
      </c>
      <c r="B8026" t="s">
        <v>5454</v>
      </c>
      <c r="C8026" t="s">
        <v>5455</v>
      </c>
    </row>
    <row r="8027" spans="1:4" x14ac:dyDescent="0.25">
      <c r="A8027" s="180">
        <f t="shared" si="125"/>
        <v>8521472</v>
      </c>
      <c r="B8027" t="s">
        <v>5456</v>
      </c>
      <c r="C8027" t="s">
        <v>5457</v>
      </c>
      <c r="D8027" t="s">
        <v>13412</v>
      </c>
    </row>
    <row r="8028" spans="1:4" x14ac:dyDescent="0.25">
      <c r="A8028" s="180">
        <f t="shared" si="125"/>
        <v>8521498</v>
      </c>
      <c r="B8028" t="s">
        <v>5458</v>
      </c>
      <c r="C8028" t="s">
        <v>5459</v>
      </c>
    </row>
    <row r="8029" spans="1:4" x14ac:dyDescent="0.25">
      <c r="A8029" s="180">
        <f t="shared" si="125"/>
        <v>8521499</v>
      </c>
      <c r="B8029" t="s">
        <v>5460</v>
      </c>
      <c r="C8029" t="s">
        <v>13538</v>
      </c>
      <c r="D8029" t="s">
        <v>13412</v>
      </c>
    </row>
    <row r="8030" spans="1:4" x14ac:dyDescent="0.25">
      <c r="A8030" s="180">
        <f t="shared" si="125"/>
        <v>8521529</v>
      </c>
      <c r="B8030" t="s">
        <v>14061</v>
      </c>
      <c r="C8030" t="s">
        <v>14062</v>
      </c>
      <c r="D8030" t="s">
        <v>13412</v>
      </c>
    </row>
    <row r="8031" spans="1:4" x14ac:dyDescent="0.25">
      <c r="A8031" s="180">
        <f t="shared" si="125"/>
        <v>8521551</v>
      </c>
      <c r="B8031" t="s">
        <v>5461</v>
      </c>
      <c r="C8031" t="s">
        <v>5462</v>
      </c>
      <c r="D8031" t="s">
        <v>13412</v>
      </c>
    </row>
    <row r="8032" spans="1:4" x14ac:dyDescent="0.25">
      <c r="A8032" s="180">
        <f t="shared" si="125"/>
        <v>8521572</v>
      </c>
      <c r="B8032" t="s">
        <v>5463</v>
      </c>
      <c r="C8032" t="s">
        <v>5464</v>
      </c>
    </row>
    <row r="8033" spans="1:4" x14ac:dyDescent="0.25">
      <c r="A8033" s="180">
        <f t="shared" si="125"/>
        <v>8521580</v>
      </c>
      <c r="B8033" t="s">
        <v>5465</v>
      </c>
      <c r="C8033" t="s">
        <v>5466</v>
      </c>
      <c r="D8033" t="s">
        <v>13412</v>
      </c>
    </row>
    <row r="8034" spans="1:4" x14ac:dyDescent="0.25">
      <c r="A8034" s="180">
        <f t="shared" si="125"/>
        <v>8521593</v>
      </c>
      <c r="B8034" t="s">
        <v>5467</v>
      </c>
      <c r="C8034" t="s">
        <v>5468</v>
      </c>
    </row>
    <row r="8035" spans="1:4" x14ac:dyDescent="0.25">
      <c r="A8035" s="180" t="str">
        <f t="shared" si="125"/>
        <v/>
      </c>
      <c r="B8035" t="s">
        <v>13132</v>
      </c>
    </row>
    <row r="8036" spans="1:4" x14ac:dyDescent="0.25">
      <c r="A8036" s="180">
        <f t="shared" si="125"/>
        <v>8521660</v>
      </c>
      <c r="B8036" t="s">
        <v>5469</v>
      </c>
      <c r="C8036" t="s">
        <v>5470</v>
      </c>
    </row>
    <row r="8037" spans="1:4" x14ac:dyDescent="0.25">
      <c r="A8037" s="180">
        <f t="shared" si="125"/>
        <v>8521674</v>
      </c>
      <c r="B8037" t="s">
        <v>5471</v>
      </c>
      <c r="C8037" t="s">
        <v>5472</v>
      </c>
    </row>
    <row r="8038" spans="1:4" x14ac:dyDescent="0.25">
      <c r="A8038" s="180">
        <f t="shared" si="125"/>
        <v>8521903</v>
      </c>
      <c r="B8038" t="s">
        <v>5473</v>
      </c>
      <c r="C8038" t="s">
        <v>5474</v>
      </c>
    </row>
    <row r="8039" spans="1:4" x14ac:dyDescent="0.25">
      <c r="A8039" s="180">
        <f t="shared" si="125"/>
        <v>8522001</v>
      </c>
      <c r="B8039" t="s">
        <v>5475</v>
      </c>
      <c r="C8039" t="s">
        <v>5476</v>
      </c>
    </row>
    <row r="8040" spans="1:4" x14ac:dyDescent="0.25">
      <c r="A8040" s="180">
        <f t="shared" si="125"/>
        <v>8522011</v>
      </c>
      <c r="B8040" t="s">
        <v>5477</v>
      </c>
      <c r="C8040" t="s">
        <v>13539</v>
      </c>
      <c r="D8040" t="s">
        <v>13412</v>
      </c>
    </row>
    <row r="8041" spans="1:4" x14ac:dyDescent="0.25">
      <c r="A8041" s="180">
        <f t="shared" si="125"/>
        <v>8522012</v>
      </c>
      <c r="B8041" t="s">
        <v>5478</v>
      </c>
      <c r="C8041" t="s">
        <v>5479</v>
      </c>
      <c r="D8041" t="s">
        <v>13412</v>
      </c>
    </row>
    <row r="8042" spans="1:4" x14ac:dyDescent="0.25">
      <c r="A8042" s="180">
        <f t="shared" si="125"/>
        <v>8522030</v>
      </c>
      <c r="B8042" t="s">
        <v>5480</v>
      </c>
      <c r="C8042" t="s">
        <v>5481</v>
      </c>
      <c r="D8042" t="s">
        <v>13412</v>
      </c>
    </row>
    <row r="8043" spans="1:4" x14ac:dyDescent="0.25">
      <c r="A8043" s="180">
        <f t="shared" si="125"/>
        <v>8522101</v>
      </c>
      <c r="B8043" t="s">
        <v>5482</v>
      </c>
      <c r="C8043" t="s">
        <v>5483</v>
      </c>
      <c r="D8043" t="s">
        <v>13412</v>
      </c>
    </row>
    <row r="8044" spans="1:4" x14ac:dyDescent="0.25">
      <c r="A8044" s="180">
        <f t="shared" si="125"/>
        <v>8522102</v>
      </c>
      <c r="B8044" t="s">
        <v>14063</v>
      </c>
      <c r="C8044" t="s">
        <v>14064</v>
      </c>
      <c r="D8044" t="s">
        <v>13412</v>
      </c>
    </row>
    <row r="8045" spans="1:4" x14ac:dyDescent="0.25">
      <c r="A8045" s="180">
        <f t="shared" si="125"/>
        <v>8522999</v>
      </c>
      <c r="B8045" t="s">
        <v>5484</v>
      </c>
      <c r="C8045" t="s">
        <v>5485</v>
      </c>
      <c r="D8045" t="s">
        <v>13412</v>
      </c>
    </row>
    <row r="8046" spans="1:4" x14ac:dyDescent="0.25">
      <c r="A8046" s="180">
        <f t="shared" si="125"/>
        <v>8523071</v>
      </c>
      <c r="B8046" t="s">
        <v>5486</v>
      </c>
      <c r="C8046" t="s">
        <v>14065</v>
      </c>
      <c r="D8046" t="s">
        <v>13412</v>
      </c>
    </row>
    <row r="8047" spans="1:4" x14ac:dyDescent="0.25">
      <c r="A8047" s="180">
        <f t="shared" si="125"/>
        <v>8523072</v>
      </c>
      <c r="B8047" t="s">
        <v>5487</v>
      </c>
      <c r="C8047" t="s">
        <v>5488</v>
      </c>
    </row>
    <row r="8048" spans="1:4" x14ac:dyDescent="0.25">
      <c r="A8048" s="180">
        <f t="shared" si="125"/>
        <v>8523073</v>
      </c>
      <c r="B8048" t="s">
        <v>5489</v>
      </c>
      <c r="C8048" t="s">
        <v>14066</v>
      </c>
      <c r="D8048" t="s">
        <v>13412</v>
      </c>
    </row>
    <row r="8049" spans="1:4" x14ac:dyDescent="0.25">
      <c r="A8049" s="180">
        <f t="shared" si="125"/>
        <v>8525001</v>
      </c>
      <c r="B8049" t="s">
        <v>5490</v>
      </c>
      <c r="C8049" t="s">
        <v>5491</v>
      </c>
      <c r="D8049" t="s">
        <v>13412</v>
      </c>
    </row>
    <row r="8050" spans="1:4" x14ac:dyDescent="0.25">
      <c r="A8050" s="180">
        <f t="shared" si="125"/>
        <v>8525576</v>
      </c>
      <c r="B8050" t="s">
        <v>5492</v>
      </c>
      <c r="C8050" t="s">
        <v>5493</v>
      </c>
      <c r="D8050" t="s">
        <v>13412</v>
      </c>
    </row>
    <row r="8051" spans="1:4" x14ac:dyDescent="0.25">
      <c r="A8051" s="180">
        <f t="shared" si="125"/>
        <v>8525999</v>
      </c>
      <c r="B8051" t="s">
        <v>5494</v>
      </c>
      <c r="C8051" t="s">
        <v>5495</v>
      </c>
      <c r="D8051" t="s">
        <v>13412</v>
      </c>
    </row>
    <row r="8052" spans="1:4" x14ac:dyDescent="0.25">
      <c r="A8052" s="180">
        <f t="shared" si="125"/>
        <v>8601008</v>
      </c>
      <c r="B8052" t="s">
        <v>5496</v>
      </c>
      <c r="C8052" t="s">
        <v>5211</v>
      </c>
    </row>
    <row r="8053" spans="1:4" x14ac:dyDescent="0.25">
      <c r="A8053" s="180">
        <f t="shared" si="125"/>
        <v>8601050</v>
      </c>
      <c r="B8053" t="s">
        <v>12924</v>
      </c>
      <c r="C8053" t="s">
        <v>12925</v>
      </c>
      <c r="D8053" t="s">
        <v>13412</v>
      </c>
    </row>
    <row r="8054" spans="1:4" x14ac:dyDescent="0.25">
      <c r="A8054" s="180">
        <f t="shared" si="125"/>
        <v>8612002</v>
      </c>
      <c r="B8054" t="s">
        <v>5497</v>
      </c>
      <c r="C8054" t="s">
        <v>5498</v>
      </c>
      <c r="D8054" t="s">
        <v>14957</v>
      </c>
    </row>
    <row r="8055" spans="1:4" x14ac:dyDescent="0.25">
      <c r="A8055" s="180">
        <f t="shared" si="125"/>
        <v>8612006</v>
      </c>
      <c r="B8055" t="s">
        <v>5499</v>
      </c>
      <c r="C8055" t="s">
        <v>5500</v>
      </c>
      <c r="D8055" t="s">
        <v>13411</v>
      </c>
    </row>
    <row r="8056" spans="1:4" x14ac:dyDescent="0.25">
      <c r="A8056" s="180">
        <f t="shared" si="125"/>
        <v>8612009</v>
      </c>
      <c r="B8056" t="s">
        <v>5501</v>
      </c>
      <c r="C8056" t="s">
        <v>5211</v>
      </c>
    </row>
    <row r="8057" spans="1:4" x14ac:dyDescent="0.25">
      <c r="A8057" s="180">
        <f t="shared" si="125"/>
        <v>8612052</v>
      </c>
      <c r="B8057" t="s">
        <v>5502</v>
      </c>
      <c r="C8057" t="s">
        <v>5503</v>
      </c>
      <c r="D8057" t="s">
        <v>14989</v>
      </c>
    </row>
    <row r="8058" spans="1:4" x14ac:dyDescent="0.25">
      <c r="A8058" s="180">
        <f t="shared" si="125"/>
        <v>8612055</v>
      </c>
      <c r="B8058" t="s">
        <v>5504</v>
      </c>
      <c r="C8058" t="s">
        <v>7028</v>
      </c>
      <c r="D8058" t="s">
        <v>14989</v>
      </c>
    </row>
    <row r="8059" spans="1:4" x14ac:dyDescent="0.25">
      <c r="A8059" s="180">
        <f t="shared" si="125"/>
        <v>8612056</v>
      </c>
      <c r="B8059" t="s">
        <v>5505</v>
      </c>
      <c r="C8059" t="s">
        <v>12712</v>
      </c>
      <c r="D8059" t="s">
        <v>14989</v>
      </c>
    </row>
    <row r="8060" spans="1:4" x14ac:dyDescent="0.25">
      <c r="A8060" s="180">
        <f t="shared" si="125"/>
        <v>8612057</v>
      </c>
      <c r="B8060" t="s">
        <v>5506</v>
      </c>
      <c r="C8060" t="s">
        <v>12713</v>
      </c>
      <c r="D8060" t="s">
        <v>14989</v>
      </c>
    </row>
    <row r="8061" spans="1:4" x14ac:dyDescent="0.25">
      <c r="A8061" s="180">
        <f t="shared" si="125"/>
        <v>8612058</v>
      </c>
      <c r="B8061" t="s">
        <v>5507</v>
      </c>
      <c r="C8061" t="s">
        <v>12714</v>
      </c>
      <c r="D8061" t="s">
        <v>14989</v>
      </c>
    </row>
    <row r="8062" spans="1:4" x14ac:dyDescent="0.25">
      <c r="A8062" s="180">
        <f t="shared" si="125"/>
        <v>8612059</v>
      </c>
      <c r="B8062" t="s">
        <v>5508</v>
      </c>
      <c r="C8062" t="s">
        <v>5509</v>
      </c>
    </row>
    <row r="8063" spans="1:4" x14ac:dyDescent="0.25">
      <c r="A8063" s="180">
        <f t="shared" ref="A8063:A8126" si="126">IFERROR(B8063*1,"")</f>
        <v>8612080</v>
      </c>
      <c r="B8063" t="s">
        <v>5510</v>
      </c>
      <c r="C8063" t="s">
        <v>5511</v>
      </c>
      <c r="D8063" t="s">
        <v>14957</v>
      </c>
    </row>
    <row r="8064" spans="1:4" x14ac:dyDescent="0.25">
      <c r="A8064" s="180">
        <f t="shared" si="126"/>
        <v>8612080</v>
      </c>
      <c r="B8064" t="s">
        <v>5510</v>
      </c>
      <c r="C8064" t="s">
        <v>5511</v>
      </c>
      <c r="D8064" t="s">
        <v>14957</v>
      </c>
    </row>
    <row r="8065" spans="1:4" x14ac:dyDescent="0.25">
      <c r="A8065" s="180">
        <f t="shared" si="126"/>
        <v>8612080</v>
      </c>
      <c r="B8065" t="s">
        <v>5510</v>
      </c>
      <c r="C8065" t="s">
        <v>5511</v>
      </c>
      <c r="D8065" t="s">
        <v>14957</v>
      </c>
    </row>
    <row r="8066" spans="1:4" x14ac:dyDescent="0.25">
      <c r="A8066" s="180">
        <f t="shared" si="126"/>
        <v>8612093</v>
      </c>
      <c r="B8066" t="s">
        <v>5512</v>
      </c>
      <c r="C8066" t="s">
        <v>5513</v>
      </c>
      <c r="D8066" t="s">
        <v>14957</v>
      </c>
    </row>
    <row r="8067" spans="1:4" x14ac:dyDescent="0.25">
      <c r="A8067" s="180">
        <f t="shared" si="126"/>
        <v>8612093</v>
      </c>
      <c r="B8067" t="s">
        <v>5512</v>
      </c>
      <c r="C8067" t="s">
        <v>5513</v>
      </c>
      <c r="D8067" t="s">
        <v>14957</v>
      </c>
    </row>
    <row r="8068" spans="1:4" x14ac:dyDescent="0.25">
      <c r="A8068" s="180">
        <f t="shared" si="126"/>
        <v>8612093</v>
      </c>
      <c r="B8068" t="s">
        <v>5512</v>
      </c>
      <c r="C8068" t="s">
        <v>5513</v>
      </c>
      <c r="D8068" t="s">
        <v>14957</v>
      </c>
    </row>
    <row r="8069" spans="1:4" x14ac:dyDescent="0.25">
      <c r="A8069" s="180">
        <f t="shared" si="126"/>
        <v>8612095</v>
      </c>
      <c r="B8069" t="s">
        <v>14535</v>
      </c>
      <c r="C8069" t="s">
        <v>14536</v>
      </c>
      <c r="D8069" t="s">
        <v>13412</v>
      </c>
    </row>
    <row r="8070" spans="1:4" x14ac:dyDescent="0.25">
      <c r="A8070" s="180">
        <f t="shared" si="126"/>
        <v>8612101</v>
      </c>
      <c r="B8070" t="s">
        <v>5514</v>
      </c>
      <c r="C8070" t="s">
        <v>5515</v>
      </c>
      <c r="D8070" t="s">
        <v>13412</v>
      </c>
    </row>
    <row r="8071" spans="1:4" x14ac:dyDescent="0.25">
      <c r="A8071" s="180">
        <f t="shared" si="126"/>
        <v>8612102</v>
      </c>
      <c r="B8071" t="s">
        <v>5516</v>
      </c>
      <c r="C8071" t="s">
        <v>5517</v>
      </c>
    </row>
    <row r="8072" spans="1:4" x14ac:dyDescent="0.25">
      <c r="A8072" s="180">
        <f t="shared" si="126"/>
        <v>8612112</v>
      </c>
      <c r="B8072" t="s">
        <v>7029</v>
      </c>
      <c r="C8072" t="s">
        <v>7030</v>
      </c>
      <c r="D8072" t="s">
        <v>13412</v>
      </c>
    </row>
    <row r="8073" spans="1:4" x14ac:dyDescent="0.25">
      <c r="A8073" s="180">
        <f t="shared" si="126"/>
        <v>8612122</v>
      </c>
      <c r="B8073" t="s">
        <v>12715</v>
      </c>
      <c r="C8073" t="s">
        <v>12716</v>
      </c>
      <c r="D8073" t="s">
        <v>14957</v>
      </c>
    </row>
    <row r="8074" spans="1:4" x14ac:dyDescent="0.25">
      <c r="A8074" s="180">
        <f t="shared" si="126"/>
        <v>8612122</v>
      </c>
      <c r="B8074" t="s">
        <v>12715</v>
      </c>
      <c r="C8074" t="s">
        <v>12716</v>
      </c>
      <c r="D8074" t="s">
        <v>14957</v>
      </c>
    </row>
    <row r="8075" spans="1:4" x14ac:dyDescent="0.25">
      <c r="A8075" s="180">
        <f t="shared" si="126"/>
        <v>8612122</v>
      </c>
      <c r="B8075" t="s">
        <v>12715</v>
      </c>
      <c r="C8075" t="s">
        <v>12716</v>
      </c>
      <c r="D8075" t="s">
        <v>14957</v>
      </c>
    </row>
    <row r="8076" spans="1:4" x14ac:dyDescent="0.25">
      <c r="A8076" s="180">
        <f t="shared" si="126"/>
        <v>8612122</v>
      </c>
      <c r="B8076" t="s">
        <v>12715</v>
      </c>
      <c r="C8076" t="s">
        <v>12716</v>
      </c>
      <c r="D8076" t="s">
        <v>14957</v>
      </c>
    </row>
    <row r="8077" spans="1:4" x14ac:dyDescent="0.25">
      <c r="A8077" s="180">
        <f t="shared" si="126"/>
        <v>8612151</v>
      </c>
      <c r="B8077" t="s">
        <v>5518</v>
      </c>
      <c r="C8077" t="s">
        <v>5519</v>
      </c>
      <c r="D8077" t="s">
        <v>13412</v>
      </c>
    </row>
    <row r="8078" spans="1:4" x14ac:dyDescent="0.25">
      <c r="A8078" s="180">
        <f t="shared" si="126"/>
        <v>8612200</v>
      </c>
      <c r="B8078" t="s">
        <v>5520</v>
      </c>
      <c r="C8078" t="s">
        <v>5521</v>
      </c>
      <c r="D8078" t="s">
        <v>14957</v>
      </c>
    </row>
    <row r="8079" spans="1:4" x14ac:dyDescent="0.25">
      <c r="A8079" s="180">
        <f t="shared" si="126"/>
        <v>8612201</v>
      </c>
      <c r="B8079" t="s">
        <v>5522</v>
      </c>
      <c r="C8079" t="s">
        <v>5523</v>
      </c>
      <c r="D8079" t="s">
        <v>13412</v>
      </c>
    </row>
    <row r="8080" spans="1:4" x14ac:dyDescent="0.25">
      <c r="A8080" s="180">
        <f t="shared" si="126"/>
        <v>8612203</v>
      </c>
      <c r="B8080" t="s">
        <v>7031</v>
      </c>
      <c r="C8080" t="s">
        <v>7032</v>
      </c>
      <c r="D8080" t="s">
        <v>13411</v>
      </c>
    </row>
    <row r="8081" spans="1:4" x14ac:dyDescent="0.25">
      <c r="A8081" s="180">
        <f t="shared" si="126"/>
        <v>8612300</v>
      </c>
      <c r="B8081" t="s">
        <v>5524</v>
      </c>
      <c r="C8081" t="s">
        <v>5525</v>
      </c>
      <c r="D8081" t="s">
        <v>13412</v>
      </c>
    </row>
    <row r="8082" spans="1:4" x14ac:dyDescent="0.25">
      <c r="A8082" s="180">
        <f t="shared" si="126"/>
        <v>8612416</v>
      </c>
      <c r="B8082" t="s">
        <v>5526</v>
      </c>
      <c r="C8082" t="s">
        <v>5527</v>
      </c>
      <c r="D8082" t="s">
        <v>13412</v>
      </c>
    </row>
    <row r="8083" spans="1:4" x14ac:dyDescent="0.25">
      <c r="A8083" s="180">
        <f t="shared" si="126"/>
        <v>8612417</v>
      </c>
      <c r="B8083" t="s">
        <v>13974</v>
      </c>
      <c r="C8083" t="s">
        <v>13975</v>
      </c>
    </row>
    <row r="8084" spans="1:4" x14ac:dyDescent="0.25">
      <c r="A8084" s="180">
        <f t="shared" si="126"/>
        <v>8612418</v>
      </c>
      <c r="B8084" t="s">
        <v>5528</v>
      </c>
      <c r="C8084" t="s">
        <v>5529</v>
      </c>
      <c r="D8084" t="s">
        <v>13412</v>
      </c>
    </row>
    <row r="8085" spans="1:4" x14ac:dyDescent="0.25">
      <c r="A8085" s="180">
        <f t="shared" si="126"/>
        <v>8612420</v>
      </c>
      <c r="B8085" t="s">
        <v>5530</v>
      </c>
      <c r="C8085" t="s">
        <v>5531</v>
      </c>
    </row>
    <row r="8086" spans="1:4" x14ac:dyDescent="0.25">
      <c r="A8086" s="180">
        <f t="shared" si="126"/>
        <v>8612468</v>
      </c>
      <c r="B8086" t="s">
        <v>5532</v>
      </c>
      <c r="C8086" t="s">
        <v>5533</v>
      </c>
      <c r="D8086" t="s">
        <v>14989</v>
      </c>
    </row>
    <row r="8087" spans="1:4" x14ac:dyDescent="0.25">
      <c r="A8087" s="180">
        <f t="shared" si="126"/>
        <v>8612500</v>
      </c>
      <c r="B8087" t="s">
        <v>5534</v>
      </c>
      <c r="C8087" t="s">
        <v>5535</v>
      </c>
      <c r="D8087" t="s">
        <v>13412</v>
      </c>
    </row>
    <row r="8088" spans="1:4" x14ac:dyDescent="0.25">
      <c r="A8088" s="180">
        <f t="shared" si="126"/>
        <v>8612523</v>
      </c>
      <c r="B8088" t="s">
        <v>5536</v>
      </c>
      <c r="C8088" t="s">
        <v>5537</v>
      </c>
      <c r="D8088" t="s">
        <v>14989</v>
      </c>
    </row>
    <row r="8089" spans="1:4" x14ac:dyDescent="0.25">
      <c r="A8089" s="180">
        <f t="shared" si="126"/>
        <v>8612600</v>
      </c>
      <c r="B8089" t="s">
        <v>5538</v>
      </c>
      <c r="C8089" t="s">
        <v>5539</v>
      </c>
      <c r="D8089" t="s">
        <v>14989</v>
      </c>
    </row>
    <row r="8090" spans="1:4" x14ac:dyDescent="0.25">
      <c r="A8090" s="180">
        <f t="shared" si="126"/>
        <v>8612601</v>
      </c>
      <c r="B8090" t="s">
        <v>5540</v>
      </c>
      <c r="C8090" t="s">
        <v>5541</v>
      </c>
    </row>
    <row r="8091" spans="1:4" x14ac:dyDescent="0.25">
      <c r="A8091" s="180">
        <f t="shared" si="126"/>
        <v>8612697</v>
      </c>
      <c r="B8091" t="s">
        <v>5542</v>
      </c>
      <c r="C8091" t="s">
        <v>5543</v>
      </c>
    </row>
    <row r="8092" spans="1:4" x14ac:dyDescent="0.25">
      <c r="A8092" s="180">
        <f t="shared" si="126"/>
        <v>8612709</v>
      </c>
      <c r="B8092" t="s">
        <v>14537</v>
      </c>
      <c r="C8092" t="s">
        <v>14538</v>
      </c>
    </row>
    <row r="8093" spans="1:4" x14ac:dyDescent="0.25">
      <c r="A8093" s="180">
        <f t="shared" si="126"/>
        <v>8614014</v>
      </c>
      <c r="B8093" t="s">
        <v>5544</v>
      </c>
      <c r="C8093" t="s">
        <v>5545</v>
      </c>
      <c r="D8093" t="s">
        <v>13412</v>
      </c>
    </row>
    <row r="8094" spans="1:4" x14ac:dyDescent="0.25">
      <c r="A8094" s="180">
        <f t="shared" si="126"/>
        <v>8614015</v>
      </c>
      <c r="B8094" t="s">
        <v>5546</v>
      </c>
      <c r="C8094" t="s">
        <v>12717</v>
      </c>
      <c r="D8094" t="s">
        <v>14989</v>
      </c>
    </row>
    <row r="8095" spans="1:4" x14ac:dyDescent="0.25">
      <c r="A8095" s="180">
        <f t="shared" si="126"/>
        <v>8614016</v>
      </c>
      <c r="B8095" t="s">
        <v>12718</v>
      </c>
      <c r="C8095" t="s">
        <v>12719</v>
      </c>
      <c r="D8095" t="s">
        <v>14989</v>
      </c>
    </row>
    <row r="8096" spans="1:4" x14ac:dyDescent="0.25">
      <c r="A8096" s="180">
        <f t="shared" si="126"/>
        <v>8660019</v>
      </c>
      <c r="B8096" t="s">
        <v>5547</v>
      </c>
      <c r="C8096" t="s">
        <v>5548</v>
      </c>
    </row>
    <row r="8097" spans="1:4" x14ac:dyDescent="0.25">
      <c r="A8097" s="180">
        <f t="shared" si="126"/>
        <v>8676004</v>
      </c>
      <c r="B8097" t="s">
        <v>5549</v>
      </c>
      <c r="C8097" t="s">
        <v>5550</v>
      </c>
      <c r="D8097" t="s">
        <v>13412</v>
      </c>
    </row>
    <row r="8098" spans="1:4" x14ac:dyDescent="0.25">
      <c r="A8098" s="180">
        <f t="shared" si="126"/>
        <v>8686003</v>
      </c>
      <c r="B8098" t="s">
        <v>5551</v>
      </c>
      <c r="C8098" t="s">
        <v>5552</v>
      </c>
      <c r="D8098" t="s">
        <v>13412</v>
      </c>
    </row>
    <row r="8099" spans="1:4" x14ac:dyDescent="0.25">
      <c r="A8099" s="180">
        <f t="shared" si="126"/>
        <v>8686004</v>
      </c>
      <c r="B8099" t="s">
        <v>5553</v>
      </c>
      <c r="C8099" t="s">
        <v>5554</v>
      </c>
    </row>
    <row r="8100" spans="1:4" x14ac:dyDescent="0.25">
      <c r="A8100" s="180">
        <f t="shared" si="126"/>
        <v>8686010</v>
      </c>
      <c r="B8100" t="s">
        <v>5555</v>
      </c>
      <c r="C8100" t="s">
        <v>5556</v>
      </c>
      <c r="D8100" t="s">
        <v>13412</v>
      </c>
    </row>
    <row r="8101" spans="1:4" x14ac:dyDescent="0.25">
      <c r="A8101" s="180">
        <f t="shared" si="126"/>
        <v>8686070</v>
      </c>
      <c r="B8101" t="s">
        <v>5557</v>
      </c>
      <c r="C8101" t="s">
        <v>5558</v>
      </c>
      <c r="D8101" t="s">
        <v>13412</v>
      </c>
    </row>
    <row r="8102" spans="1:4" x14ac:dyDescent="0.25">
      <c r="A8102" s="180">
        <f t="shared" si="126"/>
        <v>8687002</v>
      </c>
      <c r="B8102" t="s">
        <v>5559</v>
      </c>
      <c r="C8102" t="s">
        <v>5560</v>
      </c>
      <c r="D8102" t="s">
        <v>13412</v>
      </c>
    </row>
    <row r="8103" spans="1:4" x14ac:dyDescent="0.25">
      <c r="A8103" s="180">
        <f t="shared" si="126"/>
        <v>8691016</v>
      </c>
      <c r="B8103" t="s">
        <v>5561</v>
      </c>
      <c r="C8103" t="s">
        <v>5562</v>
      </c>
    </row>
    <row r="8104" spans="1:4" x14ac:dyDescent="0.25">
      <c r="A8104" s="180">
        <f t="shared" si="126"/>
        <v>8691508</v>
      </c>
      <c r="B8104" t="s">
        <v>5563</v>
      </c>
      <c r="C8104" t="s">
        <v>5564</v>
      </c>
    </row>
    <row r="8105" spans="1:4" x14ac:dyDescent="0.25">
      <c r="A8105" s="180">
        <f t="shared" si="126"/>
        <v>8692010</v>
      </c>
      <c r="B8105" t="s">
        <v>5565</v>
      </c>
      <c r="C8105" t="s">
        <v>12720</v>
      </c>
      <c r="D8105" t="s">
        <v>14989</v>
      </c>
    </row>
    <row r="8106" spans="1:4" x14ac:dyDescent="0.25">
      <c r="A8106" s="180">
        <f t="shared" si="126"/>
        <v>8692011</v>
      </c>
      <c r="B8106" t="s">
        <v>5567</v>
      </c>
      <c r="C8106" t="s">
        <v>12721</v>
      </c>
      <c r="D8106" t="s">
        <v>14989</v>
      </c>
    </row>
    <row r="8107" spans="1:4" x14ac:dyDescent="0.25">
      <c r="A8107" s="180">
        <f t="shared" si="126"/>
        <v>8692150</v>
      </c>
      <c r="B8107" t="s">
        <v>5569</v>
      </c>
      <c r="C8107" t="s">
        <v>5570</v>
      </c>
      <c r="D8107" t="s">
        <v>14989</v>
      </c>
    </row>
    <row r="8108" spans="1:4" x14ac:dyDescent="0.25">
      <c r="A8108" s="180">
        <f t="shared" si="126"/>
        <v>8692210</v>
      </c>
      <c r="B8108" t="s">
        <v>5571</v>
      </c>
      <c r="C8108" t="s">
        <v>5572</v>
      </c>
      <c r="D8108" t="s">
        <v>14989</v>
      </c>
    </row>
    <row r="8109" spans="1:4" x14ac:dyDescent="0.25">
      <c r="A8109" s="180">
        <f t="shared" si="126"/>
        <v>8692230</v>
      </c>
      <c r="B8109" t="s">
        <v>5573</v>
      </c>
      <c r="C8109" t="s">
        <v>12722</v>
      </c>
      <c r="D8109" t="s">
        <v>14957</v>
      </c>
    </row>
    <row r="8110" spans="1:4" x14ac:dyDescent="0.25">
      <c r="A8110" s="180">
        <f t="shared" si="126"/>
        <v>8692230</v>
      </c>
      <c r="B8110" t="s">
        <v>5573</v>
      </c>
      <c r="C8110" t="s">
        <v>12722</v>
      </c>
      <c r="D8110" t="s">
        <v>14957</v>
      </c>
    </row>
    <row r="8111" spans="1:4" x14ac:dyDescent="0.25">
      <c r="A8111" s="180">
        <f t="shared" si="126"/>
        <v>8692230</v>
      </c>
      <c r="B8111" t="s">
        <v>5573</v>
      </c>
      <c r="C8111" t="s">
        <v>12722</v>
      </c>
      <c r="D8111" t="s">
        <v>14957</v>
      </c>
    </row>
    <row r="8112" spans="1:4" x14ac:dyDescent="0.25">
      <c r="A8112" s="180">
        <f t="shared" si="126"/>
        <v>8692231</v>
      </c>
      <c r="B8112" t="s">
        <v>12723</v>
      </c>
      <c r="C8112" t="s">
        <v>12724</v>
      </c>
      <c r="D8112" t="s">
        <v>14957</v>
      </c>
    </row>
    <row r="8113" spans="1:4" x14ac:dyDescent="0.25">
      <c r="A8113" s="180">
        <f t="shared" si="126"/>
        <v>8692231</v>
      </c>
      <c r="B8113" t="s">
        <v>12723</v>
      </c>
      <c r="C8113" t="s">
        <v>12724</v>
      </c>
      <c r="D8113" t="s">
        <v>14957</v>
      </c>
    </row>
    <row r="8114" spans="1:4" x14ac:dyDescent="0.25">
      <c r="A8114" s="180">
        <f t="shared" si="126"/>
        <v>8692231</v>
      </c>
      <c r="B8114" t="s">
        <v>12723</v>
      </c>
      <c r="C8114" t="s">
        <v>12724</v>
      </c>
      <c r="D8114" t="s">
        <v>14957</v>
      </c>
    </row>
    <row r="8115" spans="1:4" x14ac:dyDescent="0.25">
      <c r="A8115" s="180">
        <f t="shared" si="126"/>
        <v>8692232</v>
      </c>
      <c r="B8115" t="s">
        <v>12725</v>
      </c>
      <c r="C8115" t="s">
        <v>12726</v>
      </c>
      <c r="D8115" t="s">
        <v>14957</v>
      </c>
    </row>
    <row r="8116" spans="1:4" x14ac:dyDescent="0.25">
      <c r="A8116" s="180">
        <f t="shared" si="126"/>
        <v>8692232</v>
      </c>
      <c r="B8116" t="s">
        <v>12725</v>
      </c>
      <c r="C8116" t="s">
        <v>12726</v>
      </c>
      <c r="D8116" t="s">
        <v>14957</v>
      </c>
    </row>
    <row r="8117" spans="1:4" x14ac:dyDescent="0.25">
      <c r="A8117" s="180">
        <f t="shared" si="126"/>
        <v>8692232</v>
      </c>
      <c r="B8117" t="s">
        <v>12725</v>
      </c>
      <c r="C8117" t="s">
        <v>12726</v>
      </c>
      <c r="D8117" t="s">
        <v>14957</v>
      </c>
    </row>
    <row r="8118" spans="1:4" x14ac:dyDescent="0.25">
      <c r="A8118" s="180">
        <f t="shared" si="126"/>
        <v>8692233</v>
      </c>
      <c r="B8118" t="s">
        <v>12727</v>
      </c>
      <c r="C8118" t="s">
        <v>12728</v>
      </c>
      <c r="D8118" t="s">
        <v>14957</v>
      </c>
    </row>
    <row r="8119" spans="1:4" x14ac:dyDescent="0.25">
      <c r="A8119" s="180">
        <f t="shared" si="126"/>
        <v>8692233</v>
      </c>
      <c r="B8119" t="s">
        <v>12727</v>
      </c>
      <c r="C8119" t="s">
        <v>12728</v>
      </c>
      <c r="D8119" t="s">
        <v>14957</v>
      </c>
    </row>
    <row r="8120" spans="1:4" x14ac:dyDescent="0.25">
      <c r="A8120" s="180">
        <f t="shared" si="126"/>
        <v>8692240</v>
      </c>
      <c r="B8120" t="s">
        <v>5574</v>
      </c>
      <c r="C8120" t="s">
        <v>5575</v>
      </c>
      <c r="D8120" t="s">
        <v>14989</v>
      </c>
    </row>
    <row r="8121" spans="1:4" x14ac:dyDescent="0.25">
      <c r="A8121" s="180">
        <f t="shared" si="126"/>
        <v>8692502</v>
      </c>
      <c r="B8121" t="s">
        <v>5576</v>
      </c>
      <c r="C8121" t="s">
        <v>5577</v>
      </c>
    </row>
    <row r="8122" spans="1:4" x14ac:dyDescent="0.25">
      <c r="A8122" s="180">
        <f t="shared" si="126"/>
        <v>8692503</v>
      </c>
      <c r="B8122" t="s">
        <v>5578</v>
      </c>
      <c r="C8122" t="s">
        <v>5579</v>
      </c>
    </row>
    <row r="8123" spans="1:4" x14ac:dyDescent="0.25">
      <c r="A8123" s="180">
        <f t="shared" si="126"/>
        <v>8692504</v>
      </c>
      <c r="B8123" t="s">
        <v>5580</v>
      </c>
      <c r="C8123" t="s">
        <v>5581</v>
      </c>
    </row>
    <row r="8124" spans="1:4" x14ac:dyDescent="0.25">
      <c r="A8124" s="180">
        <f t="shared" si="126"/>
        <v>8692505</v>
      </c>
      <c r="B8124" t="s">
        <v>5582</v>
      </c>
      <c r="C8124" t="s">
        <v>5583</v>
      </c>
    </row>
    <row r="8125" spans="1:4" x14ac:dyDescent="0.25">
      <c r="A8125" s="180">
        <f t="shared" si="126"/>
        <v>8692507</v>
      </c>
      <c r="B8125" t="s">
        <v>5584</v>
      </c>
      <c r="C8125" t="s">
        <v>5585</v>
      </c>
    </row>
    <row r="8126" spans="1:4" x14ac:dyDescent="0.25">
      <c r="A8126" s="180">
        <f t="shared" si="126"/>
        <v>8692508</v>
      </c>
      <c r="B8126" t="s">
        <v>5586</v>
      </c>
      <c r="C8126" t="s">
        <v>5564</v>
      </c>
    </row>
    <row r="8127" spans="1:4" x14ac:dyDescent="0.25">
      <c r="A8127" s="180">
        <f t="shared" ref="A8127:A8190" si="127">IFERROR(B8127*1,"")</f>
        <v>8692544</v>
      </c>
      <c r="B8127" t="s">
        <v>14284</v>
      </c>
      <c r="C8127" t="s">
        <v>14285</v>
      </c>
    </row>
    <row r="8128" spans="1:4" x14ac:dyDescent="0.25">
      <c r="A8128" s="180">
        <f t="shared" si="127"/>
        <v>8692851</v>
      </c>
      <c r="B8128" t="s">
        <v>5587</v>
      </c>
      <c r="C8128" t="s">
        <v>5588</v>
      </c>
    </row>
    <row r="8129" spans="1:4" x14ac:dyDescent="0.25">
      <c r="A8129" s="180">
        <f t="shared" si="127"/>
        <v>8693012</v>
      </c>
      <c r="B8129" t="s">
        <v>5589</v>
      </c>
      <c r="C8129" t="s">
        <v>5590</v>
      </c>
    </row>
    <row r="8130" spans="1:4" x14ac:dyDescent="0.25">
      <c r="A8130" s="180">
        <f t="shared" si="127"/>
        <v>8694014</v>
      </c>
      <c r="B8130" t="s">
        <v>5591</v>
      </c>
      <c r="C8130" t="s">
        <v>5590</v>
      </c>
    </row>
    <row r="8131" spans="1:4" x14ac:dyDescent="0.25">
      <c r="A8131" s="180">
        <f t="shared" si="127"/>
        <v>8695001</v>
      </c>
      <c r="B8131" t="s">
        <v>5592</v>
      </c>
      <c r="C8131" t="s">
        <v>5593</v>
      </c>
    </row>
    <row r="8132" spans="1:4" x14ac:dyDescent="0.25">
      <c r="A8132" s="180">
        <f t="shared" si="127"/>
        <v>8697004</v>
      </c>
      <c r="B8132" t="s">
        <v>5594</v>
      </c>
      <c r="C8132" t="s">
        <v>5211</v>
      </c>
    </row>
    <row r="8133" spans="1:4" x14ac:dyDescent="0.25">
      <c r="A8133" s="180">
        <f t="shared" si="127"/>
        <v>8701000</v>
      </c>
      <c r="B8133" t="s">
        <v>5596</v>
      </c>
      <c r="C8133" t="s">
        <v>5597</v>
      </c>
      <c r="D8133" t="s">
        <v>13412</v>
      </c>
    </row>
    <row r="8134" spans="1:4" x14ac:dyDescent="0.25">
      <c r="A8134" s="180">
        <f t="shared" si="127"/>
        <v>8701001</v>
      </c>
      <c r="B8134" t="s">
        <v>5598</v>
      </c>
      <c r="C8134" t="s">
        <v>5599</v>
      </c>
      <c r="D8134" t="s">
        <v>13412</v>
      </c>
    </row>
    <row r="8135" spans="1:4" x14ac:dyDescent="0.25">
      <c r="A8135" s="180">
        <f t="shared" si="127"/>
        <v>8701002</v>
      </c>
      <c r="B8135" t="s">
        <v>5600</v>
      </c>
      <c r="C8135" t="s">
        <v>5601</v>
      </c>
    </row>
    <row r="8136" spans="1:4" x14ac:dyDescent="0.25">
      <c r="A8136" s="180">
        <f t="shared" si="127"/>
        <v>8701003</v>
      </c>
      <c r="B8136" t="s">
        <v>5602</v>
      </c>
      <c r="C8136" t="s">
        <v>5603</v>
      </c>
    </row>
    <row r="8137" spans="1:4" x14ac:dyDescent="0.25">
      <c r="A8137" s="180">
        <f t="shared" si="127"/>
        <v>8701005</v>
      </c>
      <c r="B8137" t="s">
        <v>5604</v>
      </c>
      <c r="C8137" t="s">
        <v>5605</v>
      </c>
      <c r="D8137" t="s">
        <v>13412</v>
      </c>
    </row>
    <row r="8138" spans="1:4" x14ac:dyDescent="0.25">
      <c r="A8138" s="180">
        <f t="shared" si="127"/>
        <v>8701010</v>
      </c>
      <c r="B8138" t="s">
        <v>13360</v>
      </c>
      <c r="C8138" t="s">
        <v>13361</v>
      </c>
      <c r="D8138" t="s">
        <v>13412</v>
      </c>
    </row>
    <row r="8139" spans="1:4" x14ac:dyDescent="0.25">
      <c r="A8139" s="180">
        <f t="shared" si="127"/>
        <v>8701010</v>
      </c>
      <c r="B8139" t="s">
        <v>13360</v>
      </c>
      <c r="C8139" t="s">
        <v>13361</v>
      </c>
      <c r="D8139" t="s">
        <v>13412</v>
      </c>
    </row>
    <row r="8140" spans="1:4" x14ac:dyDescent="0.25">
      <c r="A8140" s="180">
        <f t="shared" si="127"/>
        <v>8701010</v>
      </c>
      <c r="B8140" t="s">
        <v>13360</v>
      </c>
      <c r="C8140" t="s">
        <v>13361</v>
      </c>
      <c r="D8140" t="s">
        <v>13412</v>
      </c>
    </row>
    <row r="8141" spans="1:4" x14ac:dyDescent="0.25">
      <c r="A8141" s="180">
        <f t="shared" si="127"/>
        <v>8701010</v>
      </c>
      <c r="B8141" t="s">
        <v>13360</v>
      </c>
      <c r="C8141" t="s">
        <v>13361</v>
      </c>
      <c r="D8141" t="s">
        <v>13412</v>
      </c>
    </row>
    <row r="8142" spans="1:4" x14ac:dyDescent="0.25">
      <c r="A8142" s="180">
        <f t="shared" si="127"/>
        <v>8701010</v>
      </c>
      <c r="B8142" t="s">
        <v>13360</v>
      </c>
      <c r="C8142" t="s">
        <v>13361</v>
      </c>
      <c r="D8142" t="s">
        <v>13412</v>
      </c>
    </row>
    <row r="8143" spans="1:4" x14ac:dyDescent="0.25">
      <c r="A8143" s="180">
        <f t="shared" si="127"/>
        <v>8701010</v>
      </c>
      <c r="B8143" t="s">
        <v>13360</v>
      </c>
      <c r="C8143" t="s">
        <v>13361</v>
      </c>
      <c r="D8143" t="s">
        <v>13412</v>
      </c>
    </row>
    <row r="8144" spans="1:4" x14ac:dyDescent="0.25">
      <c r="A8144" s="180">
        <f t="shared" si="127"/>
        <v>8701010</v>
      </c>
      <c r="B8144" t="s">
        <v>13360</v>
      </c>
      <c r="C8144" t="s">
        <v>13361</v>
      </c>
      <c r="D8144" t="s">
        <v>13412</v>
      </c>
    </row>
    <row r="8145" spans="1:4" x14ac:dyDescent="0.25">
      <c r="A8145" s="180">
        <f t="shared" si="127"/>
        <v>8701010</v>
      </c>
      <c r="B8145" t="s">
        <v>13360</v>
      </c>
      <c r="C8145" t="s">
        <v>13361</v>
      </c>
      <c r="D8145" t="s">
        <v>13412</v>
      </c>
    </row>
    <row r="8146" spans="1:4" x14ac:dyDescent="0.25">
      <c r="A8146" s="180">
        <f t="shared" si="127"/>
        <v>8701010</v>
      </c>
      <c r="B8146" t="s">
        <v>13360</v>
      </c>
      <c r="C8146" t="s">
        <v>13361</v>
      </c>
      <c r="D8146" t="s">
        <v>13412</v>
      </c>
    </row>
    <row r="8147" spans="1:4" x14ac:dyDescent="0.25">
      <c r="A8147" s="180">
        <f t="shared" si="127"/>
        <v>8701015</v>
      </c>
      <c r="B8147" t="s">
        <v>13540</v>
      </c>
      <c r="C8147" t="s">
        <v>13541</v>
      </c>
      <c r="D8147" t="s">
        <v>13412</v>
      </c>
    </row>
    <row r="8148" spans="1:4" x14ac:dyDescent="0.25">
      <c r="A8148" s="180">
        <f t="shared" si="127"/>
        <v>8701020</v>
      </c>
      <c r="B8148" t="s">
        <v>5606</v>
      </c>
      <c r="C8148" t="s">
        <v>5607</v>
      </c>
      <c r="D8148" t="s">
        <v>13412</v>
      </c>
    </row>
    <row r="8149" spans="1:4" x14ac:dyDescent="0.25">
      <c r="A8149" s="180">
        <f t="shared" si="127"/>
        <v>8701032</v>
      </c>
      <c r="B8149" t="s">
        <v>5608</v>
      </c>
      <c r="C8149" t="s">
        <v>5609</v>
      </c>
      <c r="D8149" t="s">
        <v>13411</v>
      </c>
    </row>
    <row r="8150" spans="1:4" x14ac:dyDescent="0.25">
      <c r="A8150" s="180">
        <f t="shared" si="127"/>
        <v>8701032</v>
      </c>
      <c r="B8150" t="s">
        <v>5608</v>
      </c>
      <c r="C8150" t="s">
        <v>5609</v>
      </c>
      <c r="D8150" t="s">
        <v>13411</v>
      </c>
    </row>
    <row r="8151" spans="1:4" x14ac:dyDescent="0.25">
      <c r="A8151" s="180">
        <f t="shared" si="127"/>
        <v>8701032</v>
      </c>
      <c r="B8151" t="s">
        <v>5608</v>
      </c>
      <c r="C8151" t="s">
        <v>5609</v>
      </c>
      <c r="D8151" t="s">
        <v>13411</v>
      </c>
    </row>
    <row r="8152" spans="1:4" x14ac:dyDescent="0.25">
      <c r="A8152" s="180">
        <f t="shared" si="127"/>
        <v>8701032</v>
      </c>
      <c r="B8152" t="s">
        <v>5608</v>
      </c>
      <c r="C8152" t="s">
        <v>5609</v>
      </c>
      <c r="D8152" t="s">
        <v>13411</v>
      </c>
    </row>
    <row r="8153" spans="1:4" x14ac:dyDescent="0.25">
      <c r="A8153" s="180">
        <f t="shared" si="127"/>
        <v>8701033</v>
      </c>
      <c r="B8153" t="s">
        <v>5610</v>
      </c>
      <c r="C8153" t="s">
        <v>5611</v>
      </c>
      <c r="D8153" t="s">
        <v>13412</v>
      </c>
    </row>
    <row r="8154" spans="1:4" x14ac:dyDescent="0.25">
      <c r="A8154" s="180">
        <f t="shared" si="127"/>
        <v>8701033</v>
      </c>
      <c r="B8154" t="s">
        <v>5610</v>
      </c>
      <c r="C8154" t="s">
        <v>5611</v>
      </c>
      <c r="D8154" t="s">
        <v>13412</v>
      </c>
    </row>
    <row r="8155" spans="1:4" x14ac:dyDescent="0.25">
      <c r="A8155" s="180">
        <f t="shared" si="127"/>
        <v>8701033</v>
      </c>
      <c r="B8155" t="s">
        <v>5610</v>
      </c>
      <c r="C8155" t="s">
        <v>5611</v>
      </c>
      <c r="D8155" t="s">
        <v>13412</v>
      </c>
    </row>
    <row r="8156" spans="1:4" x14ac:dyDescent="0.25">
      <c r="A8156" s="180">
        <f t="shared" si="127"/>
        <v>8701033</v>
      </c>
      <c r="B8156" t="s">
        <v>5610</v>
      </c>
      <c r="C8156" t="s">
        <v>5611</v>
      </c>
      <c r="D8156" t="s">
        <v>13412</v>
      </c>
    </row>
    <row r="8157" spans="1:4" x14ac:dyDescent="0.25">
      <c r="A8157" s="180">
        <f t="shared" si="127"/>
        <v>8701033</v>
      </c>
      <c r="B8157" t="s">
        <v>5610</v>
      </c>
      <c r="C8157" t="s">
        <v>5611</v>
      </c>
      <c r="D8157" t="s">
        <v>13412</v>
      </c>
    </row>
    <row r="8158" spans="1:4" x14ac:dyDescent="0.25">
      <c r="A8158" s="180">
        <f t="shared" si="127"/>
        <v>8701033</v>
      </c>
      <c r="B8158" t="s">
        <v>5610</v>
      </c>
      <c r="C8158" t="s">
        <v>5611</v>
      </c>
      <c r="D8158" t="s">
        <v>13412</v>
      </c>
    </row>
    <row r="8159" spans="1:4" x14ac:dyDescent="0.25">
      <c r="A8159" s="180">
        <f t="shared" si="127"/>
        <v>8701033</v>
      </c>
      <c r="B8159" t="s">
        <v>5610</v>
      </c>
      <c r="C8159" t="s">
        <v>5611</v>
      </c>
      <c r="D8159" t="s">
        <v>13412</v>
      </c>
    </row>
    <row r="8160" spans="1:4" x14ac:dyDescent="0.25">
      <c r="A8160" s="180">
        <f t="shared" si="127"/>
        <v>8701038</v>
      </c>
      <c r="B8160" t="s">
        <v>5612</v>
      </c>
      <c r="C8160" t="s">
        <v>5613</v>
      </c>
      <c r="D8160" t="s">
        <v>13412</v>
      </c>
    </row>
    <row r="8161" spans="1:4" x14ac:dyDescent="0.25">
      <c r="A8161" s="180">
        <f t="shared" si="127"/>
        <v>8701038</v>
      </c>
      <c r="B8161" t="s">
        <v>5612</v>
      </c>
      <c r="C8161" t="s">
        <v>5613</v>
      </c>
      <c r="D8161" t="s">
        <v>13412</v>
      </c>
    </row>
    <row r="8162" spans="1:4" x14ac:dyDescent="0.25">
      <c r="A8162" s="180">
        <f t="shared" si="127"/>
        <v>8701038</v>
      </c>
      <c r="B8162" t="s">
        <v>5612</v>
      </c>
      <c r="C8162" t="s">
        <v>5613</v>
      </c>
      <c r="D8162" t="s">
        <v>13412</v>
      </c>
    </row>
    <row r="8163" spans="1:4" x14ac:dyDescent="0.25">
      <c r="A8163" s="180">
        <f t="shared" si="127"/>
        <v>8701038</v>
      </c>
      <c r="B8163" t="s">
        <v>5612</v>
      </c>
      <c r="C8163" t="s">
        <v>5613</v>
      </c>
      <c r="D8163" t="s">
        <v>13412</v>
      </c>
    </row>
    <row r="8164" spans="1:4" x14ac:dyDescent="0.25">
      <c r="A8164" s="180">
        <f t="shared" si="127"/>
        <v>8701038</v>
      </c>
      <c r="B8164" t="s">
        <v>5612</v>
      </c>
      <c r="C8164" t="s">
        <v>5613</v>
      </c>
      <c r="D8164" t="s">
        <v>13412</v>
      </c>
    </row>
    <row r="8165" spans="1:4" x14ac:dyDescent="0.25">
      <c r="A8165" s="180">
        <f t="shared" si="127"/>
        <v>8701060</v>
      </c>
      <c r="B8165" t="s">
        <v>5614</v>
      </c>
      <c r="C8165" t="s">
        <v>5615</v>
      </c>
    </row>
    <row r="8166" spans="1:4" x14ac:dyDescent="0.25">
      <c r="A8166" s="180">
        <f t="shared" si="127"/>
        <v>8701090</v>
      </c>
      <c r="B8166" t="s">
        <v>5616</v>
      </c>
      <c r="C8166" t="s">
        <v>5617</v>
      </c>
      <c r="D8166" t="s">
        <v>13412</v>
      </c>
    </row>
    <row r="8167" spans="1:4" x14ac:dyDescent="0.25">
      <c r="A8167" s="180">
        <f t="shared" si="127"/>
        <v>8701092</v>
      </c>
      <c r="B8167" t="s">
        <v>5618</v>
      </c>
      <c r="C8167" t="s">
        <v>5619</v>
      </c>
      <c r="D8167" t="s">
        <v>13412</v>
      </c>
    </row>
    <row r="8168" spans="1:4" x14ac:dyDescent="0.25">
      <c r="A8168" s="180">
        <f t="shared" si="127"/>
        <v>8701092</v>
      </c>
      <c r="B8168" t="s">
        <v>5618</v>
      </c>
      <c r="C8168" t="s">
        <v>5619</v>
      </c>
      <c r="D8168" t="s">
        <v>13412</v>
      </c>
    </row>
    <row r="8169" spans="1:4" x14ac:dyDescent="0.25">
      <c r="A8169" s="180">
        <f t="shared" si="127"/>
        <v>8701092</v>
      </c>
      <c r="B8169" t="s">
        <v>5618</v>
      </c>
      <c r="C8169" t="s">
        <v>5619</v>
      </c>
      <c r="D8169" t="s">
        <v>13412</v>
      </c>
    </row>
    <row r="8170" spans="1:4" x14ac:dyDescent="0.25">
      <c r="A8170" s="180">
        <f t="shared" si="127"/>
        <v>8701092</v>
      </c>
      <c r="B8170" t="s">
        <v>5618</v>
      </c>
      <c r="C8170" t="s">
        <v>5619</v>
      </c>
      <c r="D8170" t="s">
        <v>13412</v>
      </c>
    </row>
    <row r="8171" spans="1:4" x14ac:dyDescent="0.25">
      <c r="A8171" s="180">
        <f t="shared" si="127"/>
        <v>8701092</v>
      </c>
      <c r="B8171" t="s">
        <v>5618</v>
      </c>
      <c r="C8171" t="s">
        <v>5619</v>
      </c>
      <c r="D8171" t="s">
        <v>13412</v>
      </c>
    </row>
    <row r="8172" spans="1:4" x14ac:dyDescent="0.25">
      <c r="A8172" s="180">
        <f t="shared" si="127"/>
        <v>8701093</v>
      </c>
      <c r="B8172" t="s">
        <v>5620</v>
      </c>
      <c r="C8172" t="s">
        <v>5621</v>
      </c>
      <c r="D8172" t="s">
        <v>13412</v>
      </c>
    </row>
    <row r="8173" spans="1:4" x14ac:dyDescent="0.25">
      <c r="A8173" s="180">
        <f t="shared" si="127"/>
        <v>8701093</v>
      </c>
      <c r="B8173" t="s">
        <v>5620</v>
      </c>
      <c r="C8173" t="s">
        <v>5621</v>
      </c>
      <c r="D8173" t="s">
        <v>13412</v>
      </c>
    </row>
    <row r="8174" spans="1:4" x14ac:dyDescent="0.25">
      <c r="A8174" s="180">
        <f t="shared" si="127"/>
        <v>8701093</v>
      </c>
      <c r="B8174" t="s">
        <v>5620</v>
      </c>
      <c r="C8174" t="s">
        <v>5621</v>
      </c>
      <c r="D8174" t="s">
        <v>13412</v>
      </c>
    </row>
    <row r="8175" spans="1:4" x14ac:dyDescent="0.25">
      <c r="A8175" s="180">
        <f t="shared" si="127"/>
        <v>8701093</v>
      </c>
      <c r="B8175" t="s">
        <v>5620</v>
      </c>
      <c r="C8175" t="s">
        <v>5621</v>
      </c>
      <c r="D8175" t="s">
        <v>13412</v>
      </c>
    </row>
    <row r="8176" spans="1:4" x14ac:dyDescent="0.25">
      <c r="A8176" s="180">
        <f t="shared" si="127"/>
        <v>8701100</v>
      </c>
      <c r="B8176" t="s">
        <v>5622</v>
      </c>
      <c r="C8176" t="s">
        <v>5623</v>
      </c>
    </row>
    <row r="8177" spans="1:4" x14ac:dyDescent="0.25">
      <c r="A8177" s="180">
        <f t="shared" si="127"/>
        <v>8701120</v>
      </c>
      <c r="B8177" t="s">
        <v>5624</v>
      </c>
      <c r="C8177" t="s">
        <v>5625</v>
      </c>
      <c r="D8177" t="s">
        <v>13412</v>
      </c>
    </row>
    <row r="8178" spans="1:4" x14ac:dyDescent="0.25">
      <c r="A8178" s="180">
        <f t="shared" si="127"/>
        <v>8701134</v>
      </c>
      <c r="B8178" t="s">
        <v>14067</v>
      </c>
      <c r="C8178" t="s">
        <v>14068</v>
      </c>
      <c r="D8178" t="s">
        <v>13412</v>
      </c>
    </row>
    <row r="8179" spans="1:4" x14ac:dyDescent="0.25">
      <c r="A8179" s="180">
        <f t="shared" si="127"/>
        <v>8701158</v>
      </c>
      <c r="B8179" t="s">
        <v>5626</v>
      </c>
      <c r="C8179" t="s">
        <v>5627</v>
      </c>
    </row>
    <row r="8180" spans="1:4" x14ac:dyDescent="0.25">
      <c r="A8180" s="180">
        <f t="shared" si="127"/>
        <v>8701162</v>
      </c>
      <c r="B8180" t="s">
        <v>5628</v>
      </c>
      <c r="C8180" t="s">
        <v>5629</v>
      </c>
      <c r="D8180" t="s">
        <v>13412</v>
      </c>
    </row>
    <row r="8181" spans="1:4" x14ac:dyDescent="0.25">
      <c r="A8181" s="180">
        <f t="shared" si="127"/>
        <v>8701200</v>
      </c>
      <c r="B8181" t="s">
        <v>5630</v>
      </c>
      <c r="C8181" t="s">
        <v>5631</v>
      </c>
      <c r="D8181" t="s">
        <v>13411</v>
      </c>
    </row>
    <row r="8182" spans="1:4" x14ac:dyDescent="0.25">
      <c r="A8182" s="180">
        <f t="shared" si="127"/>
        <v>8701214</v>
      </c>
      <c r="B8182" t="s">
        <v>5632</v>
      </c>
      <c r="C8182" t="s">
        <v>5633</v>
      </c>
      <c r="D8182" t="s">
        <v>13412</v>
      </c>
    </row>
    <row r="8183" spans="1:4" x14ac:dyDescent="0.25">
      <c r="A8183" s="180">
        <f t="shared" si="127"/>
        <v>8701215</v>
      </c>
      <c r="B8183" t="s">
        <v>5634</v>
      </c>
      <c r="C8183" t="s">
        <v>5635</v>
      </c>
      <c r="D8183" t="s">
        <v>13412</v>
      </c>
    </row>
    <row r="8184" spans="1:4" x14ac:dyDescent="0.25">
      <c r="A8184" s="180">
        <f t="shared" si="127"/>
        <v>8701216</v>
      </c>
      <c r="B8184" t="s">
        <v>5636</v>
      </c>
      <c r="C8184" t="s">
        <v>5637</v>
      </c>
      <c r="D8184" t="s">
        <v>13412</v>
      </c>
    </row>
    <row r="8185" spans="1:4" x14ac:dyDescent="0.25">
      <c r="A8185" s="180">
        <f t="shared" si="127"/>
        <v>8701230</v>
      </c>
      <c r="B8185" t="s">
        <v>14069</v>
      </c>
      <c r="C8185" t="s">
        <v>14070</v>
      </c>
      <c r="D8185" t="s">
        <v>13412</v>
      </c>
    </row>
    <row r="8186" spans="1:4" x14ac:dyDescent="0.25">
      <c r="A8186" s="180">
        <f t="shared" si="127"/>
        <v>8701253</v>
      </c>
      <c r="B8186" t="s">
        <v>12926</v>
      </c>
      <c r="C8186" t="s">
        <v>12927</v>
      </c>
      <c r="D8186" t="s">
        <v>13412</v>
      </c>
    </row>
    <row r="8187" spans="1:4" x14ac:dyDescent="0.25">
      <c r="A8187" s="180">
        <f t="shared" si="127"/>
        <v>8701253</v>
      </c>
      <c r="B8187" t="s">
        <v>12926</v>
      </c>
      <c r="C8187" t="s">
        <v>12927</v>
      </c>
      <c r="D8187" t="s">
        <v>13412</v>
      </c>
    </row>
    <row r="8188" spans="1:4" x14ac:dyDescent="0.25">
      <c r="A8188" s="180">
        <f t="shared" si="127"/>
        <v>8701253</v>
      </c>
      <c r="B8188" t="s">
        <v>12926</v>
      </c>
      <c r="C8188" t="s">
        <v>12927</v>
      </c>
      <c r="D8188" t="s">
        <v>13412</v>
      </c>
    </row>
    <row r="8189" spans="1:4" x14ac:dyDescent="0.25">
      <c r="A8189" s="180">
        <f t="shared" si="127"/>
        <v>8701255</v>
      </c>
      <c r="B8189" t="s">
        <v>12928</v>
      </c>
      <c r="C8189" t="s">
        <v>12929</v>
      </c>
      <c r="D8189" t="s">
        <v>13412</v>
      </c>
    </row>
    <row r="8190" spans="1:4" x14ac:dyDescent="0.25">
      <c r="A8190" s="180">
        <f t="shared" si="127"/>
        <v>8701255</v>
      </c>
      <c r="B8190" t="s">
        <v>12928</v>
      </c>
      <c r="C8190" t="s">
        <v>12929</v>
      </c>
      <c r="D8190" t="s">
        <v>13412</v>
      </c>
    </row>
    <row r="8191" spans="1:4" x14ac:dyDescent="0.25">
      <c r="A8191" s="180">
        <f t="shared" ref="A8191:A8254" si="128">IFERROR(B8191*1,"")</f>
        <v>8701255</v>
      </c>
      <c r="B8191" t="s">
        <v>12928</v>
      </c>
      <c r="C8191" t="s">
        <v>12929</v>
      </c>
      <c r="D8191" t="s">
        <v>13412</v>
      </c>
    </row>
    <row r="8192" spans="1:4" x14ac:dyDescent="0.25">
      <c r="A8192" s="180">
        <f t="shared" si="128"/>
        <v>8701325</v>
      </c>
      <c r="B8192" t="s">
        <v>12930</v>
      </c>
      <c r="C8192" t="s">
        <v>12931</v>
      </c>
      <c r="D8192" t="s">
        <v>13412</v>
      </c>
    </row>
    <row r="8193" spans="1:4" x14ac:dyDescent="0.25">
      <c r="A8193" s="180">
        <f t="shared" si="128"/>
        <v>8701325</v>
      </c>
      <c r="B8193" t="s">
        <v>12930</v>
      </c>
      <c r="C8193" t="s">
        <v>12931</v>
      </c>
      <c r="D8193" t="s">
        <v>13412</v>
      </c>
    </row>
    <row r="8194" spans="1:4" x14ac:dyDescent="0.25">
      <c r="A8194" s="180">
        <f t="shared" si="128"/>
        <v>8701325</v>
      </c>
      <c r="B8194" t="s">
        <v>12930</v>
      </c>
      <c r="C8194" t="s">
        <v>12931</v>
      </c>
      <c r="D8194" t="s">
        <v>13412</v>
      </c>
    </row>
    <row r="8195" spans="1:4" x14ac:dyDescent="0.25">
      <c r="A8195" s="180">
        <f t="shared" si="128"/>
        <v>8701325</v>
      </c>
      <c r="B8195" t="s">
        <v>12930</v>
      </c>
      <c r="C8195" t="s">
        <v>12931</v>
      </c>
      <c r="D8195" t="s">
        <v>13412</v>
      </c>
    </row>
    <row r="8196" spans="1:4" x14ac:dyDescent="0.25">
      <c r="A8196" s="180">
        <f t="shared" si="128"/>
        <v>8701326</v>
      </c>
      <c r="B8196" t="s">
        <v>5638</v>
      </c>
      <c r="C8196" t="s">
        <v>5639</v>
      </c>
    </row>
    <row r="8197" spans="1:4" x14ac:dyDescent="0.25">
      <c r="A8197" s="180">
        <f t="shared" si="128"/>
        <v>8701350</v>
      </c>
      <c r="B8197" t="s">
        <v>5640</v>
      </c>
      <c r="C8197" t="s">
        <v>7033</v>
      </c>
      <c r="D8197" t="s">
        <v>13412</v>
      </c>
    </row>
    <row r="8198" spans="1:4" x14ac:dyDescent="0.25">
      <c r="A8198" s="180">
        <f t="shared" si="128"/>
        <v>8701351</v>
      </c>
      <c r="B8198" t="s">
        <v>5641</v>
      </c>
      <c r="C8198" t="s">
        <v>5642</v>
      </c>
    </row>
    <row r="8199" spans="1:4" x14ac:dyDescent="0.25">
      <c r="A8199" s="180">
        <f t="shared" si="128"/>
        <v>8701458</v>
      </c>
      <c r="B8199" t="s">
        <v>5643</v>
      </c>
      <c r="C8199" t="s">
        <v>5644</v>
      </c>
      <c r="D8199" t="s">
        <v>13412</v>
      </c>
    </row>
    <row r="8200" spans="1:4" x14ac:dyDescent="0.25">
      <c r="A8200" s="180">
        <f t="shared" si="128"/>
        <v>8701494</v>
      </c>
      <c r="B8200" t="s">
        <v>5645</v>
      </c>
      <c r="C8200" t="s">
        <v>5646</v>
      </c>
      <c r="D8200" t="s">
        <v>13412</v>
      </c>
    </row>
    <row r="8201" spans="1:4" x14ac:dyDescent="0.25">
      <c r="A8201" s="180">
        <f t="shared" si="128"/>
        <v>8701495</v>
      </c>
      <c r="B8201" t="s">
        <v>5647</v>
      </c>
      <c r="C8201" t="s">
        <v>5648</v>
      </c>
      <c r="D8201" t="s">
        <v>13412</v>
      </c>
    </row>
    <row r="8202" spans="1:4" x14ac:dyDescent="0.25">
      <c r="A8202" s="180">
        <f t="shared" si="128"/>
        <v>8701500</v>
      </c>
      <c r="B8202" t="s">
        <v>5649</v>
      </c>
      <c r="C8202" t="s">
        <v>5650</v>
      </c>
      <c r="D8202" t="s">
        <v>13412</v>
      </c>
    </row>
    <row r="8203" spans="1:4" x14ac:dyDescent="0.25">
      <c r="A8203" s="180">
        <f t="shared" si="128"/>
        <v>8701500</v>
      </c>
      <c r="B8203" t="s">
        <v>5649</v>
      </c>
      <c r="C8203" t="s">
        <v>5650</v>
      </c>
      <c r="D8203" t="s">
        <v>13412</v>
      </c>
    </row>
    <row r="8204" spans="1:4" x14ac:dyDescent="0.25">
      <c r="A8204" s="180">
        <f t="shared" si="128"/>
        <v>8701540</v>
      </c>
      <c r="B8204" t="s">
        <v>14997</v>
      </c>
      <c r="C8204" t="s">
        <v>14998</v>
      </c>
      <c r="D8204" t="s">
        <v>13412</v>
      </c>
    </row>
    <row r="8205" spans="1:4" x14ac:dyDescent="0.25">
      <c r="A8205" s="180">
        <f t="shared" si="128"/>
        <v>8701541</v>
      </c>
      <c r="B8205" t="s">
        <v>5651</v>
      </c>
      <c r="C8205" t="s">
        <v>5652</v>
      </c>
      <c r="D8205" t="s">
        <v>13412</v>
      </c>
    </row>
    <row r="8206" spans="1:4" x14ac:dyDescent="0.25">
      <c r="A8206" s="180">
        <f t="shared" si="128"/>
        <v>8701541</v>
      </c>
      <c r="B8206" t="s">
        <v>5651</v>
      </c>
      <c r="C8206" t="s">
        <v>5652</v>
      </c>
      <c r="D8206" t="s">
        <v>13412</v>
      </c>
    </row>
    <row r="8207" spans="1:4" x14ac:dyDescent="0.25">
      <c r="A8207" s="180">
        <f t="shared" si="128"/>
        <v>8701541</v>
      </c>
      <c r="B8207" t="s">
        <v>5651</v>
      </c>
      <c r="C8207" t="s">
        <v>5652</v>
      </c>
      <c r="D8207" t="s">
        <v>13412</v>
      </c>
    </row>
    <row r="8208" spans="1:4" x14ac:dyDescent="0.25">
      <c r="A8208" s="180">
        <f t="shared" si="128"/>
        <v>8701541</v>
      </c>
      <c r="B8208" t="s">
        <v>5651</v>
      </c>
      <c r="C8208" t="s">
        <v>5652</v>
      </c>
      <c r="D8208" t="s">
        <v>13412</v>
      </c>
    </row>
    <row r="8209" spans="1:4" x14ac:dyDescent="0.25">
      <c r="A8209" s="180">
        <f t="shared" si="128"/>
        <v>8701542</v>
      </c>
      <c r="B8209" t="s">
        <v>5653</v>
      </c>
      <c r="C8209" t="s">
        <v>5654</v>
      </c>
      <c r="D8209" t="s">
        <v>13412</v>
      </c>
    </row>
    <row r="8210" spans="1:4" x14ac:dyDescent="0.25">
      <c r="A8210" s="180">
        <f t="shared" si="128"/>
        <v>8701542</v>
      </c>
      <c r="B8210" t="s">
        <v>5653</v>
      </c>
      <c r="C8210" t="s">
        <v>5654</v>
      </c>
      <c r="D8210" t="s">
        <v>13412</v>
      </c>
    </row>
    <row r="8211" spans="1:4" x14ac:dyDescent="0.25">
      <c r="A8211" s="180">
        <f t="shared" si="128"/>
        <v>8701542</v>
      </c>
      <c r="B8211" t="s">
        <v>5653</v>
      </c>
      <c r="C8211" t="s">
        <v>5654</v>
      </c>
      <c r="D8211" t="s">
        <v>13412</v>
      </c>
    </row>
    <row r="8212" spans="1:4" x14ac:dyDescent="0.25">
      <c r="A8212" s="180">
        <f t="shared" si="128"/>
        <v>8701542</v>
      </c>
      <c r="B8212" t="s">
        <v>5653</v>
      </c>
      <c r="C8212" t="s">
        <v>5654</v>
      </c>
      <c r="D8212" t="s">
        <v>13412</v>
      </c>
    </row>
    <row r="8213" spans="1:4" x14ac:dyDescent="0.25">
      <c r="A8213" s="180">
        <f t="shared" si="128"/>
        <v>8701542</v>
      </c>
      <c r="B8213" t="s">
        <v>5653</v>
      </c>
      <c r="C8213" t="s">
        <v>5654</v>
      </c>
      <c r="D8213" t="s">
        <v>13412</v>
      </c>
    </row>
    <row r="8214" spans="1:4" x14ac:dyDescent="0.25">
      <c r="A8214" s="180">
        <f t="shared" si="128"/>
        <v>8701543</v>
      </c>
      <c r="B8214" t="s">
        <v>14071</v>
      </c>
      <c r="C8214" t="s">
        <v>14072</v>
      </c>
      <c r="D8214" t="s">
        <v>13412</v>
      </c>
    </row>
    <row r="8215" spans="1:4" x14ac:dyDescent="0.25">
      <c r="A8215" s="180">
        <f t="shared" si="128"/>
        <v>8701552</v>
      </c>
      <c r="B8215" t="s">
        <v>5655</v>
      </c>
      <c r="C8215" t="s">
        <v>5656</v>
      </c>
    </row>
    <row r="8216" spans="1:4" x14ac:dyDescent="0.25">
      <c r="A8216" s="180">
        <f t="shared" si="128"/>
        <v>8701575</v>
      </c>
      <c r="B8216" t="s">
        <v>5657</v>
      </c>
      <c r="C8216" t="s">
        <v>5658</v>
      </c>
      <c r="D8216" t="s">
        <v>13412</v>
      </c>
    </row>
    <row r="8217" spans="1:4" x14ac:dyDescent="0.25">
      <c r="A8217" s="180">
        <f t="shared" si="128"/>
        <v>8701576</v>
      </c>
      <c r="B8217" t="s">
        <v>5659</v>
      </c>
      <c r="C8217" t="s">
        <v>13362</v>
      </c>
      <c r="D8217" t="s">
        <v>13412</v>
      </c>
    </row>
    <row r="8218" spans="1:4" x14ac:dyDescent="0.25">
      <c r="A8218" s="180">
        <f t="shared" si="128"/>
        <v>8701576</v>
      </c>
      <c r="B8218" t="s">
        <v>5659</v>
      </c>
      <c r="C8218" t="s">
        <v>13362</v>
      </c>
      <c r="D8218" t="s">
        <v>13412</v>
      </c>
    </row>
    <row r="8219" spans="1:4" x14ac:dyDescent="0.25">
      <c r="A8219" s="180">
        <f t="shared" si="128"/>
        <v>8701576</v>
      </c>
      <c r="B8219" t="s">
        <v>5659</v>
      </c>
      <c r="C8219" t="s">
        <v>13362</v>
      </c>
      <c r="D8219" t="s">
        <v>13412</v>
      </c>
    </row>
    <row r="8220" spans="1:4" x14ac:dyDescent="0.25">
      <c r="A8220" s="180">
        <f t="shared" si="128"/>
        <v>8701576</v>
      </c>
      <c r="B8220" t="s">
        <v>5659</v>
      </c>
      <c r="C8220" t="s">
        <v>13362</v>
      </c>
      <c r="D8220" t="s">
        <v>13412</v>
      </c>
    </row>
    <row r="8221" spans="1:4" x14ac:dyDescent="0.25">
      <c r="A8221" s="180">
        <f t="shared" si="128"/>
        <v>8701651</v>
      </c>
      <c r="B8221" t="s">
        <v>14073</v>
      </c>
      <c r="C8221" t="s">
        <v>14074</v>
      </c>
      <c r="D8221" t="s">
        <v>13412</v>
      </c>
    </row>
    <row r="8222" spans="1:4" x14ac:dyDescent="0.25">
      <c r="A8222" s="180">
        <f t="shared" si="128"/>
        <v>8701652</v>
      </c>
      <c r="B8222" t="s">
        <v>5660</v>
      </c>
      <c r="C8222" t="s">
        <v>5661</v>
      </c>
      <c r="D8222" t="s">
        <v>13412</v>
      </c>
    </row>
    <row r="8223" spans="1:4" x14ac:dyDescent="0.25">
      <c r="A8223" s="180">
        <f t="shared" si="128"/>
        <v>8701653</v>
      </c>
      <c r="B8223" t="s">
        <v>5662</v>
      </c>
      <c r="C8223" t="s">
        <v>5663</v>
      </c>
      <c r="D8223" t="s">
        <v>13412</v>
      </c>
    </row>
    <row r="8224" spans="1:4" x14ac:dyDescent="0.25">
      <c r="A8224" s="180">
        <f t="shared" si="128"/>
        <v>8701654</v>
      </c>
      <c r="B8224" t="s">
        <v>5664</v>
      </c>
      <c r="C8224" t="s">
        <v>5665</v>
      </c>
      <c r="D8224" t="s">
        <v>13412</v>
      </c>
    </row>
    <row r="8225" spans="1:4" x14ac:dyDescent="0.25">
      <c r="A8225" s="180">
        <f t="shared" si="128"/>
        <v>8701655</v>
      </c>
      <c r="B8225" t="s">
        <v>5666</v>
      </c>
      <c r="C8225" t="s">
        <v>5667</v>
      </c>
      <c r="D8225" t="s">
        <v>13412</v>
      </c>
    </row>
    <row r="8226" spans="1:4" x14ac:dyDescent="0.25">
      <c r="A8226" s="180">
        <f t="shared" si="128"/>
        <v>8701656</v>
      </c>
      <c r="B8226" t="s">
        <v>5668</v>
      </c>
      <c r="C8226" t="s">
        <v>5669</v>
      </c>
    </row>
    <row r="8227" spans="1:4" x14ac:dyDescent="0.25">
      <c r="A8227" s="180">
        <f t="shared" si="128"/>
        <v>8701657</v>
      </c>
      <c r="B8227" t="s">
        <v>5670</v>
      </c>
      <c r="C8227" t="s">
        <v>5671</v>
      </c>
      <c r="D8227" t="s">
        <v>13412</v>
      </c>
    </row>
    <row r="8228" spans="1:4" x14ac:dyDescent="0.25">
      <c r="A8228" s="180">
        <f t="shared" si="128"/>
        <v>8701658</v>
      </c>
      <c r="B8228" t="s">
        <v>5672</v>
      </c>
      <c r="C8228" t="s">
        <v>5673</v>
      </c>
    </row>
    <row r="8229" spans="1:4" x14ac:dyDescent="0.25">
      <c r="A8229" s="180">
        <f t="shared" si="128"/>
        <v>8701735</v>
      </c>
      <c r="B8229" t="s">
        <v>5674</v>
      </c>
      <c r="C8229" t="s">
        <v>15016</v>
      </c>
      <c r="D8229" t="s">
        <v>13412</v>
      </c>
    </row>
    <row r="8230" spans="1:4" x14ac:dyDescent="0.25">
      <c r="A8230" s="180">
        <f t="shared" si="128"/>
        <v>8701735</v>
      </c>
      <c r="B8230" t="s">
        <v>5674</v>
      </c>
      <c r="C8230" t="s">
        <v>15016</v>
      </c>
      <c r="D8230" t="s">
        <v>13412</v>
      </c>
    </row>
    <row r="8231" spans="1:4" x14ac:dyDescent="0.25">
      <c r="A8231" s="180">
        <f t="shared" si="128"/>
        <v>8701735</v>
      </c>
      <c r="B8231" t="s">
        <v>5674</v>
      </c>
      <c r="C8231" t="s">
        <v>15016</v>
      </c>
      <c r="D8231" t="s">
        <v>13412</v>
      </c>
    </row>
    <row r="8232" spans="1:4" x14ac:dyDescent="0.25">
      <c r="A8232" s="180">
        <f t="shared" si="128"/>
        <v>8701735</v>
      </c>
      <c r="B8232" t="s">
        <v>5674</v>
      </c>
      <c r="C8232" t="s">
        <v>15016</v>
      </c>
      <c r="D8232" t="s">
        <v>13412</v>
      </c>
    </row>
    <row r="8233" spans="1:4" x14ac:dyDescent="0.25">
      <c r="A8233" s="180">
        <f t="shared" si="128"/>
        <v>8701735</v>
      </c>
      <c r="B8233" t="s">
        <v>5674</v>
      </c>
      <c r="C8233" t="s">
        <v>15016</v>
      </c>
      <c r="D8233" t="s">
        <v>13412</v>
      </c>
    </row>
    <row r="8234" spans="1:4" x14ac:dyDescent="0.25">
      <c r="A8234" s="180">
        <f t="shared" si="128"/>
        <v>8701735</v>
      </c>
      <c r="B8234" t="s">
        <v>5674</v>
      </c>
      <c r="C8234" t="s">
        <v>15016</v>
      </c>
      <c r="D8234" t="s">
        <v>13412</v>
      </c>
    </row>
    <row r="8235" spans="1:4" x14ac:dyDescent="0.25">
      <c r="A8235" s="180">
        <f t="shared" si="128"/>
        <v>8701735</v>
      </c>
      <c r="B8235" t="s">
        <v>5674</v>
      </c>
      <c r="C8235" t="s">
        <v>15016</v>
      </c>
      <c r="D8235" t="s">
        <v>13412</v>
      </c>
    </row>
    <row r="8236" spans="1:4" x14ac:dyDescent="0.25">
      <c r="A8236" s="180">
        <f t="shared" si="128"/>
        <v>8701735</v>
      </c>
      <c r="B8236" t="s">
        <v>5674</v>
      </c>
      <c r="C8236" t="s">
        <v>15016</v>
      </c>
      <c r="D8236" t="s">
        <v>13412</v>
      </c>
    </row>
    <row r="8237" spans="1:4" x14ac:dyDescent="0.25">
      <c r="A8237" s="180">
        <f t="shared" si="128"/>
        <v>8701735</v>
      </c>
      <c r="B8237" t="s">
        <v>5674</v>
      </c>
      <c r="C8237" t="s">
        <v>15016</v>
      </c>
      <c r="D8237" t="s">
        <v>13412</v>
      </c>
    </row>
    <row r="8238" spans="1:4" x14ac:dyDescent="0.25">
      <c r="A8238" s="180">
        <f t="shared" si="128"/>
        <v>8701735</v>
      </c>
      <c r="B8238" t="s">
        <v>5674</v>
      </c>
      <c r="C8238" t="s">
        <v>15016</v>
      </c>
      <c r="D8238" t="s">
        <v>13412</v>
      </c>
    </row>
    <row r="8239" spans="1:4" x14ac:dyDescent="0.25">
      <c r="A8239" s="180">
        <f t="shared" si="128"/>
        <v>8701735</v>
      </c>
      <c r="B8239" t="s">
        <v>5674</v>
      </c>
      <c r="C8239" t="s">
        <v>15016</v>
      </c>
      <c r="D8239" t="s">
        <v>13412</v>
      </c>
    </row>
    <row r="8240" spans="1:4" x14ac:dyDescent="0.25">
      <c r="A8240" s="180">
        <f t="shared" si="128"/>
        <v>8701735</v>
      </c>
      <c r="B8240" t="s">
        <v>5674</v>
      </c>
      <c r="C8240" t="s">
        <v>15016</v>
      </c>
      <c r="D8240" t="s">
        <v>13412</v>
      </c>
    </row>
    <row r="8241" spans="1:4" x14ac:dyDescent="0.25">
      <c r="A8241" s="180">
        <f t="shared" si="128"/>
        <v>8701735</v>
      </c>
      <c r="B8241" t="s">
        <v>5674</v>
      </c>
      <c r="C8241" t="s">
        <v>15016</v>
      </c>
      <c r="D8241" t="s">
        <v>13412</v>
      </c>
    </row>
    <row r="8242" spans="1:4" x14ac:dyDescent="0.25">
      <c r="A8242" s="180">
        <f t="shared" si="128"/>
        <v>8701735</v>
      </c>
      <c r="B8242" t="s">
        <v>5674</v>
      </c>
      <c r="C8242" t="s">
        <v>15016</v>
      </c>
      <c r="D8242" t="s">
        <v>13412</v>
      </c>
    </row>
    <row r="8243" spans="1:4" x14ac:dyDescent="0.25">
      <c r="A8243" s="180">
        <f t="shared" si="128"/>
        <v>8701735</v>
      </c>
      <c r="B8243" t="s">
        <v>5674</v>
      </c>
      <c r="C8243" t="s">
        <v>15016</v>
      </c>
      <c r="D8243" t="s">
        <v>13412</v>
      </c>
    </row>
    <row r="8244" spans="1:4" x14ac:dyDescent="0.25">
      <c r="A8244" s="180">
        <f t="shared" si="128"/>
        <v>8701736</v>
      </c>
      <c r="B8244" t="s">
        <v>5675</v>
      </c>
      <c r="C8244" t="s">
        <v>5676</v>
      </c>
    </row>
    <row r="8245" spans="1:4" x14ac:dyDescent="0.25">
      <c r="A8245" s="180">
        <f t="shared" si="128"/>
        <v>8701741</v>
      </c>
      <c r="B8245" t="s">
        <v>5677</v>
      </c>
      <c r="C8245" t="s">
        <v>14286</v>
      </c>
      <c r="D8245" t="s">
        <v>13411</v>
      </c>
    </row>
    <row r="8246" spans="1:4" x14ac:dyDescent="0.25">
      <c r="A8246" s="180">
        <f t="shared" si="128"/>
        <v>8701741</v>
      </c>
      <c r="B8246" t="s">
        <v>5677</v>
      </c>
      <c r="C8246" t="s">
        <v>14286</v>
      </c>
      <c r="D8246" t="s">
        <v>13411</v>
      </c>
    </row>
    <row r="8247" spans="1:4" x14ac:dyDescent="0.25">
      <c r="A8247" s="180">
        <f t="shared" si="128"/>
        <v>8701741</v>
      </c>
      <c r="B8247" t="s">
        <v>5677</v>
      </c>
      <c r="C8247" t="s">
        <v>14286</v>
      </c>
      <c r="D8247" t="s">
        <v>13411</v>
      </c>
    </row>
    <row r="8248" spans="1:4" x14ac:dyDescent="0.25">
      <c r="A8248" s="180">
        <f t="shared" si="128"/>
        <v>8701742</v>
      </c>
      <c r="B8248" t="s">
        <v>5678</v>
      </c>
      <c r="C8248" t="s">
        <v>14287</v>
      </c>
      <c r="D8248" t="s">
        <v>13411</v>
      </c>
    </row>
    <row r="8249" spans="1:4" x14ac:dyDescent="0.25">
      <c r="A8249" s="180">
        <f t="shared" si="128"/>
        <v>8701742</v>
      </c>
      <c r="B8249" t="s">
        <v>5678</v>
      </c>
      <c r="C8249" t="s">
        <v>14287</v>
      </c>
      <c r="D8249" t="s">
        <v>13411</v>
      </c>
    </row>
    <row r="8250" spans="1:4" x14ac:dyDescent="0.25">
      <c r="A8250" s="180">
        <f t="shared" si="128"/>
        <v>8701745</v>
      </c>
      <c r="B8250" t="s">
        <v>5679</v>
      </c>
      <c r="C8250" t="s">
        <v>5680</v>
      </c>
    </row>
    <row r="8251" spans="1:4" x14ac:dyDescent="0.25">
      <c r="A8251" s="180">
        <f t="shared" si="128"/>
        <v>8701750</v>
      </c>
      <c r="B8251" t="s">
        <v>5681</v>
      </c>
      <c r="C8251" t="s">
        <v>5682</v>
      </c>
      <c r="D8251" t="s">
        <v>13412</v>
      </c>
    </row>
    <row r="8252" spans="1:4" x14ac:dyDescent="0.25">
      <c r="A8252" s="180">
        <f t="shared" si="128"/>
        <v>8701800</v>
      </c>
      <c r="B8252" t="s">
        <v>5683</v>
      </c>
      <c r="C8252" t="s">
        <v>5684</v>
      </c>
      <c r="D8252" t="s">
        <v>13412</v>
      </c>
    </row>
    <row r="8253" spans="1:4" x14ac:dyDescent="0.25">
      <c r="A8253" s="180">
        <f t="shared" si="128"/>
        <v>8701856</v>
      </c>
      <c r="B8253" t="s">
        <v>5685</v>
      </c>
      <c r="C8253" t="s">
        <v>5686</v>
      </c>
      <c r="D8253" t="s">
        <v>13412</v>
      </c>
    </row>
    <row r="8254" spans="1:4" x14ac:dyDescent="0.25">
      <c r="A8254" s="180">
        <f t="shared" si="128"/>
        <v>8701900</v>
      </c>
      <c r="B8254" t="s">
        <v>5687</v>
      </c>
      <c r="C8254" t="s">
        <v>13363</v>
      </c>
      <c r="D8254" t="s">
        <v>13411</v>
      </c>
    </row>
    <row r="8255" spans="1:4" x14ac:dyDescent="0.25">
      <c r="A8255" s="180">
        <f t="shared" ref="A8255:A8318" si="129">IFERROR(B8255*1,"")</f>
        <v>8701999</v>
      </c>
      <c r="B8255" t="s">
        <v>5688</v>
      </c>
      <c r="C8255" t="s">
        <v>5689</v>
      </c>
      <c r="D8255" t="s">
        <v>13412</v>
      </c>
    </row>
    <row r="8256" spans="1:4" x14ac:dyDescent="0.25">
      <c r="A8256" s="180">
        <f t="shared" si="129"/>
        <v>8701999</v>
      </c>
      <c r="B8256" t="s">
        <v>5688</v>
      </c>
      <c r="C8256" t="s">
        <v>5689</v>
      </c>
      <c r="D8256" t="s">
        <v>13412</v>
      </c>
    </row>
    <row r="8257" spans="1:4" x14ac:dyDescent="0.25">
      <c r="A8257" s="180">
        <f t="shared" si="129"/>
        <v>8701999</v>
      </c>
      <c r="B8257" t="s">
        <v>5688</v>
      </c>
      <c r="C8257" t="s">
        <v>5689</v>
      </c>
      <c r="D8257" t="s">
        <v>13412</v>
      </c>
    </row>
    <row r="8258" spans="1:4" x14ac:dyDescent="0.25">
      <c r="A8258" s="180">
        <f t="shared" si="129"/>
        <v>8701999</v>
      </c>
      <c r="B8258" t="s">
        <v>5688</v>
      </c>
      <c r="C8258" t="s">
        <v>5689</v>
      </c>
      <c r="D8258" t="s">
        <v>13412</v>
      </c>
    </row>
    <row r="8259" spans="1:4" x14ac:dyDescent="0.25">
      <c r="A8259" s="180">
        <f t="shared" si="129"/>
        <v>8701999</v>
      </c>
      <c r="B8259" t="s">
        <v>5688</v>
      </c>
      <c r="C8259" t="s">
        <v>5689</v>
      </c>
      <c r="D8259" t="s">
        <v>13412</v>
      </c>
    </row>
    <row r="8260" spans="1:4" x14ac:dyDescent="0.25">
      <c r="A8260" s="180">
        <f t="shared" si="129"/>
        <v>8701999</v>
      </c>
      <c r="B8260" t="s">
        <v>5688</v>
      </c>
      <c r="C8260" t="s">
        <v>5689</v>
      </c>
      <c r="D8260" t="s">
        <v>13412</v>
      </c>
    </row>
    <row r="8261" spans="1:4" x14ac:dyDescent="0.25">
      <c r="A8261" s="180">
        <f t="shared" si="129"/>
        <v>8701999</v>
      </c>
      <c r="B8261" t="s">
        <v>5688</v>
      </c>
      <c r="C8261" t="s">
        <v>5689</v>
      </c>
      <c r="D8261" t="s">
        <v>13412</v>
      </c>
    </row>
    <row r="8262" spans="1:4" x14ac:dyDescent="0.25">
      <c r="A8262" s="180">
        <f t="shared" si="129"/>
        <v>8701999</v>
      </c>
      <c r="B8262" t="s">
        <v>5688</v>
      </c>
      <c r="C8262" t="s">
        <v>5689</v>
      </c>
      <c r="D8262" t="s">
        <v>13412</v>
      </c>
    </row>
    <row r="8263" spans="1:4" x14ac:dyDescent="0.25">
      <c r="A8263" s="180">
        <f t="shared" si="129"/>
        <v>8701999</v>
      </c>
      <c r="B8263" t="s">
        <v>5688</v>
      </c>
      <c r="C8263" t="s">
        <v>5689</v>
      </c>
      <c r="D8263" t="s">
        <v>13412</v>
      </c>
    </row>
    <row r="8264" spans="1:4" x14ac:dyDescent="0.25">
      <c r="A8264" s="180">
        <f t="shared" si="129"/>
        <v>8701999</v>
      </c>
      <c r="B8264" t="s">
        <v>5688</v>
      </c>
      <c r="C8264" t="s">
        <v>5689</v>
      </c>
      <c r="D8264" t="s">
        <v>13412</v>
      </c>
    </row>
    <row r="8265" spans="1:4" x14ac:dyDescent="0.25">
      <c r="A8265" s="180">
        <f t="shared" si="129"/>
        <v>8701999</v>
      </c>
      <c r="B8265" t="s">
        <v>5688</v>
      </c>
      <c r="C8265" t="s">
        <v>5689</v>
      </c>
      <c r="D8265" t="s">
        <v>13412</v>
      </c>
    </row>
    <row r="8266" spans="1:4" x14ac:dyDescent="0.25">
      <c r="A8266" s="180">
        <f t="shared" si="129"/>
        <v>8701999</v>
      </c>
      <c r="B8266" t="s">
        <v>5688</v>
      </c>
      <c r="C8266" t="s">
        <v>5689</v>
      </c>
      <c r="D8266" t="s">
        <v>13412</v>
      </c>
    </row>
    <row r="8267" spans="1:4" x14ac:dyDescent="0.25">
      <c r="A8267" s="180">
        <f t="shared" si="129"/>
        <v>8701999</v>
      </c>
      <c r="B8267" t="s">
        <v>5688</v>
      </c>
      <c r="C8267" t="s">
        <v>5689</v>
      </c>
      <c r="D8267" t="s">
        <v>13412</v>
      </c>
    </row>
    <row r="8268" spans="1:4" x14ac:dyDescent="0.25">
      <c r="A8268" s="180">
        <f t="shared" si="129"/>
        <v>8701999</v>
      </c>
      <c r="B8268" t="s">
        <v>5688</v>
      </c>
      <c r="C8268" t="s">
        <v>5689</v>
      </c>
      <c r="D8268" t="s">
        <v>13412</v>
      </c>
    </row>
    <row r="8269" spans="1:4" x14ac:dyDescent="0.25">
      <c r="A8269" s="180">
        <f t="shared" si="129"/>
        <v>8701999</v>
      </c>
      <c r="B8269" t="s">
        <v>5688</v>
      </c>
      <c r="C8269" t="s">
        <v>5689</v>
      </c>
      <c r="D8269" t="s">
        <v>13412</v>
      </c>
    </row>
    <row r="8270" spans="1:4" x14ac:dyDescent="0.25">
      <c r="A8270" s="180">
        <f t="shared" si="129"/>
        <v>870199985</v>
      </c>
      <c r="B8270" t="s">
        <v>14288</v>
      </c>
      <c r="C8270" t="s">
        <v>14289</v>
      </c>
    </row>
    <row r="8271" spans="1:4" x14ac:dyDescent="0.25">
      <c r="A8271" s="180">
        <f t="shared" si="129"/>
        <v>8702073</v>
      </c>
      <c r="B8271" t="s">
        <v>5690</v>
      </c>
      <c r="C8271" t="s">
        <v>5691</v>
      </c>
    </row>
    <row r="8272" spans="1:4" x14ac:dyDescent="0.25">
      <c r="A8272" s="180">
        <f t="shared" si="129"/>
        <v>8702228</v>
      </c>
      <c r="B8272" t="s">
        <v>5692</v>
      </c>
      <c r="C8272" t="s">
        <v>5693</v>
      </c>
    </row>
    <row r="8273" spans="1:4" x14ac:dyDescent="0.25">
      <c r="A8273" s="180">
        <f t="shared" si="129"/>
        <v>8702557</v>
      </c>
      <c r="B8273" t="s">
        <v>5694</v>
      </c>
      <c r="C8273" t="s">
        <v>5695</v>
      </c>
      <c r="D8273" t="s">
        <v>13412</v>
      </c>
    </row>
    <row r="8274" spans="1:4" x14ac:dyDescent="0.25">
      <c r="A8274" s="180">
        <f t="shared" si="129"/>
        <v>8702660</v>
      </c>
      <c r="B8274" t="s">
        <v>5696</v>
      </c>
      <c r="C8274" t="s">
        <v>5697</v>
      </c>
      <c r="D8274" t="s">
        <v>13412</v>
      </c>
    </row>
    <row r="8275" spans="1:4" x14ac:dyDescent="0.25">
      <c r="A8275" s="180">
        <f t="shared" si="129"/>
        <v>8702661</v>
      </c>
      <c r="B8275" t="s">
        <v>5698</v>
      </c>
      <c r="C8275" t="s">
        <v>5699</v>
      </c>
      <c r="D8275" t="s">
        <v>13412</v>
      </c>
    </row>
    <row r="8276" spans="1:4" x14ac:dyDescent="0.25">
      <c r="A8276" s="180">
        <f t="shared" si="129"/>
        <v>8702668</v>
      </c>
      <c r="B8276" t="s">
        <v>5700</v>
      </c>
      <c r="C8276" t="s">
        <v>5701</v>
      </c>
    </row>
    <row r="8277" spans="1:4" x14ac:dyDescent="0.25">
      <c r="A8277" s="180">
        <f t="shared" si="129"/>
        <v>8703000</v>
      </c>
      <c r="B8277" t="s">
        <v>5702</v>
      </c>
      <c r="C8277" t="s">
        <v>5703</v>
      </c>
    </row>
    <row r="8278" spans="1:4" x14ac:dyDescent="0.25">
      <c r="A8278" s="180">
        <f t="shared" si="129"/>
        <v>8703001</v>
      </c>
      <c r="B8278" t="s">
        <v>5704</v>
      </c>
      <c r="C8278" t="s">
        <v>5705</v>
      </c>
      <c r="D8278" t="s">
        <v>13412</v>
      </c>
    </row>
    <row r="8279" spans="1:4" x14ac:dyDescent="0.25">
      <c r="A8279" s="180">
        <f t="shared" si="129"/>
        <v>8703002</v>
      </c>
      <c r="B8279" t="s">
        <v>5706</v>
      </c>
      <c r="C8279" t="s">
        <v>5707</v>
      </c>
    </row>
    <row r="8280" spans="1:4" x14ac:dyDescent="0.25">
      <c r="A8280" s="180">
        <f t="shared" si="129"/>
        <v>8703004</v>
      </c>
      <c r="B8280" t="s">
        <v>5708</v>
      </c>
      <c r="C8280" t="s">
        <v>5709</v>
      </c>
      <c r="D8280" t="s">
        <v>13412</v>
      </c>
    </row>
    <row r="8281" spans="1:4" x14ac:dyDescent="0.25">
      <c r="A8281" s="180">
        <f t="shared" si="129"/>
        <v>8703005</v>
      </c>
      <c r="B8281" t="s">
        <v>5710</v>
      </c>
      <c r="C8281" t="s">
        <v>5711</v>
      </c>
      <c r="D8281" t="s">
        <v>13412</v>
      </c>
    </row>
    <row r="8282" spans="1:4" x14ac:dyDescent="0.25">
      <c r="A8282" s="180">
        <f t="shared" si="129"/>
        <v>8703011</v>
      </c>
      <c r="B8282" t="s">
        <v>5712</v>
      </c>
      <c r="C8282" t="s">
        <v>5713</v>
      </c>
    </row>
    <row r="8283" spans="1:4" x14ac:dyDescent="0.25">
      <c r="A8283" s="180">
        <f t="shared" si="129"/>
        <v>8703012</v>
      </c>
      <c r="B8283" t="s">
        <v>5714</v>
      </c>
      <c r="C8283" t="s">
        <v>5715</v>
      </c>
      <c r="D8283" t="s">
        <v>13412</v>
      </c>
    </row>
    <row r="8284" spans="1:4" x14ac:dyDescent="0.25">
      <c r="A8284" s="180">
        <f t="shared" si="129"/>
        <v>8703017</v>
      </c>
      <c r="B8284" t="s">
        <v>5716</v>
      </c>
      <c r="C8284" t="s">
        <v>12932</v>
      </c>
      <c r="D8284" t="s">
        <v>13412</v>
      </c>
    </row>
    <row r="8285" spans="1:4" x14ac:dyDescent="0.25">
      <c r="A8285" s="180">
        <f t="shared" si="129"/>
        <v>8703018</v>
      </c>
      <c r="B8285" t="s">
        <v>5717</v>
      </c>
      <c r="C8285" t="s">
        <v>5718</v>
      </c>
      <c r="D8285" t="s">
        <v>13412</v>
      </c>
    </row>
    <row r="8286" spans="1:4" x14ac:dyDescent="0.25">
      <c r="A8286" s="180">
        <f t="shared" si="129"/>
        <v>8703020</v>
      </c>
      <c r="B8286" t="s">
        <v>5719</v>
      </c>
      <c r="C8286" t="s">
        <v>5720</v>
      </c>
      <c r="D8286" t="s">
        <v>13412</v>
      </c>
    </row>
    <row r="8287" spans="1:4" x14ac:dyDescent="0.25">
      <c r="A8287" s="180">
        <f t="shared" si="129"/>
        <v>8703021</v>
      </c>
      <c r="B8287" t="s">
        <v>5721</v>
      </c>
      <c r="C8287" t="s">
        <v>5722</v>
      </c>
    </row>
    <row r="8288" spans="1:4" x14ac:dyDescent="0.25">
      <c r="A8288" s="180">
        <f t="shared" si="129"/>
        <v>8703024</v>
      </c>
      <c r="B8288" t="s">
        <v>14075</v>
      </c>
      <c r="C8288" t="s">
        <v>14076</v>
      </c>
      <c r="D8288" t="s">
        <v>13412</v>
      </c>
    </row>
    <row r="8289" spans="1:4" x14ac:dyDescent="0.25">
      <c r="A8289" s="180">
        <f t="shared" si="129"/>
        <v>8703024</v>
      </c>
      <c r="B8289" t="s">
        <v>14075</v>
      </c>
      <c r="C8289" t="s">
        <v>14076</v>
      </c>
      <c r="D8289" t="s">
        <v>13412</v>
      </c>
    </row>
    <row r="8290" spans="1:4" x14ac:dyDescent="0.25">
      <c r="A8290" s="180">
        <f t="shared" si="129"/>
        <v>8703028</v>
      </c>
      <c r="B8290" t="s">
        <v>5723</v>
      </c>
      <c r="C8290" t="s">
        <v>13542</v>
      </c>
      <c r="D8290" t="s">
        <v>13412</v>
      </c>
    </row>
    <row r="8291" spans="1:4" x14ac:dyDescent="0.25">
      <c r="A8291" s="180">
        <f t="shared" si="129"/>
        <v>8703034</v>
      </c>
      <c r="B8291" t="s">
        <v>5724</v>
      </c>
      <c r="C8291" t="s">
        <v>5725</v>
      </c>
      <c r="D8291" t="s">
        <v>13412</v>
      </c>
    </row>
    <row r="8292" spans="1:4" x14ac:dyDescent="0.25">
      <c r="A8292" s="180">
        <f t="shared" si="129"/>
        <v>8703035</v>
      </c>
      <c r="B8292" t="s">
        <v>5726</v>
      </c>
      <c r="C8292" t="s">
        <v>5727</v>
      </c>
      <c r="D8292" t="s">
        <v>13412</v>
      </c>
    </row>
    <row r="8293" spans="1:4" x14ac:dyDescent="0.25">
      <c r="A8293" s="180">
        <f t="shared" si="129"/>
        <v>8703035</v>
      </c>
      <c r="B8293" t="s">
        <v>5726</v>
      </c>
      <c r="C8293" t="s">
        <v>5727</v>
      </c>
      <c r="D8293" t="s">
        <v>13412</v>
      </c>
    </row>
    <row r="8294" spans="1:4" x14ac:dyDescent="0.25">
      <c r="A8294" s="180">
        <f t="shared" si="129"/>
        <v>8703035</v>
      </c>
      <c r="B8294" t="s">
        <v>5726</v>
      </c>
      <c r="C8294" t="s">
        <v>5727</v>
      </c>
      <c r="D8294" t="s">
        <v>13412</v>
      </c>
    </row>
    <row r="8295" spans="1:4" x14ac:dyDescent="0.25">
      <c r="A8295" s="180">
        <f t="shared" si="129"/>
        <v>8703035</v>
      </c>
      <c r="B8295" t="s">
        <v>5726</v>
      </c>
      <c r="C8295" t="s">
        <v>5727</v>
      </c>
      <c r="D8295" t="s">
        <v>13412</v>
      </c>
    </row>
    <row r="8296" spans="1:4" x14ac:dyDescent="0.25">
      <c r="A8296" s="180">
        <f t="shared" si="129"/>
        <v>8703035</v>
      </c>
      <c r="B8296" t="s">
        <v>5726</v>
      </c>
      <c r="C8296" t="s">
        <v>5727</v>
      </c>
      <c r="D8296" t="s">
        <v>13412</v>
      </c>
    </row>
    <row r="8297" spans="1:4" x14ac:dyDescent="0.25">
      <c r="A8297" s="180">
        <f t="shared" si="129"/>
        <v>8703036</v>
      </c>
      <c r="B8297" t="s">
        <v>5728</v>
      </c>
      <c r="C8297" t="s">
        <v>5729</v>
      </c>
      <c r="D8297" t="s">
        <v>13412</v>
      </c>
    </row>
    <row r="8298" spans="1:4" x14ac:dyDescent="0.25">
      <c r="A8298" s="180">
        <f t="shared" si="129"/>
        <v>870303601</v>
      </c>
      <c r="B8298" t="s">
        <v>5730</v>
      </c>
      <c r="C8298" t="s">
        <v>5731</v>
      </c>
    </row>
    <row r="8299" spans="1:4" x14ac:dyDescent="0.25">
      <c r="A8299" s="180">
        <f t="shared" si="129"/>
        <v>870303602</v>
      </c>
      <c r="B8299" t="s">
        <v>5732</v>
      </c>
      <c r="C8299" t="s">
        <v>5733</v>
      </c>
    </row>
    <row r="8300" spans="1:4" x14ac:dyDescent="0.25">
      <c r="A8300" s="180">
        <f t="shared" si="129"/>
        <v>8703037</v>
      </c>
      <c r="B8300" t="s">
        <v>5734</v>
      </c>
      <c r="C8300" t="s">
        <v>5735</v>
      </c>
      <c r="D8300" t="s">
        <v>13412</v>
      </c>
    </row>
    <row r="8301" spans="1:4" x14ac:dyDescent="0.25">
      <c r="A8301" s="180">
        <f t="shared" si="129"/>
        <v>8703037</v>
      </c>
      <c r="B8301" t="s">
        <v>5734</v>
      </c>
      <c r="C8301" t="s">
        <v>5735</v>
      </c>
      <c r="D8301" t="s">
        <v>13412</v>
      </c>
    </row>
    <row r="8302" spans="1:4" x14ac:dyDescent="0.25">
      <c r="A8302" s="180">
        <f t="shared" si="129"/>
        <v>8703038</v>
      </c>
      <c r="B8302" t="s">
        <v>5736</v>
      </c>
      <c r="C8302" t="s">
        <v>5737</v>
      </c>
      <c r="D8302" t="s">
        <v>13412</v>
      </c>
    </row>
    <row r="8303" spans="1:4" x14ac:dyDescent="0.25">
      <c r="A8303" s="180">
        <f t="shared" si="129"/>
        <v>8703038</v>
      </c>
      <c r="B8303" t="s">
        <v>5736</v>
      </c>
      <c r="C8303" t="s">
        <v>5737</v>
      </c>
      <c r="D8303" t="s">
        <v>13412</v>
      </c>
    </row>
    <row r="8304" spans="1:4" x14ac:dyDescent="0.25">
      <c r="A8304" s="180">
        <f t="shared" si="129"/>
        <v>8703038</v>
      </c>
      <c r="B8304" t="s">
        <v>5736</v>
      </c>
      <c r="C8304" t="s">
        <v>5737</v>
      </c>
      <c r="D8304" t="s">
        <v>13412</v>
      </c>
    </row>
    <row r="8305" spans="1:4" x14ac:dyDescent="0.25">
      <c r="A8305" s="180">
        <f t="shared" si="129"/>
        <v>8703038</v>
      </c>
      <c r="B8305" t="s">
        <v>5736</v>
      </c>
      <c r="C8305" t="s">
        <v>5737</v>
      </c>
      <c r="D8305" t="s">
        <v>13412</v>
      </c>
    </row>
    <row r="8306" spans="1:4" x14ac:dyDescent="0.25">
      <c r="A8306" s="180">
        <f t="shared" si="129"/>
        <v>870303800</v>
      </c>
      <c r="B8306" t="s">
        <v>5738</v>
      </c>
      <c r="C8306" t="s">
        <v>5739</v>
      </c>
    </row>
    <row r="8307" spans="1:4" x14ac:dyDescent="0.25">
      <c r="A8307" s="180">
        <f t="shared" si="129"/>
        <v>870303801</v>
      </c>
      <c r="B8307" t="s">
        <v>5740</v>
      </c>
      <c r="C8307" t="s">
        <v>5741</v>
      </c>
    </row>
    <row r="8308" spans="1:4" x14ac:dyDescent="0.25">
      <c r="A8308" s="180">
        <f t="shared" si="129"/>
        <v>870303802</v>
      </c>
      <c r="B8308" t="s">
        <v>5742</v>
      </c>
      <c r="C8308" t="s">
        <v>5743</v>
      </c>
    </row>
    <row r="8309" spans="1:4" x14ac:dyDescent="0.25">
      <c r="A8309" s="180">
        <f t="shared" si="129"/>
        <v>870303803</v>
      </c>
      <c r="B8309" t="s">
        <v>5744</v>
      </c>
      <c r="C8309" t="s">
        <v>5745</v>
      </c>
    </row>
    <row r="8310" spans="1:4" x14ac:dyDescent="0.25">
      <c r="A8310" s="180">
        <f t="shared" si="129"/>
        <v>8703039</v>
      </c>
      <c r="B8310" t="s">
        <v>5746</v>
      </c>
      <c r="C8310" t="s">
        <v>5747</v>
      </c>
    </row>
    <row r="8311" spans="1:4" x14ac:dyDescent="0.25">
      <c r="A8311" s="180">
        <f t="shared" si="129"/>
        <v>8703040</v>
      </c>
      <c r="B8311" t="s">
        <v>5748</v>
      </c>
      <c r="C8311" t="s">
        <v>5749</v>
      </c>
      <c r="D8311" t="s">
        <v>13412</v>
      </c>
    </row>
    <row r="8312" spans="1:4" x14ac:dyDescent="0.25">
      <c r="A8312" s="180">
        <f t="shared" si="129"/>
        <v>8703041</v>
      </c>
      <c r="B8312" t="s">
        <v>5750</v>
      </c>
      <c r="C8312" t="s">
        <v>5751</v>
      </c>
      <c r="D8312" t="s">
        <v>13412</v>
      </c>
    </row>
    <row r="8313" spans="1:4" x14ac:dyDescent="0.25">
      <c r="A8313" s="180">
        <f t="shared" si="129"/>
        <v>8703041</v>
      </c>
      <c r="B8313" t="s">
        <v>5750</v>
      </c>
      <c r="C8313" t="s">
        <v>5751</v>
      </c>
      <c r="D8313" t="s">
        <v>13412</v>
      </c>
    </row>
    <row r="8314" spans="1:4" x14ac:dyDescent="0.25">
      <c r="A8314" s="180">
        <f t="shared" si="129"/>
        <v>870304101</v>
      </c>
      <c r="B8314" t="s">
        <v>5752</v>
      </c>
      <c r="C8314" t="s">
        <v>5753</v>
      </c>
    </row>
    <row r="8315" spans="1:4" x14ac:dyDescent="0.25">
      <c r="A8315" s="180">
        <f t="shared" si="129"/>
        <v>870304102</v>
      </c>
      <c r="B8315" t="s">
        <v>5754</v>
      </c>
      <c r="C8315" t="s">
        <v>5755</v>
      </c>
    </row>
    <row r="8316" spans="1:4" x14ac:dyDescent="0.25">
      <c r="A8316" s="180">
        <f t="shared" si="129"/>
        <v>8703042</v>
      </c>
      <c r="B8316" t="s">
        <v>5756</v>
      </c>
      <c r="C8316" t="s">
        <v>5757</v>
      </c>
      <c r="D8316" t="s">
        <v>13412</v>
      </c>
    </row>
    <row r="8317" spans="1:4" x14ac:dyDescent="0.25">
      <c r="A8317" s="180">
        <f t="shared" si="129"/>
        <v>8703045</v>
      </c>
      <c r="B8317" t="s">
        <v>5758</v>
      </c>
      <c r="C8317" t="s">
        <v>5759</v>
      </c>
      <c r="D8317" t="s">
        <v>13412</v>
      </c>
    </row>
    <row r="8318" spans="1:4" x14ac:dyDescent="0.25">
      <c r="A8318" s="180">
        <f t="shared" si="129"/>
        <v>8703046</v>
      </c>
      <c r="B8318" t="s">
        <v>5760</v>
      </c>
      <c r="C8318" t="s">
        <v>5761</v>
      </c>
      <c r="D8318" t="s">
        <v>13412</v>
      </c>
    </row>
    <row r="8319" spans="1:4" x14ac:dyDescent="0.25">
      <c r="A8319" s="180">
        <f t="shared" ref="A8319:A8382" si="130">IFERROR(B8319*1,"")</f>
        <v>8703047</v>
      </c>
      <c r="B8319" t="s">
        <v>5762</v>
      </c>
      <c r="C8319" t="s">
        <v>12933</v>
      </c>
      <c r="D8319" t="s">
        <v>13411</v>
      </c>
    </row>
    <row r="8320" spans="1:4" x14ac:dyDescent="0.25">
      <c r="A8320" s="180">
        <f t="shared" si="130"/>
        <v>8703051</v>
      </c>
      <c r="B8320" t="s">
        <v>5763</v>
      </c>
      <c r="C8320" t="s">
        <v>5764</v>
      </c>
      <c r="D8320" t="s">
        <v>13412</v>
      </c>
    </row>
    <row r="8321" spans="1:4" x14ac:dyDescent="0.25">
      <c r="A8321" s="180">
        <f t="shared" si="130"/>
        <v>8703052</v>
      </c>
      <c r="B8321" t="s">
        <v>5765</v>
      </c>
      <c r="C8321" t="s">
        <v>5766</v>
      </c>
    </row>
    <row r="8322" spans="1:4" x14ac:dyDescent="0.25">
      <c r="A8322" s="180">
        <f t="shared" si="130"/>
        <v>8703053</v>
      </c>
      <c r="B8322" t="s">
        <v>5767</v>
      </c>
      <c r="C8322" t="s">
        <v>5768</v>
      </c>
      <c r="D8322" t="s">
        <v>13412</v>
      </c>
    </row>
    <row r="8323" spans="1:4" x14ac:dyDescent="0.25">
      <c r="A8323" s="180">
        <f t="shared" si="130"/>
        <v>8703062</v>
      </c>
      <c r="B8323" t="s">
        <v>5769</v>
      </c>
      <c r="C8323" t="s">
        <v>5770</v>
      </c>
    </row>
    <row r="8324" spans="1:4" x14ac:dyDescent="0.25">
      <c r="A8324" s="180">
        <f t="shared" si="130"/>
        <v>8703076</v>
      </c>
      <c r="B8324" t="s">
        <v>14903</v>
      </c>
      <c r="C8324" t="s">
        <v>14904</v>
      </c>
    </row>
    <row r="8325" spans="1:4" x14ac:dyDescent="0.25">
      <c r="A8325" s="180">
        <f t="shared" si="130"/>
        <v>8703090</v>
      </c>
      <c r="B8325" t="s">
        <v>5771</v>
      </c>
      <c r="C8325" t="s">
        <v>5772</v>
      </c>
    </row>
    <row r="8326" spans="1:4" x14ac:dyDescent="0.25">
      <c r="A8326" s="180">
        <f t="shared" si="130"/>
        <v>8703094</v>
      </c>
      <c r="B8326" t="s">
        <v>5773</v>
      </c>
      <c r="C8326" t="s">
        <v>5774</v>
      </c>
    </row>
    <row r="8327" spans="1:4" x14ac:dyDescent="0.25">
      <c r="A8327" s="180">
        <f t="shared" si="130"/>
        <v>8703097</v>
      </c>
      <c r="B8327" t="s">
        <v>5775</v>
      </c>
      <c r="C8327" t="s">
        <v>5776</v>
      </c>
      <c r="D8327" t="s">
        <v>13412</v>
      </c>
    </row>
    <row r="8328" spans="1:4" x14ac:dyDescent="0.25">
      <c r="A8328" s="180">
        <f t="shared" si="130"/>
        <v>8703099</v>
      </c>
      <c r="B8328" t="s">
        <v>5777</v>
      </c>
      <c r="C8328" t="s">
        <v>5778</v>
      </c>
      <c r="D8328" t="s">
        <v>13411</v>
      </c>
    </row>
    <row r="8329" spans="1:4" x14ac:dyDescent="0.25">
      <c r="A8329" s="180">
        <f t="shared" si="130"/>
        <v>8703100</v>
      </c>
      <c r="B8329" t="s">
        <v>5779</v>
      </c>
      <c r="C8329" t="s">
        <v>5780</v>
      </c>
    </row>
    <row r="8330" spans="1:4" x14ac:dyDescent="0.25">
      <c r="A8330" s="180">
        <f t="shared" si="130"/>
        <v>8703101</v>
      </c>
      <c r="B8330" t="s">
        <v>5781</v>
      </c>
      <c r="C8330" t="s">
        <v>5782</v>
      </c>
      <c r="D8330" t="s">
        <v>13412</v>
      </c>
    </row>
    <row r="8331" spans="1:4" x14ac:dyDescent="0.25">
      <c r="A8331" s="180">
        <f t="shared" si="130"/>
        <v>8703102</v>
      </c>
      <c r="B8331" t="s">
        <v>5783</v>
      </c>
      <c r="C8331" t="s">
        <v>12934</v>
      </c>
      <c r="D8331" t="s">
        <v>13411</v>
      </c>
    </row>
    <row r="8332" spans="1:4" x14ac:dyDescent="0.25">
      <c r="A8332" s="180">
        <f t="shared" si="130"/>
        <v>8703103</v>
      </c>
      <c r="B8332" t="s">
        <v>5784</v>
      </c>
      <c r="C8332" t="s">
        <v>5785</v>
      </c>
      <c r="D8332" t="s">
        <v>13412</v>
      </c>
    </row>
    <row r="8333" spans="1:4" x14ac:dyDescent="0.25">
      <c r="A8333" s="180">
        <f t="shared" si="130"/>
        <v>8703104</v>
      </c>
      <c r="B8333" t="s">
        <v>5786</v>
      </c>
      <c r="C8333" t="s">
        <v>5787</v>
      </c>
      <c r="D8333" t="s">
        <v>13412</v>
      </c>
    </row>
    <row r="8334" spans="1:4" x14ac:dyDescent="0.25">
      <c r="A8334" s="180">
        <f t="shared" si="130"/>
        <v>8703105</v>
      </c>
      <c r="B8334" t="s">
        <v>5788</v>
      </c>
      <c r="C8334" t="s">
        <v>5789</v>
      </c>
      <c r="D8334" t="s">
        <v>13412</v>
      </c>
    </row>
    <row r="8335" spans="1:4" x14ac:dyDescent="0.25">
      <c r="A8335" s="180">
        <f t="shared" si="130"/>
        <v>8703106</v>
      </c>
      <c r="B8335" t="s">
        <v>5790</v>
      </c>
      <c r="C8335" t="s">
        <v>5791</v>
      </c>
      <c r="D8335" t="s">
        <v>13412</v>
      </c>
    </row>
    <row r="8336" spans="1:4" x14ac:dyDescent="0.25">
      <c r="A8336" s="180">
        <f t="shared" si="130"/>
        <v>8703107</v>
      </c>
      <c r="B8336" t="s">
        <v>5792</v>
      </c>
      <c r="C8336" t="s">
        <v>5793</v>
      </c>
      <c r="D8336" t="s">
        <v>13412</v>
      </c>
    </row>
    <row r="8337" spans="1:4" x14ac:dyDescent="0.25">
      <c r="A8337" s="180">
        <f t="shared" si="130"/>
        <v>8703108</v>
      </c>
      <c r="B8337" t="s">
        <v>5794</v>
      </c>
      <c r="C8337" t="s">
        <v>5795</v>
      </c>
      <c r="D8337" t="s">
        <v>13412</v>
      </c>
    </row>
    <row r="8338" spans="1:4" x14ac:dyDescent="0.25">
      <c r="A8338" s="180">
        <f t="shared" si="130"/>
        <v>8703109</v>
      </c>
      <c r="B8338" t="s">
        <v>5796</v>
      </c>
      <c r="C8338" t="s">
        <v>5797</v>
      </c>
      <c r="D8338" t="s">
        <v>13412</v>
      </c>
    </row>
    <row r="8339" spans="1:4" x14ac:dyDescent="0.25">
      <c r="A8339" s="180">
        <f t="shared" si="130"/>
        <v>8703110</v>
      </c>
      <c r="B8339" t="s">
        <v>5798</v>
      </c>
      <c r="C8339" t="s">
        <v>5799</v>
      </c>
      <c r="D8339" t="s">
        <v>13412</v>
      </c>
    </row>
    <row r="8340" spans="1:4" x14ac:dyDescent="0.25">
      <c r="A8340" s="180">
        <f t="shared" si="130"/>
        <v>8703111</v>
      </c>
      <c r="B8340" t="s">
        <v>5800</v>
      </c>
      <c r="C8340" t="s">
        <v>5801</v>
      </c>
      <c r="D8340" t="s">
        <v>13412</v>
      </c>
    </row>
    <row r="8341" spans="1:4" x14ac:dyDescent="0.25">
      <c r="A8341" s="180">
        <f t="shared" si="130"/>
        <v>8703112</v>
      </c>
      <c r="B8341" t="s">
        <v>5802</v>
      </c>
      <c r="C8341" t="s">
        <v>5803</v>
      </c>
      <c r="D8341" t="s">
        <v>13412</v>
      </c>
    </row>
    <row r="8342" spans="1:4" x14ac:dyDescent="0.25">
      <c r="A8342" s="180">
        <f t="shared" si="130"/>
        <v>8703113</v>
      </c>
      <c r="B8342" t="s">
        <v>5804</v>
      </c>
      <c r="C8342" t="s">
        <v>5805</v>
      </c>
      <c r="D8342" t="s">
        <v>13412</v>
      </c>
    </row>
    <row r="8343" spans="1:4" x14ac:dyDescent="0.25">
      <c r="A8343" s="180">
        <f t="shared" si="130"/>
        <v>8703113</v>
      </c>
      <c r="B8343" t="s">
        <v>5804</v>
      </c>
      <c r="C8343" t="s">
        <v>5805</v>
      </c>
      <c r="D8343" t="s">
        <v>13412</v>
      </c>
    </row>
    <row r="8344" spans="1:4" x14ac:dyDescent="0.25">
      <c r="A8344" s="180">
        <f t="shared" si="130"/>
        <v>8703114</v>
      </c>
      <c r="B8344" t="s">
        <v>5806</v>
      </c>
      <c r="C8344" t="s">
        <v>5807</v>
      </c>
    </row>
    <row r="8345" spans="1:4" x14ac:dyDescent="0.25">
      <c r="A8345" s="180">
        <f t="shared" si="130"/>
        <v>8703115</v>
      </c>
      <c r="B8345" t="s">
        <v>5808</v>
      </c>
      <c r="C8345" t="s">
        <v>5809</v>
      </c>
      <c r="D8345" t="s">
        <v>13412</v>
      </c>
    </row>
    <row r="8346" spans="1:4" x14ac:dyDescent="0.25">
      <c r="A8346" s="180">
        <f t="shared" si="130"/>
        <v>8703116</v>
      </c>
      <c r="B8346" t="s">
        <v>5810</v>
      </c>
      <c r="C8346" t="s">
        <v>5811</v>
      </c>
      <c r="D8346" t="s">
        <v>13412</v>
      </c>
    </row>
    <row r="8347" spans="1:4" x14ac:dyDescent="0.25">
      <c r="A8347" s="180">
        <f t="shared" si="130"/>
        <v>8703117</v>
      </c>
      <c r="B8347" t="s">
        <v>5812</v>
      </c>
      <c r="C8347" t="s">
        <v>5813</v>
      </c>
      <c r="D8347" t="s">
        <v>13412</v>
      </c>
    </row>
    <row r="8348" spans="1:4" x14ac:dyDescent="0.25">
      <c r="A8348" s="180">
        <f t="shared" si="130"/>
        <v>8703118</v>
      </c>
      <c r="B8348" t="s">
        <v>5814</v>
      </c>
      <c r="C8348" t="s">
        <v>5815</v>
      </c>
      <c r="D8348" t="s">
        <v>13412</v>
      </c>
    </row>
    <row r="8349" spans="1:4" x14ac:dyDescent="0.25">
      <c r="A8349" s="180">
        <f t="shared" si="130"/>
        <v>8703119</v>
      </c>
      <c r="B8349" t="s">
        <v>5816</v>
      </c>
      <c r="C8349" t="s">
        <v>5817</v>
      </c>
      <c r="D8349" t="s">
        <v>13412</v>
      </c>
    </row>
    <row r="8350" spans="1:4" x14ac:dyDescent="0.25">
      <c r="A8350" s="180">
        <f t="shared" si="130"/>
        <v>8703120</v>
      </c>
      <c r="B8350" t="s">
        <v>5818</v>
      </c>
      <c r="C8350" t="s">
        <v>5819</v>
      </c>
      <c r="D8350" t="s">
        <v>13412</v>
      </c>
    </row>
    <row r="8351" spans="1:4" x14ac:dyDescent="0.25">
      <c r="A8351" s="180">
        <f t="shared" si="130"/>
        <v>8703122</v>
      </c>
      <c r="B8351" t="s">
        <v>5820</v>
      </c>
      <c r="C8351" t="s">
        <v>5821</v>
      </c>
      <c r="D8351" t="s">
        <v>13412</v>
      </c>
    </row>
    <row r="8352" spans="1:4" x14ac:dyDescent="0.25">
      <c r="A8352" s="180">
        <f t="shared" si="130"/>
        <v>8703128</v>
      </c>
      <c r="B8352" t="s">
        <v>5822</v>
      </c>
      <c r="C8352" t="s">
        <v>5823</v>
      </c>
      <c r="D8352" t="s">
        <v>13412</v>
      </c>
    </row>
    <row r="8353" spans="1:4" x14ac:dyDescent="0.25">
      <c r="A8353" s="180">
        <f t="shared" si="130"/>
        <v>8703135</v>
      </c>
      <c r="B8353" t="s">
        <v>5824</v>
      </c>
      <c r="C8353" t="s">
        <v>5825</v>
      </c>
    </row>
    <row r="8354" spans="1:4" x14ac:dyDescent="0.25">
      <c r="A8354" s="180">
        <f t="shared" si="130"/>
        <v>8703138</v>
      </c>
      <c r="B8354" t="s">
        <v>5826</v>
      </c>
      <c r="C8354" t="s">
        <v>5827</v>
      </c>
    </row>
    <row r="8355" spans="1:4" x14ac:dyDescent="0.25">
      <c r="A8355" s="180">
        <f t="shared" si="130"/>
        <v>8703150</v>
      </c>
      <c r="B8355" t="s">
        <v>5828</v>
      </c>
      <c r="C8355" t="s">
        <v>12935</v>
      </c>
      <c r="D8355" t="s">
        <v>13411</v>
      </c>
    </row>
    <row r="8356" spans="1:4" x14ac:dyDescent="0.25">
      <c r="A8356" s="180">
        <f t="shared" si="130"/>
        <v>8703150</v>
      </c>
      <c r="B8356" t="s">
        <v>5828</v>
      </c>
      <c r="C8356" t="s">
        <v>12935</v>
      </c>
      <c r="D8356" t="s">
        <v>13411</v>
      </c>
    </row>
    <row r="8357" spans="1:4" x14ac:dyDescent="0.25">
      <c r="A8357" s="180">
        <f t="shared" si="130"/>
        <v>8703150</v>
      </c>
      <c r="B8357" t="s">
        <v>5828</v>
      </c>
      <c r="C8357" t="s">
        <v>12935</v>
      </c>
      <c r="D8357" t="s">
        <v>13411</v>
      </c>
    </row>
    <row r="8358" spans="1:4" x14ac:dyDescent="0.25">
      <c r="A8358" s="180">
        <f t="shared" si="130"/>
        <v>8703150</v>
      </c>
      <c r="B8358" t="s">
        <v>5828</v>
      </c>
      <c r="C8358" t="s">
        <v>12935</v>
      </c>
      <c r="D8358" t="s">
        <v>13411</v>
      </c>
    </row>
    <row r="8359" spans="1:4" x14ac:dyDescent="0.25">
      <c r="A8359" s="180">
        <f t="shared" si="130"/>
        <v>8703151</v>
      </c>
      <c r="B8359" t="s">
        <v>5829</v>
      </c>
      <c r="C8359" t="s">
        <v>13364</v>
      </c>
      <c r="D8359" t="s">
        <v>13412</v>
      </c>
    </row>
    <row r="8360" spans="1:4" x14ac:dyDescent="0.25">
      <c r="A8360" s="180">
        <f t="shared" si="130"/>
        <v>8703152</v>
      </c>
      <c r="B8360" t="s">
        <v>5830</v>
      </c>
      <c r="C8360" t="s">
        <v>13365</v>
      </c>
      <c r="D8360" t="s">
        <v>13412</v>
      </c>
    </row>
    <row r="8361" spans="1:4" x14ac:dyDescent="0.25">
      <c r="A8361" s="180">
        <f t="shared" si="130"/>
        <v>8703152</v>
      </c>
      <c r="B8361" t="s">
        <v>5830</v>
      </c>
      <c r="C8361" t="s">
        <v>13365</v>
      </c>
      <c r="D8361" t="s">
        <v>13412</v>
      </c>
    </row>
    <row r="8362" spans="1:4" x14ac:dyDescent="0.25">
      <c r="A8362" s="180">
        <f t="shared" si="130"/>
        <v>8703153</v>
      </c>
      <c r="B8362" t="s">
        <v>5831</v>
      </c>
      <c r="C8362" t="s">
        <v>12936</v>
      </c>
      <c r="D8362" t="s">
        <v>13411</v>
      </c>
    </row>
    <row r="8363" spans="1:4" x14ac:dyDescent="0.25">
      <c r="A8363" s="180">
        <f t="shared" si="130"/>
        <v>8703155</v>
      </c>
      <c r="B8363" t="s">
        <v>5832</v>
      </c>
      <c r="C8363" t="s">
        <v>5833</v>
      </c>
      <c r="D8363" t="s">
        <v>13412</v>
      </c>
    </row>
    <row r="8364" spans="1:4" x14ac:dyDescent="0.25">
      <c r="A8364" s="180">
        <f t="shared" si="130"/>
        <v>8703157</v>
      </c>
      <c r="B8364" t="s">
        <v>5834</v>
      </c>
      <c r="C8364" t="s">
        <v>5835</v>
      </c>
      <c r="D8364" t="s">
        <v>13412</v>
      </c>
    </row>
    <row r="8365" spans="1:4" x14ac:dyDescent="0.25">
      <c r="A8365" s="180">
        <f t="shared" si="130"/>
        <v>8703158</v>
      </c>
      <c r="B8365" t="s">
        <v>5836</v>
      </c>
      <c r="C8365" t="s">
        <v>5837</v>
      </c>
    </row>
    <row r="8366" spans="1:4" x14ac:dyDescent="0.25">
      <c r="A8366" s="180">
        <f t="shared" si="130"/>
        <v>8703162</v>
      </c>
      <c r="B8366" t="s">
        <v>5838</v>
      </c>
      <c r="C8366" t="s">
        <v>5839</v>
      </c>
      <c r="D8366" t="s">
        <v>13412</v>
      </c>
    </row>
    <row r="8367" spans="1:4" x14ac:dyDescent="0.25">
      <c r="A8367" s="180">
        <f t="shared" si="130"/>
        <v>8703163</v>
      </c>
      <c r="B8367" t="s">
        <v>7034</v>
      </c>
      <c r="C8367" t="s">
        <v>7035</v>
      </c>
      <c r="D8367" t="s">
        <v>13412</v>
      </c>
    </row>
    <row r="8368" spans="1:4" x14ac:dyDescent="0.25">
      <c r="A8368" s="180">
        <f t="shared" si="130"/>
        <v>8703197</v>
      </c>
      <c r="B8368" t="s">
        <v>5840</v>
      </c>
      <c r="C8368" t="s">
        <v>5841</v>
      </c>
      <c r="D8368" t="s">
        <v>13412</v>
      </c>
    </row>
    <row r="8369" spans="1:4" x14ac:dyDescent="0.25">
      <c r="A8369" s="180">
        <f t="shared" si="130"/>
        <v>8703197</v>
      </c>
      <c r="B8369" t="s">
        <v>5840</v>
      </c>
      <c r="C8369" t="s">
        <v>5841</v>
      </c>
      <c r="D8369" t="s">
        <v>13412</v>
      </c>
    </row>
    <row r="8370" spans="1:4" x14ac:dyDescent="0.25">
      <c r="A8370" s="180">
        <f t="shared" si="130"/>
        <v>8703200</v>
      </c>
      <c r="B8370" t="s">
        <v>5842</v>
      </c>
      <c r="C8370" t="s">
        <v>7036</v>
      </c>
      <c r="D8370" t="s">
        <v>13412</v>
      </c>
    </row>
    <row r="8371" spans="1:4" x14ac:dyDescent="0.25">
      <c r="A8371" s="180">
        <f t="shared" si="130"/>
        <v>8703201</v>
      </c>
      <c r="B8371" t="s">
        <v>5843</v>
      </c>
      <c r="C8371" t="s">
        <v>5844</v>
      </c>
    </row>
    <row r="8372" spans="1:4" x14ac:dyDescent="0.25">
      <c r="A8372" s="180">
        <f t="shared" si="130"/>
        <v>8703203</v>
      </c>
      <c r="B8372" t="s">
        <v>5845</v>
      </c>
      <c r="C8372" t="s">
        <v>5846</v>
      </c>
      <c r="D8372" t="s">
        <v>13412</v>
      </c>
    </row>
    <row r="8373" spans="1:4" x14ac:dyDescent="0.25">
      <c r="A8373" s="180">
        <f t="shared" si="130"/>
        <v>8703205</v>
      </c>
      <c r="B8373" t="s">
        <v>5847</v>
      </c>
      <c r="C8373" t="s">
        <v>5848</v>
      </c>
      <c r="D8373" t="s">
        <v>13412</v>
      </c>
    </row>
    <row r="8374" spans="1:4" x14ac:dyDescent="0.25">
      <c r="A8374" s="180">
        <f t="shared" si="130"/>
        <v>8703206</v>
      </c>
      <c r="B8374" t="s">
        <v>5849</v>
      </c>
      <c r="C8374" t="s">
        <v>5850</v>
      </c>
      <c r="D8374" t="s">
        <v>13412</v>
      </c>
    </row>
    <row r="8375" spans="1:4" x14ac:dyDescent="0.25">
      <c r="A8375" s="180">
        <f t="shared" si="130"/>
        <v>8703207</v>
      </c>
      <c r="B8375" t="s">
        <v>5851</v>
      </c>
      <c r="C8375" t="s">
        <v>5852</v>
      </c>
      <c r="D8375" t="s">
        <v>13412</v>
      </c>
    </row>
    <row r="8376" spans="1:4" x14ac:dyDescent="0.25">
      <c r="A8376" s="180">
        <f t="shared" si="130"/>
        <v>8703208</v>
      </c>
      <c r="B8376" t="s">
        <v>5853</v>
      </c>
      <c r="C8376" t="s">
        <v>5854</v>
      </c>
      <c r="D8376" t="s">
        <v>13412</v>
      </c>
    </row>
    <row r="8377" spans="1:4" x14ac:dyDescent="0.25">
      <c r="A8377" s="180">
        <f t="shared" si="130"/>
        <v>8703237</v>
      </c>
      <c r="B8377" t="s">
        <v>5855</v>
      </c>
      <c r="C8377" t="s">
        <v>5856</v>
      </c>
    </row>
    <row r="8378" spans="1:4" x14ac:dyDescent="0.25">
      <c r="A8378" s="180">
        <f t="shared" si="130"/>
        <v>8703238</v>
      </c>
      <c r="B8378" t="s">
        <v>5857</v>
      </c>
      <c r="C8378" t="s">
        <v>5858</v>
      </c>
      <c r="D8378" t="s">
        <v>13412</v>
      </c>
    </row>
    <row r="8379" spans="1:4" x14ac:dyDescent="0.25">
      <c r="A8379" s="180">
        <f t="shared" si="130"/>
        <v>8703239</v>
      </c>
      <c r="B8379" t="s">
        <v>13366</v>
      </c>
      <c r="C8379" t="s">
        <v>13367</v>
      </c>
      <c r="D8379" t="s">
        <v>13412</v>
      </c>
    </row>
    <row r="8380" spans="1:4" x14ac:dyDescent="0.25">
      <c r="A8380" s="180">
        <f t="shared" si="130"/>
        <v>8703239</v>
      </c>
      <c r="B8380" t="s">
        <v>13366</v>
      </c>
      <c r="C8380" t="s">
        <v>13367</v>
      </c>
      <c r="D8380" t="s">
        <v>13412</v>
      </c>
    </row>
    <row r="8381" spans="1:4" x14ac:dyDescent="0.25">
      <c r="A8381" s="180">
        <f t="shared" si="130"/>
        <v>8703240</v>
      </c>
      <c r="B8381" t="s">
        <v>5859</v>
      </c>
      <c r="C8381" t="s">
        <v>5860</v>
      </c>
      <c r="D8381" t="s">
        <v>13412</v>
      </c>
    </row>
    <row r="8382" spans="1:4" x14ac:dyDescent="0.25">
      <c r="A8382" s="180">
        <f t="shared" si="130"/>
        <v>8703241</v>
      </c>
      <c r="B8382" t="s">
        <v>5861</v>
      </c>
      <c r="C8382" t="s">
        <v>5862</v>
      </c>
      <c r="D8382" t="s">
        <v>13412</v>
      </c>
    </row>
    <row r="8383" spans="1:4" x14ac:dyDescent="0.25">
      <c r="A8383" s="180">
        <f t="shared" ref="A8383:A8446" si="131">IFERROR(B8383*1,"")</f>
        <v>8703242</v>
      </c>
      <c r="B8383" t="s">
        <v>13543</v>
      </c>
      <c r="C8383" t="s">
        <v>13544</v>
      </c>
      <c r="D8383" t="s">
        <v>13412</v>
      </c>
    </row>
    <row r="8384" spans="1:4" x14ac:dyDescent="0.25">
      <c r="A8384" s="180">
        <f t="shared" si="131"/>
        <v>8703243</v>
      </c>
      <c r="B8384" t="s">
        <v>13545</v>
      </c>
      <c r="C8384" t="s">
        <v>13546</v>
      </c>
    </row>
    <row r="8385" spans="1:4" x14ac:dyDescent="0.25">
      <c r="A8385" s="180">
        <f t="shared" si="131"/>
        <v>8703244</v>
      </c>
      <c r="B8385" t="s">
        <v>5863</v>
      </c>
      <c r="C8385" t="s">
        <v>5864</v>
      </c>
      <c r="D8385" t="s">
        <v>13412</v>
      </c>
    </row>
    <row r="8386" spans="1:4" x14ac:dyDescent="0.25">
      <c r="A8386" s="180">
        <f t="shared" si="131"/>
        <v>8703245</v>
      </c>
      <c r="B8386" t="s">
        <v>5865</v>
      </c>
      <c r="C8386" t="s">
        <v>5866</v>
      </c>
      <c r="D8386" t="s">
        <v>13412</v>
      </c>
    </row>
    <row r="8387" spans="1:4" x14ac:dyDescent="0.25">
      <c r="A8387" s="180">
        <f t="shared" si="131"/>
        <v>8703246</v>
      </c>
      <c r="B8387" t="s">
        <v>13547</v>
      </c>
      <c r="C8387" t="s">
        <v>13548</v>
      </c>
      <c r="D8387" t="s">
        <v>13412</v>
      </c>
    </row>
    <row r="8388" spans="1:4" x14ac:dyDescent="0.25">
      <c r="A8388" s="180">
        <f t="shared" si="131"/>
        <v>8703247</v>
      </c>
      <c r="B8388" t="s">
        <v>5867</v>
      </c>
      <c r="C8388" t="s">
        <v>5868</v>
      </c>
      <c r="D8388" t="s">
        <v>13412</v>
      </c>
    </row>
    <row r="8389" spans="1:4" x14ac:dyDescent="0.25">
      <c r="A8389" s="180">
        <f t="shared" si="131"/>
        <v>8703248</v>
      </c>
      <c r="B8389" t="s">
        <v>13549</v>
      </c>
      <c r="C8389" t="s">
        <v>13550</v>
      </c>
      <c r="D8389" t="s">
        <v>13412</v>
      </c>
    </row>
    <row r="8390" spans="1:4" x14ac:dyDescent="0.25">
      <c r="A8390" s="180">
        <f t="shared" si="131"/>
        <v>8703249</v>
      </c>
      <c r="B8390" t="s">
        <v>5869</v>
      </c>
      <c r="C8390" t="s">
        <v>5870</v>
      </c>
      <c r="D8390" t="s">
        <v>13412</v>
      </c>
    </row>
    <row r="8391" spans="1:4" x14ac:dyDescent="0.25">
      <c r="A8391" s="180">
        <f t="shared" si="131"/>
        <v>8703250</v>
      </c>
      <c r="B8391" t="s">
        <v>5871</v>
      </c>
      <c r="C8391" t="s">
        <v>5872</v>
      </c>
      <c r="D8391" t="s">
        <v>13412</v>
      </c>
    </row>
    <row r="8392" spans="1:4" x14ac:dyDescent="0.25">
      <c r="A8392" s="180">
        <f t="shared" si="131"/>
        <v>8703251</v>
      </c>
      <c r="B8392" t="s">
        <v>5873</v>
      </c>
      <c r="C8392" t="s">
        <v>5874</v>
      </c>
    </row>
    <row r="8393" spans="1:4" x14ac:dyDescent="0.25">
      <c r="A8393" s="180">
        <f t="shared" si="131"/>
        <v>8703252</v>
      </c>
      <c r="B8393" t="s">
        <v>5875</v>
      </c>
      <c r="C8393" t="s">
        <v>5876</v>
      </c>
      <c r="D8393" t="s">
        <v>13412</v>
      </c>
    </row>
    <row r="8394" spans="1:4" x14ac:dyDescent="0.25">
      <c r="A8394" s="180">
        <f t="shared" si="131"/>
        <v>8703253</v>
      </c>
      <c r="B8394" t="s">
        <v>13551</v>
      </c>
      <c r="C8394" t="s">
        <v>13552</v>
      </c>
    </row>
    <row r="8395" spans="1:4" x14ac:dyDescent="0.25">
      <c r="A8395" s="180">
        <f t="shared" si="131"/>
        <v>8703254</v>
      </c>
      <c r="B8395" t="s">
        <v>13553</v>
      </c>
      <c r="C8395" t="s">
        <v>13554</v>
      </c>
      <c r="D8395" t="s">
        <v>13412</v>
      </c>
    </row>
    <row r="8396" spans="1:4" x14ac:dyDescent="0.25">
      <c r="A8396" s="180">
        <f t="shared" si="131"/>
        <v>8703257</v>
      </c>
      <c r="B8396" t="s">
        <v>12937</v>
      </c>
      <c r="C8396" t="s">
        <v>12938</v>
      </c>
      <c r="D8396" t="s">
        <v>13411</v>
      </c>
    </row>
    <row r="8397" spans="1:4" x14ac:dyDescent="0.25">
      <c r="A8397" s="180">
        <f t="shared" si="131"/>
        <v>8703257</v>
      </c>
      <c r="B8397" t="s">
        <v>12937</v>
      </c>
      <c r="C8397" t="s">
        <v>12938</v>
      </c>
      <c r="D8397" t="s">
        <v>13411</v>
      </c>
    </row>
    <row r="8398" spans="1:4" x14ac:dyDescent="0.25">
      <c r="A8398" s="180">
        <f t="shared" si="131"/>
        <v>8703257</v>
      </c>
      <c r="B8398" t="s">
        <v>12937</v>
      </c>
      <c r="C8398" t="s">
        <v>12938</v>
      </c>
      <c r="D8398" t="s">
        <v>13411</v>
      </c>
    </row>
    <row r="8399" spans="1:4" x14ac:dyDescent="0.25">
      <c r="A8399" s="180">
        <f t="shared" si="131"/>
        <v>8703257</v>
      </c>
      <c r="B8399" t="s">
        <v>12937</v>
      </c>
      <c r="C8399" t="s">
        <v>12938</v>
      </c>
      <c r="D8399" t="s">
        <v>13411</v>
      </c>
    </row>
    <row r="8400" spans="1:4" x14ac:dyDescent="0.25">
      <c r="A8400" s="180">
        <f t="shared" si="131"/>
        <v>8703257</v>
      </c>
      <c r="B8400" t="s">
        <v>12937</v>
      </c>
      <c r="C8400" t="s">
        <v>12938</v>
      </c>
      <c r="D8400" t="s">
        <v>13411</v>
      </c>
    </row>
    <row r="8401" spans="1:4" x14ac:dyDescent="0.25">
      <c r="A8401" s="180">
        <f t="shared" si="131"/>
        <v>8703257</v>
      </c>
      <c r="B8401" t="s">
        <v>12937</v>
      </c>
      <c r="C8401" t="s">
        <v>12938</v>
      </c>
      <c r="D8401" t="s">
        <v>13411</v>
      </c>
    </row>
    <row r="8402" spans="1:4" x14ac:dyDescent="0.25">
      <c r="A8402" s="180">
        <f t="shared" si="131"/>
        <v>8703257</v>
      </c>
      <c r="B8402" t="s">
        <v>12937</v>
      </c>
      <c r="C8402" t="s">
        <v>12938</v>
      </c>
      <c r="D8402" t="s">
        <v>13411</v>
      </c>
    </row>
    <row r="8403" spans="1:4" x14ac:dyDescent="0.25">
      <c r="A8403" s="180">
        <f t="shared" si="131"/>
        <v>8703291</v>
      </c>
      <c r="B8403" t="s">
        <v>5877</v>
      </c>
      <c r="C8403" t="s">
        <v>5878</v>
      </c>
    </row>
    <row r="8404" spans="1:4" x14ac:dyDescent="0.25">
      <c r="A8404" s="180">
        <f t="shared" si="131"/>
        <v>8703300</v>
      </c>
      <c r="B8404" t="s">
        <v>5879</v>
      </c>
      <c r="C8404" t="s">
        <v>5880</v>
      </c>
      <c r="D8404" t="s">
        <v>13412</v>
      </c>
    </row>
    <row r="8405" spans="1:4" x14ac:dyDescent="0.25">
      <c r="A8405" s="180">
        <f t="shared" si="131"/>
        <v>8703325</v>
      </c>
      <c r="B8405" t="s">
        <v>12939</v>
      </c>
      <c r="C8405" t="s">
        <v>12940</v>
      </c>
      <c r="D8405" t="s">
        <v>13411</v>
      </c>
    </row>
    <row r="8406" spans="1:4" x14ac:dyDescent="0.25">
      <c r="A8406" s="180">
        <f t="shared" si="131"/>
        <v>8703325</v>
      </c>
      <c r="B8406" t="s">
        <v>12939</v>
      </c>
      <c r="C8406" t="s">
        <v>12940</v>
      </c>
      <c r="D8406" t="s">
        <v>13411</v>
      </c>
    </row>
    <row r="8407" spans="1:4" x14ac:dyDescent="0.25">
      <c r="A8407" s="180">
        <f t="shared" si="131"/>
        <v>8703325</v>
      </c>
      <c r="B8407" t="s">
        <v>12939</v>
      </c>
      <c r="C8407" t="s">
        <v>12940</v>
      </c>
      <c r="D8407" t="s">
        <v>13411</v>
      </c>
    </row>
    <row r="8408" spans="1:4" x14ac:dyDescent="0.25">
      <c r="A8408" s="180">
        <f t="shared" si="131"/>
        <v>8703325</v>
      </c>
      <c r="B8408" t="s">
        <v>12939</v>
      </c>
      <c r="C8408" t="s">
        <v>12940</v>
      </c>
      <c r="D8408" t="s">
        <v>13411</v>
      </c>
    </row>
    <row r="8409" spans="1:4" x14ac:dyDescent="0.25">
      <c r="A8409" s="180">
        <f t="shared" si="131"/>
        <v>8703338</v>
      </c>
      <c r="B8409" t="s">
        <v>7037</v>
      </c>
      <c r="C8409" t="s">
        <v>7038</v>
      </c>
      <c r="D8409" t="s">
        <v>13412</v>
      </c>
    </row>
    <row r="8410" spans="1:4" x14ac:dyDescent="0.25">
      <c r="A8410" s="180">
        <f t="shared" si="131"/>
        <v>8703349</v>
      </c>
      <c r="B8410" t="s">
        <v>5881</v>
      </c>
      <c r="C8410" t="s">
        <v>5882</v>
      </c>
    </row>
    <row r="8411" spans="1:4" x14ac:dyDescent="0.25">
      <c r="A8411" s="180" t="str">
        <f t="shared" si="131"/>
        <v/>
      </c>
      <c r="B8411" t="s">
        <v>13133</v>
      </c>
    </row>
    <row r="8412" spans="1:4" x14ac:dyDescent="0.25">
      <c r="A8412" s="180">
        <f t="shared" si="131"/>
        <v>8703350</v>
      </c>
      <c r="B8412" t="s">
        <v>5883</v>
      </c>
      <c r="C8412" t="s">
        <v>14999</v>
      </c>
      <c r="D8412" t="s">
        <v>13412</v>
      </c>
    </row>
    <row r="8413" spans="1:4" x14ac:dyDescent="0.25">
      <c r="A8413" s="180">
        <f t="shared" si="131"/>
        <v>8703350</v>
      </c>
      <c r="B8413" t="s">
        <v>5883</v>
      </c>
      <c r="C8413" t="s">
        <v>14999</v>
      </c>
      <c r="D8413" t="s">
        <v>13412</v>
      </c>
    </row>
    <row r="8414" spans="1:4" x14ac:dyDescent="0.25">
      <c r="A8414" s="180">
        <f t="shared" si="131"/>
        <v>8703351</v>
      </c>
      <c r="B8414" t="s">
        <v>5884</v>
      </c>
      <c r="C8414" t="s">
        <v>5885</v>
      </c>
      <c r="D8414" t="s">
        <v>13412</v>
      </c>
    </row>
    <row r="8415" spans="1:4" x14ac:dyDescent="0.25">
      <c r="A8415" s="180">
        <f t="shared" si="131"/>
        <v>8703352</v>
      </c>
      <c r="B8415" t="s">
        <v>5886</v>
      </c>
      <c r="C8415" t="s">
        <v>15000</v>
      </c>
      <c r="D8415" t="s">
        <v>13412</v>
      </c>
    </row>
    <row r="8416" spans="1:4" x14ac:dyDescent="0.25">
      <c r="A8416" s="180">
        <f t="shared" si="131"/>
        <v>8703376</v>
      </c>
      <c r="B8416" t="s">
        <v>5887</v>
      </c>
      <c r="C8416" t="s">
        <v>5888</v>
      </c>
      <c r="D8416" t="s">
        <v>13412</v>
      </c>
    </row>
    <row r="8417" spans="1:4" x14ac:dyDescent="0.25">
      <c r="A8417" s="180">
        <f t="shared" si="131"/>
        <v>8703391</v>
      </c>
      <c r="B8417" t="s">
        <v>5889</v>
      </c>
      <c r="C8417" t="s">
        <v>5890</v>
      </c>
      <c r="D8417" t="s">
        <v>13412</v>
      </c>
    </row>
    <row r="8418" spans="1:4" x14ac:dyDescent="0.25">
      <c r="A8418" s="180">
        <f t="shared" si="131"/>
        <v>8703400</v>
      </c>
      <c r="B8418" t="s">
        <v>5891</v>
      </c>
      <c r="C8418" t="s">
        <v>5892</v>
      </c>
      <c r="D8418" t="s">
        <v>13412</v>
      </c>
    </row>
    <row r="8419" spans="1:4" x14ac:dyDescent="0.25">
      <c r="A8419" s="180">
        <f t="shared" si="131"/>
        <v>8703405</v>
      </c>
      <c r="B8419" t="s">
        <v>5893</v>
      </c>
      <c r="C8419" t="s">
        <v>5894</v>
      </c>
      <c r="D8419" t="s">
        <v>13412</v>
      </c>
    </row>
    <row r="8420" spans="1:4" x14ac:dyDescent="0.25">
      <c r="A8420" s="180">
        <f t="shared" si="131"/>
        <v>8703500</v>
      </c>
      <c r="B8420" t="s">
        <v>5895</v>
      </c>
      <c r="C8420" t="s">
        <v>5896</v>
      </c>
      <c r="D8420" t="s">
        <v>13412</v>
      </c>
    </row>
    <row r="8421" spans="1:4" x14ac:dyDescent="0.25">
      <c r="A8421" s="180">
        <f t="shared" si="131"/>
        <v>8703500</v>
      </c>
      <c r="B8421" t="s">
        <v>5895</v>
      </c>
      <c r="C8421" t="s">
        <v>5896</v>
      </c>
      <c r="D8421" t="s">
        <v>13412</v>
      </c>
    </row>
    <row r="8422" spans="1:4" x14ac:dyDescent="0.25">
      <c r="A8422" s="180">
        <f t="shared" si="131"/>
        <v>8703501</v>
      </c>
      <c r="B8422" t="s">
        <v>5897</v>
      </c>
      <c r="C8422" t="s">
        <v>5898</v>
      </c>
      <c r="D8422" t="s">
        <v>13412</v>
      </c>
    </row>
    <row r="8423" spans="1:4" x14ac:dyDescent="0.25">
      <c r="A8423" s="180">
        <f t="shared" si="131"/>
        <v>8703501</v>
      </c>
      <c r="B8423" t="s">
        <v>5897</v>
      </c>
      <c r="C8423" t="s">
        <v>5898</v>
      </c>
      <c r="D8423" t="s">
        <v>13412</v>
      </c>
    </row>
    <row r="8424" spans="1:4" x14ac:dyDescent="0.25">
      <c r="A8424" s="180">
        <f t="shared" si="131"/>
        <v>8703501</v>
      </c>
      <c r="B8424" t="s">
        <v>5897</v>
      </c>
      <c r="C8424" t="s">
        <v>5898</v>
      </c>
      <c r="D8424" t="s">
        <v>13412</v>
      </c>
    </row>
    <row r="8425" spans="1:4" x14ac:dyDescent="0.25">
      <c r="A8425" s="180">
        <f t="shared" si="131"/>
        <v>8703503</v>
      </c>
      <c r="B8425" t="s">
        <v>5899</v>
      </c>
      <c r="C8425" t="s">
        <v>5900</v>
      </c>
      <c r="D8425" t="s">
        <v>13412</v>
      </c>
    </row>
    <row r="8426" spans="1:4" x14ac:dyDescent="0.25">
      <c r="A8426" s="180">
        <f t="shared" si="131"/>
        <v>8703503</v>
      </c>
      <c r="B8426" t="s">
        <v>5899</v>
      </c>
      <c r="C8426" t="s">
        <v>5900</v>
      </c>
      <c r="D8426" t="s">
        <v>13412</v>
      </c>
    </row>
    <row r="8427" spans="1:4" x14ac:dyDescent="0.25">
      <c r="A8427" s="180">
        <f t="shared" si="131"/>
        <v>8703503</v>
      </c>
      <c r="B8427" t="s">
        <v>5899</v>
      </c>
      <c r="C8427" t="s">
        <v>5900</v>
      </c>
      <c r="D8427" t="s">
        <v>13412</v>
      </c>
    </row>
    <row r="8428" spans="1:4" x14ac:dyDescent="0.25">
      <c r="A8428" s="180">
        <f t="shared" si="131"/>
        <v>8703504</v>
      </c>
      <c r="B8428" t="s">
        <v>5901</v>
      </c>
      <c r="C8428" t="s">
        <v>5902</v>
      </c>
      <c r="D8428" t="s">
        <v>13412</v>
      </c>
    </row>
    <row r="8429" spans="1:4" x14ac:dyDescent="0.25">
      <c r="A8429" s="180">
        <f t="shared" si="131"/>
        <v>8703504</v>
      </c>
      <c r="B8429" t="s">
        <v>5901</v>
      </c>
      <c r="C8429" t="s">
        <v>5902</v>
      </c>
      <c r="D8429" t="s">
        <v>13412</v>
      </c>
    </row>
    <row r="8430" spans="1:4" x14ac:dyDescent="0.25">
      <c r="A8430" s="180">
        <f t="shared" si="131"/>
        <v>8703505</v>
      </c>
      <c r="B8430" t="s">
        <v>5903</v>
      </c>
      <c r="C8430" t="s">
        <v>12941</v>
      </c>
      <c r="D8430" t="s">
        <v>13412</v>
      </c>
    </row>
    <row r="8431" spans="1:4" x14ac:dyDescent="0.25">
      <c r="A8431" s="180">
        <f t="shared" si="131"/>
        <v>8703505</v>
      </c>
      <c r="B8431" t="s">
        <v>5903</v>
      </c>
      <c r="C8431" t="s">
        <v>12941</v>
      </c>
      <c r="D8431" t="s">
        <v>13412</v>
      </c>
    </row>
    <row r="8432" spans="1:4" x14ac:dyDescent="0.25">
      <c r="A8432" s="180">
        <f t="shared" si="131"/>
        <v>8703505</v>
      </c>
      <c r="B8432" t="s">
        <v>5903</v>
      </c>
      <c r="C8432" t="s">
        <v>12941</v>
      </c>
      <c r="D8432" t="s">
        <v>13412</v>
      </c>
    </row>
    <row r="8433" spans="1:4" x14ac:dyDescent="0.25">
      <c r="A8433" s="180">
        <f t="shared" si="131"/>
        <v>8703505</v>
      </c>
      <c r="B8433" t="s">
        <v>5903</v>
      </c>
      <c r="C8433" t="s">
        <v>12941</v>
      </c>
      <c r="D8433" t="s">
        <v>13412</v>
      </c>
    </row>
    <row r="8434" spans="1:4" x14ac:dyDescent="0.25">
      <c r="A8434" s="180">
        <f t="shared" si="131"/>
        <v>8703505</v>
      </c>
      <c r="B8434" t="s">
        <v>5903</v>
      </c>
      <c r="C8434" t="s">
        <v>12941</v>
      </c>
      <c r="D8434" t="s">
        <v>13412</v>
      </c>
    </row>
    <row r="8435" spans="1:4" x14ac:dyDescent="0.25">
      <c r="A8435" s="180">
        <f t="shared" si="131"/>
        <v>8703506</v>
      </c>
      <c r="B8435" t="s">
        <v>5904</v>
      </c>
      <c r="C8435" t="s">
        <v>5905</v>
      </c>
      <c r="D8435" t="s">
        <v>13412</v>
      </c>
    </row>
    <row r="8436" spans="1:4" x14ac:dyDescent="0.25">
      <c r="A8436" s="180">
        <f t="shared" si="131"/>
        <v>8703506</v>
      </c>
      <c r="B8436" t="s">
        <v>5904</v>
      </c>
      <c r="C8436" t="s">
        <v>5905</v>
      </c>
      <c r="D8436" t="s">
        <v>13412</v>
      </c>
    </row>
    <row r="8437" spans="1:4" x14ac:dyDescent="0.25">
      <c r="A8437" s="180">
        <f t="shared" si="131"/>
        <v>8703506</v>
      </c>
      <c r="B8437" t="s">
        <v>5904</v>
      </c>
      <c r="C8437" t="s">
        <v>5905</v>
      </c>
      <c r="D8437" t="s">
        <v>13412</v>
      </c>
    </row>
    <row r="8438" spans="1:4" x14ac:dyDescent="0.25">
      <c r="A8438" s="180">
        <f t="shared" si="131"/>
        <v>8703507</v>
      </c>
      <c r="B8438" t="s">
        <v>5906</v>
      </c>
      <c r="C8438" t="s">
        <v>5907</v>
      </c>
      <c r="D8438" t="s">
        <v>13412</v>
      </c>
    </row>
    <row r="8439" spans="1:4" x14ac:dyDescent="0.25">
      <c r="A8439" s="180">
        <f t="shared" si="131"/>
        <v>8703508</v>
      </c>
      <c r="B8439" t="s">
        <v>5908</v>
      </c>
      <c r="C8439" t="s">
        <v>5909</v>
      </c>
      <c r="D8439" t="s">
        <v>13412</v>
      </c>
    </row>
    <row r="8440" spans="1:4" x14ac:dyDescent="0.25">
      <c r="A8440" s="180">
        <f t="shared" si="131"/>
        <v>8703509</v>
      </c>
      <c r="B8440" t="s">
        <v>5910</v>
      </c>
      <c r="C8440" t="s">
        <v>5911</v>
      </c>
      <c r="D8440" t="s">
        <v>13412</v>
      </c>
    </row>
    <row r="8441" spans="1:4" x14ac:dyDescent="0.25">
      <c r="A8441" s="180">
        <f t="shared" si="131"/>
        <v>8703510</v>
      </c>
      <c r="B8441" t="s">
        <v>5912</v>
      </c>
      <c r="C8441" t="s">
        <v>5913</v>
      </c>
    </row>
    <row r="8442" spans="1:4" x14ac:dyDescent="0.25">
      <c r="A8442" s="180">
        <f t="shared" si="131"/>
        <v>8703513</v>
      </c>
      <c r="B8442" t="s">
        <v>5914</v>
      </c>
      <c r="C8442" t="s">
        <v>5915</v>
      </c>
      <c r="D8442" t="s">
        <v>13412</v>
      </c>
    </row>
    <row r="8443" spans="1:4" x14ac:dyDescent="0.25">
      <c r="A8443" s="180">
        <f t="shared" si="131"/>
        <v>8703517</v>
      </c>
      <c r="B8443" t="s">
        <v>5916</v>
      </c>
      <c r="C8443" t="s">
        <v>5917</v>
      </c>
      <c r="D8443" t="s">
        <v>13412</v>
      </c>
    </row>
    <row r="8444" spans="1:4" x14ac:dyDescent="0.25">
      <c r="A8444" s="180">
        <f t="shared" si="131"/>
        <v>8703519</v>
      </c>
      <c r="B8444" t="s">
        <v>14136</v>
      </c>
      <c r="C8444" t="s">
        <v>14137</v>
      </c>
    </row>
    <row r="8445" spans="1:4" x14ac:dyDescent="0.25">
      <c r="A8445" s="180">
        <f t="shared" si="131"/>
        <v>8703531</v>
      </c>
      <c r="B8445" t="s">
        <v>13555</v>
      </c>
      <c r="C8445" t="s">
        <v>13556</v>
      </c>
      <c r="D8445" t="s">
        <v>13412</v>
      </c>
    </row>
    <row r="8446" spans="1:4" x14ac:dyDescent="0.25">
      <c r="A8446" s="180">
        <f t="shared" si="131"/>
        <v>8703550</v>
      </c>
      <c r="B8446" t="s">
        <v>5918</v>
      </c>
      <c r="C8446" t="s">
        <v>5919</v>
      </c>
      <c r="D8446" t="s">
        <v>13412</v>
      </c>
    </row>
    <row r="8447" spans="1:4" x14ac:dyDescent="0.25">
      <c r="A8447" s="180">
        <f t="shared" ref="A8447:A8510" si="132">IFERROR(B8447*1,"")</f>
        <v>8703551</v>
      </c>
      <c r="B8447" t="s">
        <v>5920</v>
      </c>
      <c r="C8447" t="s">
        <v>12942</v>
      </c>
      <c r="D8447" t="s">
        <v>13412</v>
      </c>
    </row>
    <row r="8448" spans="1:4" x14ac:dyDescent="0.25">
      <c r="A8448" s="180">
        <f t="shared" si="132"/>
        <v>8703552</v>
      </c>
      <c r="B8448" t="s">
        <v>5921</v>
      </c>
      <c r="C8448" t="s">
        <v>5922</v>
      </c>
    </row>
    <row r="8449" spans="1:4" x14ac:dyDescent="0.25">
      <c r="A8449" s="180">
        <f t="shared" si="132"/>
        <v>8703553</v>
      </c>
      <c r="B8449" t="s">
        <v>5923</v>
      </c>
      <c r="C8449" t="s">
        <v>5924</v>
      </c>
    </row>
    <row r="8450" spans="1:4" x14ac:dyDescent="0.25">
      <c r="A8450" s="180">
        <f t="shared" si="132"/>
        <v>8703555</v>
      </c>
      <c r="B8450" t="s">
        <v>5925</v>
      </c>
      <c r="C8450" t="s">
        <v>5926</v>
      </c>
      <c r="D8450" t="s">
        <v>13412</v>
      </c>
    </row>
    <row r="8451" spans="1:4" x14ac:dyDescent="0.25">
      <c r="A8451" s="180">
        <f t="shared" si="132"/>
        <v>8703555</v>
      </c>
      <c r="B8451" t="s">
        <v>5925</v>
      </c>
      <c r="C8451" t="s">
        <v>5926</v>
      </c>
      <c r="D8451" t="s">
        <v>13412</v>
      </c>
    </row>
    <row r="8452" spans="1:4" x14ac:dyDescent="0.25">
      <c r="A8452" s="180">
        <f t="shared" si="132"/>
        <v>8703555</v>
      </c>
      <c r="B8452" t="s">
        <v>5925</v>
      </c>
      <c r="C8452" t="s">
        <v>5926</v>
      </c>
      <c r="D8452" t="s">
        <v>13412</v>
      </c>
    </row>
    <row r="8453" spans="1:4" x14ac:dyDescent="0.25">
      <c r="A8453" s="180">
        <f t="shared" si="132"/>
        <v>8703555</v>
      </c>
      <c r="B8453" t="s">
        <v>5925</v>
      </c>
      <c r="C8453" t="s">
        <v>5926</v>
      </c>
      <c r="D8453" t="s">
        <v>13412</v>
      </c>
    </row>
    <row r="8454" spans="1:4" x14ac:dyDescent="0.25">
      <c r="A8454" s="180">
        <f t="shared" si="132"/>
        <v>8703557</v>
      </c>
      <c r="B8454" t="s">
        <v>5927</v>
      </c>
      <c r="C8454" t="s">
        <v>5928</v>
      </c>
      <c r="D8454" t="s">
        <v>13412</v>
      </c>
    </row>
    <row r="8455" spans="1:4" x14ac:dyDescent="0.25">
      <c r="A8455" s="180">
        <f t="shared" si="132"/>
        <v>8703570</v>
      </c>
      <c r="B8455" t="s">
        <v>5929</v>
      </c>
      <c r="C8455" t="s">
        <v>5930</v>
      </c>
      <c r="D8455" t="s">
        <v>13412</v>
      </c>
    </row>
    <row r="8456" spans="1:4" x14ac:dyDescent="0.25">
      <c r="A8456" s="180">
        <f t="shared" si="132"/>
        <v>8703573</v>
      </c>
      <c r="B8456" t="s">
        <v>5931</v>
      </c>
      <c r="C8456" t="s">
        <v>5932</v>
      </c>
      <c r="D8456" t="s">
        <v>13412</v>
      </c>
    </row>
    <row r="8457" spans="1:4" x14ac:dyDescent="0.25">
      <c r="A8457" s="180">
        <f t="shared" si="132"/>
        <v>8703599</v>
      </c>
      <c r="B8457" t="s">
        <v>5933</v>
      </c>
      <c r="C8457" t="s">
        <v>12943</v>
      </c>
      <c r="D8457" t="s">
        <v>13412</v>
      </c>
    </row>
    <row r="8458" spans="1:4" x14ac:dyDescent="0.25">
      <c r="A8458" s="180">
        <f t="shared" si="132"/>
        <v>8703600</v>
      </c>
      <c r="B8458" t="s">
        <v>5934</v>
      </c>
      <c r="C8458" t="s">
        <v>5935</v>
      </c>
      <c r="D8458" t="s">
        <v>13412</v>
      </c>
    </row>
    <row r="8459" spans="1:4" x14ac:dyDescent="0.25">
      <c r="A8459" s="180">
        <f t="shared" si="132"/>
        <v>8703601</v>
      </c>
      <c r="B8459" t="s">
        <v>5936</v>
      </c>
      <c r="C8459" t="s">
        <v>5937</v>
      </c>
      <c r="D8459" t="s">
        <v>13412</v>
      </c>
    </row>
    <row r="8460" spans="1:4" x14ac:dyDescent="0.25">
      <c r="A8460" s="180">
        <f t="shared" si="132"/>
        <v>8703601</v>
      </c>
      <c r="B8460" t="s">
        <v>5936</v>
      </c>
      <c r="C8460" t="s">
        <v>5937</v>
      </c>
      <c r="D8460" t="s">
        <v>13412</v>
      </c>
    </row>
    <row r="8461" spans="1:4" x14ac:dyDescent="0.25">
      <c r="A8461" s="180">
        <f t="shared" si="132"/>
        <v>8703604</v>
      </c>
      <c r="B8461" t="s">
        <v>5938</v>
      </c>
      <c r="C8461" t="s">
        <v>12944</v>
      </c>
      <c r="D8461" t="s">
        <v>13412</v>
      </c>
    </row>
    <row r="8462" spans="1:4" x14ac:dyDescent="0.25">
      <c r="A8462" s="180">
        <f t="shared" si="132"/>
        <v>8703607</v>
      </c>
      <c r="B8462" t="s">
        <v>5939</v>
      </c>
      <c r="C8462" t="s">
        <v>5940</v>
      </c>
      <c r="D8462" t="s">
        <v>13412</v>
      </c>
    </row>
    <row r="8463" spans="1:4" x14ac:dyDescent="0.25">
      <c r="A8463" s="180">
        <f t="shared" si="132"/>
        <v>8703608</v>
      </c>
      <c r="B8463" t="s">
        <v>5941</v>
      </c>
      <c r="C8463" t="s">
        <v>5942</v>
      </c>
      <c r="D8463" t="s">
        <v>13412</v>
      </c>
    </row>
    <row r="8464" spans="1:4" x14ac:dyDescent="0.25">
      <c r="A8464" s="180">
        <f t="shared" si="132"/>
        <v>8703611</v>
      </c>
      <c r="B8464" t="s">
        <v>5943</v>
      </c>
      <c r="C8464" t="s">
        <v>5944</v>
      </c>
    </row>
    <row r="8465" spans="1:4" x14ac:dyDescent="0.25">
      <c r="A8465" s="180">
        <f t="shared" si="132"/>
        <v>8703612</v>
      </c>
      <c r="B8465" t="s">
        <v>5945</v>
      </c>
      <c r="C8465" t="s">
        <v>5946</v>
      </c>
      <c r="D8465" t="s">
        <v>13412</v>
      </c>
    </row>
    <row r="8466" spans="1:4" x14ac:dyDescent="0.25">
      <c r="A8466" s="180">
        <f t="shared" si="132"/>
        <v>8703613</v>
      </c>
      <c r="B8466" t="s">
        <v>5947</v>
      </c>
      <c r="C8466" t="s">
        <v>5948</v>
      </c>
      <c r="D8466" t="s">
        <v>13412</v>
      </c>
    </row>
    <row r="8467" spans="1:4" x14ac:dyDescent="0.25">
      <c r="A8467" s="180">
        <f t="shared" si="132"/>
        <v>8703615</v>
      </c>
      <c r="B8467" t="s">
        <v>5949</v>
      </c>
      <c r="C8467" t="s">
        <v>5950</v>
      </c>
      <c r="D8467" t="s">
        <v>13412</v>
      </c>
    </row>
    <row r="8468" spans="1:4" x14ac:dyDescent="0.25">
      <c r="A8468" s="180">
        <f t="shared" si="132"/>
        <v>8703616</v>
      </c>
      <c r="B8468" t="s">
        <v>5951</v>
      </c>
      <c r="C8468" t="s">
        <v>5952</v>
      </c>
      <c r="D8468" t="s">
        <v>13412</v>
      </c>
    </row>
    <row r="8469" spans="1:4" x14ac:dyDescent="0.25">
      <c r="A8469" s="180">
        <f t="shared" si="132"/>
        <v>8703617</v>
      </c>
      <c r="B8469" t="s">
        <v>5953</v>
      </c>
      <c r="C8469" t="s">
        <v>5954</v>
      </c>
      <c r="D8469" t="s">
        <v>13412</v>
      </c>
    </row>
    <row r="8470" spans="1:4" x14ac:dyDescent="0.25">
      <c r="A8470" s="180">
        <f t="shared" si="132"/>
        <v>8703619</v>
      </c>
      <c r="B8470" t="s">
        <v>5955</v>
      </c>
      <c r="C8470" t="s">
        <v>5956</v>
      </c>
      <c r="D8470" t="s">
        <v>13412</v>
      </c>
    </row>
    <row r="8471" spans="1:4" x14ac:dyDescent="0.25">
      <c r="A8471" s="180">
        <f t="shared" si="132"/>
        <v>8703620</v>
      </c>
      <c r="B8471" t="s">
        <v>5957</v>
      </c>
      <c r="C8471" t="s">
        <v>5958</v>
      </c>
      <c r="D8471" t="s">
        <v>13412</v>
      </c>
    </row>
    <row r="8472" spans="1:4" x14ac:dyDescent="0.25">
      <c r="A8472" s="180">
        <f t="shared" si="132"/>
        <v>8703621</v>
      </c>
      <c r="B8472" t="s">
        <v>5959</v>
      </c>
      <c r="C8472" t="s">
        <v>5960</v>
      </c>
      <c r="D8472" t="s">
        <v>13412</v>
      </c>
    </row>
    <row r="8473" spans="1:4" x14ac:dyDescent="0.25">
      <c r="A8473" s="180">
        <f t="shared" si="132"/>
        <v>8703630</v>
      </c>
      <c r="B8473" t="s">
        <v>5961</v>
      </c>
      <c r="C8473" t="s">
        <v>5962</v>
      </c>
      <c r="D8473" t="s">
        <v>13412</v>
      </c>
    </row>
    <row r="8474" spans="1:4" x14ac:dyDescent="0.25">
      <c r="A8474" s="180">
        <f t="shared" si="132"/>
        <v>8703641</v>
      </c>
      <c r="B8474" t="s">
        <v>5963</v>
      </c>
      <c r="C8474" t="s">
        <v>5964</v>
      </c>
      <c r="D8474" t="s">
        <v>13412</v>
      </c>
    </row>
    <row r="8475" spans="1:4" x14ac:dyDescent="0.25">
      <c r="A8475" s="180">
        <f t="shared" si="132"/>
        <v>8703656</v>
      </c>
      <c r="B8475" t="s">
        <v>5965</v>
      </c>
      <c r="C8475" t="s">
        <v>5966</v>
      </c>
      <c r="D8475" t="s">
        <v>13412</v>
      </c>
    </row>
    <row r="8476" spans="1:4" x14ac:dyDescent="0.25">
      <c r="A8476" s="180">
        <f t="shared" si="132"/>
        <v>8703658</v>
      </c>
      <c r="B8476" t="s">
        <v>5967</v>
      </c>
      <c r="C8476" t="s">
        <v>5968</v>
      </c>
      <c r="D8476" t="s">
        <v>13412</v>
      </c>
    </row>
    <row r="8477" spans="1:4" x14ac:dyDescent="0.25">
      <c r="A8477" s="180">
        <f t="shared" si="132"/>
        <v>8703660</v>
      </c>
      <c r="B8477" t="s">
        <v>5969</v>
      </c>
      <c r="C8477" t="s">
        <v>5970</v>
      </c>
      <c r="D8477" t="s">
        <v>13412</v>
      </c>
    </row>
    <row r="8478" spans="1:4" x14ac:dyDescent="0.25">
      <c r="A8478" s="180">
        <f t="shared" si="132"/>
        <v>8703662</v>
      </c>
      <c r="B8478" t="s">
        <v>5971</v>
      </c>
      <c r="C8478" t="s">
        <v>5972</v>
      </c>
      <c r="D8478" t="s">
        <v>13412</v>
      </c>
    </row>
    <row r="8479" spans="1:4" x14ac:dyDescent="0.25">
      <c r="A8479" s="180">
        <f t="shared" si="132"/>
        <v>8703665</v>
      </c>
      <c r="B8479" t="s">
        <v>5973</v>
      </c>
      <c r="C8479" t="s">
        <v>5974</v>
      </c>
      <c r="D8479" t="s">
        <v>13412</v>
      </c>
    </row>
    <row r="8480" spans="1:4" x14ac:dyDescent="0.25">
      <c r="A8480" s="180">
        <f t="shared" si="132"/>
        <v>8703667</v>
      </c>
      <c r="B8480" t="s">
        <v>5975</v>
      </c>
      <c r="C8480" t="s">
        <v>5976</v>
      </c>
      <c r="D8480" t="s">
        <v>13412</v>
      </c>
    </row>
    <row r="8481" spans="1:4" x14ac:dyDescent="0.25">
      <c r="A8481" s="180">
        <f t="shared" si="132"/>
        <v>8703669</v>
      </c>
      <c r="B8481" t="s">
        <v>5977</v>
      </c>
      <c r="C8481" t="s">
        <v>5978</v>
      </c>
      <c r="D8481" t="s">
        <v>13412</v>
      </c>
    </row>
    <row r="8482" spans="1:4" x14ac:dyDescent="0.25">
      <c r="A8482" s="180">
        <f t="shared" si="132"/>
        <v>8703670</v>
      </c>
      <c r="B8482" t="s">
        <v>5979</v>
      </c>
      <c r="C8482" t="s">
        <v>7039</v>
      </c>
      <c r="D8482" t="s">
        <v>13412</v>
      </c>
    </row>
    <row r="8483" spans="1:4" x14ac:dyDescent="0.25">
      <c r="A8483" s="180">
        <f t="shared" si="132"/>
        <v>8703671</v>
      </c>
      <c r="B8483" t="s">
        <v>5980</v>
      </c>
      <c r="C8483" t="s">
        <v>5981</v>
      </c>
      <c r="D8483" t="s">
        <v>13412</v>
      </c>
    </row>
    <row r="8484" spans="1:4" x14ac:dyDescent="0.25">
      <c r="A8484" s="180">
        <f t="shared" si="132"/>
        <v>8703674</v>
      </c>
      <c r="B8484" t="s">
        <v>5982</v>
      </c>
      <c r="C8484" t="s">
        <v>5983</v>
      </c>
    </row>
    <row r="8485" spans="1:4" x14ac:dyDescent="0.25">
      <c r="A8485" s="180">
        <f t="shared" si="132"/>
        <v>8703677</v>
      </c>
      <c r="B8485" t="s">
        <v>5984</v>
      </c>
      <c r="C8485" t="s">
        <v>5985</v>
      </c>
    </row>
    <row r="8486" spans="1:4" x14ac:dyDescent="0.25">
      <c r="A8486" s="180">
        <f t="shared" si="132"/>
        <v>8703679</v>
      </c>
      <c r="B8486" t="s">
        <v>5986</v>
      </c>
      <c r="C8486" t="s">
        <v>5987</v>
      </c>
      <c r="D8486" t="s">
        <v>13412</v>
      </c>
    </row>
    <row r="8487" spans="1:4" x14ac:dyDescent="0.25">
      <c r="A8487" s="180">
        <f t="shared" si="132"/>
        <v>8703699</v>
      </c>
      <c r="B8487" t="s">
        <v>5988</v>
      </c>
      <c r="C8487" t="s">
        <v>5989</v>
      </c>
      <c r="D8487" t="s">
        <v>13412</v>
      </c>
    </row>
    <row r="8488" spans="1:4" x14ac:dyDescent="0.25">
      <c r="A8488" s="180">
        <f t="shared" si="132"/>
        <v>8703700</v>
      </c>
      <c r="B8488" t="s">
        <v>5990</v>
      </c>
      <c r="C8488" t="s">
        <v>5991</v>
      </c>
      <c r="D8488" t="s">
        <v>13412</v>
      </c>
    </row>
    <row r="8489" spans="1:4" x14ac:dyDescent="0.25">
      <c r="A8489" s="180">
        <f t="shared" si="132"/>
        <v>8703700</v>
      </c>
      <c r="B8489" t="s">
        <v>5990</v>
      </c>
      <c r="C8489" t="s">
        <v>5991</v>
      </c>
      <c r="D8489" t="s">
        <v>13412</v>
      </c>
    </row>
    <row r="8490" spans="1:4" x14ac:dyDescent="0.25">
      <c r="A8490" s="180">
        <f t="shared" si="132"/>
        <v>8703702</v>
      </c>
      <c r="B8490" t="s">
        <v>5992</v>
      </c>
      <c r="C8490" t="s">
        <v>5993</v>
      </c>
      <c r="D8490" t="s">
        <v>13412</v>
      </c>
    </row>
    <row r="8491" spans="1:4" x14ac:dyDescent="0.25">
      <c r="A8491" s="180">
        <f t="shared" si="132"/>
        <v>8703702</v>
      </c>
      <c r="B8491" t="s">
        <v>5992</v>
      </c>
      <c r="C8491" t="s">
        <v>5993</v>
      </c>
      <c r="D8491" t="s">
        <v>13412</v>
      </c>
    </row>
    <row r="8492" spans="1:4" x14ac:dyDescent="0.25">
      <c r="A8492" s="180">
        <f t="shared" si="132"/>
        <v>8703702</v>
      </c>
      <c r="B8492" t="s">
        <v>5992</v>
      </c>
      <c r="C8492" t="s">
        <v>5993</v>
      </c>
      <c r="D8492" t="s">
        <v>13412</v>
      </c>
    </row>
    <row r="8493" spans="1:4" x14ac:dyDescent="0.25">
      <c r="A8493" s="180">
        <f t="shared" si="132"/>
        <v>8703703</v>
      </c>
      <c r="B8493" t="s">
        <v>5994</v>
      </c>
      <c r="C8493" t="s">
        <v>5995</v>
      </c>
      <c r="D8493" t="s">
        <v>13412</v>
      </c>
    </row>
    <row r="8494" spans="1:4" x14ac:dyDescent="0.25">
      <c r="A8494" s="180">
        <f t="shared" si="132"/>
        <v>8703704</v>
      </c>
      <c r="B8494" t="s">
        <v>5996</v>
      </c>
      <c r="C8494" t="s">
        <v>5997</v>
      </c>
    </row>
    <row r="8495" spans="1:4" x14ac:dyDescent="0.25">
      <c r="A8495" s="180">
        <f t="shared" si="132"/>
        <v>8703705</v>
      </c>
      <c r="B8495" t="s">
        <v>5998</v>
      </c>
      <c r="C8495" t="s">
        <v>5999</v>
      </c>
      <c r="D8495" t="s">
        <v>13412</v>
      </c>
    </row>
    <row r="8496" spans="1:4" x14ac:dyDescent="0.25">
      <c r="A8496" s="180">
        <f t="shared" si="132"/>
        <v>8703706</v>
      </c>
      <c r="B8496" t="s">
        <v>6000</v>
      </c>
      <c r="C8496" t="s">
        <v>6001</v>
      </c>
      <c r="D8496" t="s">
        <v>13412</v>
      </c>
    </row>
    <row r="8497" spans="1:4" x14ac:dyDescent="0.25">
      <c r="A8497" s="180">
        <f t="shared" si="132"/>
        <v>8703706</v>
      </c>
      <c r="B8497" t="s">
        <v>6000</v>
      </c>
      <c r="C8497" t="s">
        <v>6001</v>
      </c>
      <c r="D8497" t="s">
        <v>13412</v>
      </c>
    </row>
    <row r="8498" spans="1:4" x14ac:dyDescent="0.25">
      <c r="A8498" s="180">
        <f t="shared" si="132"/>
        <v>8703707</v>
      </c>
      <c r="B8498" t="s">
        <v>6002</v>
      </c>
      <c r="C8498" t="s">
        <v>6003</v>
      </c>
    </row>
    <row r="8499" spans="1:4" x14ac:dyDescent="0.25">
      <c r="A8499" s="180">
        <f t="shared" si="132"/>
        <v>8703741</v>
      </c>
      <c r="B8499" t="s">
        <v>6004</v>
      </c>
      <c r="C8499" t="s">
        <v>6005</v>
      </c>
      <c r="D8499" t="s">
        <v>13412</v>
      </c>
    </row>
    <row r="8500" spans="1:4" x14ac:dyDescent="0.25">
      <c r="A8500" s="180">
        <f t="shared" si="132"/>
        <v>8703742</v>
      </c>
      <c r="B8500" t="s">
        <v>6006</v>
      </c>
      <c r="C8500" t="s">
        <v>6007</v>
      </c>
      <c r="D8500" t="s">
        <v>13412</v>
      </c>
    </row>
    <row r="8501" spans="1:4" x14ac:dyDescent="0.25">
      <c r="A8501" s="180">
        <f t="shared" si="132"/>
        <v>8703743</v>
      </c>
      <c r="B8501" t="s">
        <v>6008</v>
      </c>
      <c r="C8501" t="s">
        <v>6009</v>
      </c>
      <c r="D8501" t="s">
        <v>13412</v>
      </c>
    </row>
    <row r="8502" spans="1:4" x14ac:dyDescent="0.25">
      <c r="A8502" s="180">
        <f t="shared" si="132"/>
        <v>8703744</v>
      </c>
      <c r="B8502" t="s">
        <v>13557</v>
      </c>
      <c r="C8502" t="s">
        <v>13558</v>
      </c>
      <c r="D8502" t="s">
        <v>13412</v>
      </c>
    </row>
    <row r="8503" spans="1:4" x14ac:dyDescent="0.25">
      <c r="A8503" s="180">
        <f t="shared" si="132"/>
        <v>8703750</v>
      </c>
      <c r="B8503" t="s">
        <v>6010</v>
      </c>
      <c r="C8503" t="s">
        <v>6011</v>
      </c>
      <c r="D8503" t="s">
        <v>13412</v>
      </c>
    </row>
    <row r="8504" spans="1:4" x14ac:dyDescent="0.25">
      <c r="A8504" s="180">
        <f t="shared" si="132"/>
        <v>8703751</v>
      </c>
      <c r="B8504" t="s">
        <v>14539</v>
      </c>
      <c r="C8504" t="s">
        <v>14540</v>
      </c>
      <c r="D8504" t="s">
        <v>13412</v>
      </c>
    </row>
    <row r="8505" spans="1:4" x14ac:dyDescent="0.25">
      <c r="A8505" s="180">
        <f t="shared" si="132"/>
        <v>8703779</v>
      </c>
      <c r="B8505" t="s">
        <v>7040</v>
      </c>
      <c r="C8505" t="s">
        <v>7041</v>
      </c>
      <c r="D8505" t="s">
        <v>13412</v>
      </c>
    </row>
    <row r="8506" spans="1:4" x14ac:dyDescent="0.25">
      <c r="A8506" s="180">
        <f t="shared" si="132"/>
        <v>8703800</v>
      </c>
      <c r="B8506" t="s">
        <v>6012</v>
      </c>
      <c r="C8506" t="s">
        <v>6013</v>
      </c>
      <c r="D8506" t="s">
        <v>13412</v>
      </c>
    </row>
    <row r="8507" spans="1:4" x14ac:dyDescent="0.25">
      <c r="A8507" s="180">
        <f t="shared" si="132"/>
        <v>8703803</v>
      </c>
      <c r="B8507" t="s">
        <v>6014</v>
      </c>
      <c r="C8507" t="s">
        <v>6015</v>
      </c>
      <c r="D8507" t="s">
        <v>13412</v>
      </c>
    </row>
    <row r="8508" spans="1:4" x14ac:dyDescent="0.25">
      <c r="A8508" s="180">
        <f t="shared" si="132"/>
        <v>8703810</v>
      </c>
      <c r="B8508" t="s">
        <v>6016</v>
      </c>
      <c r="C8508" t="s">
        <v>6017</v>
      </c>
      <c r="D8508" t="s">
        <v>13412</v>
      </c>
    </row>
    <row r="8509" spans="1:4" x14ac:dyDescent="0.25">
      <c r="A8509" s="180">
        <f t="shared" si="132"/>
        <v>8703811</v>
      </c>
      <c r="B8509" t="s">
        <v>6018</v>
      </c>
      <c r="C8509" t="s">
        <v>6019</v>
      </c>
      <c r="D8509" t="s">
        <v>13412</v>
      </c>
    </row>
    <row r="8510" spans="1:4" x14ac:dyDescent="0.25">
      <c r="A8510" s="180">
        <f t="shared" si="132"/>
        <v>8703812</v>
      </c>
      <c r="B8510" t="s">
        <v>6020</v>
      </c>
      <c r="C8510" t="s">
        <v>6021</v>
      </c>
      <c r="D8510" t="s">
        <v>13412</v>
      </c>
    </row>
    <row r="8511" spans="1:4" x14ac:dyDescent="0.25">
      <c r="A8511" s="180">
        <f t="shared" ref="A8511:A8574" si="133">IFERROR(B8511*1,"")</f>
        <v>8703841</v>
      </c>
      <c r="B8511" t="s">
        <v>6022</v>
      </c>
      <c r="C8511" t="s">
        <v>6023</v>
      </c>
      <c r="D8511" t="s">
        <v>13412</v>
      </c>
    </row>
    <row r="8512" spans="1:4" x14ac:dyDescent="0.25">
      <c r="A8512" s="180">
        <f t="shared" si="133"/>
        <v>8703842</v>
      </c>
      <c r="B8512" t="s">
        <v>6024</v>
      </c>
      <c r="C8512" t="s">
        <v>6025</v>
      </c>
      <c r="D8512" t="s">
        <v>13412</v>
      </c>
    </row>
    <row r="8513" spans="1:4" x14ac:dyDescent="0.25">
      <c r="A8513" s="180">
        <f t="shared" si="133"/>
        <v>8703843</v>
      </c>
      <c r="B8513" t="s">
        <v>6026</v>
      </c>
      <c r="C8513" t="s">
        <v>6027</v>
      </c>
      <c r="D8513" t="s">
        <v>13412</v>
      </c>
    </row>
    <row r="8514" spans="1:4" x14ac:dyDescent="0.25">
      <c r="A8514" s="180">
        <f t="shared" si="133"/>
        <v>8703861</v>
      </c>
      <c r="B8514" t="s">
        <v>6028</v>
      </c>
      <c r="C8514" t="s">
        <v>6029</v>
      </c>
    </row>
    <row r="8515" spans="1:4" x14ac:dyDescent="0.25">
      <c r="A8515" s="180">
        <f t="shared" si="133"/>
        <v>8703900</v>
      </c>
      <c r="B8515" t="s">
        <v>6030</v>
      </c>
      <c r="C8515" t="s">
        <v>6031</v>
      </c>
      <c r="D8515" t="s">
        <v>13412</v>
      </c>
    </row>
    <row r="8516" spans="1:4" x14ac:dyDescent="0.25">
      <c r="A8516" s="180">
        <f t="shared" si="133"/>
        <v>8703901</v>
      </c>
      <c r="B8516" t="s">
        <v>6032</v>
      </c>
      <c r="C8516" t="s">
        <v>6033</v>
      </c>
      <c r="D8516" t="s">
        <v>13412</v>
      </c>
    </row>
    <row r="8517" spans="1:4" x14ac:dyDescent="0.25">
      <c r="A8517" s="180">
        <f t="shared" si="133"/>
        <v>8703902</v>
      </c>
      <c r="B8517" t="s">
        <v>6034</v>
      </c>
      <c r="C8517" t="s">
        <v>6035</v>
      </c>
    </row>
    <row r="8518" spans="1:4" x14ac:dyDescent="0.25">
      <c r="A8518" s="180">
        <f t="shared" si="133"/>
        <v>8703905</v>
      </c>
      <c r="B8518" t="s">
        <v>6036</v>
      </c>
      <c r="C8518" t="s">
        <v>6037</v>
      </c>
      <c r="D8518" t="s">
        <v>13412</v>
      </c>
    </row>
    <row r="8519" spans="1:4" x14ac:dyDescent="0.25">
      <c r="A8519" s="180">
        <f t="shared" si="133"/>
        <v>8703925</v>
      </c>
      <c r="B8519" t="s">
        <v>6038</v>
      </c>
      <c r="C8519" t="s">
        <v>6039</v>
      </c>
      <c r="D8519" t="s">
        <v>13412</v>
      </c>
    </row>
    <row r="8520" spans="1:4" x14ac:dyDescent="0.25">
      <c r="A8520" s="180">
        <f t="shared" si="133"/>
        <v>8703925</v>
      </c>
      <c r="B8520" t="s">
        <v>6038</v>
      </c>
      <c r="C8520" t="s">
        <v>6039</v>
      </c>
      <c r="D8520" t="s">
        <v>13412</v>
      </c>
    </row>
    <row r="8521" spans="1:4" x14ac:dyDescent="0.25">
      <c r="A8521" s="180">
        <f t="shared" si="133"/>
        <v>8703926</v>
      </c>
      <c r="B8521" t="s">
        <v>6040</v>
      </c>
      <c r="C8521" t="s">
        <v>6041</v>
      </c>
      <c r="D8521" t="s">
        <v>13412</v>
      </c>
    </row>
    <row r="8522" spans="1:4" x14ac:dyDescent="0.25">
      <c r="A8522" s="180">
        <f t="shared" si="133"/>
        <v>8703926</v>
      </c>
      <c r="B8522" t="s">
        <v>6040</v>
      </c>
      <c r="C8522" t="s">
        <v>6041</v>
      </c>
      <c r="D8522" t="s">
        <v>13412</v>
      </c>
    </row>
    <row r="8523" spans="1:4" x14ac:dyDescent="0.25">
      <c r="A8523" s="180">
        <f t="shared" si="133"/>
        <v>8703950</v>
      </c>
      <c r="B8523" t="s">
        <v>6042</v>
      </c>
      <c r="C8523" t="s">
        <v>6043</v>
      </c>
      <c r="D8523" t="s">
        <v>13412</v>
      </c>
    </row>
    <row r="8524" spans="1:4" x14ac:dyDescent="0.25">
      <c r="A8524" s="180">
        <f t="shared" si="133"/>
        <v>8703952</v>
      </c>
      <c r="B8524" t="s">
        <v>6044</v>
      </c>
      <c r="C8524" t="s">
        <v>6045</v>
      </c>
      <c r="D8524" t="s">
        <v>13412</v>
      </c>
    </row>
    <row r="8525" spans="1:4" x14ac:dyDescent="0.25">
      <c r="A8525" s="180">
        <f t="shared" si="133"/>
        <v>8703955</v>
      </c>
      <c r="B8525" t="s">
        <v>6046</v>
      </c>
      <c r="C8525" t="s">
        <v>6047</v>
      </c>
      <c r="D8525" t="s">
        <v>13412</v>
      </c>
    </row>
    <row r="8526" spans="1:4" x14ac:dyDescent="0.25">
      <c r="A8526" s="180">
        <f t="shared" si="133"/>
        <v>8703955</v>
      </c>
      <c r="B8526" t="s">
        <v>6046</v>
      </c>
      <c r="C8526" t="s">
        <v>6047</v>
      </c>
      <c r="D8526" t="s">
        <v>13412</v>
      </c>
    </row>
    <row r="8527" spans="1:4" x14ac:dyDescent="0.25">
      <c r="A8527" s="180">
        <f t="shared" si="133"/>
        <v>8703956</v>
      </c>
      <c r="B8527" t="s">
        <v>6048</v>
      </c>
      <c r="C8527" t="s">
        <v>6049</v>
      </c>
      <c r="D8527" t="s">
        <v>13412</v>
      </c>
    </row>
    <row r="8528" spans="1:4" x14ac:dyDescent="0.25">
      <c r="A8528" s="180">
        <f t="shared" si="133"/>
        <v>8703958</v>
      </c>
      <c r="B8528" t="s">
        <v>6050</v>
      </c>
      <c r="C8528" t="s">
        <v>14077</v>
      </c>
      <c r="D8528" t="s">
        <v>13412</v>
      </c>
    </row>
    <row r="8529" spans="1:4" x14ac:dyDescent="0.25">
      <c r="A8529" s="180">
        <f t="shared" si="133"/>
        <v>8703959</v>
      </c>
      <c r="B8529" t="s">
        <v>6051</v>
      </c>
      <c r="C8529" t="s">
        <v>6052</v>
      </c>
      <c r="D8529" t="s">
        <v>13412</v>
      </c>
    </row>
    <row r="8530" spans="1:4" x14ac:dyDescent="0.25">
      <c r="A8530" s="180">
        <f t="shared" si="133"/>
        <v>8703960</v>
      </c>
      <c r="B8530" t="s">
        <v>6053</v>
      </c>
      <c r="C8530" t="s">
        <v>6054</v>
      </c>
      <c r="D8530" t="s">
        <v>13412</v>
      </c>
    </row>
    <row r="8531" spans="1:4" x14ac:dyDescent="0.25">
      <c r="A8531" s="180">
        <f t="shared" si="133"/>
        <v>8703961</v>
      </c>
      <c r="B8531" t="s">
        <v>6055</v>
      </c>
      <c r="C8531" t="s">
        <v>6056</v>
      </c>
    </row>
    <row r="8532" spans="1:4" x14ac:dyDescent="0.25">
      <c r="A8532" s="180">
        <f t="shared" si="133"/>
        <v>8703962</v>
      </c>
      <c r="B8532" t="s">
        <v>6057</v>
      </c>
      <c r="C8532" t="s">
        <v>6058</v>
      </c>
      <c r="D8532" t="s">
        <v>13412</v>
      </c>
    </row>
    <row r="8533" spans="1:4" x14ac:dyDescent="0.25">
      <c r="A8533" s="180">
        <f t="shared" si="133"/>
        <v>8703987</v>
      </c>
      <c r="B8533" t="s">
        <v>6059</v>
      </c>
      <c r="C8533" t="s">
        <v>6060</v>
      </c>
      <c r="D8533" t="s">
        <v>13412</v>
      </c>
    </row>
    <row r="8534" spans="1:4" x14ac:dyDescent="0.25">
      <c r="A8534" s="180">
        <f t="shared" si="133"/>
        <v>8705001</v>
      </c>
      <c r="B8534" t="s">
        <v>6061</v>
      </c>
      <c r="C8534" t="s">
        <v>6062</v>
      </c>
      <c r="D8534" t="s">
        <v>13412</v>
      </c>
    </row>
    <row r="8535" spans="1:4" x14ac:dyDescent="0.25">
      <c r="A8535" s="180">
        <f t="shared" si="133"/>
        <v>8705002</v>
      </c>
      <c r="B8535" t="s">
        <v>6063</v>
      </c>
      <c r="C8535" t="s">
        <v>6064</v>
      </c>
    </row>
    <row r="8536" spans="1:4" x14ac:dyDescent="0.25">
      <c r="A8536" s="180">
        <f t="shared" si="133"/>
        <v>8705003</v>
      </c>
      <c r="B8536" t="s">
        <v>6065</v>
      </c>
      <c r="C8536" t="s">
        <v>6066</v>
      </c>
      <c r="D8536" t="s">
        <v>13412</v>
      </c>
    </row>
    <row r="8537" spans="1:4" x14ac:dyDescent="0.25">
      <c r="A8537" s="180">
        <f t="shared" si="133"/>
        <v>8705003</v>
      </c>
      <c r="B8537" t="s">
        <v>6065</v>
      </c>
      <c r="C8537" t="s">
        <v>6066</v>
      </c>
      <c r="D8537" t="s">
        <v>13412</v>
      </c>
    </row>
    <row r="8538" spans="1:4" x14ac:dyDescent="0.25">
      <c r="A8538" s="180">
        <f t="shared" si="133"/>
        <v>8705004</v>
      </c>
      <c r="B8538" t="s">
        <v>6067</v>
      </c>
      <c r="C8538" t="s">
        <v>6068</v>
      </c>
    </row>
    <row r="8539" spans="1:4" x14ac:dyDescent="0.25">
      <c r="A8539" s="180">
        <f t="shared" si="133"/>
        <v>8705005</v>
      </c>
      <c r="B8539" t="s">
        <v>6069</v>
      </c>
      <c r="C8539" t="s">
        <v>6070</v>
      </c>
    </row>
    <row r="8540" spans="1:4" x14ac:dyDescent="0.25">
      <c r="A8540" s="180">
        <f t="shared" si="133"/>
        <v>8705006</v>
      </c>
      <c r="B8540" t="s">
        <v>6071</v>
      </c>
      <c r="C8540" t="s">
        <v>6072</v>
      </c>
    </row>
    <row r="8541" spans="1:4" x14ac:dyDescent="0.25">
      <c r="A8541" s="180">
        <f t="shared" si="133"/>
        <v>8705007</v>
      </c>
      <c r="B8541" t="s">
        <v>6073</v>
      </c>
      <c r="C8541" t="s">
        <v>6074</v>
      </c>
    </row>
    <row r="8542" spans="1:4" x14ac:dyDescent="0.25">
      <c r="A8542" s="180">
        <f t="shared" si="133"/>
        <v>8705008</v>
      </c>
      <c r="B8542" t="s">
        <v>6075</v>
      </c>
      <c r="C8542" t="s">
        <v>6076</v>
      </c>
      <c r="D8542" t="s">
        <v>13412</v>
      </c>
    </row>
    <row r="8543" spans="1:4" x14ac:dyDescent="0.25">
      <c r="A8543" s="180">
        <f t="shared" si="133"/>
        <v>8705009</v>
      </c>
      <c r="B8543" t="s">
        <v>6077</v>
      </c>
      <c r="C8543" t="s">
        <v>6078</v>
      </c>
    </row>
    <row r="8544" spans="1:4" x14ac:dyDescent="0.25">
      <c r="A8544" s="180">
        <f t="shared" si="133"/>
        <v>8705010</v>
      </c>
      <c r="B8544" t="s">
        <v>6079</v>
      </c>
      <c r="C8544" t="s">
        <v>6080</v>
      </c>
    </row>
    <row r="8545" spans="1:4" x14ac:dyDescent="0.25">
      <c r="A8545" s="180">
        <f t="shared" si="133"/>
        <v>8705011</v>
      </c>
      <c r="B8545" t="s">
        <v>6081</v>
      </c>
      <c r="C8545" t="s">
        <v>6082</v>
      </c>
      <c r="D8545" t="s">
        <v>13412</v>
      </c>
    </row>
    <row r="8546" spans="1:4" x14ac:dyDescent="0.25">
      <c r="A8546" s="180">
        <f t="shared" si="133"/>
        <v>8705012</v>
      </c>
      <c r="B8546" t="s">
        <v>6083</v>
      </c>
      <c r="C8546" t="s">
        <v>6084</v>
      </c>
    </row>
    <row r="8547" spans="1:4" x14ac:dyDescent="0.25">
      <c r="A8547" s="180">
        <f t="shared" si="133"/>
        <v>8705013</v>
      </c>
      <c r="B8547" t="s">
        <v>6085</v>
      </c>
      <c r="C8547" t="s">
        <v>7042</v>
      </c>
      <c r="D8547" t="s">
        <v>13412</v>
      </c>
    </row>
    <row r="8548" spans="1:4" x14ac:dyDescent="0.25">
      <c r="A8548" s="180">
        <f t="shared" si="133"/>
        <v>8705016</v>
      </c>
      <c r="B8548" t="s">
        <v>6086</v>
      </c>
      <c r="C8548" t="s">
        <v>6087</v>
      </c>
      <c r="D8548" t="s">
        <v>13412</v>
      </c>
    </row>
    <row r="8549" spans="1:4" x14ac:dyDescent="0.25">
      <c r="A8549" s="180">
        <f t="shared" si="133"/>
        <v>8705018</v>
      </c>
      <c r="B8549" t="s">
        <v>6088</v>
      </c>
      <c r="C8549" t="s">
        <v>6089</v>
      </c>
      <c r="D8549" t="s">
        <v>13412</v>
      </c>
    </row>
    <row r="8550" spans="1:4" x14ac:dyDescent="0.25">
      <c r="A8550" s="180">
        <f t="shared" si="133"/>
        <v>8705019</v>
      </c>
      <c r="B8550" t="s">
        <v>6090</v>
      </c>
      <c r="C8550" t="s">
        <v>6091</v>
      </c>
      <c r="D8550" t="s">
        <v>13412</v>
      </c>
    </row>
    <row r="8551" spans="1:4" x14ac:dyDescent="0.25">
      <c r="A8551" s="180">
        <f t="shared" si="133"/>
        <v>8705020</v>
      </c>
      <c r="B8551" t="s">
        <v>6092</v>
      </c>
      <c r="C8551" t="s">
        <v>6093</v>
      </c>
      <c r="D8551" t="s">
        <v>13412</v>
      </c>
    </row>
    <row r="8552" spans="1:4" x14ac:dyDescent="0.25">
      <c r="A8552" s="180">
        <f t="shared" si="133"/>
        <v>8705021</v>
      </c>
      <c r="B8552" t="s">
        <v>6094</v>
      </c>
      <c r="C8552" t="s">
        <v>6095</v>
      </c>
      <c r="D8552" t="s">
        <v>13412</v>
      </c>
    </row>
    <row r="8553" spans="1:4" x14ac:dyDescent="0.25">
      <c r="A8553" s="180">
        <f t="shared" si="133"/>
        <v>8705022</v>
      </c>
      <c r="B8553" t="s">
        <v>6096</v>
      </c>
      <c r="C8553" t="s">
        <v>6097</v>
      </c>
    </row>
    <row r="8554" spans="1:4" x14ac:dyDescent="0.25">
      <c r="A8554" s="180">
        <f t="shared" si="133"/>
        <v>8705023</v>
      </c>
      <c r="B8554" t="s">
        <v>6098</v>
      </c>
      <c r="C8554" t="s">
        <v>6099</v>
      </c>
      <c r="D8554" t="s">
        <v>13412</v>
      </c>
    </row>
    <row r="8555" spans="1:4" x14ac:dyDescent="0.25">
      <c r="A8555" s="180">
        <f t="shared" si="133"/>
        <v>8705036</v>
      </c>
      <c r="B8555" t="s">
        <v>6100</v>
      </c>
      <c r="C8555" t="s">
        <v>6101</v>
      </c>
    </row>
    <row r="8556" spans="1:4" x14ac:dyDescent="0.25">
      <c r="A8556" s="180">
        <f t="shared" si="133"/>
        <v>8705037</v>
      </c>
      <c r="B8556" t="s">
        <v>6102</v>
      </c>
      <c r="C8556" t="s">
        <v>12729</v>
      </c>
      <c r="D8556" t="s">
        <v>13412</v>
      </c>
    </row>
    <row r="8557" spans="1:4" x14ac:dyDescent="0.25">
      <c r="A8557" s="180">
        <f t="shared" si="133"/>
        <v>8705038</v>
      </c>
      <c r="B8557" t="s">
        <v>6103</v>
      </c>
      <c r="C8557" t="s">
        <v>6104</v>
      </c>
      <c r="D8557" t="s">
        <v>13412</v>
      </c>
    </row>
    <row r="8558" spans="1:4" x14ac:dyDescent="0.25">
      <c r="A8558" s="180">
        <f t="shared" si="133"/>
        <v>8705039</v>
      </c>
      <c r="B8558" t="s">
        <v>6105</v>
      </c>
      <c r="C8558" t="s">
        <v>6106</v>
      </c>
      <c r="D8558" t="s">
        <v>13412</v>
      </c>
    </row>
    <row r="8559" spans="1:4" x14ac:dyDescent="0.25">
      <c r="A8559" s="180">
        <f t="shared" si="133"/>
        <v>8705042</v>
      </c>
      <c r="B8559" t="s">
        <v>14541</v>
      </c>
      <c r="C8559" t="s">
        <v>14542</v>
      </c>
    </row>
    <row r="8560" spans="1:4" x14ac:dyDescent="0.25">
      <c r="A8560" s="180">
        <f t="shared" si="133"/>
        <v>8705072</v>
      </c>
      <c r="B8560" t="s">
        <v>6107</v>
      </c>
      <c r="C8560" t="s">
        <v>6108</v>
      </c>
      <c r="D8560" t="s">
        <v>13412</v>
      </c>
    </row>
    <row r="8561" spans="1:4" x14ac:dyDescent="0.25">
      <c r="A8561" s="180">
        <f t="shared" si="133"/>
        <v>8705072</v>
      </c>
      <c r="B8561" t="s">
        <v>6107</v>
      </c>
      <c r="C8561" t="s">
        <v>6108</v>
      </c>
      <c r="D8561" t="s">
        <v>13412</v>
      </c>
    </row>
    <row r="8562" spans="1:4" x14ac:dyDescent="0.25">
      <c r="A8562" s="180">
        <f t="shared" si="133"/>
        <v>8705075</v>
      </c>
      <c r="B8562" t="s">
        <v>6109</v>
      </c>
      <c r="C8562" t="s">
        <v>14543</v>
      </c>
      <c r="D8562" t="s">
        <v>13412</v>
      </c>
    </row>
    <row r="8563" spans="1:4" x14ac:dyDescent="0.25">
      <c r="A8563" s="180">
        <f t="shared" si="133"/>
        <v>8705088</v>
      </c>
      <c r="B8563" t="s">
        <v>13368</v>
      </c>
      <c r="C8563" t="s">
        <v>13369</v>
      </c>
      <c r="D8563" t="s">
        <v>13412</v>
      </c>
    </row>
    <row r="8564" spans="1:4" x14ac:dyDescent="0.25">
      <c r="A8564" s="180">
        <f t="shared" si="133"/>
        <v>8705089</v>
      </c>
      <c r="B8564" t="s">
        <v>13559</v>
      </c>
      <c r="C8564" t="s">
        <v>13560</v>
      </c>
      <c r="D8564" t="s">
        <v>13412</v>
      </c>
    </row>
    <row r="8565" spans="1:4" x14ac:dyDescent="0.25">
      <c r="A8565" s="180">
        <f t="shared" si="133"/>
        <v>8705100</v>
      </c>
      <c r="B8565" t="s">
        <v>6110</v>
      </c>
      <c r="C8565" t="s">
        <v>12730</v>
      </c>
      <c r="D8565" t="s">
        <v>13412</v>
      </c>
    </row>
    <row r="8566" spans="1:4" x14ac:dyDescent="0.25">
      <c r="A8566" s="180">
        <f t="shared" si="133"/>
        <v>8705113</v>
      </c>
      <c r="B8566" t="s">
        <v>6111</v>
      </c>
      <c r="C8566" t="s">
        <v>6112</v>
      </c>
      <c r="D8566" t="s">
        <v>13412</v>
      </c>
    </row>
    <row r="8567" spans="1:4" x14ac:dyDescent="0.25">
      <c r="A8567" s="180">
        <f t="shared" si="133"/>
        <v>8705114</v>
      </c>
      <c r="B8567" t="s">
        <v>13370</v>
      </c>
      <c r="C8567" t="s">
        <v>13371</v>
      </c>
      <c r="D8567" t="s">
        <v>13412</v>
      </c>
    </row>
    <row r="8568" spans="1:4" x14ac:dyDescent="0.25">
      <c r="A8568" s="180">
        <f t="shared" si="133"/>
        <v>8705115</v>
      </c>
      <c r="B8568" t="s">
        <v>13561</v>
      </c>
      <c r="C8568" t="s">
        <v>13562</v>
      </c>
      <c r="D8568" t="s">
        <v>13412</v>
      </c>
    </row>
    <row r="8569" spans="1:4" x14ac:dyDescent="0.25">
      <c r="A8569" s="180">
        <f t="shared" si="133"/>
        <v>8705116</v>
      </c>
      <c r="B8569" t="s">
        <v>13563</v>
      </c>
      <c r="C8569" t="s">
        <v>13939</v>
      </c>
      <c r="D8569" t="s">
        <v>13412</v>
      </c>
    </row>
    <row r="8570" spans="1:4" x14ac:dyDescent="0.25">
      <c r="A8570" s="180">
        <f t="shared" si="133"/>
        <v>8705116</v>
      </c>
      <c r="B8570" t="s">
        <v>13563</v>
      </c>
      <c r="C8570" t="s">
        <v>13939</v>
      </c>
      <c r="D8570" t="s">
        <v>13412</v>
      </c>
    </row>
    <row r="8571" spans="1:4" x14ac:dyDescent="0.25">
      <c r="A8571" s="180">
        <f t="shared" si="133"/>
        <v>8705117</v>
      </c>
      <c r="B8571" t="s">
        <v>13564</v>
      </c>
      <c r="C8571" t="s">
        <v>13565</v>
      </c>
      <c r="D8571" t="s">
        <v>13412</v>
      </c>
    </row>
    <row r="8572" spans="1:4" x14ac:dyDescent="0.25">
      <c r="A8572" s="180">
        <f t="shared" si="133"/>
        <v>8705118</v>
      </c>
      <c r="B8572" t="s">
        <v>6113</v>
      </c>
      <c r="C8572" t="s">
        <v>6114</v>
      </c>
    </row>
    <row r="8573" spans="1:4" x14ac:dyDescent="0.25">
      <c r="A8573" s="180">
        <f t="shared" si="133"/>
        <v>8705119</v>
      </c>
      <c r="B8573" t="s">
        <v>13566</v>
      </c>
      <c r="C8573" t="s">
        <v>13567</v>
      </c>
      <c r="D8573" t="s">
        <v>13412</v>
      </c>
    </row>
    <row r="8574" spans="1:4" x14ac:dyDescent="0.25">
      <c r="A8574" s="180">
        <f t="shared" si="133"/>
        <v>8705119</v>
      </c>
      <c r="B8574" t="s">
        <v>13566</v>
      </c>
      <c r="C8574" t="s">
        <v>13567</v>
      </c>
      <c r="D8574" t="s">
        <v>13412</v>
      </c>
    </row>
    <row r="8575" spans="1:4" x14ac:dyDescent="0.25">
      <c r="A8575" s="180">
        <f t="shared" ref="A8575:A8638" si="134">IFERROR(B8575*1,"")</f>
        <v>8705120</v>
      </c>
      <c r="B8575" t="s">
        <v>13568</v>
      </c>
      <c r="C8575" t="s">
        <v>13569</v>
      </c>
      <c r="D8575" t="s">
        <v>13412</v>
      </c>
    </row>
    <row r="8576" spans="1:4" x14ac:dyDescent="0.25">
      <c r="A8576" s="180">
        <f t="shared" si="134"/>
        <v>8705121</v>
      </c>
      <c r="B8576" t="s">
        <v>13940</v>
      </c>
      <c r="C8576" t="s">
        <v>13941</v>
      </c>
      <c r="D8576" t="s">
        <v>13412</v>
      </c>
    </row>
    <row r="8577" spans="1:4" x14ac:dyDescent="0.25">
      <c r="A8577" s="180">
        <f t="shared" si="134"/>
        <v>8705131</v>
      </c>
      <c r="B8577" t="s">
        <v>6115</v>
      </c>
      <c r="C8577" t="s">
        <v>6116</v>
      </c>
    </row>
    <row r="8578" spans="1:4" x14ac:dyDescent="0.25">
      <c r="A8578" s="180">
        <f t="shared" si="134"/>
        <v>8705200</v>
      </c>
      <c r="B8578" t="s">
        <v>6117</v>
      </c>
      <c r="C8578" t="s">
        <v>6118</v>
      </c>
      <c r="D8578" t="s">
        <v>13412</v>
      </c>
    </row>
    <row r="8579" spans="1:4" x14ac:dyDescent="0.25">
      <c r="A8579" s="180">
        <f t="shared" si="134"/>
        <v>8705201</v>
      </c>
      <c r="B8579" t="s">
        <v>6119</v>
      </c>
      <c r="C8579" t="s">
        <v>13570</v>
      </c>
      <c r="D8579" t="s">
        <v>13412</v>
      </c>
    </row>
    <row r="8580" spans="1:4" x14ac:dyDescent="0.25">
      <c r="A8580" s="180">
        <f t="shared" si="134"/>
        <v>8705214</v>
      </c>
      <c r="B8580" t="s">
        <v>6120</v>
      </c>
      <c r="C8580" t="s">
        <v>6121</v>
      </c>
    </row>
    <row r="8581" spans="1:4" x14ac:dyDescent="0.25">
      <c r="A8581" s="180">
        <f t="shared" si="134"/>
        <v>8705225</v>
      </c>
      <c r="B8581" t="s">
        <v>6122</v>
      </c>
      <c r="C8581" t="s">
        <v>6123</v>
      </c>
      <c r="D8581" t="s">
        <v>13412</v>
      </c>
    </row>
    <row r="8582" spans="1:4" x14ac:dyDescent="0.25">
      <c r="A8582" s="180">
        <f t="shared" si="134"/>
        <v>8705226</v>
      </c>
      <c r="B8582" t="s">
        <v>6124</v>
      </c>
      <c r="C8582" t="s">
        <v>6125</v>
      </c>
      <c r="D8582" t="s">
        <v>13412</v>
      </c>
    </row>
    <row r="8583" spans="1:4" x14ac:dyDescent="0.25">
      <c r="A8583" s="180">
        <f t="shared" si="134"/>
        <v>8705227</v>
      </c>
      <c r="B8583" t="s">
        <v>6126</v>
      </c>
      <c r="C8583" t="s">
        <v>6127</v>
      </c>
    </row>
    <row r="8584" spans="1:4" x14ac:dyDescent="0.25">
      <c r="A8584" s="180">
        <f t="shared" si="134"/>
        <v>8705228</v>
      </c>
      <c r="B8584" t="s">
        <v>6128</v>
      </c>
      <c r="C8584" t="s">
        <v>6129</v>
      </c>
    </row>
    <row r="8585" spans="1:4" x14ac:dyDescent="0.25">
      <c r="A8585" s="180">
        <f t="shared" si="134"/>
        <v>8705233</v>
      </c>
      <c r="B8585" t="s">
        <v>6130</v>
      </c>
      <c r="C8585" t="s">
        <v>6131</v>
      </c>
      <c r="D8585" t="s">
        <v>13412</v>
      </c>
    </row>
    <row r="8586" spans="1:4" x14ac:dyDescent="0.25">
      <c r="A8586" s="180">
        <f t="shared" si="134"/>
        <v>8705241</v>
      </c>
      <c r="B8586" t="s">
        <v>6132</v>
      </c>
      <c r="C8586" t="s">
        <v>6133</v>
      </c>
    </row>
    <row r="8587" spans="1:4" x14ac:dyDescent="0.25">
      <c r="A8587" s="180">
        <f t="shared" si="134"/>
        <v>8705256</v>
      </c>
      <c r="B8587" t="s">
        <v>6134</v>
      </c>
      <c r="C8587" t="s">
        <v>6135</v>
      </c>
      <c r="D8587" t="s">
        <v>13412</v>
      </c>
    </row>
    <row r="8588" spans="1:4" x14ac:dyDescent="0.25">
      <c r="A8588" s="180">
        <f t="shared" si="134"/>
        <v>8705300</v>
      </c>
      <c r="B8588" t="s">
        <v>6136</v>
      </c>
      <c r="C8588" t="s">
        <v>6137</v>
      </c>
      <c r="D8588" t="s">
        <v>13412</v>
      </c>
    </row>
    <row r="8589" spans="1:4" x14ac:dyDescent="0.25">
      <c r="A8589" s="180">
        <f t="shared" si="134"/>
        <v>8705370</v>
      </c>
      <c r="B8589" t="s">
        <v>6138</v>
      </c>
      <c r="C8589" t="s">
        <v>6139</v>
      </c>
      <c r="D8589" t="s">
        <v>13412</v>
      </c>
    </row>
    <row r="8590" spans="1:4" x14ac:dyDescent="0.25">
      <c r="A8590" s="180">
        <f t="shared" si="134"/>
        <v>8705444</v>
      </c>
      <c r="B8590" t="s">
        <v>14544</v>
      </c>
      <c r="C8590" t="s">
        <v>14545</v>
      </c>
    </row>
    <row r="8591" spans="1:4" x14ac:dyDescent="0.25">
      <c r="A8591" s="180">
        <f t="shared" si="134"/>
        <v>8705449</v>
      </c>
      <c r="B8591" t="s">
        <v>6140</v>
      </c>
      <c r="C8591" t="s">
        <v>12945</v>
      </c>
      <c r="D8591" t="s">
        <v>13412</v>
      </c>
    </row>
    <row r="8592" spans="1:4" x14ac:dyDescent="0.25">
      <c r="A8592" s="180">
        <f t="shared" si="134"/>
        <v>8705450</v>
      </c>
      <c r="B8592" t="s">
        <v>6141</v>
      </c>
      <c r="C8592" t="s">
        <v>6142</v>
      </c>
      <c r="D8592" t="s">
        <v>13412</v>
      </c>
    </row>
    <row r="8593" spans="1:4" x14ac:dyDescent="0.25">
      <c r="A8593" s="180">
        <f t="shared" si="134"/>
        <v>8705459</v>
      </c>
      <c r="B8593" t="s">
        <v>6143</v>
      </c>
      <c r="C8593" t="s">
        <v>6144</v>
      </c>
      <c r="D8593" t="s">
        <v>13412</v>
      </c>
    </row>
    <row r="8594" spans="1:4" x14ac:dyDescent="0.25">
      <c r="A8594" s="180">
        <f t="shared" si="134"/>
        <v>8705460</v>
      </c>
      <c r="B8594" t="s">
        <v>6145</v>
      </c>
      <c r="C8594" t="s">
        <v>6146</v>
      </c>
      <c r="D8594" t="s">
        <v>13412</v>
      </c>
    </row>
    <row r="8595" spans="1:4" x14ac:dyDescent="0.25">
      <c r="A8595" s="180">
        <f t="shared" si="134"/>
        <v>8705480</v>
      </c>
      <c r="B8595" t="s">
        <v>6147</v>
      </c>
      <c r="C8595" t="s">
        <v>12731</v>
      </c>
      <c r="D8595" t="s">
        <v>13412</v>
      </c>
    </row>
    <row r="8596" spans="1:4" x14ac:dyDescent="0.25">
      <c r="A8596" s="180">
        <f t="shared" si="134"/>
        <v>8705500</v>
      </c>
      <c r="B8596" t="s">
        <v>6148</v>
      </c>
      <c r="C8596" t="s">
        <v>6149</v>
      </c>
      <c r="D8596" t="s">
        <v>13412</v>
      </c>
    </row>
    <row r="8597" spans="1:4" x14ac:dyDescent="0.25">
      <c r="A8597" s="180">
        <f t="shared" si="134"/>
        <v>8705550</v>
      </c>
      <c r="B8597" t="s">
        <v>6150</v>
      </c>
      <c r="C8597" t="s">
        <v>6095</v>
      </c>
      <c r="D8597" t="s">
        <v>13412</v>
      </c>
    </row>
    <row r="8598" spans="1:4" x14ac:dyDescent="0.25">
      <c r="A8598" s="180">
        <f t="shared" si="134"/>
        <v>8705551</v>
      </c>
      <c r="B8598" t="s">
        <v>6151</v>
      </c>
      <c r="C8598" t="s">
        <v>6152</v>
      </c>
      <c r="D8598" t="s">
        <v>13412</v>
      </c>
    </row>
    <row r="8599" spans="1:4" x14ac:dyDescent="0.25">
      <c r="A8599" s="180">
        <f t="shared" si="134"/>
        <v>8705552</v>
      </c>
      <c r="B8599" t="s">
        <v>6153</v>
      </c>
      <c r="C8599" t="s">
        <v>14078</v>
      </c>
      <c r="D8599" t="s">
        <v>13412</v>
      </c>
    </row>
    <row r="8600" spans="1:4" x14ac:dyDescent="0.25">
      <c r="A8600" s="180">
        <f t="shared" si="134"/>
        <v>8705553</v>
      </c>
      <c r="B8600" t="s">
        <v>6154</v>
      </c>
      <c r="C8600" t="s">
        <v>6155</v>
      </c>
      <c r="D8600" t="s">
        <v>13412</v>
      </c>
    </row>
    <row r="8601" spans="1:4" x14ac:dyDescent="0.25">
      <c r="A8601" s="180">
        <f t="shared" si="134"/>
        <v>8705554</v>
      </c>
      <c r="B8601" t="s">
        <v>6156</v>
      </c>
      <c r="C8601" t="s">
        <v>6157</v>
      </c>
      <c r="D8601" t="s">
        <v>13412</v>
      </c>
    </row>
    <row r="8602" spans="1:4" x14ac:dyDescent="0.25">
      <c r="A8602" s="180">
        <f t="shared" si="134"/>
        <v>8705555</v>
      </c>
      <c r="B8602" t="s">
        <v>6158</v>
      </c>
      <c r="C8602" t="s">
        <v>6159</v>
      </c>
    </row>
    <row r="8603" spans="1:4" x14ac:dyDescent="0.25">
      <c r="A8603" s="180">
        <f t="shared" si="134"/>
        <v>8705556</v>
      </c>
      <c r="B8603" t="s">
        <v>6160</v>
      </c>
      <c r="C8603" t="s">
        <v>12946</v>
      </c>
      <c r="D8603" t="s">
        <v>13412</v>
      </c>
    </row>
    <row r="8604" spans="1:4" x14ac:dyDescent="0.25">
      <c r="A8604" s="180">
        <f t="shared" si="134"/>
        <v>8705557</v>
      </c>
      <c r="B8604" t="s">
        <v>6161</v>
      </c>
      <c r="C8604" t="s">
        <v>6162</v>
      </c>
    </row>
    <row r="8605" spans="1:4" x14ac:dyDescent="0.25">
      <c r="A8605" s="180">
        <f t="shared" si="134"/>
        <v>8705568</v>
      </c>
      <c r="B8605" t="s">
        <v>6163</v>
      </c>
      <c r="C8605" t="s">
        <v>6164</v>
      </c>
      <c r="D8605" t="s">
        <v>13412</v>
      </c>
    </row>
    <row r="8606" spans="1:4" x14ac:dyDescent="0.25">
      <c r="A8606" s="180">
        <f t="shared" si="134"/>
        <v>8705586</v>
      </c>
      <c r="B8606" t="s">
        <v>6165</v>
      </c>
      <c r="C8606" t="s">
        <v>6166</v>
      </c>
      <c r="D8606" t="s">
        <v>13412</v>
      </c>
    </row>
    <row r="8607" spans="1:4" x14ac:dyDescent="0.25">
      <c r="A8607" s="180">
        <f t="shared" si="134"/>
        <v>8705651</v>
      </c>
      <c r="B8607" t="s">
        <v>6167</v>
      </c>
      <c r="C8607" t="s">
        <v>6168</v>
      </c>
      <c r="D8607" t="s">
        <v>13412</v>
      </c>
    </row>
    <row r="8608" spans="1:4" x14ac:dyDescent="0.25">
      <c r="A8608" s="180">
        <f t="shared" si="134"/>
        <v>8705661</v>
      </c>
      <c r="B8608" t="s">
        <v>6169</v>
      </c>
      <c r="C8608" t="s">
        <v>6170</v>
      </c>
      <c r="D8608" t="s">
        <v>13412</v>
      </c>
    </row>
    <row r="8609" spans="1:4" x14ac:dyDescent="0.25">
      <c r="A8609" s="180">
        <f t="shared" si="134"/>
        <v>8705665</v>
      </c>
      <c r="B8609" t="s">
        <v>6171</v>
      </c>
      <c r="C8609" t="s">
        <v>6172</v>
      </c>
      <c r="D8609" t="s">
        <v>13412</v>
      </c>
    </row>
    <row r="8610" spans="1:4" x14ac:dyDescent="0.25">
      <c r="A8610" s="180">
        <f t="shared" si="134"/>
        <v>8705668</v>
      </c>
      <c r="B8610" t="s">
        <v>6173</v>
      </c>
      <c r="C8610" t="s">
        <v>6174</v>
      </c>
      <c r="D8610" t="s">
        <v>13412</v>
      </c>
    </row>
    <row r="8611" spans="1:4" x14ac:dyDescent="0.25">
      <c r="A8611" s="180">
        <f t="shared" si="134"/>
        <v>8705683</v>
      </c>
      <c r="B8611" t="s">
        <v>6175</v>
      </c>
      <c r="C8611" t="s">
        <v>6176</v>
      </c>
      <c r="D8611" t="s">
        <v>13412</v>
      </c>
    </row>
    <row r="8612" spans="1:4" x14ac:dyDescent="0.25">
      <c r="A8612" s="180">
        <f t="shared" si="134"/>
        <v>8705700</v>
      </c>
      <c r="B8612" t="s">
        <v>6177</v>
      </c>
      <c r="C8612" t="s">
        <v>6178</v>
      </c>
    </row>
    <row r="8613" spans="1:4" x14ac:dyDescent="0.25">
      <c r="A8613" s="180">
        <f t="shared" si="134"/>
        <v>8705749</v>
      </c>
      <c r="B8613" t="s">
        <v>6179</v>
      </c>
      <c r="C8613" t="s">
        <v>6180</v>
      </c>
      <c r="D8613" t="s">
        <v>13412</v>
      </c>
    </row>
    <row r="8614" spans="1:4" x14ac:dyDescent="0.25">
      <c r="A8614" s="180">
        <f t="shared" si="134"/>
        <v>8705750</v>
      </c>
      <c r="B8614" t="s">
        <v>6181</v>
      </c>
      <c r="C8614" t="s">
        <v>6182</v>
      </c>
      <c r="D8614" t="s">
        <v>13412</v>
      </c>
    </row>
    <row r="8615" spans="1:4" x14ac:dyDescent="0.25">
      <c r="A8615" s="180">
        <f t="shared" si="134"/>
        <v>8705802</v>
      </c>
      <c r="B8615" t="s">
        <v>6183</v>
      </c>
      <c r="C8615" t="s">
        <v>12947</v>
      </c>
      <c r="D8615" t="s">
        <v>13412</v>
      </c>
    </row>
    <row r="8616" spans="1:4" x14ac:dyDescent="0.25">
      <c r="A8616" s="180">
        <f t="shared" si="134"/>
        <v>8705861</v>
      </c>
      <c r="B8616" t="s">
        <v>6184</v>
      </c>
      <c r="C8616" t="s">
        <v>6185</v>
      </c>
      <c r="D8616" t="s">
        <v>13412</v>
      </c>
    </row>
    <row r="8617" spans="1:4" x14ac:dyDescent="0.25">
      <c r="A8617" s="180">
        <f t="shared" si="134"/>
        <v>8705910</v>
      </c>
      <c r="B8617" t="s">
        <v>6186</v>
      </c>
      <c r="C8617" t="s">
        <v>6187</v>
      </c>
      <c r="D8617" t="s">
        <v>13412</v>
      </c>
    </row>
    <row r="8618" spans="1:4" x14ac:dyDescent="0.25">
      <c r="A8618" s="180">
        <f t="shared" si="134"/>
        <v>8705913</v>
      </c>
      <c r="B8618" t="s">
        <v>6188</v>
      </c>
      <c r="C8618" t="s">
        <v>6189</v>
      </c>
      <c r="D8618" t="s">
        <v>13412</v>
      </c>
    </row>
    <row r="8619" spans="1:4" x14ac:dyDescent="0.25">
      <c r="A8619" s="180">
        <f t="shared" si="134"/>
        <v>8705914</v>
      </c>
      <c r="B8619" t="s">
        <v>6190</v>
      </c>
      <c r="C8619" t="s">
        <v>12948</v>
      </c>
      <c r="D8619" t="s">
        <v>13412</v>
      </c>
    </row>
    <row r="8620" spans="1:4" x14ac:dyDescent="0.25">
      <c r="A8620" s="180">
        <f t="shared" si="134"/>
        <v>8706002</v>
      </c>
      <c r="B8620" t="s">
        <v>6191</v>
      </c>
      <c r="C8620" t="s">
        <v>6192</v>
      </c>
      <c r="D8620" t="s">
        <v>13411</v>
      </c>
    </row>
    <row r="8621" spans="1:4" x14ac:dyDescent="0.25">
      <c r="A8621" s="180">
        <f t="shared" si="134"/>
        <v>8706012</v>
      </c>
      <c r="B8621" t="s">
        <v>6193</v>
      </c>
      <c r="C8621" t="s">
        <v>6194</v>
      </c>
      <c r="D8621" t="s">
        <v>13411</v>
      </c>
    </row>
    <row r="8622" spans="1:4" x14ac:dyDescent="0.25">
      <c r="A8622" s="180">
        <f t="shared" si="134"/>
        <v>8706500</v>
      </c>
      <c r="B8622" t="s">
        <v>6195</v>
      </c>
      <c r="C8622" t="s">
        <v>6196</v>
      </c>
      <c r="D8622" t="s">
        <v>13412</v>
      </c>
    </row>
    <row r="8623" spans="1:4" x14ac:dyDescent="0.25">
      <c r="A8623" s="180">
        <f t="shared" si="134"/>
        <v>8707000</v>
      </c>
      <c r="B8623" t="s">
        <v>6197</v>
      </c>
      <c r="C8623" t="s">
        <v>6198</v>
      </c>
      <c r="D8623" t="s">
        <v>13412</v>
      </c>
    </row>
    <row r="8624" spans="1:4" x14ac:dyDescent="0.25">
      <c r="A8624" s="180">
        <f t="shared" si="134"/>
        <v>8707002</v>
      </c>
      <c r="B8624" t="s">
        <v>6199</v>
      </c>
      <c r="C8624" t="s">
        <v>6200</v>
      </c>
      <c r="D8624" t="s">
        <v>13412</v>
      </c>
    </row>
    <row r="8625" spans="1:4" x14ac:dyDescent="0.25">
      <c r="A8625" s="180">
        <f t="shared" si="134"/>
        <v>8707003</v>
      </c>
      <c r="B8625" t="s">
        <v>6201</v>
      </c>
      <c r="C8625" t="s">
        <v>6202</v>
      </c>
    </row>
    <row r="8626" spans="1:4" x14ac:dyDescent="0.25">
      <c r="A8626" s="180">
        <f t="shared" si="134"/>
        <v>8707020</v>
      </c>
      <c r="B8626" t="s">
        <v>6203</v>
      </c>
      <c r="C8626" t="s">
        <v>6204</v>
      </c>
    </row>
    <row r="8627" spans="1:4" x14ac:dyDescent="0.25">
      <c r="A8627" s="180">
        <f t="shared" si="134"/>
        <v>8707021</v>
      </c>
      <c r="B8627" t="s">
        <v>6205</v>
      </c>
      <c r="C8627" t="s">
        <v>6206</v>
      </c>
      <c r="D8627" t="s">
        <v>13412</v>
      </c>
    </row>
    <row r="8628" spans="1:4" x14ac:dyDescent="0.25">
      <c r="A8628" s="180">
        <f t="shared" si="134"/>
        <v>8707023</v>
      </c>
      <c r="B8628" t="s">
        <v>6207</v>
      </c>
      <c r="C8628" t="s">
        <v>6208</v>
      </c>
      <c r="D8628" t="s">
        <v>13412</v>
      </c>
    </row>
    <row r="8629" spans="1:4" x14ac:dyDescent="0.25">
      <c r="A8629" s="180">
        <f t="shared" si="134"/>
        <v>8707024</v>
      </c>
      <c r="B8629" t="s">
        <v>6209</v>
      </c>
      <c r="C8629" t="s">
        <v>6210</v>
      </c>
      <c r="D8629" t="s">
        <v>13412</v>
      </c>
    </row>
    <row r="8630" spans="1:4" x14ac:dyDescent="0.25">
      <c r="A8630" s="180">
        <f t="shared" si="134"/>
        <v>8707025</v>
      </c>
      <c r="B8630" t="s">
        <v>6211</v>
      </c>
      <c r="C8630" t="s">
        <v>6212</v>
      </c>
    </row>
    <row r="8631" spans="1:4" x14ac:dyDescent="0.25">
      <c r="A8631" s="180">
        <f t="shared" si="134"/>
        <v>8707026</v>
      </c>
      <c r="B8631" t="s">
        <v>6213</v>
      </c>
      <c r="C8631" t="s">
        <v>6214</v>
      </c>
      <c r="D8631" t="s">
        <v>13412</v>
      </c>
    </row>
    <row r="8632" spans="1:4" x14ac:dyDescent="0.25">
      <c r="A8632" s="180">
        <f t="shared" si="134"/>
        <v>8707058</v>
      </c>
      <c r="B8632" t="s">
        <v>6215</v>
      </c>
      <c r="C8632" t="s">
        <v>6216</v>
      </c>
    </row>
    <row r="8633" spans="1:4" x14ac:dyDescent="0.25">
      <c r="A8633" s="180">
        <f t="shared" si="134"/>
        <v>8707113</v>
      </c>
      <c r="B8633" t="s">
        <v>6217</v>
      </c>
      <c r="C8633" t="s">
        <v>6218</v>
      </c>
      <c r="D8633" t="s">
        <v>13412</v>
      </c>
    </row>
    <row r="8634" spans="1:4" x14ac:dyDescent="0.25">
      <c r="A8634" s="180">
        <f t="shared" si="134"/>
        <v>8707113</v>
      </c>
      <c r="B8634" t="s">
        <v>6217</v>
      </c>
      <c r="C8634" t="s">
        <v>6218</v>
      </c>
      <c r="D8634" t="s">
        <v>13412</v>
      </c>
    </row>
    <row r="8635" spans="1:4" x14ac:dyDescent="0.25">
      <c r="A8635" s="180">
        <f t="shared" si="134"/>
        <v>8707113</v>
      </c>
      <c r="B8635" t="s">
        <v>6217</v>
      </c>
      <c r="C8635" t="s">
        <v>6218</v>
      </c>
      <c r="D8635" t="s">
        <v>13412</v>
      </c>
    </row>
    <row r="8636" spans="1:4" x14ac:dyDescent="0.25">
      <c r="A8636" s="180">
        <f t="shared" si="134"/>
        <v>8707117</v>
      </c>
      <c r="B8636" t="s">
        <v>6219</v>
      </c>
      <c r="C8636" t="s">
        <v>6220</v>
      </c>
      <c r="D8636" t="s">
        <v>13411</v>
      </c>
    </row>
    <row r="8637" spans="1:4" x14ac:dyDescent="0.25">
      <c r="A8637" s="180">
        <f t="shared" si="134"/>
        <v>8707206</v>
      </c>
      <c r="B8637" t="s">
        <v>6221</v>
      </c>
      <c r="C8637" t="s">
        <v>6222</v>
      </c>
    </row>
    <row r="8638" spans="1:4" x14ac:dyDescent="0.25">
      <c r="A8638" s="180">
        <f t="shared" si="134"/>
        <v>8707381</v>
      </c>
      <c r="B8638" t="s">
        <v>6223</v>
      </c>
      <c r="C8638" t="s">
        <v>6224</v>
      </c>
      <c r="D8638" t="s">
        <v>13411</v>
      </c>
    </row>
    <row r="8639" spans="1:4" x14ac:dyDescent="0.25">
      <c r="A8639" s="180">
        <f t="shared" ref="A8639:A8702" si="135">IFERROR(B8639*1,"")</f>
        <v>8707500</v>
      </c>
      <c r="B8639" t="s">
        <v>6225</v>
      </c>
      <c r="C8639" t="s">
        <v>6226</v>
      </c>
      <c r="D8639" t="s">
        <v>13412</v>
      </c>
    </row>
    <row r="8640" spans="1:4" x14ac:dyDescent="0.25">
      <c r="A8640" s="180">
        <f t="shared" si="135"/>
        <v>8707509</v>
      </c>
      <c r="B8640" t="s">
        <v>6227</v>
      </c>
      <c r="C8640" t="s">
        <v>6228</v>
      </c>
      <c r="D8640" t="s">
        <v>13412</v>
      </c>
    </row>
    <row r="8641" spans="1:4" x14ac:dyDescent="0.25">
      <c r="A8641" s="180">
        <f t="shared" si="135"/>
        <v>8707550</v>
      </c>
      <c r="B8641" t="s">
        <v>6229</v>
      </c>
      <c r="C8641" t="s">
        <v>6230</v>
      </c>
      <c r="D8641" t="s">
        <v>13412</v>
      </c>
    </row>
    <row r="8642" spans="1:4" x14ac:dyDescent="0.25">
      <c r="A8642" s="180">
        <f t="shared" si="135"/>
        <v>8707552</v>
      </c>
      <c r="B8642" t="s">
        <v>6231</v>
      </c>
      <c r="C8642" t="s">
        <v>6232</v>
      </c>
      <c r="D8642" t="s">
        <v>13412</v>
      </c>
    </row>
    <row r="8643" spans="1:4" x14ac:dyDescent="0.25">
      <c r="A8643" s="180">
        <f t="shared" si="135"/>
        <v>8707552</v>
      </c>
      <c r="B8643" t="s">
        <v>6231</v>
      </c>
      <c r="C8643" t="s">
        <v>6232</v>
      </c>
      <c r="D8643" t="s">
        <v>13412</v>
      </c>
    </row>
    <row r="8644" spans="1:4" x14ac:dyDescent="0.25">
      <c r="A8644" s="180">
        <f t="shared" si="135"/>
        <v>8707552</v>
      </c>
      <c r="B8644" t="s">
        <v>6231</v>
      </c>
      <c r="C8644" t="s">
        <v>6232</v>
      </c>
      <c r="D8644" t="s">
        <v>13412</v>
      </c>
    </row>
    <row r="8645" spans="1:4" x14ac:dyDescent="0.25">
      <c r="A8645" s="180">
        <f t="shared" si="135"/>
        <v>8707553</v>
      </c>
      <c r="B8645" t="s">
        <v>6233</v>
      </c>
      <c r="C8645" t="s">
        <v>6234</v>
      </c>
      <c r="D8645" t="s">
        <v>13412</v>
      </c>
    </row>
    <row r="8646" spans="1:4" x14ac:dyDescent="0.25">
      <c r="A8646" s="180">
        <f t="shared" si="135"/>
        <v>8707554</v>
      </c>
      <c r="B8646" t="s">
        <v>6235</v>
      </c>
      <c r="C8646" t="s">
        <v>12949</v>
      </c>
      <c r="D8646" t="s">
        <v>13412</v>
      </c>
    </row>
    <row r="8647" spans="1:4" x14ac:dyDescent="0.25">
      <c r="A8647" s="180">
        <f t="shared" si="135"/>
        <v>8707555</v>
      </c>
      <c r="B8647" t="s">
        <v>6236</v>
      </c>
      <c r="C8647" t="s">
        <v>6237</v>
      </c>
      <c r="D8647" t="s">
        <v>13412</v>
      </c>
    </row>
    <row r="8648" spans="1:4" x14ac:dyDescent="0.25">
      <c r="A8648" s="180">
        <f t="shared" si="135"/>
        <v>8707556</v>
      </c>
      <c r="B8648" t="s">
        <v>6238</v>
      </c>
      <c r="C8648" t="s">
        <v>6239</v>
      </c>
    </row>
    <row r="8649" spans="1:4" x14ac:dyDescent="0.25">
      <c r="A8649" s="180">
        <f t="shared" si="135"/>
        <v>8707657</v>
      </c>
      <c r="B8649" t="s">
        <v>6240</v>
      </c>
      <c r="C8649" t="s">
        <v>6241</v>
      </c>
      <c r="D8649" t="s">
        <v>13411</v>
      </c>
    </row>
    <row r="8650" spans="1:4" x14ac:dyDescent="0.25">
      <c r="A8650" s="180">
        <f t="shared" si="135"/>
        <v>8707658</v>
      </c>
      <c r="B8650" t="s">
        <v>6242</v>
      </c>
      <c r="C8650" t="s">
        <v>6243</v>
      </c>
    </row>
    <row r="8651" spans="1:4" x14ac:dyDescent="0.25">
      <c r="A8651" s="180">
        <f t="shared" si="135"/>
        <v>8707701</v>
      </c>
      <c r="B8651" t="s">
        <v>6244</v>
      </c>
      <c r="C8651" t="s">
        <v>6245</v>
      </c>
    </row>
    <row r="8652" spans="1:4" x14ac:dyDescent="0.25">
      <c r="A8652" s="180">
        <f t="shared" si="135"/>
        <v>8707702</v>
      </c>
      <c r="B8652" t="s">
        <v>6246</v>
      </c>
      <c r="C8652" t="s">
        <v>6247</v>
      </c>
      <c r="D8652" t="s">
        <v>13412</v>
      </c>
    </row>
    <row r="8653" spans="1:4" x14ac:dyDescent="0.25">
      <c r="A8653" s="180">
        <f t="shared" si="135"/>
        <v>8707721</v>
      </c>
      <c r="B8653" t="s">
        <v>6248</v>
      </c>
      <c r="C8653" t="s">
        <v>6249</v>
      </c>
      <c r="D8653" t="s">
        <v>13412</v>
      </c>
    </row>
    <row r="8654" spans="1:4" x14ac:dyDescent="0.25">
      <c r="A8654" s="180">
        <f t="shared" si="135"/>
        <v>8707750</v>
      </c>
      <c r="B8654" t="s">
        <v>6250</v>
      </c>
      <c r="C8654" t="s">
        <v>6251</v>
      </c>
      <c r="D8654" t="s">
        <v>13412</v>
      </c>
    </row>
    <row r="8655" spans="1:4" x14ac:dyDescent="0.25">
      <c r="A8655" s="180">
        <f t="shared" si="135"/>
        <v>8707964</v>
      </c>
      <c r="B8655" t="s">
        <v>6252</v>
      </c>
      <c r="C8655" t="s">
        <v>12732</v>
      </c>
      <c r="D8655" t="s">
        <v>13412</v>
      </c>
    </row>
    <row r="8656" spans="1:4" x14ac:dyDescent="0.25">
      <c r="A8656" s="180">
        <f t="shared" si="135"/>
        <v>8707965</v>
      </c>
      <c r="B8656" t="s">
        <v>6253</v>
      </c>
      <c r="C8656" t="s">
        <v>6254</v>
      </c>
    </row>
    <row r="8657" spans="1:4" x14ac:dyDescent="0.25">
      <c r="A8657" s="180">
        <f t="shared" si="135"/>
        <v>8707966</v>
      </c>
      <c r="B8657" t="s">
        <v>13372</v>
      </c>
      <c r="C8657" t="s">
        <v>13373</v>
      </c>
      <c r="D8657" t="s">
        <v>13412</v>
      </c>
    </row>
    <row r="8658" spans="1:4" x14ac:dyDescent="0.25">
      <c r="A8658" s="180">
        <f t="shared" si="135"/>
        <v>8707980</v>
      </c>
      <c r="B8658" t="s">
        <v>6255</v>
      </c>
      <c r="C8658" t="s">
        <v>6256</v>
      </c>
      <c r="D8658" t="s">
        <v>13412</v>
      </c>
    </row>
    <row r="8659" spans="1:4" x14ac:dyDescent="0.25">
      <c r="A8659" s="180">
        <f t="shared" si="135"/>
        <v>8707981</v>
      </c>
      <c r="B8659" t="s">
        <v>6257</v>
      </c>
      <c r="C8659" t="s">
        <v>6258</v>
      </c>
    </row>
    <row r="8660" spans="1:4" x14ac:dyDescent="0.25">
      <c r="A8660" s="180">
        <f t="shared" si="135"/>
        <v>8707982</v>
      </c>
      <c r="B8660" t="s">
        <v>6259</v>
      </c>
      <c r="C8660" t="s">
        <v>6260</v>
      </c>
      <c r="D8660" t="s">
        <v>13412</v>
      </c>
    </row>
    <row r="8661" spans="1:4" x14ac:dyDescent="0.25">
      <c r="A8661" s="180">
        <f t="shared" si="135"/>
        <v>8708001</v>
      </c>
      <c r="B8661" t="s">
        <v>6261</v>
      </c>
      <c r="C8661" t="s">
        <v>6262</v>
      </c>
      <c r="D8661" t="s">
        <v>13412</v>
      </c>
    </row>
    <row r="8662" spans="1:4" x14ac:dyDescent="0.25">
      <c r="A8662" s="180">
        <f t="shared" si="135"/>
        <v>8708002</v>
      </c>
      <c r="B8662" t="s">
        <v>6263</v>
      </c>
      <c r="C8662" t="s">
        <v>6264</v>
      </c>
    </row>
    <row r="8663" spans="1:4" x14ac:dyDescent="0.25">
      <c r="A8663" s="180">
        <f t="shared" si="135"/>
        <v>8708003</v>
      </c>
      <c r="B8663" t="s">
        <v>6265</v>
      </c>
      <c r="C8663" t="s">
        <v>6266</v>
      </c>
    </row>
    <row r="8664" spans="1:4" x14ac:dyDescent="0.25">
      <c r="A8664" s="180">
        <f t="shared" si="135"/>
        <v>8708004</v>
      </c>
      <c r="B8664" t="s">
        <v>6267</v>
      </c>
      <c r="C8664" t="s">
        <v>6268</v>
      </c>
    </row>
    <row r="8665" spans="1:4" x14ac:dyDescent="0.25">
      <c r="A8665" s="180">
        <f t="shared" si="135"/>
        <v>8708006</v>
      </c>
      <c r="B8665" t="s">
        <v>6269</v>
      </c>
      <c r="C8665" t="s">
        <v>6270</v>
      </c>
    </row>
    <row r="8666" spans="1:4" x14ac:dyDescent="0.25">
      <c r="A8666" s="180">
        <f t="shared" si="135"/>
        <v>8708007</v>
      </c>
      <c r="B8666" t="s">
        <v>6271</v>
      </c>
      <c r="C8666" t="s">
        <v>6272</v>
      </c>
    </row>
    <row r="8667" spans="1:4" x14ac:dyDescent="0.25">
      <c r="A8667" s="180">
        <f t="shared" si="135"/>
        <v>8708008</v>
      </c>
      <c r="B8667" t="s">
        <v>6273</v>
      </c>
      <c r="C8667" t="s">
        <v>6274</v>
      </c>
    </row>
    <row r="8668" spans="1:4" x14ac:dyDescent="0.25">
      <c r="A8668" s="180">
        <f t="shared" si="135"/>
        <v>8708009</v>
      </c>
      <c r="B8668" t="s">
        <v>6275</v>
      </c>
      <c r="C8668" t="s">
        <v>6276</v>
      </c>
    </row>
    <row r="8669" spans="1:4" x14ac:dyDescent="0.25">
      <c r="A8669" s="180">
        <f t="shared" si="135"/>
        <v>8708010</v>
      </c>
      <c r="B8669" t="s">
        <v>6277</v>
      </c>
      <c r="C8669" t="s">
        <v>6278</v>
      </c>
      <c r="D8669" t="s">
        <v>13412</v>
      </c>
    </row>
    <row r="8670" spans="1:4" x14ac:dyDescent="0.25">
      <c r="A8670" s="180">
        <f t="shared" si="135"/>
        <v>8708011</v>
      </c>
      <c r="B8670" t="s">
        <v>6279</v>
      </c>
      <c r="C8670" t="s">
        <v>12733</v>
      </c>
      <c r="D8670" t="s">
        <v>13412</v>
      </c>
    </row>
    <row r="8671" spans="1:4" x14ac:dyDescent="0.25">
      <c r="A8671" s="180">
        <f t="shared" si="135"/>
        <v>87080111</v>
      </c>
      <c r="B8671" t="s">
        <v>6280</v>
      </c>
      <c r="C8671" t="s">
        <v>6281</v>
      </c>
    </row>
    <row r="8672" spans="1:4" x14ac:dyDescent="0.25">
      <c r="A8672" s="180">
        <f t="shared" si="135"/>
        <v>8708012</v>
      </c>
      <c r="B8672" t="s">
        <v>6282</v>
      </c>
      <c r="C8672" t="s">
        <v>12734</v>
      </c>
      <c r="D8672" t="s">
        <v>13411</v>
      </c>
    </row>
    <row r="8673" spans="1:4" x14ac:dyDescent="0.25">
      <c r="A8673" s="180">
        <f t="shared" si="135"/>
        <v>8708012</v>
      </c>
      <c r="B8673" t="s">
        <v>6282</v>
      </c>
      <c r="C8673" t="s">
        <v>12734</v>
      </c>
      <c r="D8673" t="s">
        <v>13411</v>
      </c>
    </row>
    <row r="8674" spans="1:4" x14ac:dyDescent="0.25">
      <c r="A8674" s="180">
        <f t="shared" si="135"/>
        <v>8708012</v>
      </c>
      <c r="B8674" t="s">
        <v>6282</v>
      </c>
      <c r="C8674" t="s">
        <v>12734</v>
      </c>
      <c r="D8674" t="s">
        <v>13411</v>
      </c>
    </row>
    <row r="8675" spans="1:4" x14ac:dyDescent="0.25">
      <c r="A8675" s="180">
        <f t="shared" si="135"/>
        <v>8708012</v>
      </c>
      <c r="B8675" t="s">
        <v>6282</v>
      </c>
      <c r="C8675" t="s">
        <v>12734</v>
      </c>
      <c r="D8675" t="s">
        <v>13411</v>
      </c>
    </row>
    <row r="8676" spans="1:4" x14ac:dyDescent="0.25">
      <c r="A8676" s="180">
        <f t="shared" si="135"/>
        <v>8708012</v>
      </c>
      <c r="B8676" t="s">
        <v>6282</v>
      </c>
      <c r="C8676" t="s">
        <v>12734</v>
      </c>
      <c r="D8676" t="s">
        <v>13411</v>
      </c>
    </row>
    <row r="8677" spans="1:4" x14ac:dyDescent="0.25">
      <c r="A8677" s="180">
        <f t="shared" si="135"/>
        <v>8708012</v>
      </c>
      <c r="B8677" t="s">
        <v>6282</v>
      </c>
      <c r="C8677" t="s">
        <v>12734</v>
      </c>
      <c r="D8677" t="s">
        <v>13411</v>
      </c>
    </row>
    <row r="8678" spans="1:4" x14ac:dyDescent="0.25">
      <c r="A8678" s="180">
        <f t="shared" si="135"/>
        <v>8708012</v>
      </c>
      <c r="B8678" t="s">
        <v>6282</v>
      </c>
      <c r="C8678" t="s">
        <v>12734</v>
      </c>
      <c r="D8678" t="s">
        <v>13411</v>
      </c>
    </row>
    <row r="8679" spans="1:4" x14ac:dyDescent="0.25">
      <c r="A8679" s="180">
        <f t="shared" si="135"/>
        <v>8708012</v>
      </c>
      <c r="B8679" t="s">
        <v>6282</v>
      </c>
      <c r="C8679" t="s">
        <v>12734</v>
      </c>
      <c r="D8679" t="s">
        <v>13411</v>
      </c>
    </row>
    <row r="8680" spans="1:4" x14ac:dyDescent="0.25">
      <c r="A8680" s="180">
        <f t="shared" si="135"/>
        <v>8708012</v>
      </c>
      <c r="B8680" t="s">
        <v>6282</v>
      </c>
      <c r="C8680" t="s">
        <v>12734</v>
      </c>
      <c r="D8680" t="s">
        <v>13411</v>
      </c>
    </row>
    <row r="8681" spans="1:4" x14ac:dyDescent="0.25">
      <c r="A8681" s="180">
        <f t="shared" si="135"/>
        <v>8708014</v>
      </c>
      <c r="B8681" t="s">
        <v>6283</v>
      </c>
      <c r="C8681" t="s">
        <v>6284</v>
      </c>
      <c r="D8681" t="s">
        <v>13412</v>
      </c>
    </row>
    <row r="8682" spans="1:4" x14ac:dyDescent="0.25">
      <c r="A8682" s="180">
        <f t="shared" si="135"/>
        <v>8708015</v>
      </c>
      <c r="B8682" t="s">
        <v>6285</v>
      </c>
      <c r="C8682" t="s">
        <v>12950</v>
      </c>
      <c r="D8682" t="s">
        <v>13412</v>
      </c>
    </row>
    <row r="8683" spans="1:4" x14ac:dyDescent="0.25">
      <c r="A8683" s="180">
        <f t="shared" si="135"/>
        <v>8708020</v>
      </c>
      <c r="B8683" t="s">
        <v>6286</v>
      </c>
      <c r="C8683" t="s">
        <v>6287</v>
      </c>
      <c r="D8683" t="s">
        <v>13412</v>
      </c>
    </row>
    <row r="8684" spans="1:4" x14ac:dyDescent="0.25">
      <c r="A8684" s="180">
        <f t="shared" si="135"/>
        <v>8708024</v>
      </c>
      <c r="B8684" t="s">
        <v>6288</v>
      </c>
      <c r="C8684" t="s">
        <v>6289</v>
      </c>
      <c r="D8684" t="s">
        <v>13412</v>
      </c>
    </row>
    <row r="8685" spans="1:4" x14ac:dyDescent="0.25">
      <c r="A8685" s="180">
        <f t="shared" si="135"/>
        <v>8708025</v>
      </c>
      <c r="B8685" t="s">
        <v>6290</v>
      </c>
      <c r="C8685" t="s">
        <v>14546</v>
      </c>
      <c r="D8685" t="s">
        <v>13412</v>
      </c>
    </row>
    <row r="8686" spans="1:4" x14ac:dyDescent="0.25">
      <c r="A8686" s="180">
        <f t="shared" si="135"/>
        <v>8708030</v>
      </c>
      <c r="B8686" t="s">
        <v>6291</v>
      </c>
      <c r="C8686" t="s">
        <v>6292</v>
      </c>
    </row>
    <row r="8687" spans="1:4" x14ac:dyDescent="0.25">
      <c r="A8687" s="180">
        <f t="shared" si="135"/>
        <v>8708040</v>
      </c>
      <c r="B8687" t="s">
        <v>6293</v>
      </c>
      <c r="C8687" t="s">
        <v>6294</v>
      </c>
      <c r="D8687" t="s">
        <v>13412</v>
      </c>
    </row>
    <row r="8688" spans="1:4" x14ac:dyDescent="0.25">
      <c r="A8688" s="180">
        <f t="shared" si="135"/>
        <v>8708044</v>
      </c>
      <c r="B8688" t="s">
        <v>6295</v>
      </c>
      <c r="C8688" t="s">
        <v>6296</v>
      </c>
      <c r="D8688" t="s">
        <v>13412</v>
      </c>
    </row>
    <row r="8689" spans="1:4" x14ac:dyDescent="0.25">
      <c r="A8689" s="180">
        <f t="shared" si="135"/>
        <v>8708045</v>
      </c>
      <c r="B8689" t="s">
        <v>6297</v>
      </c>
      <c r="C8689" t="s">
        <v>6298</v>
      </c>
      <c r="D8689" t="s">
        <v>13411</v>
      </c>
    </row>
    <row r="8690" spans="1:4" x14ac:dyDescent="0.25">
      <c r="A8690" s="180">
        <f t="shared" si="135"/>
        <v>8708046</v>
      </c>
      <c r="B8690" t="s">
        <v>6299</v>
      </c>
      <c r="C8690" t="s">
        <v>6300</v>
      </c>
      <c r="D8690" t="s">
        <v>13412</v>
      </c>
    </row>
    <row r="8691" spans="1:4" x14ac:dyDescent="0.25">
      <c r="A8691" s="180">
        <f t="shared" si="135"/>
        <v>8708047</v>
      </c>
      <c r="B8691" t="s">
        <v>6301</v>
      </c>
      <c r="C8691" t="s">
        <v>6302</v>
      </c>
    </row>
    <row r="8692" spans="1:4" x14ac:dyDescent="0.25">
      <c r="A8692" s="180">
        <f t="shared" si="135"/>
        <v>8708048</v>
      </c>
      <c r="B8692" t="s">
        <v>6303</v>
      </c>
      <c r="C8692" t="s">
        <v>6304</v>
      </c>
      <c r="D8692" t="s">
        <v>13412</v>
      </c>
    </row>
    <row r="8693" spans="1:4" x14ac:dyDescent="0.25">
      <c r="A8693" s="180">
        <f t="shared" si="135"/>
        <v>8708049</v>
      </c>
      <c r="B8693" t="s">
        <v>6305</v>
      </c>
      <c r="C8693" t="s">
        <v>6306</v>
      </c>
      <c r="D8693" t="s">
        <v>13412</v>
      </c>
    </row>
    <row r="8694" spans="1:4" x14ac:dyDescent="0.25">
      <c r="A8694" s="180">
        <f t="shared" si="135"/>
        <v>8708049</v>
      </c>
      <c r="B8694" t="s">
        <v>6305</v>
      </c>
      <c r="C8694" t="s">
        <v>6306</v>
      </c>
      <c r="D8694" t="s">
        <v>13412</v>
      </c>
    </row>
    <row r="8695" spans="1:4" x14ac:dyDescent="0.25">
      <c r="A8695" s="180">
        <f t="shared" si="135"/>
        <v>8708052</v>
      </c>
      <c r="B8695" t="s">
        <v>6307</v>
      </c>
      <c r="C8695" t="s">
        <v>6308</v>
      </c>
      <c r="D8695" t="s">
        <v>13411</v>
      </c>
    </row>
    <row r="8696" spans="1:4" x14ac:dyDescent="0.25">
      <c r="A8696" s="180">
        <f t="shared" si="135"/>
        <v>8708052</v>
      </c>
      <c r="B8696" t="s">
        <v>6307</v>
      </c>
      <c r="C8696" t="s">
        <v>6308</v>
      </c>
      <c r="D8696" t="s">
        <v>13411</v>
      </c>
    </row>
    <row r="8697" spans="1:4" x14ac:dyDescent="0.25">
      <c r="A8697" s="180">
        <f t="shared" si="135"/>
        <v>8708052</v>
      </c>
      <c r="B8697" t="s">
        <v>6307</v>
      </c>
      <c r="C8697" t="s">
        <v>6308</v>
      </c>
      <c r="D8697" t="s">
        <v>13411</v>
      </c>
    </row>
    <row r="8698" spans="1:4" x14ac:dyDescent="0.25">
      <c r="A8698" s="180">
        <f t="shared" si="135"/>
        <v>8708052</v>
      </c>
      <c r="B8698" t="s">
        <v>6307</v>
      </c>
      <c r="C8698" t="s">
        <v>6308</v>
      </c>
      <c r="D8698" t="s">
        <v>13411</v>
      </c>
    </row>
    <row r="8699" spans="1:4" x14ac:dyDescent="0.25">
      <c r="A8699" s="180">
        <f t="shared" si="135"/>
        <v>8708053</v>
      </c>
      <c r="B8699" t="s">
        <v>6309</v>
      </c>
      <c r="C8699" t="s">
        <v>6310</v>
      </c>
      <c r="D8699" t="s">
        <v>13411</v>
      </c>
    </row>
    <row r="8700" spans="1:4" x14ac:dyDescent="0.25">
      <c r="A8700" s="180">
        <f t="shared" si="135"/>
        <v>8708053</v>
      </c>
      <c r="B8700" t="s">
        <v>6309</v>
      </c>
      <c r="C8700" t="s">
        <v>6310</v>
      </c>
      <c r="D8700" t="s">
        <v>13411</v>
      </c>
    </row>
    <row r="8701" spans="1:4" x14ac:dyDescent="0.25">
      <c r="A8701" s="180">
        <f t="shared" si="135"/>
        <v>8708054</v>
      </c>
      <c r="B8701" t="s">
        <v>6311</v>
      </c>
      <c r="C8701" t="s">
        <v>6312</v>
      </c>
      <c r="D8701" t="s">
        <v>13411</v>
      </c>
    </row>
    <row r="8702" spans="1:4" x14ac:dyDescent="0.25">
      <c r="A8702" s="180">
        <f t="shared" si="135"/>
        <v>8708055</v>
      </c>
      <c r="B8702" t="s">
        <v>6313</v>
      </c>
      <c r="C8702" t="s">
        <v>6314</v>
      </c>
      <c r="D8702" t="s">
        <v>13411</v>
      </c>
    </row>
    <row r="8703" spans="1:4" x14ac:dyDescent="0.25">
      <c r="A8703" s="180">
        <f t="shared" ref="A8703:A8766" si="136">IFERROR(B8703*1,"")</f>
        <v>8708056</v>
      </c>
      <c r="B8703" t="s">
        <v>6315</v>
      </c>
      <c r="C8703" t="s">
        <v>6316</v>
      </c>
    </row>
    <row r="8704" spans="1:4" x14ac:dyDescent="0.25">
      <c r="A8704" s="180">
        <f t="shared" si="136"/>
        <v>8708057</v>
      </c>
      <c r="B8704" t="s">
        <v>6317</v>
      </c>
      <c r="C8704" t="s">
        <v>6318</v>
      </c>
      <c r="D8704" t="s">
        <v>13411</v>
      </c>
    </row>
    <row r="8705" spans="1:4" x14ac:dyDescent="0.25">
      <c r="A8705" s="180">
        <f t="shared" si="136"/>
        <v>8708058</v>
      </c>
      <c r="B8705" t="s">
        <v>6319</v>
      </c>
      <c r="C8705" t="s">
        <v>6320</v>
      </c>
      <c r="D8705" t="s">
        <v>13411</v>
      </c>
    </row>
    <row r="8706" spans="1:4" x14ac:dyDescent="0.25">
      <c r="A8706" s="180">
        <f t="shared" si="136"/>
        <v>8708070</v>
      </c>
      <c r="B8706" t="s">
        <v>6321</v>
      </c>
      <c r="C8706" t="s">
        <v>6322</v>
      </c>
      <c r="D8706" t="s">
        <v>13412</v>
      </c>
    </row>
    <row r="8707" spans="1:4" x14ac:dyDescent="0.25">
      <c r="A8707" s="180">
        <f t="shared" si="136"/>
        <v>8708071</v>
      </c>
      <c r="B8707" t="s">
        <v>6323</v>
      </c>
      <c r="C8707" t="s">
        <v>6324</v>
      </c>
      <c r="D8707" t="s">
        <v>13412</v>
      </c>
    </row>
    <row r="8708" spans="1:4" x14ac:dyDescent="0.25">
      <c r="A8708" s="180">
        <f t="shared" si="136"/>
        <v>8708090</v>
      </c>
      <c r="B8708" t="s">
        <v>6325</v>
      </c>
      <c r="C8708" t="s">
        <v>6326</v>
      </c>
    </row>
    <row r="8709" spans="1:4" x14ac:dyDescent="0.25">
      <c r="A8709" s="180">
        <f t="shared" si="136"/>
        <v>8708091</v>
      </c>
      <c r="B8709" t="s">
        <v>6327</v>
      </c>
      <c r="C8709" t="s">
        <v>6328</v>
      </c>
    </row>
    <row r="8710" spans="1:4" x14ac:dyDescent="0.25">
      <c r="A8710" s="180">
        <f t="shared" si="136"/>
        <v>8708092</v>
      </c>
      <c r="B8710" t="s">
        <v>6329</v>
      </c>
      <c r="C8710" t="s">
        <v>6330</v>
      </c>
    </row>
    <row r="8711" spans="1:4" x14ac:dyDescent="0.25">
      <c r="A8711" s="180">
        <f t="shared" si="136"/>
        <v>8708093</v>
      </c>
      <c r="B8711" t="s">
        <v>6331</v>
      </c>
      <c r="C8711" t="s">
        <v>6332</v>
      </c>
    </row>
    <row r="8712" spans="1:4" x14ac:dyDescent="0.25">
      <c r="A8712" s="180">
        <f t="shared" si="136"/>
        <v>8708099</v>
      </c>
      <c r="B8712" t="s">
        <v>6333</v>
      </c>
      <c r="C8712" t="s">
        <v>13942</v>
      </c>
      <c r="D8712" t="s">
        <v>13411</v>
      </c>
    </row>
    <row r="8713" spans="1:4" x14ac:dyDescent="0.25">
      <c r="A8713" s="180">
        <f t="shared" si="136"/>
        <v>8708100</v>
      </c>
      <c r="B8713" t="s">
        <v>6334</v>
      </c>
      <c r="C8713" t="s">
        <v>6335</v>
      </c>
      <c r="D8713" t="s">
        <v>13411</v>
      </c>
    </row>
    <row r="8714" spans="1:4" x14ac:dyDescent="0.25">
      <c r="A8714" s="180">
        <f t="shared" si="136"/>
        <v>8708100</v>
      </c>
      <c r="B8714" t="s">
        <v>6334</v>
      </c>
      <c r="C8714" t="s">
        <v>6335</v>
      </c>
      <c r="D8714" t="s">
        <v>13411</v>
      </c>
    </row>
    <row r="8715" spans="1:4" x14ac:dyDescent="0.25">
      <c r="A8715" s="180">
        <f t="shared" si="136"/>
        <v>8708100</v>
      </c>
      <c r="B8715" t="s">
        <v>6334</v>
      </c>
      <c r="C8715" t="s">
        <v>6335</v>
      </c>
      <c r="D8715" t="s">
        <v>13411</v>
      </c>
    </row>
    <row r="8716" spans="1:4" x14ac:dyDescent="0.25">
      <c r="A8716" s="180">
        <f t="shared" si="136"/>
        <v>8708100</v>
      </c>
      <c r="B8716" t="s">
        <v>6334</v>
      </c>
      <c r="C8716" t="s">
        <v>6335</v>
      </c>
      <c r="D8716" t="s">
        <v>13411</v>
      </c>
    </row>
    <row r="8717" spans="1:4" x14ac:dyDescent="0.25">
      <c r="A8717" s="180">
        <f t="shared" si="136"/>
        <v>8708101</v>
      </c>
      <c r="B8717" t="s">
        <v>6336</v>
      </c>
      <c r="C8717" t="s">
        <v>6337</v>
      </c>
      <c r="D8717" t="s">
        <v>13411</v>
      </c>
    </row>
    <row r="8718" spans="1:4" x14ac:dyDescent="0.25">
      <c r="A8718" s="180">
        <f t="shared" si="136"/>
        <v>8708101</v>
      </c>
      <c r="B8718" t="s">
        <v>6336</v>
      </c>
      <c r="C8718" t="s">
        <v>6337</v>
      </c>
      <c r="D8718" t="s">
        <v>13411</v>
      </c>
    </row>
    <row r="8719" spans="1:4" x14ac:dyDescent="0.25">
      <c r="A8719" s="180">
        <f t="shared" si="136"/>
        <v>8708101</v>
      </c>
      <c r="B8719" t="s">
        <v>6336</v>
      </c>
      <c r="C8719" t="s">
        <v>6337</v>
      </c>
      <c r="D8719" t="s">
        <v>13411</v>
      </c>
    </row>
    <row r="8720" spans="1:4" x14ac:dyDescent="0.25">
      <c r="A8720" s="180">
        <f t="shared" si="136"/>
        <v>8708101</v>
      </c>
      <c r="B8720" t="s">
        <v>6336</v>
      </c>
      <c r="C8720" t="s">
        <v>6337</v>
      </c>
      <c r="D8720" t="s">
        <v>13411</v>
      </c>
    </row>
    <row r="8721" spans="1:4" x14ac:dyDescent="0.25">
      <c r="A8721" s="180">
        <f t="shared" si="136"/>
        <v>8708102</v>
      </c>
      <c r="B8721" t="s">
        <v>6338</v>
      </c>
      <c r="C8721" t="s">
        <v>6339</v>
      </c>
      <c r="D8721" t="s">
        <v>13411</v>
      </c>
    </row>
    <row r="8722" spans="1:4" x14ac:dyDescent="0.25">
      <c r="A8722" s="180">
        <f t="shared" si="136"/>
        <v>8708104</v>
      </c>
      <c r="B8722" t="s">
        <v>6340</v>
      </c>
      <c r="C8722" t="s">
        <v>6341</v>
      </c>
      <c r="D8722" t="s">
        <v>13412</v>
      </c>
    </row>
    <row r="8723" spans="1:4" x14ac:dyDescent="0.25">
      <c r="A8723" s="180">
        <f t="shared" si="136"/>
        <v>8708105</v>
      </c>
      <c r="B8723" t="s">
        <v>6342</v>
      </c>
      <c r="C8723" t="s">
        <v>6343</v>
      </c>
      <c r="D8723" t="s">
        <v>13411</v>
      </c>
    </row>
    <row r="8724" spans="1:4" x14ac:dyDescent="0.25">
      <c r="A8724" s="180">
        <f t="shared" si="136"/>
        <v>8708106</v>
      </c>
      <c r="B8724" t="s">
        <v>6344</v>
      </c>
      <c r="C8724" t="s">
        <v>6345</v>
      </c>
    </row>
    <row r="8725" spans="1:4" x14ac:dyDescent="0.25">
      <c r="A8725" s="180">
        <f t="shared" si="136"/>
        <v>8708107</v>
      </c>
      <c r="B8725" t="s">
        <v>6346</v>
      </c>
      <c r="C8725" t="s">
        <v>6347</v>
      </c>
      <c r="D8725" t="s">
        <v>13412</v>
      </c>
    </row>
    <row r="8726" spans="1:4" x14ac:dyDescent="0.25">
      <c r="A8726" s="180">
        <f t="shared" si="136"/>
        <v>8708108</v>
      </c>
      <c r="B8726" t="s">
        <v>6348</v>
      </c>
      <c r="C8726" t="s">
        <v>6349</v>
      </c>
      <c r="D8726" t="s">
        <v>13411</v>
      </c>
    </row>
    <row r="8727" spans="1:4" x14ac:dyDescent="0.25">
      <c r="A8727" s="180">
        <f t="shared" si="136"/>
        <v>8708109</v>
      </c>
      <c r="B8727" t="s">
        <v>6350</v>
      </c>
      <c r="C8727" t="s">
        <v>6351</v>
      </c>
      <c r="D8727" t="s">
        <v>13411</v>
      </c>
    </row>
    <row r="8728" spans="1:4" x14ac:dyDescent="0.25">
      <c r="A8728" s="180">
        <f t="shared" si="136"/>
        <v>8708110</v>
      </c>
      <c r="B8728" t="s">
        <v>6352</v>
      </c>
      <c r="C8728" t="s">
        <v>6353</v>
      </c>
      <c r="D8728" t="s">
        <v>13411</v>
      </c>
    </row>
    <row r="8729" spans="1:4" x14ac:dyDescent="0.25">
      <c r="A8729" s="180">
        <f t="shared" si="136"/>
        <v>8708111</v>
      </c>
      <c r="B8729" t="s">
        <v>6354</v>
      </c>
      <c r="C8729" t="s">
        <v>6355</v>
      </c>
      <c r="D8729" t="s">
        <v>13412</v>
      </c>
    </row>
    <row r="8730" spans="1:4" x14ac:dyDescent="0.25">
      <c r="A8730" s="180">
        <f t="shared" si="136"/>
        <v>8708111</v>
      </c>
      <c r="B8730" t="s">
        <v>6354</v>
      </c>
      <c r="C8730" t="s">
        <v>6355</v>
      </c>
      <c r="D8730" t="s">
        <v>13412</v>
      </c>
    </row>
    <row r="8731" spans="1:4" x14ac:dyDescent="0.25">
      <c r="A8731" s="180">
        <f t="shared" si="136"/>
        <v>8708111</v>
      </c>
      <c r="B8731" t="s">
        <v>6354</v>
      </c>
      <c r="C8731" t="s">
        <v>6355</v>
      </c>
      <c r="D8731" t="s">
        <v>13412</v>
      </c>
    </row>
    <row r="8732" spans="1:4" x14ac:dyDescent="0.25">
      <c r="A8732" s="180">
        <f t="shared" si="136"/>
        <v>8708111</v>
      </c>
      <c r="B8732" t="s">
        <v>6354</v>
      </c>
      <c r="C8732" t="s">
        <v>6355</v>
      </c>
      <c r="D8732" t="s">
        <v>13412</v>
      </c>
    </row>
    <row r="8733" spans="1:4" x14ac:dyDescent="0.25">
      <c r="A8733" s="180">
        <f t="shared" si="136"/>
        <v>8708111</v>
      </c>
      <c r="B8733" t="s">
        <v>6354</v>
      </c>
      <c r="C8733" t="s">
        <v>6355</v>
      </c>
      <c r="D8733" t="s">
        <v>13412</v>
      </c>
    </row>
    <row r="8734" spans="1:4" x14ac:dyDescent="0.25">
      <c r="A8734" s="180">
        <f t="shared" si="136"/>
        <v>8708111</v>
      </c>
      <c r="B8734" t="s">
        <v>6354</v>
      </c>
      <c r="C8734" t="s">
        <v>6355</v>
      </c>
      <c r="D8734" t="s">
        <v>13412</v>
      </c>
    </row>
    <row r="8735" spans="1:4" x14ac:dyDescent="0.25">
      <c r="A8735" s="180">
        <f t="shared" si="136"/>
        <v>8708112</v>
      </c>
      <c r="B8735" t="s">
        <v>6356</v>
      </c>
      <c r="C8735" t="s">
        <v>6357</v>
      </c>
      <c r="D8735" t="s">
        <v>13412</v>
      </c>
    </row>
    <row r="8736" spans="1:4" x14ac:dyDescent="0.25">
      <c r="A8736" s="180">
        <f t="shared" si="136"/>
        <v>8708112</v>
      </c>
      <c r="B8736" t="s">
        <v>6356</v>
      </c>
      <c r="C8736" t="s">
        <v>6357</v>
      </c>
      <c r="D8736" t="s">
        <v>13412</v>
      </c>
    </row>
    <row r="8737" spans="1:4" x14ac:dyDescent="0.25">
      <c r="A8737" s="180">
        <f t="shared" si="136"/>
        <v>8708112</v>
      </c>
      <c r="B8737" t="s">
        <v>6356</v>
      </c>
      <c r="C8737" t="s">
        <v>6357</v>
      </c>
      <c r="D8737" t="s">
        <v>13412</v>
      </c>
    </row>
    <row r="8738" spans="1:4" x14ac:dyDescent="0.25">
      <c r="A8738" s="180">
        <f t="shared" si="136"/>
        <v>8708112</v>
      </c>
      <c r="B8738" t="s">
        <v>6356</v>
      </c>
      <c r="C8738" t="s">
        <v>6357</v>
      </c>
      <c r="D8738" t="s">
        <v>13412</v>
      </c>
    </row>
    <row r="8739" spans="1:4" x14ac:dyDescent="0.25">
      <c r="A8739" s="180">
        <f t="shared" si="136"/>
        <v>8708112</v>
      </c>
      <c r="B8739" t="s">
        <v>6356</v>
      </c>
      <c r="C8739" t="s">
        <v>6357</v>
      </c>
      <c r="D8739" t="s">
        <v>13412</v>
      </c>
    </row>
    <row r="8740" spans="1:4" x14ac:dyDescent="0.25">
      <c r="A8740" s="180">
        <f t="shared" si="136"/>
        <v>8708112</v>
      </c>
      <c r="B8740" t="s">
        <v>6356</v>
      </c>
      <c r="C8740" t="s">
        <v>6357</v>
      </c>
      <c r="D8740" t="s">
        <v>13412</v>
      </c>
    </row>
    <row r="8741" spans="1:4" x14ac:dyDescent="0.25">
      <c r="A8741" s="180">
        <f t="shared" si="136"/>
        <v>8708113</v>
      </c>
      <c r="B8741" t="s">
        <v>6358</v>
      </c>
      <c r="C8741" t="s">
        <v>6359</v>
      </c>
      <c r="D8741" t="s">
        <v>13412</v>
      </c>
    </row>
    <row r="8742" spans="1:4" x14ac:dyDescent="0.25">
      <c r="A8742" s="180">
        <f t="shared" si="136"/>
        <v>8708113</v>
      </c>
      <c r="B8742" t="s">
        <v>6358</v>
      </c>
      <c r="C8742" t="s">
        <v>6359</v>
      </c>
      <c r="D8742" t="s">
        <v>13412</v>
      </c>
    </row>
    <row r="8743" spans="1:4" x14ac:dyDescent="0.25">
      <c r="A8743" s="180">
        <f t="shared" si="136"/>
        <v>8708113</v>
      </c>
      <c r="B8743" t="s">
        <v>6358</v>
      </c>
      <c r="C8743" t="s">
        <v>6359</v>
      </c>
      <c r="D8743" t="s">
        <v>13412</v>
      </c>
    </row>
    <row r="8744" spans="1:4" x14ac:dyDescent="0.25">
      <c r="A8744" s="180">
        <f t="shared" si="136"/>
        <v>8708113</v>
      </c>
      <c r="B8744" t="s">
        <v>6358</v>
      </c>
      <c r="C8744" t="s">
        <v>6359</v>
      </c>
      <c r="D8744" t="s">
        <v>13412</v>
      </c>
    </row>
    <row r="8745" spans="1:4" x14ac:dyDescent="0.25">
      <c r="A8745" s="180">
        <f t="shared" si="136"/>
        <v>8708113</v>
      </c>
      <c r="B8745" t="s">
        <v>6358</v>
      </c>
      <c r="C8745" t="s">
        <v>6359</v>
      </c>
      <c r="D8745" t="s">
        <v>13412</v>
      </c>
    </row>
    <row r="8746" spans="1:4" x14ac:dyDescent="0.25">
      <c r="A8746" s="180">
        <f t="shared" si="136"/>
        <v>8708113</v>
      </c>
      <c r="B8746" t="s">
        <v>6358</v>
      </c>
      <c r="C8746" t="s">
        <v>6359</v>
      </c>
      <c r="D8746" t="s">
        <v>13412</v>
      </c>
    </row>
    <row r="8747" spans="1:4" x14ac:dyDescent="0.25">
      <c r="A8747" s="180">
        <f t="shared" si="136"/>
        <v>8708114</v>
      </c>
      <c r="B8747" t="s">
        <v>6360</v>
      </c>
      <c r="C8747" t="s">
        <v>6361</v>
      </c>
      <c r="D8747" t="s">
        <v>13411</v>
      </c>
    </row>
    <row r="8748" spans="1:4" x14ac:dyDescent="0.25">
      <c r="A8748" s="180">
        <f t="shared" si="136"/>
        <v>8708115</v>
      </c>
      <c r="B8748" t="s">
        <v>6362</v>
      </c>
      <c r="C8748" t="s">
        <v>6363</v>
      </c>
      <c r="D8748" t="s">
        <v>13412</v>
      </c>
    </row>
    <row r="8749" spans="1:4" x14ac:dyDescent="0.25">
      <c r="A8749" s="180">
        <f t="shared" si="136"/>
        <v>8708116</v>
      </c>
      <c r="B8749" t="s">
        <v>6364</v>
      </c>
      <c r="C8749" t="s">
        <v>6365</v>
      </c>
      <c r="D8749" t="s">
        <v>13412</v>
      </c>
    </row>
    <row r="8750" spans="1:4" x14ac:dyDescent="0.25">
      <c r="A8750" s="180">
        <f t="shared" si="136"/>
        <v>8708116</v>
      </c>
      <c r="B8750" t="s">
        <v>6364</v>
      </c>
      <c r="C8750" t="s">
        <v>6365</v>
      </c>
      <c r="D8750" t="s">
        <v>13412</v>
      </c>
    </row>
    <row r="8751" spans="1:4" x14ac:dyDescent="0.25">
      <c r="A8751" s="180">
        <f t="shared" si="136"/>
        <v>8708116</v>
      </c>
      <c r="B8751" t="s">
        <v>6364</v>
      </c>
      <c r="C8751" t="s">
        <v>6365</v>
      </c>
      <c r="D8751" t="s">
        <v>13412</v>
      </c>
    </row>
    <row r="8752" spans="1:4" x14ac:dyDescent="0.25">
      <c r="A8752" s="180">
        <f t="shared" si="136"/>
        <v>8708116</v>
      </c>
      <c r="B8752" t="s">
        <v>6364</v>
      </c>
      <c r="C8752" t="s">
        <v>6365</v>
      </c>
      <c r="D8752" t="s">
        <v>13412</v>
      </c>
    </row>
    <row r="8753" spans="1:4" x14ac:dyDescent="0.25">
      <c r="A8753" s="180">
        <f t="shared" si="136"/>
        <v>8708116</v>
      </c>
      <c r="B8753" t="s">
        <v>6364</v>
      </c>
      <c r="C8753" t="s">
        <v>6365</v>
      </c>
      <c r="D8753" t="s">
        <v>13412</v>
      </c>
    </row>
    <row r="8754" spans="1:4" x14ac:dyDescent="0.25">
      <c r="A8754" s="180">
        <f t="shared" si="136"/>
        <v>8708116</v>
      </c>
      <c r="B8754" t="s">
        <v>6364</v>
      </c>
      <c r="C8754" t="s">
        <v>6365</v>
      </c>
      <c r="D8754" t="s">
        <v>13412</v>
      </c>
    </row>
    <row r="8755" spans="1:4" x14ac:dyDescent="0.25">
      <c r="A8755" s="180">
        <f t="shared" si="136"/>
        <v>8708116</v>
      </c>
      <c r="B8755" t="s">
        <v>6364</v>
      </c>
      <c r="C8755" t="s">
        <v>6365</v>
      </c>
      <c r="D8755" t="s">
        <v>13412</v>
      </c>
    </row>
    <row r="8756" spans="1:4" x14ac:dyDescent="0.25">
      <c r="A8756" s="180">
        <f t="shared" si="136"/>
        <v>8708117</v>
      </c>
      <c r="B8756" t="s">
        <v>6366</v>
      </c>
      <c r="C8756" t="s">
        <v>6367</v>
      </c>
      <c r="D8756" t="s">
        <v>13411</v>
      </c>
    </row>
    <row r="8757" spans="1:4" x14ac:dyDescent="0.25">
      <c r="A8757" s="180">
        <f t="shared" si="136"/>
        <v>8708117</v>
      </c>
      <c r="B8757" t="s">
        <v>6366</v>
      </c>
      <c r="C8757" t="s">
        <v>6367</v>
      </c>
      <c r="D8757" t="s">
        <v>13411</v>
      </c>
    </row>
    <row r="8758" spans="1:4" x14ac:dyDescent="0.25">
      <c r="A8758" s="180">
        <f t="shared" si="136"/>
        <v>8708117</v>
      </c>
      <c r="B8758" t="s">
        <v>6366</v>
      </c>
      <c r="C8758" t="s">
        <v>6367</v>
      </c>
      <c r="D8758" t="s">
        <v>13411</v>
      </c>
    </row>
    <row r="8759" spans="1:4" x14ac:dyDescent="0.25">
      <c r="A8759" s="180">
        <f t="shared" si="136"/>
        <v>8708117</v>
      </c>
      <c r="B8759" t="s">
        <v>6366</v>
      </c>
      <c r="C8759" t="s">
        <v>6367</v>
      </c>
      <c r="D8759" t="s">
        <v>13411</v>
      </c>
    </row>
    <row r="8760" spans="1:4" x14ac:dyDescent="0.25">
      <c r="A8760" s="180">
        <f t="shared" si="136"/>
        <v>8708118</v>
      </c>
      <c r="B8760" t="s">
        <v>6368</v>
      </c>
      <c r="C8760" t="s">
        <v>6369</v>
      </c>
      <c r="D8760" t="s">
        <v>13411</v>
      </c>
    </row>
    <row r="8761" spans="1:4" x14ac:dyDescent="0.25">
      <c r="A8761" s="180">
        <f t="shared" si="136"/>
        <v>8708119</v>
      </c>
      <c r="B8761" t="s">
        <v>6370</v>
      </c>
      <c r="C8761" t="s">
        <v>6371</v>
      </c>
      <c r="D8761" t="s">
        <v>13411</v>
      </c>
    </row>
    <row r="8762" spans="1:4" x14ac:dyDescent="0.25">
      <c r="A8762" s="180">
        <f t="shared" si="136"/>
        <v>8708120</v>
      </c>
      <c r="B8762" t="s">
        <v>6372</v>
      </c>
      <c r="C8762" t="s">
        <v>6373</v>
      </c>
      <c r="D8762" t="s">
        <v>13411</v>
      </c>
    </row>
    <row r="8763" spans="1:4" x14ac:dyDescent="0.25">
      <c r="A8763" s="180">
        <f t="shared" si="136"/>
        <v>8708121</v>
      </c>
      <c r="B8763" t="s">
        <v>6374</v>
      </c>
      <c r="C8763" t="s">
        <v>6375</v>
      </c>
      <c r="D8763" t="s">
        <v>13411</v>
      </c>
    </row>
    <row r="8764" spans="1:4" x14ac:dyDescent="0.25">
      <c r="A8764" s="180">
        <f t="shared" si="136"/>
        <v>8708121</v>
      </c>
      <c r="B8764" t="s">
        <v>6374</v>
      </c>
      <c r="C8764" t="s">
        <v>6375</v>
      </c>
      <c r="D8764" t="s">
        <v>13411</v>
      </c>
    </row>
    <row r="8765" spans="1:4" x14ac:dyDescent="0.25">
      <c r="A8765" s="180">
        <f t="shared" si="136"/>
        <v>8708121</v>
      </c>
      <c r="B8765" t="s">
        <v>6374</v>
      </c>
      <c r="C8765" t="s">
        <v>6375</v>
      </c>
      <c r="D8765" t="s">
        <v>13411</v>
      </c>
    </row>
    <row r="8766" spans="1:4" x14ac:dyDescent="0.25">
      <c r="A8766" s="180">
        <f t="shared" si="136"/>
        <v>8708121</v>
      </c>
      <c r="B8766" t="s">
        <v>6374</v>
      </c>
      <c r="C8766" t="s">
        <v>6375</v>
      </c>
      <c r="D8766" t="s">
        <v>13411</v>
      </c>
    </row>
    <row r="8767" spans="1:4" x14ac:dyDescent="0.25">
      <c r="A8767" s="180">
        <f t="shared" ref="A8767:A8830" si="137">IFERROR(B8767*1,"")</f>
        <v>8708121</v>
      </c>
      <c r="B8767" t="s">
        <v>6374</v>
      </c>
      <c r="C8767" t="s">
        <v>6375</v>
      </c>
      <c r="D8767" t="s">
        <v>13411</v>
      </c>
    </row>
    <row r="8768" spans="1:4" x14ac:dyDescent="0.25">
      <c r="A8768" s="180">
        <f t="shared" si="137"/>
        <v>8708122</v>
      </c>
      <c r="B8768" t="s">
        <v>6376</v>
      </c>
      <c r="C8768" t="s">
        <v>6377</v>
      </c>
      <c r="D8768" t="s">
        <v>13412</v>
      </c>
    </row>
    <row r="8769" spans="1:4" x14ac:dyDescent="0.25">
      <c r="A8769" s="180">
        <f t="shared" si="137"/>
        <v>8708123</v>
      </c>
      <c r="B8769" t="s">
        <v>6378</v>
      </c>
      <c r="C8769" t="s">
        <v>6379</v>
      </c>
      <c r="D8769" t="s">
        <v>13411</v>
      </c>
    </row>
    <row r="8770" spans="1:4" x14ac:dyDescent="0.25">
      <c r="A8770" s="180">
        <f t="shared" si="137"/>
        <v>8708124</v>
      </c>
      <c r="B8770" t="s">
        <v>6380</v>
      </c>
      <c r="C8770" t="s">
        <v>6381</v>
      </c>
      <c r="D8770" t="s">
        <v>13411</v>
      </c>
    </row>
    <row r="8771" spans="1:4" x14ac:dyDescent="0.25">
      <c r="A8771" s="180">
        <f t="shared" si="137"/>
        <v>8708125</v>
      </c>
      <c r="B8771" t="s">
        <v>6382</v>
      </c>
      <c r="C8771" t="s">
        <v>6383</v>
      </c>
      <c r="D8771" t="s">
        <v>13411</v>
      </c>
    </row>
    <row r="8772" spans="1:4" x14ac:dyDescent="0.25">
      <c r="A8772" s="180">
        <f t="shared" si="137"/>
        <v>8708126</v>
      </c>
      <c r="B8772" t="s">
        <v>6384</v>
      </c>
      <c r="C8772" t="s">
        <v>6385</v>
      </c>
    </row>
    <row r="8773" spans="1:4" x14ac:dyDescent="0.25">
      <c r="A8773" s="180">
        <f t="shared" si="137"/>
        <v>8708127</v>
      </c>
      <c r="B8773" t="s">
        <v>6386</v>
      </c>
      <c r="C8773" t="s">
        <v>6387</v>
      </c>
      <c r="D8773" t="s">
        <v>13411</v>
      </c>
    </row>
    <row r="8774" spans="1:4" x14ac:dyDescent="0.25">
      <c r="A8774" s="180">
        <f t="shared" si="137"/>
        <v>8708128</v>
      </c>
      <c r="B8774" t="s">
        <v>6388</v>
      </c>
      <c r="C8774" t="s">
        <v>6389</v>
      </c>
      <c r="D8774" t="s">
        <v>13411</v>
      </c>
    </row>
    <row r="8775" spans="1:4" x14ac:dyDescent="0.25">
      <c r="A8775" s="180">
        <f t="shared" si="137"/>
        <v>8708129</v>
      </c>
      <c r="B8775" t="s">
        <v>6390</v>
      </c>
      <c r="C8775" t="s">
        <v>6391</v>
      </c>
      <c r="D8775" t="s">
        <v>13411</v>
      </c>
    </row>
    <row r="8776" spans="1:4" x14ac:dyDescent="0.25">
      <c r="A8776" s="180">
        <f t="shared" si="137"/>
        <v>8708130</v>
      </c>
      <c r="B8776" t="s">
        <v>6392</v>
      </c>
      <c r="C8776" t="s">
        <v>6393</v>
      </c>
    </row>
    <row r="8777" spans="1:4" x14ac:dyDescent="0.25">
      <c r="A8777" s="180">
        <f t="shared" si="137"/>
        <v>8708140</v>
      </c>
      <c r="B8777" t="s">
        <v>13374</v>
      </c>
      <c r="C8777" t="s">
        <v>13375</v>
      </c>
      <c r="D8777" t="s">
        <v>13412</v>
      </c>
    </row>
    <row r="8778" spans="1:4" x14ac:dyDescent="0.25">
      <c r="A8778" s="180">
        <f t="shared" si="137"/>
        <v>8708140</v>
      </c>
      <c r="B8778" t="s">
        <v>13374</v>
      </c>
      <c r="C8778" t="s">
        <v>13375</v>
      </c>
      <c r="D8778" t="s">
        <v>13412</v>
      </c>
    </row>
    <row r="8779" spans="1:4" x14ac:dyDescent="0.25">
      <c r="A8779" s="180">
        <f t="shared" si="137"/>
        <v>8708140</v>
      </c>
      <c r="B8779" t="s">
        <v>13374</v>
      </c>
      <c r="C8779" t="s">
        <v>13375</v>
      </c>
      <c r="D8779" t="s">
        <v>13412</v>
      </c>
    </row>
    <row r="8780" spans="1:4" x14ac:dyDescent="0.25">
      <c r="A8780" s="180">
        <f t="shared" si="137"/>
        <v>8708140</v>
      </c>
      <c r="B8780" t="s">
        <v>13374</v>
      </c>
      <c r="C8780" t="s">
        <v>13375</v>
      </c>
      <c r="D8780" t="s">
        <v>13412</v>
      </c>
    </row>
    <row r="8781" spans="1:4" x14ac:dyDescent="0.25">
      <c r="A8781" s="180">
        <f t="shared" si="137"/>
        <v>8708140</v>
      </c>
      <c r="B8781" t="s">
        <v>13374</v>
      </c>
      <c r="C8781" t="s">
        <v>13375</v>
      </c>
      <c r="D8781" t="s">
        <v>13412</v>
      </c>
    </row>
    <row r="8782" spans="1:4" x14ac:dyDescent="0.25">
      <c r="A8782" s="180">
        <f t="shared" si="137"/>
        <v>8708196</v>
      </c>
      <c r="B8782" t="s">
        <v>6394</v>
      </c>
      <c r="C8782" t="s">
        <v>6395</v>
      </c>
      <c r="D8782" t="s">
        <v>13412</v>
      </c>
    </row>
    <row r="8783" spans="1:4" x14ac:dyDescent="0.25">
      <c r="A8783" s="180">
        <f t="shared" si="137"/>
        <v>8708196</v>
      </c>
      <c r="B8783" t="s">
        <v>6394</v>
      </c>
      <c r="C8783" t="s">
        <v>6395</v>
      </c>
      <c r="D8783" t="s">
        <v>13412</v>
      </c>
    </row>
    <row r="8784" spans="1:4" x14ac:dyDescent="0.25">
      <c r="A8784" s="180">
        <f t="shared" si="137"/>
        <v>8708198</v>
      </c>
      <c r="B8784" t="s">
        <v>6396</v>
      </c>
      <c r="C8784" t="s">
        <v>6397</v>
      </c>
      <c r="D8784" t="s">
        <v>13412</v>
      </c>
    </row>
    <row r="8785" spans="1:4" x14ac:dyDescent="0.25">
      <c r="A8785" s="180">
        <f t="shared" si="137"/>
        <v>8708200</v>
      </c>
      <c r="B8785" t="s">
        <v>6398</v>
      </c>
      <c r="C8785" t="s">
        <v>14138</v>
      </c>
      <c r="D8785" t="s">
        <v>13412</v>
      </c>
    </row>
    <row r="8786" spans="1:4" x14ac:dyDescent="0.25">
      <c r="A8786" s="180">
        <f t="shared" si="137"/>
        <v>8708202</v>
      </c>
      <c r="B8786" t="s">
        <v>6399</v>
      </c>
      <c r="C8786" t="s">
        <v>6400</v>
      </c>
      <c r="D8786" t="s">
        <v>13412</v>
      </c>
    </row>
    <row r="8787" spans="1:4" x14ac:dyDescent="0.25">
      <c r="A8787" s="180">
        <f t="shared" si="137"/>
        <v>8708203</v>
      </c>
      <c r="B8787" t="s">
        <v>6401</v>
      </c>
      <c r="C8787" t="s">
        <v>6402</v>
      </c>
      <c r="D8787" t="s">
        <v>13412</v>
      </c>
    </row>
    <row r="8788" spans="1:4" x14ac:dyDescent="0.25">
      <c r="A8788" s="180">
        <f t="shared" si="137"/>
        <v>8708204</v>
      </c>
      <c r="B8788" t="s">
        <v>6403</v>
      </c>
      <c r="C8788" t="s">
        <v>6404</v>
      </c>
      <c r="D8788" t="s">
        <v>13412</v>
      </c>
    </row>
    <row r="8789" spans="1:4" x14ac:dyDescent="0.25">
      <c r="A8789" s="180">
        <f t="shared" si="137"/>
        <v>8708205</v>
      </c>
      <c r="B8789" t="s">
        <v>6405</v>
      </c>
      <c r="C8789" t="s">
        <v>6406</v>
      </c>
      <c r="D8789" t="s">
        <v>13412</v>
      </c>
    </row>
    <row r="8790" spans="1:4" x14ac:dyDescent="0.25">
      <c r="A8790" s="180">
        <f t="shared" si="137"/>
        <v>8708206</v>
      </c>
      <c r="B8790" t="s">
        <v>6407</v>
      </c>
      <c r="C8790" t="s">
        <v>6408</v>
      </c>
      <c r="D8790" t="s">
        <v>13412</v>
      </c>
    </row>
    <row r="8791" spans="1:4" x14ac:dyDescent="0.25">
      <c r="A8791" s="180">
        <f t="shared" si="137"/>
        <v>8708207</v>
      </c>
      <c r="B8791" t="s">
        <v>6409</v>
      </c>
      <c r="C8791" t="s">
        <v>6410</v>
      </c>
      <c r="D8791" t="s">
        <v>13412</v>
      </c>
    </row>
    <row r="8792" spans="1:4" x14ac:dyDescent="0.25">
      <c r="A8792" s="180">
        <f t="shared" si="137"/>
        <v>8708209</v>
      </c>
      <c r="B8792" t="s">
        <v>6411</v>
      </c>
      <c r="C8792" t="s">
        <v>6412</v>
      </c>
      <c r="D8792" t="s">
        <v>13411</v>
      </c>
    </row>
    <row r="8793" spans="1:4" x14ac:dyDescent="0.25">
      <c r="A8793" s="180">
        <f t="shared" si="137"/>
        <v>8708210</v>
      </c>
      <c r="B8793" t="s">
        <v>6413</v>
      </c>
      <c r="C8793" t="s">
        <v>6414</v>
      </c>
      <c r="D8793" t="s">
        <v>13412</v>
      </c>
    </row>
    <row r="8794" spans="1:4" x14ac:dyDescent="0.25">
      <c r="A8794" s="180">
        <f t="shared" si="137"/>
        <v>8708211</v>
      </c>
      <c r="B8794" t="s">
        <v>6415</v>
      </c>
      <c r="C8794" t="s">
        <v>6416</v>
      </c>
      <c r="D8794" t="s">
        <v>13412</v>
      </c>
    </row>
    <row r="8795" spans="1:4" x14ac:dyDescent="0.25">
      <c r="A8795" s="180">
        <f t="shared" si="137"/>
        <v>8708213</v>
      </c>
      <c r="B8795" t="s">
        <v>6417</v>
      </c>
      <c r="C8795" t="s">
        <v>6418</v>
      </c>
      <c r="D8795" t="s">
        <v>13412</v>
      </c>
    </row>
    <row r="8796" spans="1:4" x14ac:dyDescent="0.25">
      <c r="A8796" s="180">
        <f t="shared" si="137"/>
        <v>8708214</v>
      </c>
      <c r="B8796" t="s">
        <v>6419</v>
      </c>
      <c r="C8796" t="s">
        <v>6420</v>
      </c>
    </row>
    <row r="8797" spans="1:4" x14ac:dyDescent="0.25">
      <c r="A8797" s="180">
        <f t="shared" si="137"/>
        <v>8708215</v>
      </c>
      <c r="B8797" t="s">
        <v>6421</v>
      </c>
      <c r="C8797" t="s">
        <v>6422</v>
      </c>
    </row>
    <row r="8798" spans="1:4" x14ac:dyDescent="0.25">
      <c r="A8798" s="180">
        <f t="shared" si="137"/>
        <v>8708216</v>
      </c>
      <c r="B8798" t="s">
        <v>6423</v>
      </c>
      <c r="C8798" t="s">
        <v>6424</v>
      </c>
      <c r="D8798" t="s">
        <v>13412</v>
      </c>
    </row>
    <row r="8799" spans="1:4" x14ac:dyDescent="0.25">
      <c r="A8799" s="180">
        <f t="shared" si="137"/>
        <v>8708226</v>
      </c>
      <c r="B8799" t="s">
        <v>6425</v>
      </c>
      <c r="C8799" t="s">
        <v>6426</v>
      </c>
      <c r="D8799" t="s">
        <v>13411</v>
      </c>
    </row>
    <row r="8800" spans="1:4" x14ac:dyDescent="0.25">
      <c r="A8800" s="180">
        <f t="shared" si="137"/>
        <v>8708226</v>
      </c>
      <c r="B8800" t="s">
        <v>6425</v>
      </c>
      <c r="C8800" t="s">
        <v>6426</v>
      </c>
      <c r="D8800" t="s">
        <v>13411</v>
      </c>
    </row>
    <row r="8801" spans="1:4" x14ac:dyDescent="0.25">
      <c r="A8801" s="180">
        <f t="shared" si="137"/>
        <v>8708226</v>
      </c>
      <c r="B8801" t="s">
        <v>6425</v>
      </c>
      <c r="C8801" t="s">
        <v>6426</v>
      </c>
      <c r="D8801" t="s">
        <v>13411</v>
      </c>
    </row>
    <row r="8802" spans="1:4" x14ac:dyDescent="0.25">
      <c r="A8802" s="180">
        <f t="shared" si="137"/>
        <v>8708227</v>
      </c>
      <c r="B8802" t="s">
        <v>6427</v>
      </c>
      <c r="C8802" t="s">
        <v>6428</v>
      </c>
      <c r="D8802" t="s">
        <v>13411</v>
      </c>
    </row>
    <row r="8803" spans="1:4" x14ac:dyDescent="0.25">
      <c r="A8803" s="180">
        <f t="shared" si="137"/>
        <v>8708227</v>
      </c>
      <c r="B8803" t="s">
        <v>6427</v>
      </c>
      <c r="C8803" t="s">
        <v>6428</v>
      </c>
      <c r="D8803" t="s">
        <v>13411</v>
      </c>
    </row>
    <row r="8804" spans="1:4" x14ac:dyDescent="0.25">
      <c r="A8804" s="180">
        <f t="shared" si="137"/>
        <v>8708227</v>
      </c>
      <c r="B8804" t="s">
        <v>6427</v>
      </c>
      <c r="C8804" t="s">
        <v>6428</v>
      </c>
      <c r="D8804" t="s">
        <v>13411</v>
      </c>
    </row>
    <row r="8805" spans="1:4" x14ac:dyDescent="0.25">
      <c r="A8805" s="180">
        <f t="shared" si="137"/>
        <v>8708228</v>
      </c>
      <c r="B8805" t="s">
        <v>6429</v>
      </c>
      <c r="C8805" t="s">
        <v>13376</v>
      </c>
      <c r="D8805" t="s">
        <v>13412</v>
      </c>
    </row>
    <row r="8806" spans="1:4" x14ac:dyDescent="0.25">
      <c r="A8806" s="180">
        <f t="shared" si="137"/>
        <v>8708249</v>
      </c>
      <c r="B8806" t="s">
        <v>6430</v>
      </c>
      <c r="C8806" t="s">
        <v>6431</v>
      </c>
      <c r="D8806" t="s">
        <v>13411</v>
      </c>
    </row>
    <row r="8807" spans="1:4" x14ac:dyDescent="0.25">
      <c r="A8807" s="180">
        <f t="shared" si="137"/>
        <v>8708254</v>
      </c>
      <c r="B8807" t="s">
        <v>6432</v>
      </c>
      <c r="C8807" t="s">
        <v>6433</v>
      </c>
      <c r="D8807" t="s">
        <v>13412</v>
      </c>
    </row>
    <row r="8808" spans="1:4" x14ac:dyDescent="0.25">
      <c r="A8808" s="180">
        <f t="shared" si="137"/>
        <v>8708255</v>
      </c>
      <c r="B8808" t="s">
        <v>6434</v>
      </c>
      <c r="C8808" t="s">
        <v>6435</v>
      </c>
      <c r="D8808" t="s">
        <v>13412</v>
      </c>
    </row>
    <row r="8809" spans="1:4" x14ac:dyDescent="0.25">
      <c r="A8809" s="180">
        <f t="shared" si="137"/>
        <v>8708272</v>
      </c>
      <c r="B8809" t="s">
        <v>6436</v>
      </c>
      <c r="C8809" t="s">
        <v>6437</v>
      </c>
      <c r="D8809" t="s">
        <v>13412</v>
      </c>
    </row>
    <row r="8810" spans="1:4" x14ac:dyDescent="0.25">
      <c r="A8810" s="180">
        <f t="shared" si="137"/>
        <v>8708273</v>
      </c>
      <c r="B8810" t="s">
        <v>6438</v>
      </c>
      <c r="C8810" t="s">
        <v>6439</v>
      </c>
      <c r="D8810" t="s">
        <v>13412</v>
      </c>
    </row>
    <row r="8811" spans="1:4" x14ac:dyDescent="0.25">
      <c r="A8811" s="180">
        <f t="shared" si="137"/>
        <v>8708297</v>
      </c>
      <c r="B8811" t="s">
        <v>14547</v>
      </c>
      <c r="C8811" t="s">
        <v>14548</v>
      </c>
      <c r="D8811" t="s">
        <v>13412</v>
      </c>
    </row>
    <row r="8812" spans="1:4" x14ac:dyDescent="0.25">
      <c r="A8812" s="180">
        <f t="shared" si="137"/>
        <v>8708298</v>
      </c>
      <c r="B8812" t="s">
        <v>13943</v>
      </c>
      <c r="C8812" t="s">
        <v>13944</v>
      </c>
      <c r="D8812" t="s">
        <v>13412</v>
      </c>
    </row>
    <row r="8813" spans="1:4" x14ac:dyDescent="0.25">
      <c r="A8813" s="180">
        <f t="shared" si="137"/>
        <v>8708299</v>
      </c>
      <c r="B8813" t="s">
        <v>12951</v>
      </c>
      <c r="C8813" t="s">
        <v>12952</v>
      </c>
      <c r="D8813" t="s">
        <v>13412</v>
      </c>
    </row>
    <row r="8814" spans="1:4" x14ac:dyDescent="0.25">
      <c r="A8814" s="180">
        <f t="shared" si="137"/>
        <v>8708299</v>
      </c>
      <c r="B8814" t="s">
        <v>12951</v>
      </c>
      <c r="C8814" t="s">
        <v>12952</v>
      </c>
      <c r="D8814" t="s">
        <v>13412</v>
      </c>
    </row>
    <row r="8815" spans="1:4" x14ac:dyDescent="0.25">
      <c r="A8815" s="180">
        <f t="shared" si="137"/>
        <v>8708299</v>
      </c>
      <c r="B8815" t="s">
        <v>12951</v>
      </c>
      <c r="C8815" t="s">
        <v>12952</v>
      </c>
      <c r="D8815" t="s">
        <v>13412</v>
      </c>
    </row>
    <row r="8816" spans="1:4" x14ac:dyDescent="0.25">
      <c r="A8816" s="180">
        <f t="shared" si="137"/>
        <v>8708300</v>
      </c>
      <c r="B8816" t="s">
        <v>6440</v>
      </c>
      <c r="C8816" t="s">
        <v>6521</v>
      </c>
      <c r="D8816" t="s">
        <v>13412</v>
      </c>
    </row>
    <row r="8817" spans="1:4" x14ac:dyDescent="0.25">
      <c r="A8817" s="180">
        <f t="shared" si="137"/>
        <v>8708300</v>
      </c>
      <c r="B8817" t="s">
        <v>6440</v>
      </c>
      <c r="C8817" t="s">
        <v>6521</v>
      </c>
      <c r="D8817" t="s">
        <v>13412</v>
      </c>
    </row>
    <row r="8818" spans="1:4" x14ac:dyDescent="0.25">
      <c r="A8818" s="180">
        <f t="shared" si="137"/>
        <v>8708300</v>
      </c>
      <c r="B8818" t="s">
        <v>6440</v>
      </c>
      <c r="C8818" t="s">
        <v>6521</v>
      </c>
      <c r="D8818" t="s">
        <v>13412</v>
      </c>
    </row>
    <row r="8819" spans="1:4" x14ac:dyDescent="0.25">
      <c r="A8819" s="180">
        <f t="shared" si="137"/>
        <v>8708300</v>
      </c>
      <c r="B8819" t="s">
        <v>6440</v>
      </c>
      <c r="C8819" t="s">
        <v>6521</v>
      </c>
      <c r="D8819" t="s">
        <v>13412</v>
      </c>
    </row>
    <row r="8820" spans="1:4" x14ac:dyDescent="0.25">
      <c r="A8820" s="180">
        <f t="shared" si="137"/>
        <v>8708300</v>
      </c>
      <c r="B8820" t="s">
        <v>6440</v>
      </c>
      <c r="C8820" t="s">
        <v>6521</v>
      </c>
      <c r="D8820" t="s">
        <v>13412</v>
      </c>
    </row>
    <row r="8821" spans="1:4" x14ac:dyDescent="0.25">
      <c r="A8821" s="180">
        <f t="shared" si="137"/>
        <v>8708300</v>
      </c>
      <c r="B8821" t="s">
        <v>6440</v>
      </c>
      <c r="C8821" t="s">
        <v>6521</v>
      </c>
      <c r="D8821" t="s">
        <v>13412</v>
      </c>
    </row>
    <row r="8822" spans="1:4" x14ac:dyDescent="0.25">
      <c r="A8822" s="180">
        <f t="shared" si="137"/>
        <v>8708301</v>
      </c>
      <c r="B8822" t="s">
        <v>6441</v>
      </c>
      <c r="C8822" t="s">
        <v>6442</v>
      </c>
      <c r="D8822" t="s">
        <v>13412</v>
      </c>
    </row>
    <row r="8823" spans="1:4" x14ac:dyDescent="0.25">
      <c r="A8823" s="180">
        <f t="shared" si="137"/>
        <v>8708301</v>
      </c>
      <c r="B8823" t="s">
        <v>6441</v>
      </c>
      <c r="C8823" t="s">
        <v>6442</v>
      </c>
      <c r="D8823" t="s">
        <v>13412</v>
      </c>
    </row>
    <row r="8824" spans="1:4" x14ac:dyDescent="0.25">
      <c r="A8824" s="180">
        <f t="shared" si="137"/>
        <v>8708301</v>
      </c>
      <c r="B8824" t="s">
        <v>6441</v>
      </c>
      <c r="C8824" t="s">
        <v>6442</v>
      </c>
      <c r="D8824" t="s">
        <v>13412</v>
      </c>
    </row>
    <row r="8825" spans="1:4" x14ac:dyDescent="0.25">
      <c r="A8825" s="180">
        <f t="shared" si="137"/>
        <v>8708301</v>
      </c>
      <c r="B8825" t="s">
        <v>6441</v>
      </c>
      <c r="C8825" t="s">
        <v>6442</v>
      </c>
      <c r="D8825" t="s">
        <v>13412</v>
      </c>
    </row>
    <row r="8826" spans="1:4" x14ac:dyDescent="0.25">
      <c r="A8826" s="180">
        <f t="shared" si="137"/>
        <v>8708301</v>
      </c>
      <c r="B8826" t="s">
        <v>6441</v>
      </c>
      <c r="C8826" t="s">
        <v>6442</v>
      </c>
      <c r="D8826" t="s">
        <v>13412</v>
      </c>
    </row>
    <row r="8827" spans="1:4" x14ac:dyDescent="0.25">
      <c r="A8827" s="180">
        <f t="shared" si="137"/>
        <v>8708301</v>
      </c>
      <c r="B8827" t="s">
        <v>6441</v>
      </c>
      <c r="C8827" t="s">
        <v>6442</v>
      </c>
      <c r="D8827" t="s">
        <v>13412</v>
      </c>
    </row>
    <row r="8828" spans="1:4" x14ac:dyDescent="0.25">
      <c r="A8828" s="180">
        <f t="shared" si="137"/>
        <v>8708304</v>
      </c>
      <c r="B8828" t="s">
        <v>12735</v>
      </c>
      <c r="C8828" t="s">
        <v>12736</v>
      </c>
      <c r="D8828" t="s">
        <v>13411</v>
      </c>
    </row>
    <row r="8829" spans="1:4" x14ac:dyDescent="0.25">
      <c r="A8829" s="180">
        <f t="shared" si="137"/>
        <v>8708304</v>
      </c>
      <c r="B8829" t="s">
        <v>12735</v>
      </c>
      <c r="C8829" t="s">
        <v>12736</v>
      </c>
      <c r="D8829" t="s">
        <v>13411</v>
      </c>
    </row>
    <row r="8830" spans="1:4" x14ac:dyDescent="0.25">
      <c r="A8830" s="180">
        <f t="shared" si="137"/>
        <v>8708304</v>
      </c>
      <c r="B8830" t="s">
        <v>12735</v>
      </c>
      <c r="C8830" t="s">
        <v>12736</v>
      </c>
      <c r="D8830" t="s">
        <v>13411</v>
      </c>
    </row>
    <row r="8831" spans="1:4" x14ac:dyDescent="0.25">
      <c r="A8831" s="180">
        <f t="shared" ref="A8831:A8894" si="138">IFERROR(B8831*1,"")</f>
        <v>8708304</v>
      </c>
      <c r="B8831" t="s">
        <v>12735</v>
      </c>
      <c r="C8831" t="s">
        <v>12736</v>
      </c>
      <c r="D8831" t="s">
        <v>13411</v>
      </c>
    </row>
    <row r="8832" spans="1:4" x14ac:dyDescent="0.25">
      <c r="A8832" s="180">
        <f t="shared" si="138"/>
        <v>8708304</v>
      </c>
      <c r="B8832" t="s">
        <v>12735</v>
      </c>
      <c r="C8832" t="s">
        <v>12736</v>
      </c>
      <c r="D8832" t="s">
        <v>13411</v>
      </c>
    </row>
    <row r="8833" spans="1:4" x14ac:dyDescent="0.25">
      <c r="A8833" s="180">
        <f t="shared" si="138"/>
        <v>8708304</v>
      </c>
      <c r="B8833" t="s">
        <v>12735</v>
      </c>
      <c r="C8833" t="s">
        <v>12736</v>
      </c>
      <c r="D8833" t="s">
        <v>13411</v>
      </c>
    </row>
    <row r="8834" spans="1:4" x14ac:dyDescent="0.25">
      <c r="A8834" s="180">
        <f t="shared" si="138"/>
        <v>8708310</v>
      </c>
      <c r="B8834" t="s">
        <v>12737</v>
      </c>
      <c r="C8834" t="s">
        <v>12738</v>
      </c>
      <c r="D8834" t="s">
        <v>13411</v>
      </c>
    </row>
    <row r="8835" spans="1:4" x14ac:dyDescent="0.25">
      <c r="A8835" s="180">
        <f t="shared" si="138"/>
        <v>8708310</v>
      </c>
      <c r="B8835" t="s">
        <v>12737</v>
      </c>
      <c r="C8835" t="s">
        <v>12738</v>
      </c>
      <c r="D8835" t="s">
        <v>13411</v>
      </c>
    </row>
    <row r="8836" spans="1:4" x14ac:dyDescent="0.25">
      <c r="A8836" s="180">
        <f t="shared" si="138"/>
        <v>8708310</v>
      </c>
      <c r="B8836" t="s">
        <v>12737</v>
      </c>
      <c r="C8836" t="s">
        <v>12738</v>
      </c>
      <c r="D8836" t="s">
        <v>13411</v>
      </c>
    </row>
    <row r="8837" spans="1:4" x14ac:dyDescent="0.25">
      <c r="A8837" s="180">
        <f t="shared" si="138"/>
        <v>8708310</v>
      </c>
      <c r="B8837" t="s">
        <v>12737</v>
      </c>
      <c r="C8837" t="s">
        <v>12738</v>
      </c>
      <c r="D8837" t="s">
        <v>13411</v>
      </c>
    </row>
    <row r="8838" spans="1:4" x14ac:dyDescent="0.25">
      <c r="A8838" s="180">
        <f t="shared" si="138"/>
        <v>8708310</v>
      </c>
      <c r="B8838" t="s">
        <v>12737</v>
      </c>
      <c r="C8838" t="s">
        <v>12738</v>
      </c>
      <c r="D8838" t="s">
        <v>13411</v>
      </c>
    </row>
    <row r="8839" spans="1:4" x14ac:dyDescent="0.25">
      <c r="A8839" s="180">
        <f t="shared" si="138"/>
        <v>8708310</v>
      </c>
      <c r="B8839" t="s">
        <v>12737</v>
      </c>
      <c r="C8839" t="s">
        <v>12738</v>
      </c>
      <c r="D8839" t="s">
        <v>13411</v>
      </c>
    </row>
    <row r="8840" spans="1:4" x14ac:dyDescent="0.25">
      <c r="A8840" s="180">
        <f t="shared" si="138"/>
        <v>8708311</v>
      </c>
      <c r="B8840" t="s">
        <v>6443</v>
      </c>
      <c r="C8840" t="s">
        <v>6444</v>
      </c>
      <c r="D8840" t="s">
        <v>13411</v>
      </c>
    </row>
    <row r="8841" spans="1:4" x14ac:dyDescent="0.25">
      <c r="A8841" s="180">
        <f t="shared" si="138"/>
        <v>8708312</v>
      </c>
      <c r="B8841" t="s">
        <v>6445</v>
      </c>
      <c r="C8841" t="s">
        <v>6446</v>
      </c>
    </row>
    <row r="8842" spans="1:4" x14ac:dyDescent="0.25">
      <c r="A8842" s="180">
        <f t="shared" si="138"/>
        <v>8708313</v>
      </c>
      <c r="B8842" t="s">
        <v>6447</v>
      </c>
      <c r="C8842" t="s">
        <v>6448</v>
      </c>
      <c r="D8842" t="s">
        <v>13411</v>
      </c>
    </row>
    <row r="8843" spans="1:4" x14ac:dyDescent="0.25">
      <c r="A8843" s="180">
        <f t="shared" si="138"/>
        <v>8708314</v>
      </c>
      <c r="B8843" t="s">
        <v>6449</v>
      </c>
      <c r="C8843" t="s">
        <v>6450</v>
      </c>
    </row>
    <row r="8844" spans="1:4" x14ac:dyDescent="0.25">
      <c r="A8844" s="180">
        <f t="shared" si="138"/>
        <v>8708315</v>
      </c>
      <c r="B8844" t="s">
        <v>6451</v>
      </c>
      <c r="C8844" t="s">
        <v>6452</v>
      </c>
    </row>
    <row r="8845" spans="1:4" x14ac:dyDescent="0.25">
      <c r="A8845" s="180">
        <f t="shared" si="138"/>
        <v>8708323</v>
      </c>
      <c r="B8845" t="s">
        <v>12739</v>
      </c>
      <c r="C8845" t="s">
        <v>12740</v>
      </c>
      <c r="D8845" t="s">
        <v>13411</v>
      </c>
    </row>
    <row r="8846" spans="1:4" x14ac:dyDescent="0.25">
      <c r="A8846" s="180">
        <f t="shared" si="138"/>
        <v>8708323</v>
      </c>
      <c r="B8846" t="s">
        <v>12739</v>
      </c>
      <c r="C8846" t="s">
        <v>12740</v>
      </c>
      <c r="D8846" t="s">
        <v>13411</v>
      </c>
    </row>
    <row r="8847" spans="1:4" x14ac:dyDescent="0.25">
      <c r="A8847" s="180">
        <f t="shared" si="138"/>
        <v>8708323</v>
      </c>
      <c r="B8847" t="s">
        <v>12739</v>
      </c>
      <c r="C8847" t="s">
        <v>12740</v>
      </c>
      <c r="D8847" t="s">
        <v>13411</v>
      </c>
    </row>
    <row r="8848" spans="1:4" x14ac:dyDescent="0.25">
      <c r="A8848" s="180">
        <f t="shared" si="138"/>
        <v>8708323</v>
      </c>
      <c r="B8848" t="s">
        <v>12739</v>
      </c>
      <c r="C8848" t="s">
        <v>12740</v>
      </c>
      <c r="D8848" t="s">
        <v>13411</v>
      </c>
    </row>
    <row r="8849" spans="1:4" x14ac:dyDescent="0.25">
      <c r="A8849" s="180">
        <f t="shared" si="138"/>
        <v>8708333</v>
      </c>
      <c r="B8849" t="s">
        <v>13571</v>
      </c>
      <c r="C8849" t="s">
        <v>13572</v>
      </c>
      <c r="D8849" t="s">
        <v>13411</v>
      </c>
    </row>
    <row r="8850" spans="1:4" x14ac:dyDescent="0.25">
      <c r="A8850" s="180">
        <f t="shared" si="138"/>
        <v>8708333</v>
      </c>
      <c r="B8850" t="s">
        <v>13571</v>
      </c>
      <c r="C8850" t="s">
        <v>13572</v>
      </c>
      <c r="D8850" t="s">
        <v>13411</v>
      </c>
    </row>
    <row r="8851" spans="1:4" x14ac:dyDescent="0.25">
      <c r="A8851" s="180">
        <f t="shared" si="138"/>
        <v>8708333</v>
      </c>
      <c r="B8851" t="s">
        <v>13571</v>
      </c>
      <c r="C8851" t="s">
        <v>13572</v>
      </c>
      <c r="D8851" t="s">
        <v>13411</v>
      </c>
    </row>
    <row r="8852" spans="1:4" x14ac:dyDescent="0.25">
      <c r="A8852" s="180">
        <f t="shared" si="138"/>
        <v>8708402</v>
      </c>
      <c r="B8852" t="s">
        <v>6453</v>
      </c>
      <c r="C8852" t="s">
        <v>6454</v>
      </c>
    </row>
    <row r="8853" spans="1:4" x14ac:dyDescent="0.25">
      <c r="A8853" s="180">
        <f t="shared" si="138"/>
        <v>8708426</v>
      </c>
      <c r="B8853" t="s">
        <v>13573</v>
      </c>
      <c r="C8853" t="s">
        <v>14079</v>
      </c>
      <c r="D8853" t="s">
        <v>13411</v>
      </c>
    </row>
    <row r="8854" spans="1:4" x14ac:dyDescent="0.25">
      <c r="A8854" s="180">
        <f t="shared" si="138"/>
        <v>8708426</v>
      </c>
      <c r="B8854" t="s">
        <v>13573</v>
      </c>
      <c r="C8854" t="s">
        <v>14079</v>
      </c>
      <c r="D8854" t="s">
        <v>13411</v>
      </c>
    </row>
    <row r="8855" spans="1:4" x14ac:dyDescent="0.25">
      <c r="A8855" s="180">
        <f t="shared" si="138"/>
        <v>8708426</v>
      </c>
      <c r="B8855" t="s">
        <v>13573</v>
      </c>
      <c r="C8855" t="s">
        <v>14079</v>
      </c>
      <c r="D8855" t="s">
        <v>13411</v>
      </c>
    </row>
    <row r="8856" spans="1:4" x14ac:dyDescent="0.25">
      <c r="A8856" s="180">
        <f t="shared" si="138"/>
        <v>8708426</v>
      </c>
      <c r="B8856" t="s">
        <v>13573</v>
      </c>
      <c r="C8856" t="s">
        <v>14079</v>
      </c>
      <c r="D8856" t="s">
        <v>13411</v>
      </c>
    </row>
    <row r="8857" spans="1:4" x14ac:dyDescent="0.25">
      <c r="A8857" s="180">
        <f t="shared" si="138"/>
        <v>8708510</v>
      </c>
      <c r="B8857" t="s">
        <v>14080</v>
      </c>
      <c r="C8857" t="s">
        <v>14081</v>
      </c>
      <c r="D8857" t="s">
        <v>13411</v>
      </c>
    </row>
    <row r="8858" spans="1:4" x14ac:dyDescent="0.25">
      <c r="A8858" s="180">
        <f t="shared" si="138"/>
        <v>8708510</v>
      </c>
      <c r="B8858" t="s">
        <v>14080</v>
      </c>
      <c r="C8858" t="s">
        <v>14081</v>
      </c>
      <c r="D8858" t="s">
        <v>13411</v>
      </c>
    </row>
    <row r="8859" spans="1:4" x14ac:dyDescent="0.25">
      <c r="A8859" s="180">
        <f t="shared" si="138"/>
        <v>8708511</v>
      </c>
      <c r="B8859" t="s">
        <v>14082</v>
      </c>
      <c r="C8859" t="s">
        <v>14083</v>
      </c>
      <c r="D8859" t="s">
        <v>13411</v>
      </c>
    </row>
    <row r="8860" spans="1:4" x14ac:dyDescent="0.25">
      <c r="A8860" s="180">
        <f t="shared" si="138"/>
        <v>8708511</v>
      </c>
      <c r="B8860" t="s">
        <v>14082</v>
      </c>
      <c r="C8860" t="s">
        <v>14083</v>
      </c>
      <c r="D8860" t="s">
        <v>13411</v>
      </c>
    </row>
    <row r="8861" spans="1:4" x14ac:dyDescent="0.25">
      <c r="A8861" s="180">
        <f t="shared" si="138"/>
        <v>8708511</v>
      </c>
      <c r="B8861" t="s">
        <v>14082</v>
      </c>
      <c r="C8861" t="s">
        <v>14083</v>
      </c>
      <c r="D8861" t="s">
        <v>13411</v>
      </c>
    </row>
    <row r="8862" spans="1:4" x14ac:dyDescent="0.25">
      <c r="A8862" s="180">
        <f t="shared" si="138"/>
        <v>8708511</v>
      </c>
      <c r="B8862" t="s">
        <v>14082</v>
      </c>
      <c r="C8862" t="s">
        <v>14083</v>
      </c>
      <c r="D8862" t="s">
        <v>13411</v>
      </c>
    </row>
    <row r="8863" spans="1:4" x14ac:dyDescent="0.25">
      <c r="A8863" s="180">
        <f t="shared" si="138"/>
        <v>8708511</v>
      </c>
      <c r="B8863" t="s">
        <v>14082</v>
      </c>
      <c r="C8863" t="s">
        <v>14083</v>
      </c>
      <c r="D8863" t="s">
        <v>13411</v>
      </c>
    </row>
    <row r="8864" spans="1:4" x14ac:dyDescent="0.25">
      <c r="A8864" s="180">
        <f t="shared" si="138"/>
        <v>8708536</v>
      </c>
      <c r="B8864" t="s">
        <v>12953</v>
      </c>
      <c r="C8864" t="s">
        <v>12954</v>
      </c>
      <c r="D8864" t="s">
        <v>13412</v>
      </c>
    </row>
    <row r="8865" spans="1:4" x14ac:dyDescent="0.25">
      <c r="A8865" s="180">
        <f t="shared" si="138"/>
        <v>8708536</v>
      </c>
      <c r="B8865" t="s">
        <v>12953</v>
      </c>
      <c r="C8865" t="s">
        <v>12954</v>
      </c>
      <c r="D8865" t="s">
        <v>13412</v>
      </c>
    </row>
    <row r="8866" spans="1:4" x14ac:dyDescent="0.25">
      <c r="A8866" s="180">
        <f t="shared" si="138"/>
        <v>8708536</v>
      </c>
      <c r="B8866" t="s">
        <v>12953</v>
      </c>
      <c r="C8866" t="s">
        <v>12954</v>
      </c>
      <c r="D8866" t="s">
        <v>13412</v>
      </c>
    </row>
    <row r="8867" spans="1:4" x14ac:dyDescent="0.25">
      <c r="A8867" s="180">
        <f t="shared" si="138"/>
        <v>8708536</v>
      </c>
      <c r="B8867" t="s">
        <v>12953</v>
      </c>
      <c r="C8867" t="s">
        <v>12954</v>
      </c>
      <c r="D8867" t="s">
        <v>13412</v>
      </c>
    </row>
    <row r="8868" spans="1:4" x14ac:dyDescent="0.25">
      <c r="A8868" s="180">
        <f t="shared" si="138"/>
        <v>8708536</v>
      </c>
      <c r="B8868" t="s">
        <v>12953</v>
      </c>
      <c r="C8868" t="s">
        <v>12954</v>
      </c>
      <c r="D8868" t="s">
        <v>13412</v>
      </c>
    </row>
    <row r="8869" spans="1:4" x14ac:dyDescent="0.25">
      <c r="A8869" s="180">
        <f t="shared" si="138"/>
        <v>8708536</v>
      </c>
      <c r="B8869" t="s">
        <v>12953</v>
      </c>
      <c r="C8869" t="s">
        <v>12954</v>
      </c>
      <c r="D8869" t="s">
        <v>13412</v>
      </c>
    </row>
    <row r="8870" spans="1:4" x14ac:dyDescent="0.25">
      <c r="A8870" s="180">
        <f t="shared" si="138"/>
        <v>8708536</v>
      </c>
      <c r="B8870" t="s">
        <v>12953</v>
      </c>
      <c r="C8870" t="s">
        <v>12954</v>
      </c>
      <c r="D8870" t="s">
        <v>13412</v>
      </c>
    </row>
    <row r="8871" spans="1:4" x14ac:dyDescent="0.25">
      <c r="A8871" s="180">
        <f t="shared" si="138"/>
        <v>8708550</v>
      </c>
      <c r="B8871" t="s">
        <v>6455</v>
      </c>
      <c r="C8871" t="s">
        <v>6456</v>
      </c>
      <c r="D8871" t="s">
        <v>13411</v>
      </c>
    </row>
    <row r="8872" spans="1:4" x14ac:dyDescent="0.25">
      <c r="A8872" s="180">
        <f t="shared" si="138"/>
        <v>8708550</v>
      </c>
      <c r="B8872" t="s">
        <v>6455</v>
      </c>
      <c r="C8872" t="s">
        <v>6456</v>
      </c>
      <c r="D8872" t="s">
        <v>13411</v>
      </c>
    </row>
    <row r="8873" spans="1:4" x14ac:dyDescent="0.25">
      <c r="A8873" s="180">
        <f t="shared" si="138"/>
        <v>8708550</v>
      </c>
      <c r="B8873" t="s">
        <v>6455</v>
      </c>
      <c r="C8873" t="s">
        <v>6456</v>
      </c>
      <c r="D8873" t="s">
        <v>13411</v>
      </c>
    </row>
    <row r="8874" spans="1:4" x14ac:dyDescent="0.25">
      <c r="A8874" s="180">
        <f t="shared" si="138"/>
        <v>8708550</v>
      </c>
      <c r="B8874" t="s">
        <v>6455</v>
      </c>
      <c r="C8874" t="s">
        <v>6456</v>
      </c>
      <c r="D8874" t="s">
        <v>13411</v>
      </c>
    </row>
    <row r="8875" spans="1:4" x14ac:dyDescent="0.25">
      <c r="A8875" s="180">
        <f t="shared" si="138"/>
        <v>8708550</v>
      </c>
      <c r="B8875" t="s">
        <v>6455</v>
      </c>
      <c r="C8875" t="s">
        <v>6456</v>
      </c>
      <c r="D8875" t="s">
        <v>13411</v>
      </c>
    </row>
    <row r="8876" spans="1:4" x14ac:dyDescent="0.25">
      <c r="A8876" s="180">
        <f t="shared" si="138"/>
        <v>8708550</v>
      </c>
      <c r="B8876" t="s">
        <v>6455</v>
      </c>
      <c r="C8876" t="s">
        <v>6456</v>
      </c>
      <c r="D8876" t="s">
        <v>13411</v>
      </c>
    </row>
    <row r="8877" spans="1:4" x14ac:dyDescent="0.25">
      <c r="A8877" s="180">
        <f t="shared" si="138"/>
        <v>8708550</v>
      </c>
      <c r="B8877" t="s">
        <v>6455</v>
      </c>
      <c r="C8877" t="s">
        <v>6456</v>
      </c>
      <c r="D8877" t="s">
        <v>13411</v>
      </c>
    </row>
    <row r="8878" spans="1:4" x14ac:dyDescent="0.25">
      <c r="A8878" s="180">
        <f t="shared" si="138"/>
        <v>8708550</v>
      </c>
      <c r="B8878" t="s">
        <v>6455</v>
      </c>
      <c r="C8878" t="s">
        <v>6456</v>
      </c>
      <c r="D8878" t="s">
        <v>13411</v>
      </c>
    </row>
    <row r="8879" spans="1:4" x14ac:dyDescent="0.25">
      <c r="A8879" s="180">
        <f t="shared" si="138"/>
        <v>8708551</v>
      </c>
      <c r="B8879" t="s">
        <v>6457</v>
      </c>
      <c r="C8879" t="s">
        <v>6458</v>
      </c>
    </row>
    <row r="8880" spans="1:4" x14ac:dyDescent="0.25">
      <c r="A8880" s="180">
        <f t="shared" si="138"/>
        <v>8708552</v>
      </c>
      <c r="B8880" t="s">
        <v>6459</v>
      </c>
      <c r="C8880" t="s">
        <v>6460</v>
      </c>
    </row>
    <row r="8881" spans="1:4" x14ac:dyDescent="0.25">
      <c r="A8881" s="180">
        <f t="shared" si="138"/>
        <v>8708553</v>
      </c>
      <c r="B8881" t="s">
        <v>13134</v>
      </c>
      <c r="C8881" t="s">
        <v>13135</v>
      </c>
      <c r="D8881" t="s">
        <v>13412</v>
      </c>
    </row>
    <row r="8882" spans="1:4" x14ac:dyDescent="0.25">
      <c r="A8882" s="180">
        <f t="shared" si="138"/>
        <v>8708588</v>
      </c>
      <c r="B8882" t="s">
        <v>14084</v>
      </c>
      <c r="C8882" t="s">
        <v>14085</v>
      </c>
      <c r="D8882" t="s">
        <v>13411</v>
      </c>
    </row>
    <row r="8883" spans="1:4" x14ac:dyDescent="0.25">
      <c r="A8883" s="180">
        <f t="shared" si="138"/>
        <v>8708588</v>
      </c>
      <c r="B8883" t="s">
        <v>14084</v>
      </c>
      <c r="C8883" t="s">
        <v>14085</v>
      </c>
      <c r="D8883" t="s">
        <v>13411</v>
      </c>
    </row>
    <row r="8884" spans="1:4" x14ac:dyDescent="0.25">
      <c r="A8884" s="180">
        <f t="shared" si="138"/>
        <v>8708601</v>
      </c>
      <c r="B8884" t="s">
        <v>6461</v>
      </c>
      <c r="C8884" t="s">
        <v>6462</v>
      </c>
      <c r="D8884" t="s">
        <v>13411</v>
      </c>
    </row>
    <row r="8885" spans="1:4" x14ac:dyDescent="0.25">
      <c r="A8885" s="180">
        <f t="shared" si="138"/>
        <v>8708601</v>
      </c>
      <c r="B8885" t="s">
        <v>6461</v>
      </c>
      <c r="C8885" t="s">
        <v>6462</v>
      </c>
      <c r="D8885" t="s">
        <v>13411</v>
      </c>
    </row>
    <row r="8886" spans="1:4" x14ac:dyDescent="0.25">
      <c r="A8886" s="180">
        <f t="shared" si="138"/>
        <v>8708601</v>
      </c>
      <c r="B8886" t="s">
        <v>6461</v>
      </c>
      <c r="C8886" t="s">
        <v>6462</v>
      </c>
      <c r="D8886" t="s">
        <v>13411</v>
      </c>
    </row>
    <row r="8887" spans="1:4" x14ac:dyDescent="0.25">
      <c r="A8887" s="180">
        <f t="shared" si="138"/>
        <v>8708601</v>
      </c>
      <c r="B8887" t="s">
        <v>6461</v>
      </c>
      <c r="C8887" t="s">
        <v>6462</v>
      </c>
      <c r="D8887" t="s">
        <v>13411</v>
      </c>
    </row>
    <row r="8888" spans="1:4" x14ac:dyDescent="0.25">
      <c r="A8888" s="180">
        <f t="shared" si="138"/>
        <v>8708601</v>
      </c>
      <c r="B8888" t="s">
        <v>6461</v>
      </c>
      <c r="C8888" t="s">
        <v>6462</v>
      </c>
      <c r="D8888" t="s">
        <v>13411</v>
      </c>
    </row>
    <row r="8889" spans="1:4" x14ac:dyDescent="0.25">
      <c r="A8889" s="180">
        <f t="shared" si="138"/>
        <v>8708601</v>
      </c>
      <c r="B8889" t="s">
        <v>6461</v>
      </c>
      <c r="C8889" t="s">
        <v>6462</v>
      </c>
      <c r="D8889" t="s">
        <v>13411</v>
      </c>
    </row>
    <row r="8890" spans="1:4" x14ac:dyDescent="0.25">
      <c r="A8890" s="180">
        <f t="shared" si="138"/>
        <v>8708601</v>
      </c>
      <c r="B8890" t="s">
        <v>6461</v>
      </c>
      <c r="C8890" t="s">
        <v>6462</v>
      </c>
      <c r="D8890" t="s">
        <v>13411</v>
      </c>
    </row>
    <row r="8891" spans="1:4" x14ac:dyDescent="0.25">
      <c r="A8891" s="180">
        <f t="shared" si="138"/>
        <v>8708601</v>
      </c>
      <c r="B8891" t="s">
        <v>6461</v>
      </c>
      <c r="C8891" t="s">
        <v>6462</v>
      </c>
      <c r="D8891" t="s">
        <v>13411</v>
      </c>
    </row>
    <row r="8892" spans="1:4" x14ac:dyDescent="0.25">
      <c r="A8892" s="180">
        <f t="shared" si="138"/>
        <v>8708601</v>
      </c>
      <c r="B8892" t="s">
        <v>6461</v>
      </c>
      <c r="C8892" t="s">
        <v>6462</v>
      </c>
      <c r="D8892" t="s">
        <v>13411</v>
      </c>
    </row>
    <row r="8893" spans="1:4" x14ac:dyDescent="0.25">
      <c r="A8893" s="180">
        <f t="shared" si="138"/>
        <v>8708601</v>
      </c>
      <c r="B8893" t="s">
        <v>6461</v>
      </c>
      <c r="C8893" t="s">
        <v>6462</v>
      </c>
      <c r="D8893" t="s">
        <v>13411</v>
      </c>
    </row>
    <row r="8894" spans="1:4" x14ac:dyDescent="0.25">
      <c r="A8894" s="180">
        <f t="shared" si="138"/>
        <v>8708601</v>
      </c>
      <c r="B8894" t="s">
        <v>6461</v>
      </c>
      <c r="C8894" t="s">
        <v>6462</v>
      </c>
      <c r="D8894" t="s">
        <v>13411</v>
      </c>
    </row>
    <row r="8895" spans="1:4" x14ac:dyDescent="0.25">
      <c r="A8895" s="180">
        <f t="shared" ref="A8895:A8958" si="139">IFERROR(B8895*1,"")</f>
        <v>8708602</v>
      </c>
      <c r="B8895" t="s">
        <v>6463</v>
      </c>
      <c r="C8895" t="s">
        <v>6464</v>
      </c>
      <c r="D8895" t="s">
        <v>13411</v>
      </c>
    </row>
    <row r="8896" spans="1:4" x14ac:dyDescent="0.25">
      <c r="A8896" s="180">
        <f t="shared" si="139"/>
        <v>8708602</v>
      </c>
      <c r="B8896" t="s">
        <v>6463</v>
      </c>
      <c r="C8896" t="s">
        <v>6464</v>
      </c>
      <c r="D8896" t="s">
        <v>13411</v>
      </c>
    </row>
    <row r="8897" spans="1:4" x14ac:dyDescent="0.25">
      <c r="A8897" s="180">
        <f t="shared" si="139"/>
        <v>8708602</v>
      </c>
      <c r="B8897" t="s">
        <v>6463</v>
      </c>
      <c r="C8897" t="s">
        <v>6464</v>
      </c>
      <c r="D8897" t="s">
        <v>13411</v>
      </c>
    </row>
    <row r="8898" spans="1:4" x14ac:dyDescent="0.25">
      <c r="A8898" s="180">
        <f t="shared" si="139"/>
        <v>8708602</v>
      </c>
      <c r="B8898" t="s">
        <v>6463</v>
      </c>
      <c r="C8898" t="s">
        <v>6464</v>
      </c>
      <c r="D8898" t="s">
        <v>13411</v>
      </c>
    </row>
    <row r="8899" spans="1:4" x14ac:dyDescent="0.25">
      <c r="A8899" s="180">
        <f t="shared" si="139"/>
        <v>8708602</v>
      </c>
      <c r="B8899" t="s">
        <v>6463</v>
      </c>
      <c r="C8899" t="s">
        <v>6464</v>
      </c>
      <c r="D8899" t="s">
        <v>13411</v>
      </c>
    </row>
    <row r="8900" spans="1:4" x14ac:dyDescent="0.25">
      <c r="A8900" s="180">
        <f t="shared" si="139"/>
        <v>8708602</v>
      </c>
      <c r="B8900" t="s">
        <v>6463</v>
      </c>
      <c r="C8900" t="s">
        <v>6464</v>
      </c>
      <c r="D8900" t="s">
        <v>13411</v>
      </c>
    </row>
    <row r="8901" spans="1:4" x14ac:dyDescent="0.25">
      <c r="A8901" s="180">
        <f t="shared" si="139"/>
        <v>8708602</v>
      </c>
      <c r="B8901" t="s">
        <v>6463</v>
      </c>
      <c r="C8901" t="s">
        <v>6464</v>
      </c>
      <c r="D8901" t="s">
        <v>13411</v>
      </c>
    </row>
    <row r="8902" spans="1:4" x14ac:dyDescent="0.25">
      <c r="A8902" s="180">
        <f t="shared" si="139"/>
        <v>8708602</v>
      </c>
      <c r="B8902" t="s">
        <v>6463</v>
      </c>
      <c r="C8902" t="s">
        <v>6464</v>
      </c>
      <c r="D8902" t="s">
        <v>13411</v>
      </c>
    </row>
    <row r="8903" spans="1:4" x14ac:dyDescent="0.25">
      <c r="A8903" s="180">
        <f t="shared" si="139"/>
        <v>8708602</v>
      </c>
      <c r="B8903" t="s">
        <v>6463</v>
      </c>
      <c r="C8903" t="s">
        <v>6464</v>
      </c>
      <c r="D8903" t="s">
        <v>13411</v>
      </c>
    </row>
    <row r="8904" spans="1:4" x14ac:dyDescent="0.25">
      <c r="A8904" s="180">
        <f t="shared" si="139"/>
        <v>8708602</v>
      </c>
      <c r="B8904" t="s">
        <v>6463</v>
      </c>
      <c r="C8904" t="s">
        <v>6464</v>
      </c>
      <c r="D8904" t="s">
        <v>13411</v>
      </c>
    </row>
    <row r="8905" spans="1:4" x14ac:dyDescent="0.25">
      <c r="A8905" s="180">
        <f t="shared" si="139"/>
        <v>8708602</v>
      </c>
      <c r="B8905" t="s">
        <v>6463</v>
      </c>
      <c r="C8905" t="s">
        <v>6464</v>
      </c>
      <c r="D8905" t="s">
        <v>13411</v>
      </c>
    </row>
    <row r="8906" spans="1:4" x14ac:dyDescent="0.25">
      <c r="A8906" s="180">
        <f t="shared" si="139"/>
        <v>8708602</v>
      </c>
      <c r="B8906" t="s">
        <v>6463</v>
      </c>
      <c r="C8906" t="s">
        <v>6464</v>
      </c>
      <c r="D8906" t="s">
        <v>13411</v>
      </c>
    </row>
    <row r="8907" spans="1:4" x14ac:dyDescent="0.25">
      <c r="A8907" s="180">
        <f t="shared" si="139"/>
        <v>8708603</v>
      </c>
      <c r="B8907" t="s">
        <v>6465</v>
      </c>
      <c r="C8907" t="s">
        <v>6466</v>
      </c>
      <c r="D8907" t="s">
        <v>13411</v>
      </c>
    </row>
    <row r="8908" spans="1:4" x14ac:dyDescent="0.25">
      <c r="A8908" s="180">
        <f t="shared" si="139"/>
        <v>8708603</v>
      </c>
      <c r="B8908" t="s">
        <v>6465</v>
      </c>
      <c r="C8908" t="s">
        <v>6466</v>
      </c>
      <c r="D8908" t="s">
        <v>13411</v>
      </c>
    </row>
    <row r="8909" spans="1:4" x14ac:dyDescent="0.25">
      <c r="A8909" s="180">
        <f t="shared" si="139"/>
        <v>8708603</v>
      </c>
      <c r="B8909" t="s">
        <v>6465</v>
      </c>
      <c r="C8909" t="s">
        <v>6466</v>
      </c>
      <c r="D8909" t="s">
        <v>13411</v>
      </c>
    </row>
    <row r="8910" spans="1:4" x14ac:dyDescent="0.25">
      <c r="A8910" s="180">
        <f t="shared" si="139"/>
        <v>8708603</v>
      </c>
      <c r="B8910" t="s">
        <v>6465</v>
      </c>
      <c r="C8910" t="s">
        <v>6466</v>
      </c>
      <c r="D8910" t="s">
        <v>13411</v>
      </c>
    </row>
    <row r="8911" spans="1:4" x14ac:dyDescent="0.25">
      <c r="A8911" s="180">
        <f t="shared" si="139"/>
        <v>8708603</v>
      </c>
      <c r="B8911" t="s">
        <v>6465</v>
      </c>
      <c r="C8911" t="s">
        <v>6466</v>
      </c>
      <c r="D8911" t="s">
        <v>13411</v>
      </c>
    </row>
    <row r="8912" spans="1:4" x14ac:dyDescent="0.25">
      <c r="A8912" s="180">
        <f t="shared" si="139"/>
        <v>8708603</v>
      </c>
      <c r="B8912" t="s">
        <v>6465</v>
      </c>
      <c r="C8912" t="s">
        <v>6466</v>
      </c>
      <c r="D8912" t="s">
        <v>13411</v>
      </c>
    </row>
    <row r="8913" spans="1:4" x14ac:dyDescent="0.25">
      <c r="A8913" s="180">
        <f t="shared" si="139"/>
        <v>8708603</v>
      </c>
      <c r="B8913" t="s">
        <v>6465</v>
      </c>
      <c r="C8913" t="s">
        <v>6466</v>
      </c>
      <c r="D8913" t="s">
        <v>13411</v>
      </c>
    </row>
    <row r="8914" spans="1:4" x14ac:dyDescent="0.25">
      <c r="A8914" s="180">
        <f t="shared" si="139"/>
        <v>8708603</v>
      </c>
      <c r="B8914" t="s">
        <v>6465</v>
      </c>
      <c r="C8914" t="s">
        <v>6466</v>
      </c>
      <c r="D8914" t="s">
        <v>13411</v>
      </c>
    </row>
    <row r="8915" spans="1:4" x14ac:dyDescent="0.25">
      <c r="A8915" s="180">
        <f t="shared" si="139"/>
        <v>8708604</v>
      </c>
      <c r="B8915" t="s">
        <v>6467</v>
      </c>
      <c r="C8915" t="s">
        <v>12955</v>
      </c>
      <c r="D8915" t="s">
        <v>13411</v>
      </c>
    </row>
    <row r="8916" spans="1:4" x14ac:dyDescent="0.25">
      <c r="A8916" s="180">
        <f t="shared" si="139"/>
        <v>8708604</v>
      </c>
      <c r="B8916" t="s">
        <v>6467</v>
      </c>
      <c r="C8916" t="s">
        <v>12955</v>
      </c>
      <c r="D8916" t="s">
        <v>13411</v>
      </c>
    </row>
    <row r="8917" spans="1:4" x14ac:dyDescent="0.25">
      <c r="A8917" s="180">
        <f t="shared" si="139"/>
        <v>8708604</v>
      </c>
      <c r="B8917" t="s">
        <v>6467</v>
      </c>
      <c r="C8917" t="s">
        <v>12955</v>
      </c>
      <c r="D8917" t="s">
        <v>13411</v>
      </c>
    </row>
    <row r="8918" spans="1:4" x14ac:dyDescent="0.25">
      <c r="A8918" s="180">
        <f t="shared" si="139"/>
        <v>8708604</v>
      </c>
      <c r="B8918" t="s">
        <v>6467</v>
      </c>
      <c r="C8918" t="s">
        <v>12955</v>
      </c>
      <c r="D8918" t="s">
        <v>13411</v>
      </c>
    </row>
    <row r="8919" spans="1:4" x14ac:dyDescent="0.25">
      <c r="A8919" s="180">
        <f t="shared" si="139"/>
        <v>8708604</v>
      </c>
      <c r="B8919" t="s">
        <v>6467</v>
      </c>
      <c r="C8919" t="s">
        <v>12955</v>
      </c>
      <c r="D8919" t="s">
        <v>13411</v>
      </c>
    </row>
    <row r="8920" spans="1:4" x14ac:dyDescent="0.25">
      <c r="A8920" s="180">
        <f t="shared" si="139"/>
        <v>8708604</v>
      </c>
      <c r="B8920" t="s">
        <v>6467</v>
      </c>
      <c r="C8920" t="s">
        <v>12955</v>
      </c>
      <c r="D8920" t="s">
        <v>13411</v>
      </c>
    </row>
    <row r="8921" spans="1:4" x14ac:dyDescent="0.25">
      <c r="A8921" s="180">
        <f t="shared" si="139"/>
        <v>8708604</v>
      </c>
      <c r="B8921" t="s">
        <v>6467</v>
      </c>
      <c r="C8921" t="s">
        <v>12955</v>
      </c>
      <c r="D8921" t="s">
        <v>13411</v>
      </c>
    </row>
    <row r="8922" spans="1:4" x14ac:dyDescent="0.25">
      <c r="A8922" s="180">
        <f t="shared" si="139"/>
        <v>8708604</v>
      </c>
      <c r="B8922" t="s">
        <v>6467</v>
      </c>
      <c r="C8922" t="s">
        <v>12955</v>
      </c>
      <c r="D8922" t="s">
        <v>13411</v>
      </c>
    </row>
    <row r="8923" spans="1:4" x14ac:dyDescent="0.25">
      <c r="A8923" s="180">
        <f t="shared" si="139"/>
        <v>8708604</v>
      </c>
      <c r="B8923" t="s">
        <v>6467</v>
      </c>
      <c r="C8923" t="s">
        <v>12955</v>
      </c>
      <c r="D8923" t="s">
        <v>13411</v>
      </c>
    </row>
    <row r="8924" spans="1:4" x14ac:dyDescent="0.25">
      <c r="A8924" s="180">
        <f t="shared" si="139"/>
        <v>8708604</v>
      </c>
      <c r="B8924" t="s">
        <v>6467</v>
      </c>
      <c r="C8924" t="s">
        <v>12955</v>
      </c>
      <c r="D8924" t="s">
        <v>13411</v>
      </c>
    </row>
    <row r="8925" spans="1:4" x14ac:dyDescent="0.25">
      <c r="A8925" s="180">
        <f t="shared" si="139"/>
        <v>8708604</v>
      </c>
      <c r="B8925" t="s">
        <v>6467</v>
      </c>
      <c r="C8925" t="s">
        <v>12955</v>
      </c>
      <c r="D8925" t="s">
        <v>13411</v>
      </c>
    </row>
    <row r="8926" spans="1:4" x14ac:dyDescent="0.25">
      <c r="A8926" s="180">
        <f t="shared" si="139"/>
        <v>8708604</v>
      </c>
      <c r="B8926" t="s">
        <v>6467</v>
      </c>
      <c r="C8926" t="s">
        <v>12955</v>
      </c>
      <c r="D8926" t="s">
        <v>13411</v>
      </c>
    </row>
    <row r="8927" spans="1:4" x14ac:dyDescent="0.25">
      <c r="A8927" s="180">
        <f t="shared" si="139"/>
        <v>8708607</v>
      </c>
      <c r="B8927" t="s">
        <v>6468</v>
      </c>
      <c r="C8927" t="s">
        <v>6469</v>
      </c>
      <c r="D8927" t="s">
        <v>13411</v>
      </c>
    </row>
    <row r="8928" spans="1:4" x14ac:dyDescent="0.25">
      <c r="A8928" s="180">
        <f t="shared" si="139"/>
        <v>8708607</v>
      </c>
      <c r="B8928" t="s">
        <v>6468</v>
      </c>
      <c r="C8928" t="s">
        <v>6469</v>
      </c>
      <c r="D8928" t="s">
        <v>13411</v>
      </c>
    </row>
    <row r="8929" spans="1:4" x14ac:dyDescent="0.25">
      <c r="A8929" s="180">
        <f t="shared" si="139"/>
        <v>8708607</v>
      </c>
      <c r="B8929" t="s">
        <v>6468</v>
      </c>
      <c r="C8929" t="s">
        <v>6469</v>
      </c>
      <c r="D8929" t="s">
        <v>13411</v>
      </c>
    </row>
    <row r="8930" spans="1:4" x14ac:dyDescent="0.25">
      <c r="A8930" s="180">
        <f t="shared" si="139"/>
        <v>8708607</v>
      </c>
      <c r="B8930" t="s">
        <v>6468</v>
      </c>
      <c r="C8930" t="s">
        <v>6469</v>
      </c>
      <c r="D8930" t="s">
        <v>13411</v>
      </c>
    </row>
    <row r="8931" spans="1:4" x14ac:dyDescent="0.25">
      <c r="A8931" s="180">
        <f t="shared" si="139"/>
        <v>8708607</v>
      </c>
      <c r="B8931" t="s">
        <v>6468</v>
      </c>
      <c r="C8931" t="s">
        <v>6469</v>
      </c>
      <c r="D8931" t="s">
        <v>13411</v>
      </c>
    </row>
    <row r="8932" spans="1:4" x14ac:dyDescent="0.25">
      <c r="A8932" s="180">
        <f t="shared" si="139"/>
        <v>8708607</v>
      </c>
      <c r="B8932" t="s">
        <v>6468</v>
      </c>
      <c r="C8932" t="s">
        <v>6469</v>
      </c>
      <c r="D8932" t="s">
        <v>13411</v>
      </c>
    </row>
    <row r="8933" spans="1:4" x14ac:dyDescent="0.25">
      <c r="A8933" s="180">
        <f t="shared" si="139"/>
        <v>8708607</v>
      </c>
      <c r="B8933" t="s">
        <v>6468</v>
      </c>
      <c r="C8933" t="s">
        <v>6469</v>
      </c>
      <c r="D8933" t="s">
        <v>13411</v>
      </c>
    </row>
    <row r="8934" spans="1:4" x14ac:dyDescent="0.25">
      <c r="A8934" s="180">
        <f t="shared" si="139"/>
        <v>8708607</v>
      </c>
      <c r="B8934" t="s">
        <v>6468</v>
      </c>
      <c r="C8934" t="s">
        <v>6469</v>
      </c>
      <c r="D8934" t="s">
        <v>13411</v>
      </c>
    </row>
    <row r="8935" spans="1:4" x14ac:dyDescent="0.25">
      <c r="A8935" s="180">
        <f t="shared" si="139"/>
        <v>8708607</v>
      </c>
      <c r="B8935" t="s">
        <v>6468</v>
      </c>
      <c r="C8935" t="s">
        <v>6469</v>
      </c>
      <c r="D8935" t="s">
        <v>13411</v>
      </c>
    </row>
    <row r="8936" spans="1:4" x14ac:dyDescent="0.25">
      <c r="A8936" s="180">
        <f t="shared" si="139"/>
        <v>8708607</v>
      </c>
      <c r="B8936" t="s">
        <v>6468</v>
      </c>
      <c r="C8936" t="s">
        <v>6469</v>
      </c>
      <c r="D8936" t="s">
        <v>13411</v>
      </c>
    </row>
    <row r="8937" spans="1:4" x14ac:dyDescent="0.25">
      <c r="A8937" s="180">
        <f t="shared" si="139"/>
        <v>8708607</v>
      </c>
      <c r="B8937" t="s">
        <v>6468</v>
      </c>
      <c r="C8937" t="s">
        <v>6469</v>
      </c>
      <c r="D8937" t="s">
        <v>13411</v>
      </c>
    </row>
    <row r="8938" spans="1:4" x14ac:dyDescent="0.25">
      <c r="A8938" s="180">
        <f t="shared" si="139"/>
        <v>8708608</v>
      </c>
      <c r="B8938" t="s">
        <v>6470</v>
      </c>
      <c r="C8938" t="s">
        <v>6471</v>
      </c>
      <c r="D8938" t="s">
        <v>13411</v>
      </c>
    </row>
    <row r="8939" spans="1:4" x14ac:dyDescent="0.25">
      <c r="A8939" s="180">
        <f t="shared" si="139"/>
        <v>8708608</v>
      </c>
      <c r="B8939" t="s">
        <v>6470</v>
      </c>
      <c r="C8939" t="s">
        <v>6471</v>
      </c>
      <c r="D8939" t="s">
        <v>13411</v>
      </c>
    </row>
    <row r="8940" spans="1:4" x14ac:dyDescent="0.25">
      <c r="A8940" s="180">
        <f t="shared" si="139"/>
        <v>8708608</v>
      </c>
      <c r="B8940" t="s">
        <v>6470</v>
      </c>
      <c r="C8940" t="s">
        <v>6471</v>
      </c>
      <c r="D8940" t="s">
        <v>13411</v>
      </c>
    </row>
    <row r="8941" spans="1:4" x14ac:dyDescent="0.25">
      <c r="A8941" s="180">
        <f t="shared" si="139"/>
        <v>8708608</v>
      </c>
      <c r="B8941" t="s">
        <v>6470</v>
      </c>
      <c r="C8941" t="s">
        <v>6471</v>
      </c>
      <c r="D8941" t="s">
        <v>13411</v>
      </c>
    </row>
    <row r="8942" spans="1:4" x14ac:dyDescent="0.25">
      <c r="A8942" s="180">
        <f t="shared" si="139"/>
        <v>8708608</v>
      </c>
      <c r="B8942" t="s">
        <v>6470</v>
      </c>
      <c r="C8942" t="s">
        <v>6471</v>
      </c>
      <c r="D8942" t="s">
        <v>13411</v>
      </c>
    </row>
    <row r="8943" spans="1:4" x14ac:dyDescent="0.25">
      <c r="A8943" s="180">
        <f t="shared" si="139"/>
        <v>8708608</v>
      </c>
      <c r="B8943" t="s">
        <v>6470</v>
      </c>
      <c r="C8943" t="s">
        <v>6471</v>
      </c>
      <c r="D8943" t="s">
        <v>13411</v>
      </c>
    </row>
    <row r="8944" spans="1:4" x14ac:dyDescent="0.25">
      <c r="A8944" s="180">
        <f t="shared" si="139"/>
        <v>8708608</v>
      </c>
      <c r="B8944" t="s">
        <v>6470</v>
      </c>
      <c r="C8944" t="s">
        <v>6471</v>
      </c>
      <c r="D8944" t="s">
        <v>13411</v>
      </c>
    </row>
    <row r="8945" spans="1:4" x14ac:dyDescent="0.25">
      <c r="A8945" s="180">
        <f t="shared" si="139"/>
        <v>8708608</v>
      </c>
      <c r="B8945" t="s">
        <v>6470</v>
      </c>
      <c r="C8945" t="s">
        <v>6471</v>
      </c>
      <c r="D8945" t="s">
        <v>13411</v>
      </c>
    </row>
    <row r="8946" spans="1:4" x14ac:dyDescent="0.25">
      <c r="A8946" s="180">
        <f t="shared" si="139"/>
        <v>8708608</v>
      </c>
      <c r="B8946" t="s">
        <v>6470</v>
      </c>
      <c r="C8946" t="s">
        <v>6471</v>
      </c>
      <c r="D8946" t="s">
        <v>13411</v>
      </c>
    </row>
    <row r="8947" spans="1:4" x14ac:dyDescent="0.25">
      <c r="A8947" s="180">
        <f t="shared" si="139"/>
        <v>8708608</v>
      </c>
      <c r="B8947" t="s">
        <v>6470</v>
      </c>
      <c r="C8947" t="s">
        <v>6471</v>
      </c>
      <c r="D8947" t="s">
        <v>13411</v>
      </c>
    </row>
    <row r="8948" spans="1:4" x14ac:dyDescent="0.25">
      <c r="A8948" s="180">
        <f t="shared" si="139"/>
        <v>8708608</v>
      </c>
      <c r="B8948" t="s">
        <v>6470</v>
      </c>
      <c r="C8948" t="s">
        <v>6471</v>
      </c>
      <c r="D8948" t="s">
        <v>13411</v>
      </c>
    </row>
    <row r="8949" spans="1:4" x14ac:dyDescent="0.25">
      <c r="A8949" s="180">
        <f t="shared" si="139"/>
        <v>8708608</v>
      </c>
      <c r="B8949" t="s">
        <v>6470</v>
      </c>
      <c r="C8949" t="s">
        <v>6471</v>
      </c>
      <c r="D8949" t="s">
        <v>13411</v>
      </c>
    </row>
    <row r="8950" spans="1:4" x14ac:dyDescent="0.25">
      <c r="A8950" s="180">
        <f t="shared" si="139"/>
        <v>8708608</v>
      </c>
      <c r="B8950" t="s">
        <v>6470</v>
      </c>
      <c r="C8950" t="s">
        <v>6471</v>
      </c>
      <c r="D8950" t="s">
        <v>13411</v>
      </c>
    </row>
    <row r="8951" spans="1:4" x14ac:dyDescent="0.25">
      <c r="A8951" s="180">
        <f t="shared" si="139"/>
        <v>8708609</v>
      </c>
      <c r="B8951" t="s">
        <v>6472</v>
      </c>
      <c r="C8951" t="s">
        <v>6473</v>
      </c>
      <c r="D8951" t="s">
        <v>13411</v>
      </c>
    </row>
    <row r="8952" spans="1:4" x14ac:dyDescent="0.25">
      <c r="A8952" s="180">
        <f t="shared" si="139"/>
        <v>8708609</v>
      </c>
      <c r="B8952" t="s">
        <v>6472</v>
      </c>
      <c r="C8952" t="s">
        <v>6473</v>
      </c>
      <c r="D8952" t="s">
        <v>13411</v>
      </c>
    </row>
    <row r="8953" spans="1:4" x14ac:dyDescent="0.25">
      <c r="A8953" s="180">
        <f t="shared" si="139"/>
        <v>8708609</v>
      </c>
      <c r="B8953" t="s">
        <v>6472</v>
      </c>
      <c r="C8953" t="s">
        <v>6473</v>
      </c>
      <c r="D8953" t="s">
        <v>13411</v>
      </c>
    </row>
    <row r="8954" spans="1:4" x14ac:dyDescent="0.25">
      <c r="A8954" s="180">
        <f t="shared" si="139"/>
        <v>8708609</v>
      </c>
      <c r="B8954" t="s">
        <v>6472</v>
      </c>
      <c r="C8954" t="s">
        <v>6473</v>
      </c>
      <c r="D8954" t="s">
        <v>13411</v>
      </c>
    </row>
    <row r="8955" spans="1:4" x14ac:dyDescent="0.25">
      <c r="A8955" s="180">
        <f t="shared" si="139"/>
        <v>8708609</v>
      </c>
      <c r="B8955" t="s">
        <v>6472</v>
      </c>
      <c r="C8955" t="s">
        <v>6473</v>
      </c>
      <c r="D8955" t="s">
        <v>13411</v>
      </c>
    </row>
    <row r="8956" spans="1:4" x14ac:dyDescent="0.25">
      <c r="A8956" s="180">
        <f t="shared" si="139"/>
        <v>8708609</v>
      </c>
      <c r="B8956" t="s">
        <v>6472</v>
      </c>
      <c r="C8956" t="s">
        <v>6473</v>
      </c>
      <c r="D8956" t="s">
        <v>13411</v>
      </c>
    </row>
    <row r="8957" spans="1:4" x14ac:dyDescent="0.25">
      <c r="A8957" s="180">
        <f t="shared" si="139"/>
        <v>8708609</v>
      </c>
      <c r="B8957" t="s">
        <v>6472</v>
      </c>
      <c r="C8957" t="s">
        <v>6473</v>
      </c>
      <c r="D8957" t="s">
        <v>13411</v>
      </c>
    </row>
    <row r="8958" spans="1:4" x14ac:dyDescent="0.25">
      <c r="A8958" s="180">
        <f t="shared" si="139"/>
        <v>8708610</v>
      </c>
      <c r="B8958" t="s">
        <v>6474</v>
      </c>
      <c r="C8958" t="s">
        <v>6475</v>
      </c>
      <c r="D8958" t="s">
        <v>13411</v>
      </c>
    </row>
    <row r="8959" spans="1:4" x14ac:dyDescent="0.25">
      <c r="A8959" s="180">
        <f t="shared" ref="A8959:A9022" si="140">IFERROR(B8959*1,"")</f>
        <v>8708610</v>
      </c>
      <c r="B8959" t="s">
        <v>6474</v>
      </c>
      <c r="C8959" t="s">
        <v>6475</v>
      </c>
      <c r="D8959" t="s">
        <v>13411</v>
      </c>
    </row>
    <row r="8960" spans="1:4" x14ac:dyDescent="0.25">
      <c r="A8960" s="180">
        <f t="shared" si="140"/>
        <v>8708610</v>
      </c>
      <c r="B8960" t="s">
        <v>6474</v>
      </c>
      <c r="C8960" t="s">
        <v>6475</v>
      </c>
      <c r="D8960" t="s">
        <v>13411</v>
      </c>
    </row>
    <row r="8961" spans="1:4" x14ac:dyDescent="0.25">
      <c r="A8961" s="180">
        <f t="shared" si="140"/>
        <v>8708610</v>
      </c>
      <c r="B8961" t="s">
        <v>6474</v>
      </c>
      <c r="C8961" t="s">
        <v>6475</v>
      </c>
      <c r="D8961" t="s">
        <v>13411</v>
      </c>
    </row>
    <row r="8962" spans="1:4" x14ac:dyDescent="0.25">
      <c r="A8962" s="180">
        <f t="shared" si="140"/>
        <v>8708610</v>
      </c>
      <c r="B8962" t="s">
        <v>6474</v>
      </c>
      <c r="C8962" t="s">
        <v>6475</v>
      </c>
      <c r="D8962" t="s">
        <v>13411</v>
      </c>
    </row>
    <row r="8963" spans="1:4" x14ac:dyDescent="0.25">
      <c r="A8963" s="180">
        <f t="shared" si="140"/>
        <v>8708610</v>
      </c>
      <c r="B8963" t="s">
        <v>6474</v>
      </c>
      <c r="C8963" t="s">
        <v>6475</v>
      </c>
      <c r="D8963" t="s">
        <v>13411</v>
      </c>
    </row>
    <row r="8964" spans="1:4" x14ac:dyDescent="0.25">
      <c r="A8964" s="180">
        <f t="shared" si="140"/>
        <v>8708610</v>
      </c>
      <c r="B8964" t="s">
        <v>6474</v>
      </c>
      <c r="C8964" t="s">
        <v>6475</v>
      </c>
      <c r="D8964" t="s">
        <v>13411</v>
      </c>
    </row>
    <row r="8965" spans="1:4" x14ac:dyDescent="0.25">
      <c r="A8965" s="180">
        <f t="shared" si="140"/>
        <v>8708610</v>
      </c>
      <c r="B8965" t="s">
        <v>6474</v>
      </c>
      <c r="C8965" t="s">
        <v>6475</v>
      </c>
      <c r="D8965" t="s">
        <v>13411</v>
      </c>
    </row>
    <row r="8966" spans="1:4" x14ac:dyDescent="0.25">
      <c r="A8966" s="180">
        <f t="shared" si="140"/>
        <v>8708610</v>
      </c>
      <c r="B8966" t="s">
        <v>6474</v>
      </c>
      <c r="C8966" t="s">
        <v>6475</v>
      </c>
      <c r="D8966" t="s">
        <v>13411</v>
      </c>
    </row>
    <row r="8967" spans="1:4" x14ac:dyDescent="0.25">
      <c r="A8967" s="180">
        <f t="shared" si="140"/>
        <v>8708611</v>
      </c>
      <c r="B8967" t="s">
        <v>13574</v>
      </c>
      <c r="C8967" t="s">
        <v>13575</v>
      </c>
      <c r="D8967" t="s">
        <v>13411</v>
      </c>
    </row>
    <row r="8968" spans="1:4" x14ac:dyDescent="0.25">
      <c r="A8968" s="180">
        <f t="shared" si="140"/>
        <v>8708611</v>
      </c>
      <c r="B8968" t="s">
        <v>13574</v>
      </c>
      <c r="C8968" t="s">
        <v>13575</v>
      </c>
      <c r="D8968" t="s">
        <v>13411</v>
      </c>
    </row>
    <row r="8969" spans="1:4" x14ac:dyDescent="0.25">
      <c r="A8969" s="180">
        <f t="shared" si="140"/>
        <v>8708611</v>
      </c>
      <c r="B8969" t="s">
        <v>13574</v>
      </c>
      <c r="C8969" t="s">
        <v>13575</v>
      </c>
      <c r="D8969" t="s">
        <v>13411</v>
      </c>
    </row>
    <row r="8970" spans="1:4" x14ac:dyDescent="0.25">
      <c r="A8970" s="180">
        <f t="shared" si="140"/>
        <v>8708611</v>
      </c>
      <c r="B8970" t="s">
        <v>13574</v>
      </c>
      <c r="C8970" t="s">
        <v>13575</v>
      </c>
      <c r="D8970" t="s">
        <v>13411</v>
      </c>
    </row>
    <row r="8971" spans="1:4" x14ac:dyDescent="0.25">
      <c r="A8971" s="180">
        <f t="shared" si="140"/>
        <v>8708611</v>
      </c>
      <c r="B8971" t="s">
        <v>13574</v>
      </c>
      <c r="C8971" t="s">
        <v>13575</v>
      </c>
      <c r="D8971" t="s">
        <v>13411</v>
      </c>
    </row>
    <row r="8972" spans="1:4" x14ac:dyDescent="0.25">
      <c r="A8972" s="180">
        <f t="shared" si="140"/>
        <v>8708611</v>
      </c>
      <c r="B8972" t="s">
        <v>13574</v>
      </c>
      <c r="C8972" t="s">
        <v>13575</v>
      </c>
      <c r="D8972" t="s">
        <v>13411</v>
      </c>
    </row>
    <row r="8973" spans="1:4" x14ac:dyDescent="0.25">
      <c r="A8973" s="180">
        <f t="shared" si="140"/>
        <v>8708611</v>
      </c>
      <c r="B8973" t="s">
        <v>13574</v>
      </c>
      <c r="C8973" t="s">
        <v>13575</v>
      </c>
      <c r="D8973" t="s">
        <v>13411</v>
      </c>
    </row>
    <row r="8974" spans="1:4" x14ac:dyDescent="0.25">
      <c r="A8974" s="180">
        <f t="shared" si="140"/>
        <v>8708611</v>
      </c>
      <c r="B8974" t="s">
        <v>13574</v>
      </c>
      <c r="C8974" t="s">
        <v>13575</v>
      </c>
      <c r="D8974" t="s">
        <v>13411</v>
      </c>
    </row>
    <row r="8975" spans="1:4" x14ac:dyDescent="0.25">
      <c r="A8975" s="180">
        <f t="shared" si="140"/>
        <v>8708611</v>
      </c>
      <c r="B8975" t="s">
        <v>13574</v>
      </c>
      <c r="C8975" t="s">
        <v>13575</v>
      </c>
      <c r="D8975" t="s">
        <v>13411</v>
      </c>
    </row>
    <row r="8976" spans="1:4" x14ac:dyDescent="0.25">
      <c r="A8976" s="180">
        <f t="shared" si="140"/>
        <v>8708611</v>
      </c>
      <c r="B8976" t="s">
        <v>13574</v>
      </c>
      <c r="C8976" t="s">
        <v>13575</v>
      </c>
      <c r="D8976" t="s">
        <v>13411</v>
      </c>
    </row>
    <row r="8977" spans="1:4" x14ac:dyDescent="0.25">
      <c r="A8977" s="180">
        <f t="shared" si="140"/>
        <v>8708611</v>
      </c>
      <c r="B8977" t="s">
        <v>13574</v>
      </c>
      <c r="C8977" t="s">
        <v>13575</v>
      </c>
      <c r="D8977" t="s">
        <v>13411</v>
      </c>
    </row>
    <row r="8978" spans="1:4" x14ac:dyDescent="0.25">
      <c r="A8978" s="180">
        <f t="shared" si="140"/>
        <v>8708615</v>
      </c>
      <c r="B8978" t="s">
        <v>6476</v>
      </c>
      <c r="C8978" t="s">
        <v>6477</v>
      </c>
    </row>
    <row r="8979" spans="1:4" x14ac:dyDescent="0.25">
      <c r="A8979" s="180">
        <f t="shared" si="140"/>
        <v>8708618</v>
      </c>
      <c r="B8979" t="s">
        <v>6478</v>
      </c>
      <c r="C8979" t="s">
        <v>6479</v>
      </c>
      <c r="D8979" t="s">
        <v>13411</v>
      </c>
    </row>
    <row r="8980" spans="1:4" x14ac:dyDescent="0.25">
      <c r="A8980" s="180">
        <f t="shared" si="140"/>
        <v>8708618</v>
      </c>
      <c r="B8980" t="s">
        <v>6478</v>
      </c>
      <c r="C8980" t="s">
        <v>6479</v>
      </c>
      <c r="D8980" t="s">
        <v>13411</v>
      </c>
    </row>
    <row r="8981" spans="1:4" x14ac:dyDescent="0.25">
      <c r="A8981" s="180">
        <f t="shared" si="140"/>
        <v>8708618</v>
      </c>
      <c r="B8981" t="s">
        <v>6478</v>
      </c>
      <c r="C8981" t="s">
        <v>6479</v>
      </c>
      <c r="D8981" t="s">
        <v>13411</v>
      </c>
    </row>
    <row r="8982" spans="1:4" x14ac:dyDescent="0.25">
      <c r="A8982" s="180">
        <f t="shared" si="140"/>
        <v>8708618</v>
      </c>
      <c r="B8982" t="s">
        <v>6478</v>
      </c>
      <c r="C8982" t="s">
        <v>6479</v>
      </c>
      <c r="D8982" t="s">
        <v>13411</v>
      </c>
    </row>
    <row r="8983" spans="1:4" x14ac:dyDescent="0.25">
      <c r="A8983" s="180">
        <f t="shared" si="140"/>
        <v>8708618</v>
      </c>
      <c r="B8983" t="s">
        <v>6478</v>
      </c>
      <c r="C8983" t="s">
        <v>6479</v>
      </c>
      <c r="D8983" t="s">
        <v>13411</v>
      </c>
    </row>
    <row r="8984" spans="1:4" x14ac:dyDescent="0.25">
      <c r="A8984" s="180">
        <f t="shared" si="140"/>
        <v>8708618</v>
      </c>
      <c r="B8984" t="s">
        <v>6478</v>
      </c>
      <c r="C8984" t="s">
        <v>6479</v>
      </c>
      <c r="D8984" t="s">
        <v>13411</v>
      </c>
    </row>
    <row r="8985" spans="1:4" x14ac:dyDescent="0.25">
      <c r="A8985" s="180">
        <f t="shared" si="140"/>
        <v>8708618</v>
      </c>
      <c r="B8985" t="s">
        <v>6478</v>
      </c>
      <c r="C8985" t="s">
        <v>6479</v>
      </c>
      <c r="D8985" t="s">
        <v>13411</v>
      </c>
    </row>
    <row r="8986" spans="1:4" x14ac:dyDescent="0.25">
      <c r="A8986" s="180">
        <f t="shared" si="140"/>
        <v>8708620</v>
      </c>
      <c r="B8986" t="s">
        <v>6480</v>
      </c>
      <c r="C8986" t="s">
        <v>6481</v>
      </c>
      <c r="D8986" t="s">
        <v>13411</v>
      </c>
    </row>
    <row r="8987" spans="1:4" x14ac:dyDescent="0.25">
      <c r="A8987" s="180">
        <f t="shared" si="140"/>
        <v>8708620</v>
      </c>
      <c r="B8987" t="s">
        <v>6480</v>
      </c>
      <c r="C8987" t="s">
        <v>6481</v>
      </c>
      <c r="D8987" t="s">
        <v>13411</v>
      </c>
    </row>
    <row r="8988" spans="1:4" x14ac:dyDescent="0.25">
      <c r="A8988" s="180">
        <f t="shared" si="140"/>
        <v>8708620</v>
      </c>
      <c r="B8988" t="s">
        <v>6480</v>
      </c>
      <c r="C8988" t="s">
        <v>6481</v>
      </c>
      <c r="D8988" t="s">
        <v>13411</v>
      </c>
    </row>
    <row r="8989" spans="1:4" x14ac:dyDescent="0.25">
      <c r="A8989" s="180">
        <f t="shared" si="140"/>
        <v>8708620</v>
      </c>
      <c r="B8989" t="s">
        <v>6480</v>
      </c>
      <c r="C8989" t="s">
        <v>6481</v>
      </c>
      <c r="D8989" t="s">
        <v>13411</v>
      </c>
    </row>
    <row r="8990" spans="1:4" x14ac:dyDescent="0.25">
      <c r="A8990" s="180">
        <f t="shared" si="140"/>
        <v>8708620</v>
      </c>
      <c r="B8990" t="s">
        <v>6480</v>
      </c>
      <c r="C8990" t="s">
        <v>6481</v>
      </c>
      <c r="D8990" t="s">
        <v>13411</v>
      </c>
    </row>
    <row r="8991" spans="1:4" x14ac:dyDescent="0.25">
      <c r="A8991" s="180">
        <f t="shared" si="140"/>
        <v>8708620</v>
      </c>
      <c r="B8991" t="s">
        <v>6480</v>
      </c>
      <c r="C8991" t="s">
        <v>6481</v>
      </c>
      <c r="D8991" t="s">
        <v>13411</v>
      </c>
    </row>
    <row r="8992" spans="1:4" x14ac:dyDescent="0.25">
      <c r="A8992" s="180">
        <f t="shared" si="140"/>
        <v>8708620</v>
      </c>
      <c r="B8992" t="s">
        <v>6480</v>
      </c>
      <c r="C8992" t="s">
        <v>6481</v>
      </c>
      <c r="D8992" t="s">
        <v>13411</v>
      </c>
    </row>
    <row r="8993" spans="1:4" x14ac:dyDescent="0.25">
      <c r="A8993" s="180">
        <f t="shared" si="140"/>
        <v>8708620</v>
      </c>
      <c r="B8993" t="s">
        <v>6480</v>
      </c>
      <c r="C8993" t="s">
        <v>6481</v>
      </c>
      <c r="D8993" t="s">
        <v>13411</v>
      </c>
    </row>
    <row r="8994" spans="1:4" x14ac:dyDescent="0.25">
      <c r="A8994" s="180">
        <f t="shared" si="140"/>
        <v>8708620</v>
      </c>
      <c r="B8994" t="s">
        <v>6480</v>
      </c>
      <c r="C8994" t="s">
        <v>6481</v>
      </c>
      <c r="D8994" t="s">
        <v>13411</v>
      </c>
    </row>
    <row r="8995" spans="1:4" x14ac:dyDescent="0.25">
      <c r="A8995" s="180">
        <f t="shared" si="140"/>
        <v>8708620</v>
      </c>
      <c r="B8995" t="s">
        <v>6480</v>
      </c>
      <c r="C8995" t="s">
        <v>6481</v>
      </c>
      <c r="D8995" t="s">
        <v>13411</v>
      </c>
    </row>
    <row r="8996" spans="1:4" x14ac:dyDescent="0.25">
      <c r="A8996" s="180">
        <f t="shared" si="140"/>
        <v>8708625</v>
      </c>
      <c r="B8996" t="s">
        <v>6482</v>
      </c>
      <c r="C8996" t="s">
        <v>6483</v>
      </c>
      <c r="D8996" t="s">
        <v>13411</v>
      </c>
    </row>
    <row r="8997" spans="1:4" x14ac:dyDescent="0.25">
      <c r="A8997" s="180">
        <f t="shared" si="140"/>
        <v>8708625</v>
      </c>
      <c r="B8997" t="s">
        <v>6482</v>
      </c>
      <c r="C8997" t="s">
        <v>6483</v>
      </c>
      <c r="D8997" t="s">
        <v>13411</v>
      </c>
    </row>
    <row r="8998" spans="1:4" x14ac:dyDescent="0.25">
      <c r="A8998" s="180">
        <f t="shared" si="140"/>
        <v>8708625</v>
      </c>
      <c r="B8998" t="s">
        <v>6482</v>
      </c>
      <c r="C8998" t="s">
        <v>6483</v>
      </c>
      <c r="D8998" t="s">
        <v>13411</v>
      </c>
    </row>
    <row r="8999" spans="1:4" x14ac:dyDescent="0.25">
      <c r="A8999" s="180">
        <f t="shared" si="140"/>
        <v>8708625</v>
      </c>
      <c r="B8999" t="s">
        <v>6482</v>
      </c>
      <c r="C8999" t="s">
        <v>6483</v>
      </c>
      <c r="D8999" t="s">
        <v>13411</v>
      </c>
    </row>
    <row r="9000" spans="1:4" x14ac:dyDescent="0.25">
      <c r="A9000" s="180">
        <f t="shared" si="140"/>
        <v>8708625</v>
      </c>
      <c r="B9000" t="s">
        <v>6482</v>
      </c>
      <c r="C9000" t="s">
        <v>6483</v>
      </c>
      <c r="D9000" t="s">
        <v>13411</v>
      </c>
    </row>
    <row r="9001" spans="1:4" x14ac:dyDescent="0.25">
      <c r="A9001" s="180">
        <f t="shared" si="140"/>
        <v>8708628</v>
      </c>
      <c r="B9001" t="s">
        <v>6484</v>
      </c>
      <c r="C9001" t="s">
        <v>6485</v>
      </c>
      <c r="D9001" t="s">
        <v>13411</v>
      </c>
    </row>
    <row r="9002" spans="1:4" x14ac:dyDescent="0.25">
      <c r="A9002" s="180">
        <f t="shared" si="140"/>
        <v>8708628</v>
      </c>
      <c r="B9002" t="s">
        <v>6484</v>
      </c>
      <c r="C9002" t="s">
        <v>6485</v>
      </c>
      <c r="D9002" t="s">
        <v>13411</v>
      </c>
    </row>
    <row r="9003" spans="1:4" x14ac:dyDescent="0.25">
      <c r="A9003" s="180">
        <f t="shared" si="140"/>
        <v>8708628</v>
      </c>
      <c r="B9003" t="s">
        <v>6484</v>
      </c>
      <c r="C9003" t="s">
        <v>6485</v>
      </c>
      <c r="D9003" t="s">
        <v>13411</v>
      </c>
    </row>
    <row r="9004" spans="1:4" x14ac:dyDescent="0.25">
      <c r="A9004" s="180">
        <f t="shared" si="140"/>
        <v>8708629</v>
      </c>
      <c r="B9004" t="s">
        <v>6486</v>
      </c>
      <c r="C9004" t="s">
        <v>6487</v>
      </c>
      <c r="D9004" t="s">
        <v>13411</v>
      </c>
    </row>
    <row r="9005" spans="1:4" x14ac:dyDescent="0.25">
      <c r="A9005" s="180">
        <f t="shared" si="140"/>
        <v>8708630</v>
      </c>
      <c r="B9005" t="s">
        <v>6488</v>
      </c>
      <c r="C9005" t="s">
        <v>6489</v>
      </c>
      <c r="D9005" t="s">
        <v>13412</v>
      </c>
    </row>
    <row r="9006" spans="1:4" x14ac:dyDescent="0.25">
      <c r="A9006" s="180">
        <f t="shared" si="140"/>
        <v>8708631</v>
      </c>
      <c r="B9006" t="s">
        <v>6490</v>
      </c>
      <c r="C9006" t="s">
        <v>6491</v>
      </c>
      <c r="D9006" t="s">
        <v>13411</v>
      </c>
    </row>
    <row r="9007" spans="1:4" x14ac:dyDescent="0.25">
      <c r="A9007" s="180">
        <f t="shared" si="140"/>
        <v>8708631</v>
      </c>
      <c r="B9007" t="s">
        <v>6490</v>
      </c>
      <c r="C9007" t="s">
        <v>6491</v>
      </c>
      <c r="D9007" t="s">
        <v>13411</v>
      </c>
    </row>
    <row r="9008" spans="1:4" x14ac:dyDescent="0.25">
      <c r="A9008" s="180">
        <f t="shared" si="140"/>
        <v>8708634</v>
      </c>
      <c r="B9008" t="s">
        <v>6492</v>
      </c>
      <c r="C9008" t="s">
        <v>6493</v>
      </c>
      <c r="D9008" t="s">
        <v>13411</v>
      </c>
    </row>
    <row r="9009" spans="1:4" x14ac:dyDescent="0.25">
      <c r="A9009" s="180">
        <f t="shared" si="140"/>
        <v>8708634</v>
      </c>
      <c r="B9009" t="s">
        <v>6492</v>
      </c>
      <c r="C9009" t="s">
        <v>6493</v>
      </c>
      <c r="D9009" t="s">
        <v>13411</v>
      </c>
    </row>
    <row r="9010" spans="1:4" x14ac:dyDescent="0.25">
      <c r="A9010" s="180">
        <f t="shared" si="140"/>
        <v>8708634</v>
      </c>
      <c r="B9010" t="s">
        <v>6492</v>
      </c>
      <c r="C9010" t="s">
        <v>6493</v>
      </c>
      <c r="D9010" t="s">
        <v>13411</v>
      </c>
    </row>
    <row r="9011" spans="1:4" x14ac:dyDescent="0.25">
      <c r="A9011" s="180">
        <f t="shared" si="140"/>
        <v>8708634</v>
      </c>
      <c r="B9011" t="s">
        <v>6492</v>
      </c>
      <c r="C9011" t="s">
        <v>6493</v>
      </c>
      <c r="D9011" t="s">
        <v>13411</v>
      </c>
    </row>
    <row r="9012" spans="1:4" x14ac:dyDescent="0.25">
      <c r="A9012" s="180">
        <f t="shared" si="140"/>
        <v>8708634</v>
      </c>
      <c r="B9012" t="s">
        <v>6492</v>
      </c>
      <c r="C9012" t="s">
        <v>6493</v>
      </c>
      <c r="D9012" t="s">
        <v>13411</v>
      </c>
    </row>
    <row r="9013" spans="1:4" x14ac:dyDescent="0.25">
      <c r="A9013" s="180">
        <f t="shared" si="140"/>
        <v>8708634</v>
      </c>
      <c r="B9013" t="s">
        <v>6492</v>
      </c>
      <c r="C9013" t="s">
        <v>6493</v>
      </c>
      <c r="D9013" t="s">
        <v>13411</v>
      </c>
    </row>
    <row r="9014" spans="1:4" x14ac:dyDescent="0.25">
      <c r="A9014" s="180">
        <f t="shared" si="140"/>
        <v>8708635</v>
      </c>
      <c r="B9014" t="s">
        <v>6494</v>
      </c>
      <c r="C9014" t="s">
        <v>6495</v>
      </c>
      <c r="D9014" t="s">
        <v>13411</v>
      </c>
    </row>
    <row r="9015" spans="1:4" x14ac:dyDescent="0.25">
      <c r="A9015" s="180">
        <f t="shared" si="140"/>
        <v>8708637</v>
      </c>
      <c r="B9015" t="s">
        <v>6496</v>
      </c>
      <c r="C9015" t="s">
        <v>6497</v>
      </c>
      <c r="D9015" t="s">
        <v>13411</v>
      </c>
    </row>
    <row r="9016" spans="1:4" x14ac:dyDescent="0.25">
      <c r="A9016" s="180">
        <f t="shared" si="140"/>
        <v>8708637</v>
      </c>
      <c r="B9016" t="s">
        <v>6496</v>
      </c>
      <c r="C9016" t="s">
        <v>6497</v>
      </c>
      <c r="D9016" t="s">
        <v>13411</v>
      </c>
    </row>
    <row r="9017" spans="1:4" x14ac:dyDescent="0.25">
      <c r="A9017" s="180">
        <f t="shared" si="140"/>
        <v>8708637</v>
      </c>
      <c r="B9017" t="s">
        <v>6496</v>
      </c>
      <c r="C9017" t="s">
        <v>6497</v>
      </c>
      <c r="D9017" t="s">
        <v>13411</v>
      </c>
    </row>
    <row r="9018" spans="1:4" x14ac:dyDescent="0.25">
      <c r="A9018" s="180">
        <f t="shared" si="140"/>
        <v>8708637</v>
      </c>
      <c r="B9018" t="s">
        <v>6496</v>
      </c>
      <c r="C9018" t="s">
        <v>6497</v>
      </c>
      <c r="D9018" t="s">
        <v>13411</v>
      </c>
    </row>
    <row r="9019" spans="1:4" x14ac:dyDescent="0.25">
      <c r="A9019" s="180">
        <f t="shared" si="140"/>
        <v>8708637</v>
      </c>
      <c r="B9019" t="s">
        <v>6496</v>
      </c>
      <c r="C9019" t="s">
        <v>6497</v>
      </c>
      <c r="D9019" t="s">
        <v>13411</v>
      </c>
    </row>
    <row r="9020" spans="1:4" x14ac:dyDescent="0.25">
      <c r="A9020" s="180">
        <f t="shared" si="140"/>
        <v>8708638</v>
      </c>
      <c r="B9020" t="s">
        <v>6498</v>
      </c>
      <c r="C9020" t="s">
        <v>6499</v>
      </c>
      <c r="D9020" t="s">
        <v>13412</v>
      </c>
    </row>
    <row r="9021" spans="1:4" x14ac:dyDescent="0.25">
      <c r="A9021" s="180">
        <f t="shared" si="140"/>
        <v>8708638</v>
      </c>
      <c r="B9021" t="s">
        <v>6498</v>
      </c>
      <c r="C9021" t="s">
        <v>6499</v>
      </c>
      <c r="D9021" t="s">
        <v>13412</v>
      </c>
    </row>
    <row r="9022" spans="1:4" x14ac:dyDescent="0.25">
      <c r="A9022" s="180">
        <f t="shared" si="140"/>
        <v>8708639</v>
      </c>
      <c r="B9022" t="s">
        <v>6500</v>
      </c>
      <c r="C9022" t="s">
        <v>6501</v>
      </c>
      <c r="D9022" t="s">
        <v>13412</v>
      </c>
    </row>
    <row r="9023" spans="1:4" x14ac:dyDescent="0.25">
      <c r="A9023" s="180">
        <f t="shared" ref="A9023:A9086" si="141">IFERROR(B9023*1,"")</f>
        <v>8708639</v>
      </c>
      <c r="B9023" t="s">
        <v>6500</v>
      </c>
      <c r="C9023" t="s">
        <v>6501</v>
      </c>
      <c r="D9023" t="s">
        <v>13412</v>
      </c>
    </row>
    <row r="9024" spans="1:4" x14ac:dyDescent="0.25">
      <c r="A9024" s="180">
        <f t="shared" si="141"/>
        <v>8708639</v>
      </c>
      <c r="B9024" t="s">
        <v>6500</v>
      </c>
      <c r="C9024" t="s">
        <v>6501</v>
      </c>
      <c r="D9024" t="s">
        <v>13412</v>
      </c>
    </row>
    <row r="9025" spans="1:4" x14ac:dyDescent="0.25">
      <c r="A9025" s="180">
        <f t="shared" si="141"/>
        <v>8708639</v>
      </c>
      <c r="B9025" t="s">
        <v>6500</v>
      </c>
      <c r="C9025" t="s">
        <v>6501</v>
      </c>
      <c r="D9025" t="s">
        <v>13412</v>
      </c>
    </row>
    <row r="9026" spans="1:4" x14ac:dyDescent="0.25">
      <c r="A9026" s="180">
        <f t="shared" si="141"/>
        <v>8708639</v>
      </c>
      <c r="B9026" t="s">
        <v>6500</v>
      </c>
      <c r="C9026" t="s">
        <v>6501</v>
      </c>
      <c r="D9026" t="s">
        <v>13412</v>
      </c>
    </row>
    <row r="9027" spans="1:4" x14ac:dyDescent="0.25">
      <c r="A9027" s="180">
        <f t="shared" si="141"/>
        <v>8708639</v>
      </c>
      <c r="B9027" t="s">
        <v>6500</v>
      </c>
      <c r="C9027" t="s">
        <v>6501</v>
      </c>
      <c r="D9027" t="s">
        <v>13412</v>
      </c>
    </row>
    <row r="9028" spans="1:4" x14ac:dyDescent="0.25">
      <c r="A9028" s="180">
        <f t="shared" si="141"/>
        <v>8708640</v>
      </c>
      <c r="B9028" t="s">
        <v>6502</v>
      </c>
      <c r="C9028" t="s">
        <v>6503</v>
      </c>
      <c r="D9028" t="s">
        <v>13411</v>
      </c>
    </row>
    <row r="9029" spans="1:4" x14ac:dyDescent="0.25">
      <c r="A9029" s="180">
        <f t="shared" si="141"/>
        <v>8708643</v>
      </c>
      <c r="B9029" t="s">
        <v>6504</v>
      </c>
      <c r="C9029" t="s">
        <v>6505</v>
      </c>
      <c r="D9029" t="s">
        <v>13411</v>
      </c>
    </row>
    <row r="9030" spans="1:4" x14ac:dyDescent="0.25">
      <c r="A9030" s="180">
        <f t="shared" si="141"/>
        <v>8708643</v>
      </c>
      <c r="B9030" t="s">
        <v>6504</v>
      </c>
      <c r="C9030" t="s">
        <v>6505</v>
      </c>
      <c r="D9030" t="s">
        <v>13411</v>
      </c>
    </row>
    <row r="9031" spans="1:4" x14ac:dyDescent="0.25">
      <c r="A9031" s="180">
        <f t="shared" si="141"/>
        <v>8708643</v>
      </c>
      <c r="B9031" t="s">
        <v>6504</v>
      </c>
      <c r="C9031" t="s">
        <v>6505</v>
      </c>
      <c r="D9031" t="s">
        <v>13411</v>
      </c>
    </row>
    <row r="9032" spans="1:4" x14ac:dyDescent="0.25">
      <c r="A9032" s="180">
        <f t="shared" si="141"/>
        <v>8708643</v>
      </c>
      <c r="B9032" t="s">
        <v>6504</v>
      </c>
      <c r="C9032" t="s">
        <v>6505</v>
      </c>
      <c r="D9032" t="s">
        <v>13411</v>
      </c>
    </row>
    <row r="9033" spans="1:4" x14ac:dyDescent="0.25">
      <c r="A9033" s="180">
        <f t="shared" si="141"/>
        <v>8708643</v>
      </c>
      <c r="B9033" t="s">
        <v>6504</v>
      </c>
      <c r="C9033" t="s">
        <v>6505</v>
      </c>
      <c r="D9033" t="s">
        <v>13411</v>
      </c>
    </row>
    <row r="9034" spans="1:4" x14ac:dyDescent="0.25">
      <c r="A9034" s="180">
        <f t="shared" si="141"/>
        <v>8708643</v>
      </c>
      <c r="B9034" t="s">
        <v>6504</v>
      </c>
      <c r="C9034" t="s">
        <v>6505</v>
      </c>
      <c r="D9034" t="s">
        <v>13411</v>
      </c>
    </row>
    <row r="9035" spans="1:4" x14ac:dyDescent="0.25">
      <c r="A9035" s="180">
        <f t="shared" si="141"/>
        <v>8708643</v>
      </c>
      <c r="B9035" t="s">
        <v>6504</v>
      </c>
      <c r="C9035" t="s">
        <v>6505</v>
      </c>
      <c r="D9035" t="s">
        <v>13411</v>
      </c>
    </row>
    <row r="9036" spans="1:4" x14ac:dyDescent="0.25">
      <c r="A9036" s="180">
        <f t="shared" si="141"/>
        <v>8708643</v>
      </c>
      <c r="B9036" t="s">
        <v>6504</v>
      </c>
      <c r="C9036" t="s">
        <v>6505</v>
      </c>
      <c r="D9036" t="s">
        <v>13411</v>
      </c>
    </row>
    <row r="9037" spans="1:4" x14ac:dyDescent="0.25">
      <c r="A9037" s="180">
        <f t="shared" si="141"/>
        <v>8708643</v>
      </c>
      <c r="B9037" t="s">
        <v>6504</v>
      </c>
      <c r="C9037" t="s">
        <v>6505</v>
      </c>
      <c r="D9037" t="s">
        <v>13411</v>
      </c>
    </row>
    <row r="9038" spans="1:4" x14ac:dyDescent="0.25">
      <c r="A9038" s="180">
        <f t="shared" si="141"/>
        <v>8708643</v>
      </c>
      <c r="B9038" t="s">
        <v>6504</v>
      </c>
      <c r="C9038" t="s">
        <v>6505</v>
      </c>
      <c r="D9038" t="s">
        <v>13411</v>
      </c>
    </row>
    <row r="9039" spans="1:4" x14ac:dyDescent="0.25">
      <c r="A9039" s="180">
        <f t="shared" si="141"/>
        <v>8708643</v>
      </c>
      <c r="B9039" t="s">
        <v>6504</v>
      </c>
      <c r="C9039" t="s">
        <v>6505</v>
      </c>
      <c r="D9039" t="s">
        <v>13411</v>
      </c>
    </row>
    <row r="9040" spans="1:4" x14ac:dyDescent="0.25">
      <c r="A9040" s="180">
        <f t="shared" si="141"/>
        <v>8708643</v>
      </c>
      <c r="B9040" t="s">
        <v>6504</v>
      </c>
      <c r="C9040" t="s">
        <v>6505</v>
      </c>
      <c r="D9040" t="s">
        <v>13411</v>
      </c>
    </row>
    <row r="9041" spans="1:4" x14ac:dyDescent="0.25">
      <c r="A9041" s="180">
        <f t="shared" si="141"/>
        <v>8708643</v>
      </c>
      <c r="B9041" t="s">
        <v>6504</v>
      </c>
      <c r="C9041" t="s">
        <v>6505</v>
      </c>
      <c r="D9041" t="s">
        <v>13411</v>
      </c>
    </row>
    <row r="9042" spans="1:4" x14ac:dyDescent="0.25">
      <c r="A9042" s="180">
        <f t="shared" si="141"/>
        <v>8708643</v>
      </c>
      <c r="B9042" t="s">
        <v>6504</v>
      </c>
      <c r="C9042" t="s">
        <v>6505</v>
      </c>
      <c r="D9042" t="s">
        <v>13411</v>
      </c>
    </row>
    <row r="9043" spans="1:4" x14ac:dyDescent="0.25">
      <c r="A9043" s="180">
        <f t="shared" si="141"/>
        <v>8708643</v>
      </c>
      <c r="B9043" t="s">
        <v>6504</v>
      </c>
      <c r="C9043" t="s">
        <v>6505</v>
      </c>
      <c r="D9043" t="s">
        <v>13411</v>
      </c>
    </row>
    <row r="9044" spans="1:4" x14ac:dyDescent="0.25">
      <c r="A9044" s="180">
        <f t="shared" si="141"/>
        <v>8708644</v>
      </c>
      <c r="B9044" t="s">
        <v>6506</v>
      </c>
      <c r="C9044" t="s">
        <v>6507</v>
      </c>
      <c r="D9044" t="s">
        <v>13412</v>
      </c>
    </row>
    <row r="9045" spans="1:4" x14ac:dyDescent="0.25">
      <c r="A9045" s="180">
        <f t="shared" si="141"/>
        <v>8708644</v>
      </c>
      <c r="B9045" t="s">
        <v>6506</v>
      </c>
      <c r="C9045" t="s">
        <v>6507</v>
      </c>
      <c r="D9045" t="s">
        <v>13412</v>
      </c>
    </row>
    <row r="9046" spans="1:4" x14ac:dyDescent="0.25">
      <c r="A9046" s="180">
        <f t="shared" si="141"/>
        <v>8708644</v>
      </c>
      <c r="B9046" t="s">
        <v>6506</v>
      </c>
      <c r="C9046" t="s">
        <v>6507</v>
      </c>
      <c r="D9046" t="s">
        <v>13412</v>
      </c>
    </row>
    <row r="9047" spans="1:4" x14ac:dyDescent="0.25">
      <c r="A9047" s="180">
        <f t="shared" si="141"/>
        <v>8708644</v>
      </c>
      <c r="B9047" t="s">
        <v>6506</v>
      </c>
      <c r="C9047" t="s">
        <v>6507</v>
      </c>
      <c r="D9047" t="s">
        <v>13412</v>
      </c>
    </row>
    <row r="9048" spans="1:4" x14ac:dyDescent="0.25">
      <c r="A9048" s="180">
        <f t="shared" si="141"/>
        <v>8708651</v>
      </c>
      <c r="B9048" t="s">
        <v>13576</v>
      </c>
      <c r="C9048" t="s">
        <v>13577</v>
      </c>
      <c r="D9048" t="s">
        <v>13412</v>
      </c>
    </row>
    <row r="9049" spans="1:4" x14ac:dyDescent="0.25">
      <c r="A9049" s="180">
        <f t="shared" si="141"/>
        <v>8708657</v>
      </c>
      <c r="B9049" t="s">
        <v>6508</v>
      </c>
      <c r="C9049" t="s">
        <v>6509</v>
      </c>
      <c r="D9049" t="s">
        <v>13411</v>
      </c>
    </row>
    <row r="9050" spans="1:4" x14ac:dyDescent="0.25">
      <c r="A9050" s="180">
        <f t="shared" si="141"/>
        <v>8708657</v>
      </c>
      <c r="B9050" t="s">
        <v>6508</v>
      </c>
      <c r="C9050" t="s">
        <v>6509</v>
      </c>
      <c r="D9050" t="s">
        <v>13411</v>
      </c>
    </row>
    <row r="9051" spans="1:4" x14ac:dyDescent="0.25">
      <c r="A9051" s="180">
        <f t="shared" si="141"/>
        <v>8708657</v>
      </c>
      <c r="B9051" t="s">
        <v>6508</v>
      </c>
      <c r="C9051" t="s">
        <v>6509</v>
      </c>
      <c r="D9051" t="s">
        <v>13411</v>
      </c>
    </row>
    <row r="9052" spans="1:4" x14ac:dyDescent="0.25">
      <c r="A9052" s="180">
        <f t="shared" si="141"/>
        <v>8708657</v>
      </c>
      <c r="B9052" t="s">
        <v>6508</v>
      </c>
      <c r="C9052" t="s">
        <v>6509</v>
      </c>
      <c r="D9052" t="s">
        <v>13411</v>
      </c>
    </row>
    <row r="9053" spans="1:4" x14ac:dyDescent="0.25">
      <c r="A9053" s="180">
        <f t="shared" si="141"/>
        <v>8708657</v>
      </c>
      <c r="B9053" t="s">
        <v>6508</v>
      </c>
      <c r="C9053" t="s">
        <v>6509</v>
      </c>
      <c r="D9053" t="s">
        <v>13411</v>
      </c>
    </row>
    <row r="9054" spans="1:4" x14ac:dyDescent="0.25">
      <c r="A9054" s="180">
        <f t="shared" si="141"/>
        <v>8708774</v>
      </c>
      <c r="B9054" t="s">
        <v>12741</v>
      </c>
      <c r="C9054" t="s">
        <v>14290</v>
      </c>
      <c r="D9054" t="s">
        <v>13411</v>
      </c>
    </row>
    <row r="9055" spans="1:4" x14ac:dyDescent="0.25">
      <c r="A9055" s="180">
        <f t="shared" si="141"/>
        <v>8708774</v>
      </c>
      <c r="B9055" t="s">
        <v>12741</v>
      </c>
      <c r="C9055" t="s">
        <v>14290</v>
      </c>
      <c r="D9055" t="s">
        <v>13411</v>
      </c>
    </row>
    <row r="9056" spans="1:4" x14ac:dyDescent="0.25">
      <c r="A9056" s="180">
        <f t="shared" si="141"/>
        <v>8708774</v>
      </c>
      <c r="B9056" t="s">
        <v>12741</v>
      </c>
      <c r="C9056" t="s">
        <v>14290</v>
      </c>
      <c r="D9056" t="s">
        <v>13411</v>
      </c>
    </row>
    <row r="9057" spans="1:4" x14ac:dyDescent="0.25">
      <c r="A9057" s="180">
        <f t="shared" si="141"/>
        <v>8708774</v>
      </c>
      <c r="B9057" t="s">
        <v>12741</v>
      </c>
      <c r="C9057" t="s">
        <v>14290</v>
      </c>
      <c r="D9057" t="s">
        <v>13411</v>
      </c>
    </row>
    <row r="9058" spans="1:4" x14ac:dyDescent="0.25">
      <c r="A9058" s="180">
        <f t="shared" si="141"/>
        <v>8708774</v>
      </c>
      <c r="B9058" t="s">
        <v>12741</v>
      </c>
      <c r="C9058" t="s">
        <v>14290</v>
      </c>
      <c r="D9058" t="s">
        <v>13411</v>
      </c>
    </row>
    <row r="9059" spans="1:4" x14ac:dyDescent="0.25">
      <c r="A9059" s="180">
        <f t="shared" si="141"/>
        <v>8708774</v>
      </c>
      <c r="B9059" t="s">
        <v>12741</v>
      </c>
      <c r="C9059" t="s">
        <v>14290</v>
      </c>
      <c r="D9059" t="s">
        <v>13411</v>
      </c>
    </row>
    <row r="9060" spans="1:4" x14ac:dyDescent="0.25">
      <c r="A9060" s="180">
        <f t="shared" si="141"/>
        <v>8708774</v>
      </c>
      <c r="B9060" t="s">
        <v>12741</v>
      </c>
      <c r="C9060" t="s">
        <v>14290</v>
      </c>
      <c r="D9060" t="s">
        <v>13411</v>
      </c>
    </row>
    <row r="9061" spans="1:4" x14ac:dyDescent="0.25">
      <c r="A9061" s="180">
        <f t="shared" si="141"/>
        <v>8708774</v>
      </c>
      <c r="B9061" t="s">
        <v>12741</v>
      </c>
      <c r="C9061" t="s">
        <v>14290</v>
      </c>
      <c r="D9061" t="s">
        <v>13411</v>
      </c>
    </row>
    <row r="9062" spans="1:4" x14ac:dyDescent="0.25">
      <c r="A9062" s="180">
        <f t="shared" si="141"/>
        <v>8708777</v>
      </c>
      <c r="B9062" t="s">
        <v>14905</v>
      </c>
      <c r="C9062" t="s">
        <v>14906</v>
      </c>
      <c r="D9062" t="s">
        <v>13412</v>
      </c>
    </row>
    <row r="9063" spans="1:4" x14ac:dyDescent="0.25">
      <c r="A9063" s="180">
        <f t="shared" si="141"/>
        <v>8708777</v>
      </c>
      <c r="B9063" t="s">
        <v>14905</v>
      </c>
      <c r="C9063" t="s">
        <v>14906</v>
      </c>
      <c r="D9063" t="s">
        <v>13412</v>
      </c>
    </row>
    <row r="9064" spans="1:4" x14ac:dyDescent="0.25">
      <c r="A9064" s="180">
        <f t="shared" si="141"/>
        <v>8708777</v>
      </c>
      <c r="B9064" t="s">
        <v>14905</v>
      </c>
      <c r="C9064" t="s">
        <v>14906</v>
      </c>
      <c r="D9064" t="s">
        <v>13412</v>
      </c>
    </row>
    <row r="9065" spans="1:4" x14ac:dyDescent="0.25">
      <c r="A9065" s="180">
        <f t="shared" si="141"/>
        <v>8708777</v>
      </c>
      <c r="B9065" t="s">
        <v>14905</v>
      </c>
      <c r="C9065" t="s">
        <v>14906</v>
      </c>
      <c r="D9065" t="s">
        <v>13412</v>
      </c>
    </row>
    <row r="9066" spans="1:4" x14ac:dyDescent="0.25">
      <c r="A9066" s="180">
        <f t="shared" si="141"/>
        <v>8708815</v>
      </c>
      <c r="B9066" t="s">
        <v>6510</v>
      </c>
      <c r="C9066" t="s">
        <v>6511</v>
      </c>
      <c r="D9066" t="s">
        <v>13412</v>
      </c>
    </row>
    <row r="9067" spans="1:4" x14ac:dyDescent="0.25">
      <c r="A9067" s="180">
        <f t="shared" si="141"/>
        <v>8708815</v>
      </c>
      <c r="B9067" t="s">
        <v>6510</v>
      </c>
      <c r="C9067" t="s">
        <v>6511</v>
      </c>
      <c r="D9067" t="s">
        <v>13412</v>
      </c>
    </row>
    <row r="9068" spans="1:4" x14ac:dyDescent="0.25">
      <c r="A9068" s="180">
        <f t="shared" si="141"/>
        <v>8708815</v>
      </c>
      <c r="B9068" t="s">
        <v>6510</v>
      </c>
      <c r="C9068" t="s">
        <v>6511</v>
      </c>
      <c r="D9068" t="s">
        <v>13412</v>
      </c>
    </row>
    <row r="9069" spans="1:4" x14ac:dyDescent="0.25">
      <c r="A9069" s="180">
        <f t="shared" si="141"/>
        <v>8708815</v>
      </c>
      <c r="B9069" t="s">
        <v>6510</v>
      </c>
      <c r="C9069" t="s">
        <v>6511</v>
      </c>
      <c r="D9069" t="s">
        <v>13412</v>
      </c>
    </row>
    <row r="9070" spans="1:4" x14ac:dyDescent="0.25">
      <c r="A9070" s="180">
        <f t="shared" si="141"/>
        <v>8708815</v>
      </c>
      <c r="B9070" t="s">
        <v>6510</v>
      </c>
      <c r="C9070" t="s">
        <v>6511</v>
      </c>
      <c r="D9070" t="s">
        <v>13412</v>
      </c>
    </row>
    <row r="9071" spans="1:4" x14ac:dyDescent="0.25">
      <c r="A9071" s="180">
        <f t="shared" si="141"/>
        <v>8708815</v>
      </c>
      <c r="B9071" t="s">
        <v>6510</v>
      </c>
      <c r="C9071" t="s">
        <v>6511</v>
      </c>
      <c r="D9071" t="s">
        <v>13412</v>
      </c>
    </row>
    <row r="9072" spans="1:4" x14ac:dyDescent="0.25">
      <c r="A9072" s="180">
        <f t="shared" si="141"/>
        <v>8708815</v>
      </c>
      <c r="B9072" t="s">
        <v>6510</v>
      </c>
      <c r="C9072" t="s">
        <v>6511</v>
      </c>
      <c r="D9072" t="s">
        <v>13412</v>
      </c>
    </row>
    <row r="9073" spans="1:4" x14ac:dyDescent="0.25">
      <c r="A9073" s="180">
        <f t="shared" si="141"/>
        <v>8708815</v>
      </c>
      <c r="B9073" t="s">
        <v>6510</v>
      </c>
      <c r="C9073" t="s">
        <v>6511</v>
      </c>
      <c r="D9073" t="s">
        <v>13412</v>
      </c>
    </row>
    <row r="9074" spans="1:4" x14ac:dyDescent="0.25">
      <c r="A9074" s="180">
        <f t="shared" si="141"/>
        <v>8708815</v>
      </c>
      <c r="B9074" t="s">
        <v>6510</v>
      </c>
      <c r="C9074" t="s">
        <v>6511</v>
      </c>
      <c r="D9074" t="s">
        <v>13412</v>
      </c>
    </row>
    <row r="9075" spans="1:4" x14ac:dyDescent="0.25">
      <c r="A9075" s="180">
        <f t="shared" si="141"/>
        <v>8708815</v>
      </c>
      <c r="B9075" t="s">
        <v>6510</v>
      </c>
      <c r="C9075" t="s">
        <v>6511</v>
      </c>
      <c r="D9075" t="s">
        <v>13412</v>
      </c>
    </row>
    <row r="9076" spans="1:4" x14ac:dyDescent="0.25">
      <c r="A9076" s="180">
        <f t="shared" si="141"/>
        <v>8708815</v>
      </c>
      <c r="B9076" t="s">
        <v>6510</v>
      </c>
      <c r="C9076" t="s">
        <v>6511</v>
      </c>
      <c r="D9076" t="s">
        <v>13412</v>
      </c>
    </row>
    <row r="9077" spans="1:4" x14ac:dyDescent="0.25">
      <c r="A9077" s="180">
        <f t="shared" si="141"/>
        <v>8708815</v>
      </c>
      <c r="B9077" t="s">
        <v>6510</v>
      </c>
      <c r="C9077" t="s">
        <v>6511</v>
      </c>
      <c r="D9077" t="s">
        <v>13412</v>
      </c>
    </row>
    <row r="9078" spans="1:4" x14ac:dyDescent="0.25">
      <c r="A9078" s="180">
        <f t="shared" si="141"/>
        <v>8708815</v>
      </c>
      <c r="B9078" t="s">
        <v>6510</v>
      </c>
      <c r="C9078" t="s">
        <v>6511</v>
      </c>
      <c r="D9078" t="s">
        <v>13412</v>
      </c>
    </row>
    <row r="9079" spans="1:4" x14ac:dyDescent="0.25">
      <c r="A9079" s="180">
        <f t="shared" si="141"/>
        <v>8708815</v>
      </c>
      <c r="B9079" t="s">
        <v>6510</v>
      </c>
      <c r="C9079" t="s">
        <v>6511</v>
      </c>
      <c r="D9079" t="s">
        <v>13412</v>
      </c>
    </row>
    <row r="9080" spans="1:4" x14ac:dyDescent="0.25">
      <c r="A9080" s="180">
        <f t="shared" si="141"/>
        <v>8708888</v>
      </c>
      <c r="B9080" t="s">
        <v>6512</v>
      </c>
      <c r="C9080" t="s">
        <v>6513</v>
      </c>
      <c r="D9080" t="s">
        <v>13412</v>
      </c>
    </row>
    <row r="9081" spans="1:4" x14ac:dyDescent="0.25">
      <c r="A9081" s="180">
        <f t="shared" si="141"/>
        <v>8708899</v>
      </c>
      <c r="B9081" t="s">
        <v>6514</v>
      </c>
      <c r="C9081" t="s">
        <v>6515</v>
      </c>
      <c r="D9081" t="s">
        <v>13411</v>
      </c>
    </row>
    <row r="9082" spans="1:4" x14ac:dyDescent="0.25">
      <c r="A9082" s="180">
        <f t="shared" si="141"/>
        <v>8708899</v>
      </c>
      <c r="B9082" t="s">
        <v>6514</v>
      </c>
      <c r="C9082" t="s">
        <v>6515</v>
      </c>
      <c r="D9082" t="s">
        <v>13411</v>
      </c>
    </row>
    <row r="9083" spans="1:4" x14ac:dyDescent="0.25">
      <c r="A9083" s="180">
        <f t="shared" si="141"/>
        <v>8708899</v>
      </c>
      <c r="B9083" t="s">
        <v>6514</v>
      </c>
      <c r="C9083" t="s">
        <v>6515</v>
      </c>
      <c r="D9083" t="s">
        <v>13411</v>
      </c>
    </row>
    <row r="9084" spans="1:4" x14ac:dyDescent="0.25">
      <c r="A9084" s="180">
        <f t="shared" si="141"/>
        <v>8708899</v>
      </c>
      <c r="B9084" t="s">
        <v>6514</v>
      </c>
      <c r="C9084" t="s">
        <v>6515</v>
      </c>
      <c r="D9084" t="s">
        <v>13411</v>
      </c>
    </row>
    <row r="9085" spans="1:4" x14ac:dyDescent="0.25">
      <c r="A9085" s="180">
        <f t="shared" si="141"/>
        <v>8708900</v>
      </c>
      <c r="B9085" t="s">
        <v>6516</v>
      </c>
      <c r="C9085" t="s">
        <v>6517</v>
      </c>
    </row>
    <row r="9086" spans="1:4" x14ac:dyDescent="0.25">
      <c r="A9086" s="180">
        <f t="shared" si="141"/>
        <v>8708901</v>
      </c>
      <c r="B9086" t="s">
        <v>6518</v>
      </c>
      <c r="C9086" t="s">
        <v>6519</v>
      </c>
    </row>
    <row r="9087" spans="1:4" x14ac:dyDescent="0.25">
      <c r="A9087" s="180">
        <f t="shared" ref="A9087:A9150" si="142">IFERROR(B9087*1,"")</f>
        <v>8708907</v>
      </c>
      <c r="B9087" t="s">
        <v>6520</v>
      </c>
      <c r="C9087" t="s">
        <v>13578</v>
      </c>
      <c r="D9087" t="s">
        <v>13411</v>
      </c>
    </row>
    <row r="9088" spans="1:4" x14ac:dyDescent="0.25">
      <c r="A9088" s="180">
        <f t="shared" si="142"/>
        <v>8708907</v>
      </c>
      <c r="B9088" t="s">
        <v>6520</v>
      </c>
      <c r="C9088" t="s">
        <v>13578</v>
      </c>
      <c r="D9088" t="s">
        <v>13411</v>
      </c>
    </row>
    <row r="9089" spans="1:4" x14ac:dyDescent="0.25">
      <c r="A9089" s="180">
        <f t="shared" si="142"/>
        <v>8708907</v>
      </c>
      <c r="B9089" t="s">
        <v>6520</v>
      </c>
      <c r="C9089" t="s">
        <v>13578</v>
      </c>
      <c r="D9089" t="s">
        <v>13411</v>
      </c>
    </row>
    <row r="9090" spans="1:4" x14ac:dyDescent="0.25">
      <c r="A9090" s="180">
        <f t="shared" si="142"/>
        <v>8708907</v>
      </c>
      <c r="B9090" t="s">
        <v>6520</v>
      </c>
      <c r="C9090" t="s">
        <v>13578</v>
      </c>
      <c r="D9090" t="s">
        <v>13411</v>
      </c>
    </row>
    <row r="9091" spans="1:4" x14ac:dyDescent="0.25">
      <c r="A9091" s="180">
        <f t="shared" si="142"/>
        <v>8708907</v>
      </c>
      <c r="B9091" t="s">
        <v>6520</v>
      </c>
      <c r="C9091" t="s">
        <v>13578</v>
      </c>
      <c r="D9091" t="s">
        <v>13411</v>
      </c>
    </row>
    <row r="9092" spans="1:4" x14ac:dyDescent="0.25">
      <c r="A9092" s="180">
        <f t="shared" si="142"/>
        <v>8708907</v>
      </c>
      <c r="B9092" t="s">
        <v>6520</v>
      </c>
      <c r="C9092" t="s">
        <v>13578</v>
      </c>
      <c r="D9092" t="s">
        <v>13411</v>
      </c>
    </row>
    <row r="9093" spans="1:4" x14ac:dyDescent="0.25">
      <c r="A9093" s="180">
        <f t="shared" si="142"/>
        <v>8708910</v>
      </c>
      <c r="B9093" t="s">
        <v>14907</v>
      </c>
      <c r="C9093" t="s">
        <v>14908</v>
      </c>
    </row>
    <row r="9094" spans="1:4" x14ac:dyDescent="0.25">
      <c r="A9094" s="180">
        <f t="shared" si="142"/>
        <v>8708996</v>
      </c>
      <c r="B9094" t="s">
        <v>12956</v>
      </c>
      <c r="C9094" t="s">
        <v>12957</v>
      </c>
      <c r="D9094" t="s">
        <v>13411</v>
      </c>
    </row>
    <row r="9095" spans="1:4" x14ac:dyDescent="0.25">
      <c r="A9095" s="180">
        <f t="shared" si="142"/>
        <v>8708996</v>
      </c>
      <c r="B9095" t="s">
        <v>12956</v>
      </c>
      <c r="C9095" t="s">
        <v>12957</v>
      </c>
      <c r="D9095" t="s">
        <v>13411</v>
      </c>
    </row>
    <row r="9096" spans="1:4" x14ac:dyDescent="0.25">
      <c r="A9096" s="180">
        <f t="shared" si="142"/>
        <v>8708996</v>
      </c>
      <c r="B9096" t="s">
        <v>12956</v>
      </c>
      <c r="C9096" t="s">
        <v>12957</v>
      </c>
      <c r="D9096" t="s">
        <v>13411</v>
      </c>
    </row>
    <row r="9097" spans="1:4" x14ac:dyDescent="0.25">
      <c r="A9097" s="180">
        <f t="shared" si="142"/>
        <v>8708996</v>
      </c>
      <c r="B9097" t="s">
        <v>12956</v>
      </c>
      <c r="C9097" t="s">
        <v>12957</v>
      </c>
      <c r="D9097" t="s">
        <v>13411</v>
      </c>
    </row>
    <row r="9098" spans="1:4" x14ac:dyDescent="0.25">
      <c r="A9098" s="180">
        <f t="shared" si="142"/>
        <v>8708997</v>
      </c>
      <c r="B9098" t="s">
        <v>12958</v>
      </c>
      <c r="C9098" t="s">
        <v>12959</v>
      </c>
      <c r="D9098" t="s">
        <v>13412</v>
      </c>
    </row>
    <row r="9099" spans="1:4" x14ac:dyDescent="0.25">
      <c r="A9099" s="180">
        <f t="shared" si="142"/>
        <v>8708997</v>
      </c>
      <c r="B9099" t="s">
        <v>12958</v>
      </c>
      <c r="C9099" t="s">
        <v>12959</v>
      </c>
      <c r="D9099" t="s">
        <v>13412</v>
      </c>
    </row>
    <row r="9100" spans="1:4" x14ac:dyDescent="0.25">
      <c r="A9100" s="180">
        <f t="shared" si="142"/>
        <v>8708997</v>
      </c>
      <c r="B9100" t="s">
        <v>12958</v>
      </c>
      <c r="C9100" t="s">
        <v>12959</v>
      </c>
      <c r="D9100" t="s">
        <v>13412</v>
      </c>
    </row>
    <row r="9101" spans="1:4" x14ac:dyDescent="0.25">
      <c r="A9101" s="180">
        <f t="shared" si="142"/>
        <v>8708997</v>
      </c>
      <c r="B9101" t="s">
        <v>12958</v>
      </c>
      <c r="C9101" t="s">
        <v>12959</v>
      </c>
      <c r="D9101" t="s">
        <v>13412</v>
      </c>
    </row>
    <row r="9102" spans="1:4" x14ac:dyDescent="0.25">
      <c r="A9102" s="180">
        <f t="shared" si="142"/>
        <v>8708997</v>
      </c>
      <c r="B9102" t="s">
        <v>12958</v>
      </c>
      <c r="C9102" t="s">
        <v>12959</v>
      </c>
      <c r="D9102" t="s">
        <v>13412</v>
      </c>
    </row>
    <row r="9103" spans="1:4" x14ac:dyDescent="0.25">
      <c r="A9103" s="180">
        <f t="shared" si="142"/>
        <v>8708998</v>
      </c>
      <c r="B9103" t="s">
        <v>12960</v>
      </c>
      <c r="C9103" t="s">
        <v>12961</v>
      </c>
      <c r="D9103" t="s">
        <v>13411</v>
      </c>
    </row>
    <row r="9104" spans="1:4" x14ac:dyDescent="0.25">
      <c r="A9104" s="180">
        <f t="shared" si="142"/>
        <v>8708998</v>
      </c>
      <c r="B9104" t="s">
        <v>12960</v>
      </c>
      <c r="C9104" t="s">
        <v>12961</v>
      </c>
      <c r="D9104" t="s">
        <v>13411</v>
      </c>
    </row>
    <row r="9105" spans="1:4" x14ac:dyDescent="0.25">
      <c r="A9105" s="180">
        <f t="shared" si="142"/>
        <v>8708998</v>
      </c>
      <c r="B9105" t="s">
        <v>12960</v>
      </c>
      <c r="C9105" t="s">
        <v>12961</v>
      </c>
      <c r="D9105" t="s">
        <v>13411</v>
      </c>
    </row>
    <row r="9106" spans="1:4" x14ac:dyDescent="0.25">
      <c r="A9106" s="180">
        <f t="shared" si="142"/>
        <v>8708998</v>
      </c>
      <c r="B9106" t="s">
        <v>12960</v>
      </c>
      <c r="C9106" t="s">
        <v>12961</v>
      </c>
      <c r="D9106" t="s">
        <v>13411</v>
      </c>
    </row>
    <row r="9107" spans="1:4" x14ac:dyDescent="0.25">
      <c r="A9107" s="180">
        <f t="shared" si="142"/>
        <v>8708998</v>
      </c>
      <c r="B9107" t="s">
        <v>12960</v>
      </c>
      <c r="C9107" t="s">
        <v>12961</v>
      </c>
      <c r="D9107" t="s">
        <v>13411</v>
      </c>
    </row>
    <row r="9108" spans="1:4" x14ac:dyDescent="0.25">
      <c r="A9108" s="180">
        <f t="shared" si="142"/>
        <v>8708998</v>
      </c>
      <c r="B9108" t="s">
        <v>12960</v>
      </c>
      <c r="C9108" t="s">
        <v>12961</v>
      </c>
      <c r="D9108" t="s">
        <v>13411</v>
      </c>
    </row>
    <row r="9109" spans="1:4" x14ac:dyDescent="0.25">
      <c r="A9109" s="180">
        <f t="shared" si="142"/>
        <v>8708999</v>
      </c>
      <c r="B9109" t="s">
        <v>6522</v>
      </c>
      <c r="C9109" t="s">
        <v>6523</v>
      </c>
      <c r="D9109" t="s">
        <v>13412</v>
      </c>
    </row>
    <row r="9110" spans="1:4" x14ac:dyDescent="0.25">
      <c r="A9110" s="180">
        <f t="shared" si="142"/>
        <v>8709697</v>
      </c>
      <c r="B9110" t="s">
        <v>12962</v>
      </c>
      <c r="C9110" t="s">
        <v>12963</v>
      </c>
      <c r="D9110" t="s">
        <v>13411</v>
      </c>
    </row>
    <row r="9111" spans="1:4" x14ac:dyDescent="0.25">
      <c r="A9111" s="180">
        <f t="shared" si="142"/>
        <v>8709698</v>
      </c>
      <c r="B9111" t="s">
        <v>6524</v>
      </c>
      <c r="C9111" t="s">
        <v>6525</v>
      </c>
      <c r="D9111" t="s">
        <v>13411</v>
      </c>
    </row>
    <row r="9112" spans="1:4" x14ac:dyDescent="0.25">
      <c r="A9112" s="180">
        <f t="shared" si="142"/>
        <v>8709699</v>
      </c>
      <c r="B9112" t="s">
        <v>6526</v>
      </c>
      <c r="C9112" t="s">
        <v>6527</v>
      </c>
    </row>
    <row r="9113" spans="1:4" x14ac:dyDescent="0.25">
      <c r="A9113" s="180">
        <f t="shared" si="142"/>
        <v>8711047</v>
      </c>
      <c r="B9113" t="s">
        <v>6528</v>
      </c>
      <c r="C9113" t="s">
        <v>6529</v>
      </c>
      <c r="D9113" t="s">
        <v>13412</v>
      </c>
    </row>
    <row r="9114" spans="1:4" x14ac:dyDescent="0.25">
      <c r="A9114" s="180">
        <f t="shared" si="142"/>
        <v>8711048</v>
      </c>
      <c r="B9114" t="s">
        <v>6530</v>
      </c>
      <c r="C9114" t="s">
        <v>6531</v>
      </c>
      <c r="D9114" t="s">
        <v>13412</v>
      </c>
    </row>
    <row r="9115" spans="1:4" x14ac:dyDescent="0.25">
      <c r="A9115" s="180">
        <f t="shared" si="142"/>
        <v>8711049</v>
      </c>
      <c r="B9115" t="s">
        <v>6532</v>
      </c>
      <c r="C9115" t="s">
        <v>6533</v>
      </c>
      <c r="D9115" t="s">
        <v>13412</v>
      </c>
    </row>
    <row r="9116" spans="1:4" x14ac:dyDescent="0.25">
      <c r="A9116" s="180">
        <f t="shared" si="142"/>
        <v>8711105</v>
      </c>
      <c r="B9116" t="s">
        <v>6534</v>
      </c>
      <c r="C9116" t="s">
        <v>6535</v>
      </c>
      <c r="D9116" t="s">
        <v>13412</v>
      </c>
    </row>
    <row r="9117" spans="1:4" x14ac:dyDescent="0.25">
      <c r="A9117" s="180">
        <f t="shared" si="142"/>
        <v>8711700</v>
      </c>
      <c r="B9117" t="s">
        <v>6536</v>
      </c>
      <c r="C9117" t="s">
        <v>6537</v>
      </c>
      <c r="D9117" t="s">
        <v>13412</v>
      </c>
    </row>
    <row r="9118" spans="1:4" x14ac:dyDescent="0.25">
      <c r="A9118" s="180">
        <f t="shared" si="142"/>
        <v>8711701</v>
      </c>
      <c r="B9118" t="s">
        <v>6538</v>
      </c>
      <c r="C9118" t="s">
        <v>6539</v>
      </c>
      <c r="D9118" t="s">
        <v>13412</v>
      </c>
    </row>
    <row r="9119" spans="1:4" x14ac:dyDescent="0.25">
      <c r="A9119" s="180">
        <f t="shared" si="142"/>
        <v>8711702</v>
      </c>
      <c r="B9119" t="s">
        <v>6540</v>
      </c>
      <c r="C9119" t="s">
        <v>6541</v>
      </c>
      <c r="D9119" t="s">
        <v>13412</v>
      </c>
    </row>
    <row r="9120" spans="1:4" x14ac:dyDescent="0.25">
      <c r="A9120" s="180">
        <f t="shared" si="142"/>
        <v>8711706</v>
      </c>
      <c r="B9120" t="s">
        <v>6542</v>
      </c>
      <c r="C9120" t="s">
        <v>6543</v>
      </c>
      <c r="D9120" t="s">
        <v>13412</v>
      </c>
    </row>
    <row r="9121" spans="1:4" x14ac:dyDescent="0.25">
      <c r="A9121" s="180">
        <f t="shared" si="142"/>
        <v>8711707</v>
      </c>
      <c r="B9121" t="s">
        <v>6544</v>
      </c>
      <c r="C9121" t="s">
        <v>6545</v>
      </c>
    </row>
    <row r="9122" spans="1:4" x14ac:dyDescent="0.25">
      <c r="A9122" s="180">
        <f t="shared" si="142"/>
        <v>8715004</v>
      </c>
      <c r="B9122" t="s">
        <v>6546</v>
      </c>
      <c r="C9122" t="s">
        <v>6547</v>
      </c>
    </row>
    <row r="9123" spans="1:4" x14ac:dyDescent="0.25">
      <c r="A9123" s="180">
        <f t="shared" si="142"/>
        <v>8715803</v>
      </c>
      <c r="B9123" t="s">
        <v>6548</v>
      </c>
      <c r="C9123" t="s">
        <v>6549</v>
      </c>
      <c r="D9123" t="s">
        <v>13412</v>
      </c>
    </row>
    <row r="9124" spans="1:4" x14ac:dyDescent="0.25">
      <c r="A9124" s="180">
        <f t="shared" si="142"/>
        <v>8717033</v>
      </c>
      <c r="B9124" t="s">
        <v>6550</v>
      </c>
      <c r="C9124" t="s">
        <v>6551</v>
      </c>
      <c r="D9124" t="s">
        <v>13412</v>
      </c>
    </row>
    <row r="9125" spans="1:4" x14ac:dyDescent="0.25">
      <c r="A9125" s="180">
        <f t="shared" si="142"/>
        <v>8717033</v>
      </c>
      <c r="B9125" t="s">
        <v>6550</v>
      </c>
      <c r="C9125" t="s">
        <v>6551</v>
      </c>
      <c r="D9125" t="s">
        <v>13412</v>
      </c>
    </row>
    <row r="9126" spans="1:4" x14ac:dyDescent="0.25">
      <c r="A9126" s="180">
        <f t="shared" si="142"/>
        <v>8717033</v>
      </c>
      <c r="B9126" t="s">
        <v>6550</v>
      </c>
      <c r="C9126" t="s">
        <v>6551</v>
      </c>
      <c r="D9126" t="s">
        <v>13412</v>
      </c>
    </row>
    <row r="9127" spans="1:4" x14ac:dyDescent="0.25">
      <c r="A9127" s="180">
        <f t="shared" si="142"/>
        <v>8800000</v>
      </c>
      <c r="B9127" t="s">
        <v>6552</v>
      </c>
      <c r="C9127" t="s">
        <v>6553</v>
      </c>
    </row>
    <row r="9128" spans="1:4" x14ac:dyDescent="0.25">
      <c r="A9128" s="180">
        <f t="shared" si="142"/>
        <v>8800001</v>
      </c>
      <c r="B9128" t="s">
        <v>6554</v>
      </c>
      <c r="C9128" t="s">
        <v>6555</v>
      </c>
    </row>
    <row r="9129" spans="1:4" x14ac:dyDescent="0.25">
      <c r="A9129" s="180" t="str">
        <f t="shared" si="142"/>
        <v/>
      </c>
      <c r="B9129" t="s">
        <v>13136</v>
      </c>
    </row>
    <row r="9130" spans="1:4" x14ac:dyDescent="0.25">
      <c r="A9130" s="180">
        <f t="shared" si="142"/>
        <v>8800002</v>
      </c>
      <c r="B9130" t="s">
        <v>6556</v>
      </c>
      <c r="C9130" t="s">
        <v>6557</v>
      </c>
    </row>
    <row r="9131" spans="1:4" x14ac:dyDescent="0.25">
      <c r="A9131" s="180">
        <f t="shared" si="142"/>
        <v>8800003</v>
      </c>
      <c r="B9131" t="s">
        <v>6558</v>
      </c>
      <c r="C9131" t="s">
        <v>6559</v>
      </c>
    </row>
    <row r="9132" spans="1:4" x14ac:dyDescent="0.25">
      <c r="A9132" s="180">
        <f t="shared" si="142"/>
        <v>8815007</v>
      </c>
      <c r="B9132" t="s">
        <v>6560</v>
      </c>
      <c r="C9132" t="s">
        <v>5211</v>
      </c>
    </row>
    <row r="9133" spans="1:4" x14ac:dyDescent="0.25">
      <c r="A9133" s="180">
        <f t="shared" si="142"/>
        <v>8857004</v>
      </c>
      <c r="B9133" t="s">
        <v>12742</v>
      </c>
      <c r="C9133" t="s">
        <v>12743</v>
      </c>
      <c r="D9133" t="s">
        <v>13412</v>
      </c>
    </row>
    <row r="9134" spans="1:4" x14ac:dyDescent="0.25">
      <c r="A9134" s="180">
        <f t="shared" si="142"/>
        <v>8857005</v>
      </c>
      <c r="B9134" t="s">
        <v>6561</v>
      </c>
      <c r="C9134" t="s">
        <v>6562</v>
      </c>
      <c r="D9134" t="s">
        <v>13411</v>
      </c>
    </row>
    <row r="9135" spans="1:4" x14ac:dyDescent="0.25">
      <c r="A9135" s="180">
        <f t="shared" si="142"/>
        <v>8857829</v>
      </c>
      <c r="B9135" t="s">
        <v>6563</v>
      </c>
      <c r="C9135" t="s">
        <v>6564</v>
      </c>
      <c r="D9135" t="s">
        <v>13411</v>
      </c>
    </row>
    <row r="9136" spans="1:4" x14ac:dyDescent="0.25">
      <c r="A9136" s="180">
        <f t="shared" si="142"/>
        <v>8858005</v>
      </c>
      <c r="B9136" t="s">
        <v>6565</v>
      </c>
      <c r="C9136" t="s">
        <v>5211</v>
      </c>
    </row>
    <row r="9137" spans="1:4" x14ac:dyDescent="0.25">
      <c r="A9137" s="180">
        <f t="shared" si="142"/>
        <v>8888001</v>
      </c>
      <c r="B9137" t="s">
        <v>6566</v>
      </c>
      <c r="C9137" t="s">
        <v>6567</v>
      </c>
      <c r="D9137" t="s">
        <v>13411</v>
      </c>
    </row>
    <row r="9138" spans="1:4" x14ac:dyDescent="0.25">
      <c r="A9138" s="180">
        <f t="shared" si="142"/>
        <v>8888002</v>
      </c>
      <c r="B9138" t="s">
        <v>6568</v>
      </c>
      <c r="C9138" t="s">
        <v>6569</v>
      </c>
      <c r="D9138" t="s">
        <v>14989</v>
      </c>
    </row>
    <row r="9139" spans="1:4" x14ac:dyDescent="0.25">
      <c r="A9139" s="180">
        <f t="shared" si="142"/>
        <v>8888003</v>
      </c>
      <c r="B9139" t="s">
        <v>6570</v>
      </c>
      <c r="C9139" t="s">
        <v>6571</v>
      </c>
    </row>
    <row r="9140" spans="1:4" x14ac:dyDescent="0.25">
      <c r="A9140" s="180">
        <f t="shared" si="142"/>
        <v>8888004</v>
      </c>
      <c r="B9140" t="s">
        <v>6572</v>
      </c>
      <c r="C9140" t="s">
        <v>6573</v>
      </c>
    </row>
    <row r="9141" spans="1:4" x14ac:dyDescent="0.25">
      <c r="A9141" s="180">
        <f t="shared" si="142"/>
        <v>8888005</v>
      </c>
      <c r="B9141" t="s">
        <v>6574</v>
      </c>
      <c r="C9141" t="s">
        <v>6575</v>
      </c>
    </row>
    <row r="9142" spans="1:4" x14ac:dyDescent="0.25">
      <c r="A9142" s="180">
        <f t="shared" si="142"/>
        <v>8888006</v>
      </c>
      <c r="B9142" t="s">
        <v>6576</v>
      </c>
      <c r="C9142" t="s">
        <v>6577</v>
      </c>
    </row>
    <row r="9143" spans="1:4" x14ac:dyDescent="0.25">
      <c r="A9143" s="180">
        <f t="shared" si="142"/>
        <v>8888007</v>
      </c>
      <c r="B9143" t="s">
        <v>6578</v>
      </c>
      <c r="C9143" t="s">
        <v>6579</v>
      </c>
    </row>
    <row r="9144" spans="1:4" x14ac:dyDescent="0.25">
      <c r="A9144" s="180">
        <f t="shared" si="142"/>
        <v>8888008</v>
      </c>
      <c r="B9144" t="s">
        <v>6580</v>
      </c>
      <c r="C9144" t="s">
        <v>6581</v>
      </c>
    </row>
    <row r="9145" spans="1:4" x14ac:dyDescent="0.25">
      <c r="A9145" s="180">
        <f t="shared" si="142"/>
        <v>8888009</v>
      </c>
      <c r="B9145" t="s">
        <v>6582</v>
      </c>
      <c r="C9145" t="s">
        <v>6583</v>
      </c>
    </row>
    <row r="9146" spans="1:4" x14ac:dyDescent="0.25">
      <c r="A9146" s="180">
        <f t="shared" si="142"/>
        <v>8888010</v>
      </c>
      <c r="B9146" t="s">
        <v>6584</v>
      </c>
      <c r="C9146" t="s">
        <v>6585</v>
      </c>
    </row>
    <row r="9147" spans="1:4" x14ac:dyDescent="0.25">
      <c r="A9147" s="180">
        <f t="shared" si="142"/>
        <v>8888011</v>
      </c>
      <c r="B9147" t="s">
        <v>6586</v>
      </c>
      <c r="C9147" t="s">
        <v>6587</v>
      </c>
    </row>
    <row r="9148" spans="1:4" x14ac:dyDescent="0.25">
      <c r="A9148" s="180">
        <f t="shared" si="142"/>
        <v>8888012</v>
      </c>
      <c r="B9148" t="s">
        <v>6588</v>
      </c>
      <c r="C9148" t="s">
        <v>6589</v>
      </c>
    </row>
    <row r="9149" spans="1:4" x14ac:dyDescent="0.25">
      <c r="A9149" s="180">
        <f t="shared" si="142"/>
        <v>8888013</v>
      </c>
      <c r="B9149" t="s">
        <v>6590</v>
      </c>
      <c r="C9149" t="s">
        <v>6591</v>
      </c>
    </row>
    <row r="9150" spans="1:4" x14ac:dyDescent="0.25">
      <c r="A9150" s="180">
        <f t="shared" si="142"/>
        <v>8888014</v>
      </c>
      <c r="B9150" t="s">
        <v>6592</v>
      </c>
      <c r="C9150" t="s">
        <v>6593</v>
      </c>
    </row>
    <row r="9151" spans="1:4" x14ac:dyDescent="0.25">
      <c r="A9151" s="180">
        <f t="shared" ref="A9151:A9214" si="143">IFERROR(B9151*1,"")</f>
        <v>8888015</v>
      </c>
      <c r="B9151" t="s">
        <v>6594</v>
      </c>
      <c r="C9151" t="s">
        <v>6595</v>
      </c>
    </row>
    <row r="9152" spans="1:4" x14ac:dyDescent="0.25">
      <c r="A9152" s="180">
        <f t="shared" si="143"/>
        <v>8888016</v>
      </c>
      <c r="B9152" t="s">
        <v>6596</v>
      </c>
      <c r="C9152" t="s">
        <v>6597</v>
      </c>
    </row>
    <row r="9153" spans="1:4" x14ac:dyDescent="0.25">
      <c r="A9153" s="180">
        <f t="shared" si="143"/>
        <v>8888017</v>
      </c>
      <c r="B9153" t="s">
        <v>6598</v>
      </c>
      <c r="C9153" t="s">
        <v>6599</v>
      </c>
    </row>
    <row r="9154" spans="1:4" x14ac:dyDescent="0.25">
      <c r="A9154" s="180">
        <f t="shared" si="143"/>
        <v>8888018</v>
      </c>
      <c r="B9154" t="s">
        <v>6600</v>
      </c>
      <c r="C9154" t="s">
        <v>6601</v>
      </c>
    </row>
    <row r="9155" spans="1:4" x14ac:dyDescent="0.25">
      <c r="A9155" s="180">
        <f t="shared" si="143"/>
        <v>8888019</v>
      </c>
      <c r="B9155" t="s">
        <v>6602</v>
      </c>
      <c r="C9155" t="s">
        <v>6603</v>
      </c>
    </row>
    <row r="9156" spans="1:4" x14ac:dyDescent="0.25">
      <c r="A9156" s="180">
        <f t="shared" si="143"/>
        <v>8888020</v>
      </c>
      <c r="B9156" t="s">
        <v>6604</v>
      </c>
      <c r="C9156" t="s">
        <v>6605</v>
      </c>
    </row>
    <row r="9157" spans="1:4" x14ac:dyDescent="0.25">
      <c r="A9157" s="180">
        <f t="shared" si="143"/>
        <v>8888021</v>
      </c>
      <c r="B9157" t="s">
        <v>6606</v>
      </c>
      <c r="C9157" t="s">
        <v>6607</v>
      </c>
    </row>
    <row r="9158" spans="1:4" x14ac:dyDescent="0.25">
      <c r="A9158" s="180">
        <f t="shared" si="143"/>
        <v>8888022</v>
      </c>
      <c r="B9158" t="s">
        <v>6608</v>
      </c>
      <c r="C9158" t="s">
        <v>6609</v>
      </c>
    </row>
    <row r="9159" spans="1:4" x14ac:dyDescent="0.25">
      <c r="A9159" s="180">
        <f t="shared" si="143"/>
        <v>8888023</v>
      </c>
      <c r="B9159" t="s">
        <v>6610</v>
      </c>
      <c r="C9159" t="s">
        <v>6611</v>
      </c>
    </row>
    <row r="9160" spans="1:4" x14ac:dyDescent="0.25">
      <c r="A9160" s="180">
        <f t="shared" si="143"/>
        <v>8888024</v>
      </c>
      <c r="B9160" t="s">
        <v>6612</v>
      </c>
      <c r="C9160" t="s">
        <v>6613</v>
      </c>
    </row>
    <row r="9161" spans="1:4" x14ac:dyDescent="0.25">
      <c r="A9161" s="180">
        <f t="shared" si="143"/>
        <v>8888025</v>
      </c>
      <c r="B9161" t="s">
        <v>6614</v>
      </c>
      <c r="C9161" t="s">
        <v>6615</v>
      </c>
    </row>
    <row r="9162" spans="1:4" x14ac:dyDescent="0.25">
      <c r="A9162" s="180">
        <f t="shared" si="143"/>
        <v>8888026</v>
      </c>
      <c r="B9162" t="s">
        <v>6616</v>
      </c>
      <c r="C9162" t="s">
        <v>6617</v>
      </c>
    </row>
    <row r="9163" spans="1:4" x14ac:dyDescent="0.25">
      <c r="A9163" s="180">
        <f t="shared" si="143"/>
        <v>8888027</v>
      </c>
      <c r="B9163" t="s">
        <v>6618</v>
      </c>
      <c r="C9163" t="s">
        <v>6619</v>
      </c>
    </row>
    <row r="9164" spans="1:4" x14ac:dyDescent="0.25">
      <c r="A9164" s="180">
        <f t="shared" si="143"/>
        <v>8888028</v>
      </c>
      <c r="B9164" t="s">
        <v>6620</v>
      </c>
      <c r="C9164" t="s">
        <v>6621</v>
      </c>
    </row>
    <row r="9165" spans="1:4" x14ac:dyDescent="0.25">
      <c r="A9165" s="180">
        <f t="shared" si="143"/>
        <v>8888029</v>
      </c>
      <c r="B9165" t="s">
        <v>6622</v>
      </c>
      <c r="C9165" t="s">
        <v>6623</v>
      </c>
    </row>
    <row r="9166" spans="1:4" x14ac:dyDescent="0.25">
      <c r="A9166" s="180">
        <f t="shared" si="143"/>
        <v>8888030</v>
      </c>
      <c r="B9166" t="s">
        <v>6624</v>
      </c>
      <c r="C9166" t="s">
        <v>6625</v>
      </c>
    </row>
    <row r="9167" spans="1:4" x14ac:dyDescent="0.25">
      <c r="A9167" s="180">
        <f t="shared" si="143"/>
        <v>8888031</v>
      </c>
      <c r="B9167" t="s">
        <v>6626</v>
      </c>
      <c r="C9167" t="s">
        <v>6627</v>
      </c>
      <c r="D9167" t="s">
        <v>14989</v>
      </c>
    </row>
    <row r="9168" spans="1:4" x14ac:dyDescent="0.25">
      <c r="A9168" s="180">
        <f t="shared" si="143"/>
        <v>8888032</v>
      </c>
      <c r="B9168" t="s">
        <v>6628</v>
      </c>
      <c r="C9168" t="s">
        <v>6629</v>
      </c>
      <c r="D9168" t="s">
        <v>14989</v>
      </c>
    </row>
    <row r="9169" spans="1:4" x14ac:dyDescent="0.25">
      <c r="A9169" s="180">
        <f t="shared" si="143"/>
        <v>8888034</v>
      </c>
      <c r="B9169" t="s">
        <v>7043</v>
      </c>
      <c r="C9169" t="s">
        <v>7044</v>
      </c>
    </row>
    <row r="9170" spans="1:4" x14ac:dyDescent="0.25">
      <c r="A9170" s="180">
        <f t="shared" si="143"/>
        <v>8888035</v>
      </c>
      <c r="B9170" t="s">
        <v>13377</v>
      </c>
      <c r="C9170" t="s">
        <v>13378</v>
      </c>
    </row>
    <row r="9171" spans="1:4" x14ac:dyDescent="0.25">
      <c r="A9171" s="180">
        <f t="shared" si="143"/>
        <v>8888036</v>
      </c>
      <c r="B9171" t="s">
        <v>13379</v>
      </c>
      <c r="C9171" t="s">
        <v>13380</v>
      </c>
    </row>
    <row r="9172" spans="1:4" x14ac:dyDescent="0.25">
      <c r="A9172" s="180">
        <f t="shared" si="143"/>
        <v>8888037</v>
      </c>
      <c r="B9172" t="s">
        <v>13945</v>
      </c>
      <c r="C9172" t="s">
        <v>13946</v>
      </c>
      <c r="D9172" t="s">
        <v>13411</v>
      </c>
    </row>
    <row r="9173" spans="1:4" x14ac:dyDescent="0.25">
      <c r="A9173" s="180">
        <f t="shared" si="143"/>
        <v>9000001</v>
      </c>
      <c r="B9173" t="s">
        <v>6630</v>
      </c>
      <c r="C9173" t="s">
        <v>6631</v>
      </c>
    </row>
    <row r="9174" spans="1:4" x14ac:dyDescent="0.25">
      <c r="A9174" s="180">
        <f t="shared" si="143"/>
        <v>9000002</v>
      </c>
      <c r="B9174" t="s">
        <v>6632</v>
      </c>
      <c r="C9174" t="s">
        <v>6633</v>
      </c>
    </row>
    <row r="9175" spans="1:4" x14ac:dyDescent="0.25">
      <c r="A9175" s="180">
        <f t="shared" si="143"/>
        <v>9000003</v>
      </c>
      <c r="B9175" t="s">
        <v>6634</v>
      </c>
      <c r="C9175" t="s">
        <v>6635</v>
      </c>
    </row>
    <row r="9176" spans="1:4" x14ac:dyDescent="0.25">
      <c r="A9176" s="180">
        <f t="shared" si="143"/>
        <v>9000004</v>
      </c>
      <c r="B9176" t="s">
        <v>6636</v>
      </c>
      <c r="C9176" t="s">
        <v>6637</v>
      </c>
    </row>
    <row r="9177" spans="1:4" x14ac:dyDescent="0.25">
      <c r="A9177" s="180">
        <f t="shared" si="143"/>
        <v>9000005</v>
      </c>
      <c r="B9177" t="s">
        <v>6638</v>
      </c>
      <c r="C9177" t="s">
        <v>6639</v>
      </c>
    </row>
    <row r="9178" spans="1:4" x14ac:dyDescent="0.25">
      <c r="A9178" s="180">
        <f t="shared" si="143"/>
        <v>9000006</v>
      </c>
      <c r="B9178" t="s">
        <v>6640</v>
      </c>
      <c r="C9178" t="s">
        <v>6641</v>
      </c>
    </row>
    <row r="9179" spans="1:4" x14ac:dyDescent="0.25">
      <c r="A9179" s="180">
        <f t="shared" si="143"/>
        <v>9003001</v>
      </c>
      <c r="B9179" t="s">
        <v>6642</v>
      </c>
      <c r="C9179" t="s">
        <v>6643</v>
      </c>
      <c r="D9179" t="s">
        <v>13412</v>
      </c>
    </row>
    <row r="9180" spans="1:4" x14ac:dyDescent="0.25">
      <c r="A9180" s="180">
        <f t="shared" si="143"/>
        <v>9003002</v>
      </c>
      <c r="B9180" t="s">
        <v>6644</v>
      </c>
      <c r="C9180" t="s">
        <v>6645</v>
      </c>
      <c r="D9180" t="s">
        <v>13412</v>
      </c>
    </row>
    <row r="9181" spans="1:4" x14ac:dyDescent="0.25">
      <c r="A9181" s="180">
        <f t="shared" si="143"/>
        <v>9003002</v>
      </c>
      <c r="B9181" t="s">
        <v>6644</v>
      </c>
      <c r="C9181" t="s">
        <v>6645</v>
      </c>
      <c r="D9181" t="s">
        <v>13412</v>
      </c>
    </row>
    <row r="9182" spans="1:4" x14ac:dyDescent="0.25">
      <c r="A9182" s="180">
        <f t="shared" si="143"/>
        <v>9003002</v>
      </c>
      <c r="B9182" t="s">
        <v>6644</v>
      </c>
      <c r="C9182" t="s">
        <v>6645</v>
      </c>
      <c r="D9182" t="s">
        <v>13412</v>
      </c>
    </row>
    <row r="9183" spans="1:4" x14ac:dyDescent="0.25">
      <c r="A9183" s="180">
        <f t="shared" si="143"/>
        <v>9003003</v>
      </c>
      <c r="B9183" t="s">
        <v>6646</v>
      </c>
      <c r="C9183" t="s">
        <v>6647</v>
      </c>
    </row>
    <row r="9184" spans="1:4" x14ac:dyDescent="0.25">
      <c r="A9184" s="180">
        <f t="shared" si="143"/>
        <v>9003004</v>
      </c>
      <c r="B9184" t="s">
        <v>6648</v>
      </c>
      <c r="C9184" t="s">
        <v>6649</v>
      </c>
    </row>
    <row r="9185" spans="1:4" x14ac:dyDescent="0.25">
      <c r="A9185" s="180">
        <f t="shared" si="143"/>
        <v>9003005</v>
      </c>
      <c r="B9185" t="s">
        <v>6650</v>
      </c>
      <c r="C9185" t="s">
        <v>6651</v>
      </c>
      <c r="D9185" t="s">
        <v>13412</v>
      </c>
    </row>
    <row r="9186" spans="1:4" x14ac:dyDescent="0.25">
      <c r="A9186" s="180">
        <f t="shared" si="143"/>
        <v>9003006</v>
      </c>
      <c r="B9186" t="s">
        <v>6652</v>
      </c>
      <c r="C9186" t="s">
        <v>6653</v>
      </c>
      <c r="D9186" t="s">
        <v>13412</v>
      </c>
    </row>
    <row r="9187" spans="1:4" x14ac:dyDescent="0.25">
      <c r="A9187" s="180">
        <f t="shared" si="143"/>
        <v>9003007</v>
      </c>
      <c r="B9187" t="s">
        <v>6654</v>
      </c>
      <c r="C9187" t="s">
        <v>6655</v>
      </c>
      <c r="D9187" t="s">
        <v>13412</v>
      </c>
    </row>
    <row r="9188" spans="1:4" x14ac:dyDescent="0.25">
      <c r="A9188" s="180">
        <f t="shared" si="143"/>
        <v>9003007</v>
      </c>
      <c r="B9188" t="s">
        <v>6654</v>
      </c>
      <c r="C9188" t="s">
        <v>6655</v>
      </c>
      <c r="D9188" t="s">
        <v>13412</v>
      </c>
    </row>
    <row r="9189" spans="1:4" x14ac:dyDescent="0.25">
      <c r="A9189" s="180">
        <f t="shared" si="143"/>
        <v>9003007</v>
      </c>
      <c r="B9189" t="s">
        <v>6654</v>
      </c>
      <c r="C9189" t="s">
        <v>6655</v>
      </c>
      <c r="D9189" t="s">
        <v>13412</v>
      </c>
    </row>
    <row r="9190" spans="1:4" x14ac:dyDescent="0.25">
      <c r="A9190" s="180">
        <f t="shared" si="143"/>
        <v>9003008</v>
      </c>
      <c r="B9190" t="s">
        <v>6656</v>
      </c>
      <c r="C9190" t="s">
        <v>6657</v>
      </c>
      <c r="D9190" t="s">
        <v>13412</v>
      </c>
    </row>
    <row r="9191" spans="1:4" x14ac:dyDescent="0.25">
      <c r="A9191" s="180">
        <f t="shared" si="143"/>
        <v>9003008</v>
      </c>
      <c r="B9191" t="s">
        <v>6656</v>
      </c>
      <c r="C9191" t="s">
        <v>6657</v>
      </c>
      <c r="D9191" t="s">
        <v>13412</v>
      </c>
    </row>
    <row r="9192" spans="1:4" x14ac:dyDescent="0.25">
      <c r="A9192" s="180">
        <f t="shared" si="143"/>
        <v>9003008</v>
      </c>
      <c r="B9192" t="s">
        <v>6656</v>
      </c>
      <c r="C9192" t="s">
        <v>6657</v>
      </c>
      <c r="D9192" t="s">
        <v>13412</v>
      </c>
    </row>
    <row r="9193" spans="1:4" x14ac:dyDescent="0.25">
      <c r="A9193" s="180">
        <f t="shared" si="143"/>
        <v>9003008</v>
      </c>
      <c r="B9193" t="s">
        <v>6656</v>
      </c>
      <c r="C9193" t="s">
        <v>6657</v>
      </c>
      <c r="D9193" t="s">
        <v>13412</v>
      </c>
    </row>
    <row r="9194" spans="1:4" x14ac:dyDescent="0.25">
      <c r="A9194" s="180">
        <f t="shared" si="143"/>
        <v>9003009</v>
      </c>
      <c r="B9194" t="s">
        <v>6658</v>
      </c>
      <c r="C9194" t="s">
        <v>6659</v>
      </c>
      <c r="D9194" t="s">
        <v>13412</v>
      </c>
    </row>
    <row r="9195" spans="1:4" x14ac:dyDescent="0.25">
      <c r="A9195" s="180">
        <f t="shared" si="143"/>
        <v>9003009</v>
      </c>
      <c r="B9195" t="s">
        <v>6658</v>
      </c>
      <c r="C9195" t="s">
        <v>6659</v>
      </c>
      <c r="D9195" t="s">
        <v>13412</v>
      </c>
    </row>
    <row r="9196" spans="1:4" x14ac:dyDescent="0.25">
      <c r="A9196" s="180">
        <f t="shared" si="143"/>
        <v>9003010</v>
      </c>
      <c r="B9196" t="s">
        <v>6660</v>
      </c>
      <c r="C9196" t="s">
        <v>6661</v>
      </c>
      <c r="D9196" t="s">
        <v>13412</v>
      </c>
    </row>
    <row r="9197" spans="1:4" x14ac:dyDescent="0.25">
      <c r="A9197" s="180">
        <f t="shared" si="143"/>
        <v>9003011</v>
      </c>
      <c r="B9197" t="s">
        <v>6662</v>
      </c>
      <c r="C9197" t="s">
        <v>6663</v>
      </c>
      <c r="D9197" t="s">
        <v>13412</v>
      </c>
    </row>
    <row r="9198" spans="1:4" x14ac:dyDescent="0.25">
      <c r="A9198" s="180">
        <f t="shared" si="143"/>
        <v>9003011</v>
      </c>
      <c r="B9198" t="s">
        <v>6662</v>
      </c>
      <c r="C9198" t="s">
        <v>6663</v>
      </c>
      <c r="D9198" t="s">
        <v>13412</v>
      </c>
    </row>
    <row r="9199" spans="1:4" x14ac:dyDescent="0.25">
      <c r="A9199" s="180">
        <f t="shared" si="143"/>
        <v>9003012</v>
      </c>
      <c r="B9199" t="s">
        <v>6664</v>
      </c>
      <c r="C9199" t="s">
        <v>6665</v>
      </c>
      <c r="D9199" t="s">
        <v>13412</v>
      </c>
    </row>
    <row r="9200" spans="1:4" x14ac:dyDescent="0.25">
      <c r="A9200" s="180">
        <f t="shared" si="143"/>
        <v>9003012</v>
      </c>
      <c r="B9200" t="s">
        <v>6664</v>
      </c>
      <c r="C9200" t="s">
        <v>6665</v>
      </c>
      <c r="D9200" t="s">
        <v>13412</v>
      </c>
    </row>
    <row r="9201" spans="1:4" x14ac:dyDescent="0.25">
      <c r="A9201" s="180">
        <f t="shared" si="143"/>
        <v>9003013</v>
      </c>
      <c r="B9201" t="s">
        <v>6666</v>
      </c>
      <c r="C9201" t="s">
        <v>6667</v>
      </c>
    </row>
    <row r="9202" spans="1:4" x14ac:dyDescent="0.25">
      <c r="A9202" s="180">
        <f t="shared" si="143"/>
        <v>9003014</v>
      </c>
      <c r="B9202" t="s">
        <v>6668</v>
      </c>
      <c r="C9202" t="s">
        <v>6669</v>
      </c>
      <c r="D9202" t="s">
        <v>13412</v>
      </c>
    </row>
    <row r="9203" spans="1:4" x14ac:dyDescent="0.25">
      <c r="A9203" s="180">
        <f t="shared" si="143"/>
        <v>9003014</v>
      </c>
      <c r="B9203" t="s">
        <v>6668</v>
      </c>
      <c r="C9203" t="s">
        <v>6669</v>
      </c>
      <c r="D9203" t="s">
        <v>13412</v>
      </c>
    </row>
    <row r="9204" spans="1:4" x14ac:dyDescent="0.25">
      <c r="A9204" s="180">
        <f t="shared" si="143"/>
        <v>9003015</v>
      </c>
      <c r="B9204" t="s">
        <v>6670</v>
      </c>
      <c r="C9204" t="s">
        <v>6671</v>
      </c>
    </row>
    <row r="9205" spans="1:4" x14ac:dyDescent="0.25">
      <c r="A9205" s="180">
        <f t="shared" si="143"/>
        <v>9003016</v>
      </c>
      <c r="B9205" t="s">
        <v>6672</v>
      </c>
      <c r="C9205" t="s">
        <v>6673</v>
      </c>
    </row>
    <row r="9206" spans="1:4" x14ac:dyDescent="0.25">
      <c r="A9206" s="180">
        <f t="shared" si="143"/>
        <v>9003017</v>
      </c>
      <c r="B9206" t="s">
        <v>6674</v>
      </c>
      <c r="C9206" t="s">
        <v>6675</v>
      </c>
    </row>
    <row r="9207" spans="1:4" x14ac:dyDescent="0.25">
      <c r="A9207" s="180">
        <f t="shared" si="143"/>
        <v>9003018</v>
      </c>
      <c r="B9207" t="s">
        <v>6676</v>
      </c>
      <c r="C9207" t="s">
        <v>6677</v>
      </c>
    </row>
    <row r="9208" spans="1:4" x14ac:dyDescent="0.25">
      <c r="A9208" s="180">
        <f t="shared" si="143"/>
        <v>9003019</v>
      </c>
      <c r="B9208" t="s">
        <v>6678</v>
      </c>
      <c r="C9208" t="s">
        <v>6679</v>
      </c>
    </row>
    <row r="9209" spans="1:4" x14ac:dyDescent="0.25">
      <c r="A9209" s="180">
        <f t="shared" si="143"/>
        <v>9003020</v>
      </c>
      <c r="B9209" t="s">
        <v>6680</v>
      </c>
      <c r="C9209" t="s">
        <v>6681</v>
      </c>
      <c r="D9209" t="s">
        <v>13412</v>
      </c>
    </row>
    <row r="9210" spans="1:4" x14ac:dyDescent="0.25">
      <c r="A9210" s="180">
        <f t="shared" si="143"/>
        <v>9003020</v>
      </c>
      <c r="B9210" t="s">
        <v>6680</v>
      </c>
      <c r="C9210" t="s">
        <v>6681</v>
      </c>
      <c r="D9210" t="s">
        <v>13412</v>
      </c>
    </row>
    <row r="9211" spans="1:4" x14ac:dyDescent="0.25">
      <c r="A9211" s="180">
        <f t="shared" si="143"/>
        <v>9003020</v>
      </c>
      <c r="B9211" t="s">
        <v>6680</v>
      </c>
      <c r="C9211" t="s">
        <v>6681</v>
      </c>
      <c r="D9211" t="s">
        <v>13412</v>
      </c>
    </row>
    <row r="9212" spans="1:4" x14ac:dyDescent="0.25">
      <c r="A9212" s="180">
        <f t="shared" si="143"/>
        <v>9003020</v>
      </c>
      <c r="B9212" t="s">
        <v>6680</v>
      </c>
      <c r="C9212" t="s">
        <v>6681</v>
      </c>
      <c r="D9212" t="s">
        <v>13412</v>
      </c>
    </row>
    <row r="9213" spans="1:4" x14ac:dyDescent="0.25">
      <c r="A9213" s="180">
        <f t="shared" si="143"/>
        <v>9003021</v>
      </c>
      <c r="B9213" t="s">
        <v>6682</v>
      </c>
      <c r="C9213" t="s">
        <v>6683</v>
      </c>
      <c r="D9213" t="s">
        <v>13412</v>
      </c>
    </row>
    <row r="9214" spans="1:4" x14ac:dyDescent="0.25">
      <c r="A9214" s="180">
        <f t="shared" si="143"/>
        <v>9003021</v>
      </c>
      <c r="B9214" t="s">
        <v>6682</v>
      </c>
      <c r="C9214" t="s">
        <v>6683</v>
      </c>
      <c r="D9214" t="s">
        <v>13412</v>
      </c>
    </row>
    <row r="9215" spans="1:4" x14ac:dyDescent="0.25">
      <c r="A9215" s="180">
        <f t="shared" ref="A9215:A9278" si="144">IFERROR(B9215*1,"")</f>
        <v>9003021</v>
      </c>
      <c r="B9215" t="s">
        <v>6682</v>
      </c>
      <c r="C9215" t="s">
        <v>6683</v>
      </c>
      <c r="D9215" t="s">
        <v>13412</v>
      </c>
    </row>
    <row r="9216" spans="1:4" x14ac:dyDescent="0.25">
      <c r="A9216" s="180">
        <f t="shared" si="144"/>
        <v>9003021</v>
      </c>
      <c r="B9216" t="s">
        <v>6682</v>
      </c>
      <c r="C9216" t="s">
        <v>6683</v>
      </c>
      <c r="D9216" t="s">
        <v>13412</v>
      </c>
    </row>
    <row r="9217" spans="1:4" x14ac:dyDescent="0.25">
      <c r="A9217" s="180">
        <f t="shared" si="144"/>
        <v>9003021</v>
      </c>
      <c r="B9217" t="s">
        <v>6682</v>
      </c>
      <c r="C9217" t="s">
        <v>6683</v>
      </c>
      <c r="D9217" t="s">
        <v>13412</v>
      </c>
    </row>
    <row r="9218" spans="1:4" x14ac:dyDescent="0.25">
      <c r="A9218" s="180">
        <f t="shared" si="144"/>
        <v>9003021</v>
      </c>
      <c r="B9218" t="s">
        <v>6682</v>
      </c>
      <c r="C9218" t="s">
        <v>6683</v>
      </c>
      <c r="D9218" t="s">
        <v>13412</v>
      </c>
    </row>
    <row r="9219" spans="1:4" x14ac:dyDescent="0.25">
      <c r="A9219" s="180">
        <f t="shared" si="144"/>
        <v>9003021</v>
      </c>
      <c r="B9219" t="s">
        <v>6682</v>
      </c>
      <c r="C9219" t="s">
        <v>6683</v>
      </c>
      <c r="D9219" t="s">
        <v>13412</v>
      </c>
    </row>
    <row r="9220" spans="1:4" x14ac:dyDescent="0.25">
      <c r="A9220" s="180">
        <f t="shared" si="144"/>
        <v>9003021</v>
      </c>
      <c r="B9220" t="s">
        <v>6682</v>
      </c>
      <c r="C9220" t="s">
        <v>6683</v>
      </c>
      <c r="D9220" t="s">
        <v>13412</v>
      </c>
    </row>
    <row r="9221" spans="1:4" x14ac:dyDescent="0.25">
      <c r="A9221" s="180">
        <f t="shared" si="144"/>
        <v>9003021</v>
      </c>
      <c r="B9221" t="s">
        <v>6682</v>
      </c>
      <c r="C9221" t="s">
        <v>6683</v>
      </c>
      <c r="D9221" t="s">
        <v>13412</v>
      </c>
    </row>
    <row r="9222" spans="1:4" x14ac:dyDescent="0.25">
      <c r="A9222" s="180">
        <f t="shared" si="144"/>
        <v>9003022</v>
      </c>
      <c r="B9222" t="s">
        <v>6684</v>
      </c>
      <c r="C9222" t="s">
        <v>6685</v>
      </c>
      <c r="D9222" t="s">
        <v>13412</v>
      </c>
    </row>
    <row r="9223" spans="1:4" x14ac:dyDescent="0.25">
      <c r="A9223" s="180">
        <f t="shared" si="144"/>
        <v>9003022</v>
      </c>
      <c r="B9223" t="s">
        <v>6684</v>
      </c>
      <c r="C9223" t="s">
        <v>6685</v>
      </c>
      <c r="D9223" t="s">
        <v>13412</v>
      </c>
    </row>
    <row r="9224" spans="1:4" x14ac:dyDescent="0.25">
      <c r="A9224" s="180">
        <f t="shared" si="144"/>
        <v>9003022</v>
      </c>
      <c r="B9224" t="s">
        <v>6684</v>
      </c>
      <c r="C9224" t="s">
        <v>6685</v>
      </c>
      <c r="D9224" t="s">
        <v>13412</v>
      </c>
    </row>
    <row r="9225" spans="1:4" x14ac:dyDescent="0.25">
      <c r="A9225" s="180">
        <f t="shared" si="144"/>
        <v>9003022</v>
      </c>
      <c r="B9225" t="s">
        <v>6684</v>
      </c>
      <c r="C9225" t="s">
        <v>6685</v>
      </c>
      <c r="D9225" t="s">
        <v>13412</v>
      </c>
    </row>
    <row r="9226" spans="1:4" x14ac:dyDescent="0.25">
      <c r="A9226" s="180">
        <f t="shared" si="144"/>
        <v>9003022</v>
      </c>
      <c r="B9226" t="s">
        <v>6684</v>
      </c>
      <c r="C9226" t="s">
        <v>6685</v>
      </c>
      <c r="D9226" t="s">
        <v>13412</v>
      </c>
    </row>
    <row r="9227" spans="1:4" x14ac:dyDescent="0.25">
      <c r="A9227" s="180">
        <f t="shared" si="144"/>
        <v>9003023</v>
      </c>
      <c r="B9227" t="s">
        <v>6686</v>
      </c>
      <c r="C9227" t="s">
        <v>6687</v>
      </c>
      <c r="D9227" t="s">
        <v>13412</v>
      </c>
    </row>
    <row r="9228" spans="1:4" x14ac:dyDescent="0.25">
      <c r="A9228" s="180">
        <f t="shared" si="144"/>
        <v>9003023</v>
      </c>
      <c r="B9228" t="s">
        <v>6686</v>
      </c>
      <c r="C9228" t="s">
        <v>6687</v>
      </c>
      <c r="D9228" t="s">
        <v>13412</v>
      </c>
    </row>
    <row r="9229" spans="1:4" x14ac:dyDescent="0.25">
      <c r="A9229" s="180">
        <f t="shared" si="144"/>
        <v>9003024</v>
      </c>
      <c r="B9229" t="s">
        <v>6688</v>
      </c>
      <c r="C9229" t="s">
        <v>6671</v>
      </c>
      <c r="D9229" t="s">
        <v>13412</v>
      </c>
    </row>
    <row r="9230" spans="1:4" x14ac:dyDescent="0.25">
      <c r="A9230" s="180">
        <f t="shared" si="144"/>
        <v>9003024</v>
      </c>
      <c r="B9230" t="s">
        <v>6688</v>
      </c>
      <c r="C9230" t="s">
        <v>6671</v>
      </c>
      <c r="D9230" t="s">
        <v>13412</v>
      </c>
    </row>
    <row r="9231" spans="1:4" x14ac:dyDescent="0.25">
      <c r="A9231" s="180">
        <f t="shared" si="144"/>
        <v>9003025</v>
      </c>
      <c r="B9231" t="s">
        <v>6689</v>
      </c>
      <c r="C9231" t="s">
        <v>13579</v>
      </c>
      <c r="D9231" t="s">
        <v>13412</v>
      </c>
    </row>
    <row r="9232" spans="1:4" x14ac:dyDescent="0.25">
      <c r="A9232" s="180">
        <f t="shared" si="144"/>
        <v>9003025</v>
      </c>
      <c r="B9232" t="s">
        <v>6689</v>
      </c>
      <c r="C9232" t="s">
        <v>13579</v>
      </c>
      <c r="D9232" t="s">
        <v>13412</v>
      </c>
    </row>
    <row r="9233" spans="1:4" x14ac:dyDescent="0.25">
      <c r="A9233" s="180">
        <f t="shared" si="144"/>
        <v>9003025</v>
      </c>
      <c r="B9233" t="s">
        <v>6689</v>
      </c>
      <c r="C9233" t="s">
        <v>13579</v>
      </c>
      <c r="D9233" t="s">
        <v>13412</v>
      </c>
    </row>
    <row r="9234" spans="1:4" x14ac:dyDescent="0.25">
      <c r="A9234" s="180">
        <f t="shared" si="144"/>
        <v>9003025</v>
      </c>
      <c r="B9234" t="s">
        <v>6689</v>
      </c>
      <c r="C9234" t="s">
        <v>13579</v>
      </c>
      <c r="D9234" t="s">
        <v>13412</v>
      </c>
    </row>
    <row r="9235" spans="1:4" x14ac:dyDescent="0.25">
      <c r="A9235" s="180">
        <f t="shared" si="144"/>
        <v>9003026</v>
      </c>
      <c r="B9235" t="s">
        <v>6690</v>
      </c>
      <c r="C9235" t="s">
        <v>6691</v>
      </c>
      <c r="D9235" t="s">
        <v>13412</v>
      </c>
    </row>
    <row r="9236" spans="1:4" x14ac:dyDescent="0.25">
      <c r="A9236" s="180">
        <f t="shared" si="144"/>
        <v>9003026</v>
      </c>
      <c r="B9236" t="s">
        <v>6690</v>
      </c>
      <c r="C9236" t="s">
        <v>6691</v>
      </c>
      <c r="D9236" t="s">
        <v>13412</v>
      </c>
    </row>
    <row r="9237" spans="1:4" x14ac:dyDescent="0.25">
      <c r="A9237" s="180">
        <f t="shared" si="144"/>
        <v>9003026</v>
      </c>
      <c r="B9237" t="s">
        <v>6690</v>
      </c>
      <c r="C9237" t="s">
        <v>6691</v>
      </c>
      <c r="D9237" t="s">
        <v>13412</v>
      </c>
    </row>
    <row r="9238" spans="1:4" x14ac:dyDescent="0.25">
      <c r="A9238" s="180">
        <f t="shared" si="144"/>
        <v>9003090</v>
      </c>
      <c r="B9238" t="s">
        <v>6692</v>
      </c>
      <c r="C9238" t="s">
        <v>6693</v>
      </c>
      <c r="D9238" t="s">
        <v>13412</v>
      </c>
    </row>
    <row r="9239" spans="1:4" x14ac:dyDescent="0.25">
      <c r="A9239" s="180">
        <f t="shared" si="144"/>
        <v>9003090</v>
      </c>
      <c r="B9239" t="s">
        <v>6692</v>
      </c>
      <c r="C9239" t="s">
        <v>6693</v>
      </c>
      <c r="D9239" t="s">
        <v>13412</v>
      </c>
    </row>
    <row r="9240" spans="1:4" x14ac:dyDescent="0.25">
      <c r="A9240" s="180">
        <f t="shared" si="144"/>
        <v>9003090</v>
      </c>
      <c r="B9240" t="s">
        <v>6692</v>
      </c>
      <c r="C9240" t="s">
        <v>6693</v>
      </c>
      <c r="D9240" t="s">
        <v>13412</v>
      </c>
    </row>
    <row r="9241" spans="1:4" x14ac:dyDescent="0.25">
      <c r="A9241" s="180">
        <f t="shared" si="144"/>
        <v>9003090</v>
      </c>
      <c r="B9241" t="s">
        <v>6692</v>
      </c>
      <c r="C9241" t="s">
        <v>6693</v>
      </c>
      <c r="D9241" t="s">
        <v>13412</v>
      </c>
    </row>
    <row r="9242" spans="1:4" x14ac:dyDescent="0.25">
      <c r="A9242" s="180">
        <f t="shared" si="144"/>
        <v>9003090</v>
      </c>
      <c r="B9242" t="s">
        <v>6692</v>
      </c>
      <c r="C9242" t="s">
        <v>6693</v>
      </c>
      <c r="D9242" t="s">
        <v>13412</v>
      </c>
    </row>
    <row r="9243" spans="1:4" x14ac:dyDescent="0.25">
      <c r="A9243" s="180">
        <f t="shared" si="144"/>
        <v>9003090</v>
      </c>
      <c r="B9243" t="s">
        <v>6692</v>
      </c>
      <c r="C9243" t="s">
        <v>6693</v>
      </c>
      <c r="D9243" t="s">
        <v>13412</v>
      </c>
    </row>
    <row r="9244" spans="1:4" x14ac:dyDescent="0.25">
      <c r="A9244" s="180">
        <f t="shared" si="144"/>
        <v>9003090</v>
      </c>
      <c r="B9244" t="s">
        <v>6692</v>
      </c>
      <c r="C9244" t="s">
        <v>6693</v>
      </c>
      <c r="D9244" t="s">
        <v>13412</v>
      </c>
    </row>
    <row r="9245" spans="1:4" x14ac:dyDescent="0.25">
      <c r="A9245" s="180">
        <f t="shared" si="144"/>
        <v>9003090</v>
      </c>
      <c r="B9245" t="s">
        <v>6692</v>
      </c>
      <c r="C9245" t="s">
        <v>6693</v>
      </c>
      <c r="D9245" t="s">
        <v>13412</v>
      </c>
    </row>
    <row r="9246" spans="1:4" x14ac:dyDescent="0.25">
      <c r="A9246" s="180">
        <f t="shared" si="144"/>
        <v>9003090</v>
      </c>
      <c r="B9246" t="s">
        <v>6692</v>
      </c>
      <c r="C9246" t="s">
        <v>6693</v>
      </c>
      <c r="D9246" t="s">
        <v>13412</v>
      </c>
    </row>
    <row r="9247" spans="1:4" x14ac:dyDescent="0.25">
      <c r="A9247" s="180">
        <f t="shared" si="144"/>
        <v>9003090</v>
      </c>
      <c r="B9247" t="s">
        <v>6692</v>
      </c>
      <c r="C9247" t="s">
        <v>6693</v>
      </c>
      <c r="D9247" t="s">
        <v>13412</v>
      </c>
    </row>
    <row r="9248" spans="1:4" x14ac:dyDescent="0.25">
      <c r="A9248" s="180">
        <f t="shared" si="144"/>
        <v>9003090</v>
      </c>
      <c r="B9248" t="s">
        <v>6692</v>
      </c>
      <c r="C9248" t="s">
        <v>6693</v>
      </c>
      <c r="D9248" t="s">
        <v>13412</v>
      </c>
    </row>
    <row r="9249" spans="1:4" x14ac:dyDescent="0.25">
      <c r="A9249" s="180">
        <f t="shared" si="144"/>
        <v>9003090</v>
      </c>
      <c r="B9249" t="s">
        <v>6692</v>
      </c>
      <c r="C9249" t="s">
        <v>6693</v>
      </c>
      <c r="D9249" t="s">
        <v>13412</v>
      </c>
    </row>
    <row r="9250" spans="1:4" x14ac:dyDescent="0.25">
      <c r="A9250" s="180">
        <f t="shared" si="144"/>
        <v>9003090</v>
      </c>
      <c r="B9250" t="s">
        <v>6692</v>
      </c>
      <c r="C9250" t="s">
        <v>6693</v>
      </c>
      <c r="D9250" t="s">
        <v>13412</v>
      </c>
    </row>
    <row r="9251" spans="1:4" x14ac:dyDescent="0.25">
      <c r="A9251" s="180">
        <f t="shared" si="144"/>
        <v>9003100</v>
      </c>
      <c r="B9251" t="s">
        <v>6694</v>
      </c>
      <c r="C9251" t="s">
        <v>6695</v>
      </c>
      <c r="D9251" t="s">
        <v>13412</v>
      </c>
    </row>
    <row r="9252" spans="1:4" x14ac:dyDescent="0.25">
      <c r="A9252" s="180">
        <f t="shared" si="144"/>
        <v>9003100</v>
      </c>
      <c r="B9252" t="s">
        <v>6694</v>
      </c>
      <c r="C9252" t="s">
        <v>6695</v>
      </c>
      <c r="D9252" t="s">
        <v>13412</v>
      </c>
    </row>
    <row r="9253" spans="1:4" x14ac:dyDescent="0.25">
      <c r="A9253" s="180">
        <f t="shared" si="144"/>
        <v>9003100</v>
      </c>
      <c r="B9253" t="s">
        <v>6694</v>
      </c>
      <c r="C9253" t="s">
        <v>6695</v>
      </c>
      <c r="D9253" t="s">
        <v>13412</v>
      </c>
    </row>
    <row r="9254" spans="1:4" x14ac:dyDescent="0.25">
      <c r="A9254" s="180">
        <f t="shared" si="144"/>
        <v>9003101</v>
      </c>
      <c r="B9254" t="s">
        <v>6696</v>
      </c>
      <c r="C9254" t="s">
        <v>6697</v>
      </c>
      <c r="D9254" t="s">
        <v>13412</v>
      </c>
    </row>
    <row r="9255" spans="1:4" x14ac:dyDescent="0.25">
      <c r="A9255" s="180">
        <f t="shared" si="144"/>
        <v>9003101</v>
      </c>
      <c r="B9255" t="s">
        <v>6696</v>
      </c>
      <c r="C9255" t="s">
        <v>6697</v>
      </c>
      <c r="D9255" t="s">
        <v>13412</v>
      </c>
    </row>
    <row r="9256" spans="1:4" x14ac:dyDescent="0.25">
      <c r="A9256" s="180">
        <f t="shared" si="144"/>
        <v>9003417</v>
      </c>
      <c r="B9256" t="s">
        <v>6698</v>
      </c>
      <c r="C9256" t="s">
        <v>6699</v>
      </c>
      <c r="D9256" t="s">
        <v>13412</v>
      </c>
    </row>
    <row r="9257" spans="1:4" x14ac:dyDescent="0.25">
      <c r="A9257" s="180">
        <f t="shared" si="144"/>
        <v>9003710</v>
      </c>
      <c r="B9257" t="s">
        <v>6700</v>
      </c>
      <c r="C9257" t="s">
        <v>6701</v>
      </c>
    </row>
    <row r="9258" spans="1:4" x14ac:dyDescent="0.25">
      <c r="A9258" s="180" t="str">
        <f t="shared" si="144"/>
        <v/>
      </c>
      <c r="B9258" t="s">
        <v>13137</v>
      </c>
    </row>
    <row r="9259" spans="1:4" x14ac:dyDescent="0.25">
      <c r="A9259" s="180">
        <f t="shared" si="144"/>
        <v>9003976</v>
      </c>
      <c r="B9259" t="s">
        <v>6702</v>
      </c>
      <c r="C9259" t="s">
        <v>6703</v>
      </c>
    </row>
    <row r="9260" spans="1:4" x14ac:dyDescent="0.25">
      <c r="A9260" s="180">
        <f t="shared" si="144"/>
        <v>900397601</v>
      </c>
      <c r="B9260" t="s">
        <v>6704</v>
      </c>
      <c r="C9260" t="s">
        <v>6705</v>
      </c>
    </row>
    <row r="9261" spans="1:4" x14ac:dyDescent="0.25">
      <c r="A9261" s="180" t="str">
        <f t="shared" si="144"/>
        <v/>
      </c>
      <c r="B9261" t="s">
        <v>13138</v>
      </c>
    </row>
    <row r="9262" spans="1:4" x14ac:dyDescent="0.25">
      <c r="A9262" s="180">
        <f t="shared" si="144"/>
        <v>900397602</v>
      </c>
      <c r="B9262" t="s">
        <v>6706</v>
      </c>
      <c r="C9262" t="s">
        <v>6707</v>
      </c>
    </row>
    <row r="9263" spans="1:4" x14ac:dyDescent="0.25">
      <c r="A9263" s="180" t="str">
        <f t="shared" si="144"/>
        <v/>
      </c>
      <c r="B9263" t="s">
        <v>13139</v>
      </c>
    </row>
    <row r="9264" spans="1:4" x14ac:dyDescent="0.25">
      <c r="A9264" s="180">
        <f t="shared" si="144"/>
        <v>9003978</v>
      </c>
      <c r="B9264" t="s">
        <v>6708</v>
      </c>
      <c r="C9264" t="s">
        <v>6709</v>
      </c>
      <c r="D9264" t="s">
        <v>13412</v>
      </c>
    </row>
    <row r="9265" spans="1:4" x14ac:dyDescent="0.25">
      <c r="A9265" s="180">
        <f t="shared" si="144"/>
        <v>9003978</v>
      </c>
      <c r="B9265" t="s">
        <v>6708</v>
      </c>
      <c r="C9265" t="s">
        <v>6709</v>
      </c>
      <c r="D9265" t="s">
        <v>13412</v>
      </c>
    </row>
    <row r="9266" spans="1:4" x14ac:dyDescent="0.25">
      <c r="A9266" s="180">
        <f t="shared" si="144"/>
        <v>900397801</v>
      </c>
      <c r="B9266" t="s">
        <v>6710</v>
      </c>
      <c r="C9266" t="s">
        <v>6711</v>
      </c>
    </row>
    <row r="9267" spans="1:4" x14ac:dyDescent="0.25">
      <c r="A9267" s="180" t="str">
        <f t="shared" si="144"/>
        <v/>
      </c>
      <c r="B9267" t="s">
        <v>13140</v>
      </c>
    </row>
    <row r="9268" spans="1:4" x14ac:dyDescent="0.25">
      <c r="A9268" s="180">
        <f t="shared" si="144"/>
        <v>900397802</v>
      </c>
      <c r="B9268" t="s">
        <v>6712</v>
      </c>
      <c r="C9268" t="s">
        <v>6713</v>
      </c>
    </row>
    <row r="9269" spans="1:4" x14ac:dyDescent="0.25">
      <c r="A9269" s="180" t="str">
        <f t="shared" si="144"/>
        <v/>
      </c>
      <c r="B9269" t="s">
        <v>13141</v>
      </c>
    </row>
    <row r="9270" spans="1:4" x14ac:dyDescent="0.25">
      <c r="A9270" s="180">
        <f t="shared" si="144"/>
        <v>9003981</v>
      </c>
      <c r="B9270" t="s">
        <v>6714</v>
      </c>
      <c r="C9270" t="s">
        <v>6715</v>
      </c>
    </row>
    <row r="9271" spans="1:4" x14ac:dyDescent="0.25">
      <c r="A9271" s="180">
        <f t="shared" si="144"/>
        <v>9003985</v>
      </c>
      <c r="B9271" t="s">
        <v>6716</v>
      </c>
      <c r="C9271" t="s">
        <v>6717</v>
      </c>
    </row>
    <row r="9272" spans="1:4" x14ac:dyDescent="0.25">
      <c r="A9272" s="180">
        <f t="shared" si="144"/>
        <v>900398501</v>
      </c>
      <c r="B9272" t="s">
        <v>6718</v>
      </c>
      <c r="C9272" t="s">
        <v>6719</v>
      </c>
    </row>
    <row r="9273" spans="1:4" x14ac:dyDescent="0.25">
      <c r="A9273" s="180" t="str">
        <f t="shared" si="144"/>
        <v/>
      </c>
      <c r="B9273" t="s">
        <v>13142</v>
      </c>
    </row>
    <row r="9274" spans="1:4" x14ac:dyDescent="0.25">
      <c r="A9274" s="180">
        <f t="shared" si="144"/>
        <v>900398502</v>
      </c>
      <c r="B9274" t="s">
        <v>6720</v>
      </c>
      <c r="C9274" t="s">
        <v>6721</v>
      </c>
    </row>
    <row r="9275" spans="1:4" x14ac:dyDescent="0.25">
      <c r="A9275" s="180" t="str">
        <f t="shared" si="144"/>
        <v/>
      </c>
      <c r="B9275" t="s">
        <v>13143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>
        <f t="shared" si="144"/>
        <v>9003986</v>
      </c>
      <c r="B9277" t="s">
        <v>6722</v>
      </c>
      <c r="C9277" t="s">
        <v>6723</v>
      </c>
    </row>
    <row r="9278" spans="1:4" x14ac:dyDescent="0.25">
      <c r="A9278" s="180">
        <f t="shared" si="144"/>
        <v>9003988</v>
      </c>
      <c r="B9278" t="s">
        <v>6724</v>
      </c>
      <c r="C9278" t="s">
        <v>6725</v>
      </c>
      <c r="D9278" t="s">
        <v>13412</v>
      </c>
    </row>
    <row r="9279" spans="1:4" x14ac:dyDescent="0.25">
      <c r="A9279" s="180">
        <f t="shared" ref="A9279:A9342" si="145">IFERROR(B9279*1,"")</f>
        <v>9003993</v>
      </c>
      <c r="B9279" t="s">
        <v>6726</v>
      </c>
      <c r="C9279" t="s">
        <v>6727</v>
      </c>
      <c r="D9279" t="s">
        <v>13412</v>
      </c>
    </row>
    <row r="9280" spans="1:4" x14ac:dyDescent="0.25">
      <c r="A9280" s="180">
        <f t="shared" si="145"/>
        <v>900399301</v>
      </c>
      <c r="B9280" t="s">
        <v>6728</v>
      </c>
      <c r="C9280" t="s">
        <v>6729</v>
      </c>
    </row>
    <row r="9281" spans="1:3" x14ac:dyDescent="0.25">
      <c r="A9281" s="180">
        <f t="shared" si="145"/>
        <v>900399302</v>
      </c>
      <c r="B9281" t="s">
        <v>6730</v>
      </c>
      <c r="C9281" t="s">
        <v>6731</v>
      </c>
    </row>
    <row r="9282" spans="1:3" x14ac:dyDescent="0.25">
      <c r="A9282" s="180">
        <f t="shared" si="145"/>
        <v>900697601</v>
      </c>
      <c r="B9282" t="s">
        <v>6732</v>
      </c>
      <c r="C9282" t="s">
        <v>6705</v>
      </c>
    </row>
    <row r="9283" spans="1:3" x14ac:dyDescent="0.25">
      <c r="A9283" s="180" t="str">
        <f t="shared" si="145"/>
        <v/>
      </c>
      <c r="B9283" t="s">
        <v>13145</v>
      </c>
    </row>
    <row r="9284" spans="1:3" x14ac:dyDescent="0.25">
      <c r="A9284" s="180">
        <f t="shared" si="145"/>
        <v>9010000</v>
      </c>
      <c r="B9284" t="s">
        <v>6733</v>
      </c>
      <c r="C9284" t="s">
        <v>6734</v>
      </c>
    </row>
    <row r="9285" spans="1:3" x14ac:dyDescent="0.25">
      <c r="A9285" s="180" t="str">
        <f t="shared" si="145"/>
        <v/>
      </c>
      <c r="B9285" t="s">
        <v>13146</v>
      </c>
    </row>
    <row r="9286" spans="1:3" x14ac:dyDescent="0.25">
      <c r="A9286" s="180">
        <f t="shared" si="145"/>
        <v>9010001</v>
      </c>
      <c r="B9286" t="s">
        <v>6735</v>
      </c>
      <c r="C9286" t="s">
        <v>6736</v>
      </c>
    </row>
    <row r="9287" spans="1:3" x14ac:dyDescent="0.25">
      <c r="A9287" s="180" t="str">
        <f t="shared" si="145"/>
        <v/>
      </c>
      <c r="B9287" t="s">
        <v>13147</v>
      </c>
    </row>
    <row r="9288" spans="1:3" x14ac:dyDescent="0.25">
      <c r="A9288" s="180">
        <f t="shared" si="145"/>
        <v>9010002</v>
      </c>
      <c r="B9288" t="s">
        <v>6737</v>
      </c>
      <c r="C9288" t="s">
        <v>6738</v>
      </c>
    </row>
    <row r="9289" spans="1:3" x14ac:dyDescent="0.25">
      <c r="A9289" s="180" t="str">
        <f t="shared" si="145"/>
        <v/>
      </c>
      <c r="B9289" t="s">
        <v>13148</v>
      </c>
    </row>
    <row r="9290" spans="1:3" x14ac:dyDescent="0.25">
      <c r="A9290" s="180">
        <f t="shared" si="145"/>
        <v>9010003</v>
      </c>
      <c r="B9290" t="s">
        <v>6739</v>
      </c>
      <c r="C9290" t="s">
        <v>6740</v>
      </c>
    </row>
    <row r="9291" spans="1:3" x14ac:dyDescent="0.25">
      <c r="A9291" s="180" t="str">
        <f t="shared" si="145"/>
        <v/>
      </c>
      <c r="B9291" t="s">
        <v>13149</v>
      </c>
    </row>
    <row r="9292" spans="1:3" x14ac:dyDescent="0.25">
      <c r="A9292" s="180">
        <f t="shared" si="145"/>
        <v>9010004</v>
      </c>
      <c r="B9292" t="s">
        <v>6741</v>
      </c>
      <c r="C9292" t="s">
        <v>6742</v>
      </c>
    </row>
    <row r="9293" spans="1:3" x14ac:dyDescent="0.25">
      <c r="A9293" s="180" t="str">
        <f t="shared" si="145"/>
        <v/>
      </c>
      <c r="B9293" t="s">
        <v>13150</v>
      </c>
    </row>
    <row r="9294" spans="1:3" x14ac:dyDescent="0.25">
      <c r="A9294" s="180">
        <f t="shared" si="145"/>
        <v>9010005</v>
      </c>
      <c r="B9294" t="s">
        <v>6743</v>
      </c>
      <c r="C9294" t="s">
        <v>6744</v>
      </c>
    </row>
    <row r="9295" spans="1:3" x14ac:dyDescent="0.25">
      <c r="A9295" s="180" t="str">
        <f t="shared" si="145"/>
        <v/>
      </c>
      <c r="B9295" t="s">
        <v>13151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>
        <f t="shared" si="145"/>
        <v>9010841</v>
      </c>
      <c r="B9297" t="s">
        <v>6745</v>
      </c>
      <c r="C9297" t="s">
        <v>6746</v>
      </c>
    </row>
    <row r="9298" spans="1:4" x14ac:dyDescent="0.25">
      <c r="A9298" s="180" t="str">
        <f t="shared" si="145"/>
        <v/>
      </c>
      <c r="B9298" t="s">
        <v>13153</v>
      </c>
    </row>
    <row r="9299" spans="1:4" x14ac:dyDescent="0.25">
      <c r="A9299" s="180">
        <f t="shared" si="145"/>
        <v>9709018</v>
      </c>
      <c r="B9299" t="s">
        <v>6747</v>
      </c>
      <c r="C9299" t="s">
        <v>5211</v>
      </c>
    </row>
    <row r="9300" spans="1:4" x14ac:dyDescent="0.25">
      <c r="A9300" s="180" t="str">
        <f t="shared" si="145"/>
        <v/>
      </c>
      <c r="B9300" t="s">
        <v>13154</v>
      </c>
    </row>
    <row r="9301" spans="1:4" x14ac:dyDescent="0.25">
      <c r="A9301" s="180">
        <f t="shared" si="145"/>
        <v>9716020</v>
      </c>
      <c r="B9301" t="s">
        <v>6748</v>
      </c>
      <c r="C9301" t="s">
        <v>5566</v>
      </c>
    </row>
    <row r="9302" spans="1:4" x14ac:dyDescent="0.25">
      <c r="A9302" s="180" t="str">
        <f t="shared" si="145"/>
        <v/>
      </c>
      <c r="B9302" t="s">
        <v>13155</v>
      </c>
    </row>
    <row r="9303" spans="1:4" x14ac:dyDescent="0.25">
      <c r="A9303" s="180">
        <f t="shared" si="145"/>
        <v>9716021</v>
      </c>
      <c r="B9303" t="s">
        <v>6749</v>
      </c>
      <c r="C9303" t="s">
        <v>5568</v>
      </c>
    </row>
    <row r="9304" spans="1:4" x14ac:dyDescent="0.25">
      <c r="A9304" s="180" t="str">
        <f t="shared" si="145"/>
        <v/>
      </c>
      <c r="B9304" t="s">
        <v>13156</v>
      </c>
    </row>
    <row r="9305" spans="1:4" x14ac:dyDescent="0.25">
      <c r="A9305" s="180">
        <f t="shared" si="145"/>
        <v>9859017</v>
      </c>
      <c r="B9305" t="s">
        <v>6750</v>
      </c>
      <c r="C9305" t="s">
        <v>6751</v>
      </c>
    </row>
    <row r="9306" spans="1:4" x14ac:dyDescent="0.25">
      <c r="A9306" s="180" t="str">
        <f t="shared" si="145"/>
        <v/>
      </c>
      <c r="B9306" t="s">
        <v>13157</v>
      </c>
    </row>
    <row r="9307" spans="1:4" x14ac:dyDescent="0.25">
      <c r="A9307" s="180">
        <f t="shared" si="145"/>
        <v>999</v>
      </c>
      <c r="B9307" t="s">
        <v>6752</v>
      </c>
      <c r="C9307" t="s">
        <v>6753</v>
      </c>
    </row>
    <row r="9308" spans="1:4" x14ac:dyDescent="0.25">
      <c r="A9308" s="180">
        <f t="shared" si="145"/>
        <v>9999000</v>
      </c>
      <c r="B9308" t="s">
        <v>12964</v>
      </c>
      <c r="C9308" t="s">
        <v>12965</v>
      </c>
      <c r="D9308" t="s">
        <v>13412</v>
      </c>
    </row>
    <row r="9309" spans="1:4" x14ac:dyDescent="0.25">
      <c r="A9309" s="180">
        <f t="shared" si="145"/>
        <v>9999022</v>
      </c>
      <c r="B9309" t="s">
        <v>6754</v>
      </c>
      <c r="C9309" t="s">
        <v>6755</v>
      </c>
    </row>
    <row r="9310" spans="1:4" x14ac:dyDescent="0.25">
      <c r="A9310" s="180" t="str">
        <f t="shared" si="145"/>
        <v/>
      </c>
      <c r="B9310" t="s">
        <v>13158</v>
      </c>
    </row>
    <row r="9311" spans="1:4" x14ac:dyDescent="0.25">
      <c r="A9311" s="180">
        <f t="shared" si="145"/>
        <v>9999025</v>
      </c>
      <c r="B9311" t="s">
        <v>6756</v>
      </c>
      <c r="C9311" t="s">
        <v>6757</v>
      </c>
      <c r="D9311" t="s">
        <v>13411</v>
      </c>
    </row>
    <row r="9312" spans="1:4" x14ac:dyDescent="0.25">
      <c r="A9312" s="180">
        <f t="shared" si="145"/>
        <v>9999026</v>
      </c>
      <c r="B9312" t="s">
        <v>6758</v>
      </c>
      <c r="C9312" t="s">
        <v>6759</v>
      </c>
    </row>
    <row r="9313" spans="1:3" x14ac:dyDescent="0.25">
      <c r="A9313" s="180" t="str">
        <f t="shared" si="145"/>
        <v/>
      </c>
      <c r="B9313" t="s">
        <v>13159</v>
      </c>
    </row>
    <row r="9314" spans="1:3" x14ac:dyDescent="0.25">
      <c r="A9314" s="180">
        <f t="shared" si="145"/>
        <v>9999050</v>
      </c>
      <c r="B9314" t="s">
        <v>6760</v>
      </c>
      <c r="C9314" t="s">
        <v>6761</v>
      </c>
    </row>
    <row r="9315" spans="1:3" x14ac:dyDescent="0.25">
      <c r="A9315" s="180" t="str">
        <f t="shared" si="145"/>
        <v/>
      </c>
      <c r="B9315" t="s">
        <v>13160</v>
      </c>
    </row>
    <row r="9316" spans="1:3" x14ac:dyDescent="0.25">
      <c r="A9316" s="180">
        <f t="shared" si="145"/>
        <v>9999075</v>
      </c>
      <c r="B9316" t="s">
        <v>6762</v>
      </c>
      <c r="C9316" t="s">
        <v>6763</v>
      </c>
    </row>
    <row r="9317" spans="1:3" x14ac:dyDescent="0.25">
      <c r="A9317" s="180" t="str">
        <f t="shared" si="145"/>
        <v/>
      </c>
      <c r="B9317" t="s">
        <v>14549</v>
      </c>
    </row>
    <row r="9318" spans="1:3" x14ac:dyDescent="0.25">
      <c r="A9318" s="180" t="str">
        <f t="shared" si="145"/>
        <v/>
      </c>
      <c r="B9318" t="s">
        <v>14550</v>
      </c>
      <c r="C9318" t="s">
        <v>14551</v>
      </c>
    </row>
    <row r="9319" spans="1:3" x14ac:dyDescent="0.25">
      <c r="A9319" s="180" t="str">
        <f t="shared" si="145"/>
        <v/>
      </c>
      <c r="B9319" t="s">
        <v>14552</v>
      </c>
      <c r="C9319" t="s">
        <v>14553</v>
      </c>
    </row>
    <row r="9320" spans="1:3" x14ac:dyDescent="0.25">
      <c r="A9320" s="180" t="str">
        <f t="shared" si="145"/>
        <v/>
      </c>
      <c r="B9320" t="s">
        <v>14554</v>
      </c>
      <c r="C9320" t="s">
        <v>14555</v>
      </c>
    </row>
    <row r="9321" spans="1:3" x14ac:dyDescent="0.25">
      <c r="A9321" s="180" t="str">
        <f t="shared" si="145"/>
        <v/>
      </c>
      <c r="B9321" t="s">
        <v>14556</v>
      </c>
      <c r="C9321" t="s">
        <v>14557</v>
      </c>
    </row>
    <row r="9322" spans="1:3" x14ac:dyDescent="0.25">
      <c r="A9322" s="180" t="str">
        <f t="shared" si="145"/>
        <v/>
      </c>
      <c r="B9322" t="s">
        <v>14558</v>
      </c>
      <c r="C9322" t="s">
        <v>14559</v>
      </c>
    </row>
    <row r="9323" spans="1:3" x14ac:dyDescent="0.25">
      <c r="A9323" s="180" t="str">
        <f t="shared" si="145"/>
        <v/>
      </c>
      <c r="B9323" t="s">
        <v>14560</v>
      </c>
      <c r="C9323" t="s">
        <v>14561</v>
      </c>
    </row>
    <row r="9324" spans="1:3" x14ac:dyDescent="0.25">
      <c r="A9324" s="180" t="str">
        <f t="shared" si="145"/>
        <v/>
      </c>
      <c r="B9324" t="s">
        <v>14562</v>
      </c>
      <c r="C9324" t="s">
        <v>14563</v>
      </c>
    </row>
    <row r="9325" spans="1:3" x14ac:dyDescent="0.25">
      <c r="A9325" s="180" t="str">
        <f t="shared" si="145"/>
        <v/>
      </c>
      <c r="B9325" t="s">
        <v>14564</v>
      </c>
      <c r="C9325" t="s">
        <v>14565</v>
      </c>
    </row>
    <row r="9326" spans="1:3" x14ac:dyDescent="0.25">
      <c r="A9326" s="180" t="str">
        <f t="shared" si="145"/>
        <v/>
      </c>
      <c r="B9326" t="s">
        <v>14566</v>
      </c>
      <c r="C9326" t="s">
        <v>14567</v>
      </c>
    </row>
    <row r="9327" spans="1:3" x14ac:dyDescent="0.25">
      <c r="A9327" s="180" t="str">
        <f t="shared" si="145"/>
        <v/>
      </c>
      <c r="B9327" t="s">
        <v>14568</v>
      </c>
      <c r="C9327" t="s">
        <v>14569</v>
      </c>
    </row>
    <row r="9328" spans="1:3" x14ac:dyDescent="0.25">
      <c r="A9328" s="180" t="str">
        <f t="shared" si="145"/>
        <v/>
      </c>
      <c r="B9328" t="s">
        <v>14570</v>
      </c>
      <c r="C9328" t="s">
        <v>14571</v>
      </c>
    </row>
    <row r="9329" spans="1:3" x14ac:dyDescent="0.25">
      <c r="A9329" s="180" t="str">
        <f t="shared" si="145"/>
        <v/>
      </c>
      <c r="B9329" t="s">
        <v>14572</v>
      </c>
      <c r="C9329" t="s">
        <v>14573</v>
      </c>
    </row>
    <row r="9330" spans="1:3" x14ac:dyDescent="0.25">
      <c r="A9330" s="180" t="str">
        <f t="shared" si="145"/>
        <v/>
      </c>
      <c r="B9330" t="s">
        <v>14574</v>
      </c>
      <c r="C9330" t="s">
        <v>14575</v>
      </c>
    </row>
    <row r="9331" spans="1:3" x14ac:dyDescent="0.25">
      <c r="A9331" s="180" t="str">
        <f t="shared" si="145"/>
        <v/>
      </c>
      <c r="B9331" t="s">
        <v>14576</v>
      </c>
      <c r="C9331" t="s">
        <v>14577</v>
      </c>
    </row>
    <row r="9332" spans="1:3" x14ac:dyDescent="0.25">
      <c r="A9332" s="180" t="str">
        <f t="shared" si="145"/>
        <v/>
      </c>
      <c r="B9332" t="s">
        <v>14578</v>
      </c>
      <c r="C9332" t="s">
        <v>14579</v>
      </c>
    </row>
    <row r="9333" spans="1:3" x14ac:dyDescent="0.25">
      <c r="A9333" s="180" t="str">
        <f t="shared" si="145"/>
        <v/>
      </c>
      <c r="B9333" t="s">
        <v>14580</v>
      </c>
      <c r="C9333" t="s">
        <v>14581</v>
      </c>
    </row>
    <row r="9334" spans="1:3" x14ac:dyDescent="0.25">
      <c r="A9334" s="180" t="str">
        <f t="shared" si="145"/>
        <v/>
      </c>
      <c r="B9334" t="s">
        <v>14582</v>
      </c>
      <c r="C9334" t="s">
        <v>14583</v>
      </c>
    </row>
    <row r="9335" spans="1:3" x14ac:dyDescent="0.25">
      <c r="A9335" s="180" t="str">
        <f t="shared" si="145"/>
        <v/>
      </c>
      <c r="B9335" t="s">
        <v>14584</v>
      </c>
      <c r="C9335" t="s">
        <v>14585</v>
      </c>
    </row>
    <row r="9336" spans="1:3" x14ac:dyDescent="0.25">
      <c r="A9336" s="180" t="str">
        <f t="shared" si="145"/>
        <v/>
      </c>
      <c r="B9336" t="s">
        <v>14586</v>
      </c>
      <c r="C9336" t="s">
        <v>14587</v>
      </c>
    </row>
    <row r="9337" spans="1:3" x14ac:dyDescent="0.25">
      <c r="A9337" s="180" t="str">
        <f t="shared" si="145"/>
        <v/>
      </c>
      <c r="B9337" t="s">
        <v>14588</v>
      </c>
      <c r="C9337" t="s">
        <v>14589</v>
      </c>
    </row>
    <row r="9338" spans="1:3" x14ac:dyDescent="0.25">
      <c r="A9338" s="180" t="str">
        <f t="shared" si="145"/>
        <v/>
      </c>
      <c r="B9338" t="s">
        <v>14590</v>
      </c>
      <c r="C9338" t="s">
        <v>14591</v>
      </c>
    </row>
    <row r="9339" spans="1:3" x14ac:dyDescent="0.25">
      <c r="A9339" s="180" t="str">
        <f t="shared" si="145"/>
        <v/>
      </c>
      <c r="B9339" t="s">
        <v>14592</v>
      </c>
      <c r="C9339" t="s">
        <v>14593</v>
      </c>
    </row>
    <row r="9340" spans="1:3" x14ac:dyDescent="0.25">
      <c r="A9340" s="180" t="str">
        <f t="shared" si="145"/>
        <v/>
      </c>
      <c r="B9340" t="s">
        <v>14594</v>
      </c>
      <c r="C9340" t="s">
        <v>14595</v>
      </c>
    </row>
    <row r="9341" spans="1:3" x14ac:dyDescent="0.25">
      <c r="A9341" s="180" t="str">
        <f t="shared" si="145"/>
        <v/>
      </c>
      <c r="B9341" t="s">
        <v>14596</v>
      </c>
      <c r="C9341" t="s">
        <v>14597</v>
      </c>
    </row>
    <row r="9342" spans="1:3" x14ac:dyDescent="0.25">
      <c r="A9342" s="180" t="str">
        <f t="shared" si="145"/>
        <v/>
      </c>
      <c r="B9342" t="s">
        <v>14598</v>
      </c>
      <c r="C9342" t="s">
        <v>14599</v>
      </c>
    </row>
    <row r="9343" spans="1:3" x14ac:dyDescent="0.25">
      <c r="A9343" s="180" t="str">
        <f t="shared" ref="A9343:A9406" si="146">IFERROR(B9343*1,"")</f>
        <v/>
      </c>
      <c r="B9343" t="s">
        <v>14600</v>
      </c>
      <c r="C9343" t="s">
        <v>14601</v>
      </c>
    </row>
    <row r="9344" spans="1:3" x14ac:dyDescent="0.25">
      <c r="A9344" s="180" t="str">
        <f t="shared" si="146"/>
        <v/>
      </c>
      <c r="B9344" t="s">
        <v>14602</v>
      </c>
      <c r="C9344" t="s">
        <v>14603</v>
      </c>
    </row>
    <row r="9345" spans="1:3" x14ac:dyDescent="0.25">
      <c r="A9345" s="180" t="str">
        <f t="shared" si="146"/>
        <v/>
      </c>
      <c r="B9345" t="s">
        <v>14604</v>
      </c>
      <c r="C9345" t="s">
        <v>14605</v>
      </c>
    </row>
    <row r="9346" spans="1:3" x14ac:dyDescent="0.25">
      <c r="A9346" s="180" t="str">
        <f t="shared" si="146"/>
        <v/>
      </c>
      <c r="B9346" t="s">
        <v>14606</v>
      </c>
      <c r="C9346" t="s">
        <v>14607</v>
      </c>
    </row>
    <row r="9347" spans="1:3" x14ac:dyDescent="0.25">
      <c r="A9347" s="180" t="str">
        <f t="shared" si="146"/>
        <v/>
      </c>
      <c r="B9347" t="s">
        <v>14608</v>
      </c>
      <c r="C9347" t="s">
        <v>14609</v>
      </c>
    </row>
    <row r="9348" spans="1:3" x14ac:dyDescent="0.25">
      <c r="A9348" s="180" t="str">
        <f t="shared" si="146"/>
        <v/>
      </c>
      <c r="B9348" t="s">
        <v>14610</v>
      </c>
      <c r="C9348" t="s">
        <v>14611</v>
      </c>
    </row>
    <row r="9349" spans="1:3" x14ac:dyDescent="0.25">
      <c r="A9349" s="180" t="str">
        <f t="shared" si="146"/>
        <v/>
      </c>
      <c r="B9349" t="s">
        <v>14612</v>
      </c>
      <c r="C9349" t="s">
        <v>14613</v>
      </c>
    </row>
    <row r="9350" spans="1:3" x14ac:dyDescent="0.25">
      <c r="A9350" s="180" t="str">
        <f t="shared" si="146"/>
        <v/>
      </c>
      <c r="B9350" t="s">
        <v>14614</v>
      </c>
      <c r="C9350" t="s">
        <v>14615</v>
      </c>
    </row>
    <row r="9351" spans="1:3" x14ac:dyDescent="0.25">
      <c r="A9351" s="180" t="str">
        <f t="shared" si="146"/>
        <v/>
      </c>
      <c r="B9351" t="s">
        <v>14616</v>
      </c>
      <c r="C9351" t="s">
        <v>14617</v>
      </c>
    </row>
    <row r="9352" spans="1:3" x14ac:dyDescent="0.25">
      <c r="A9352" s="180" t="str">
        <f t="shared" si="146"/>
        <v/>
      </c>
      <c r="B9352" t="s">
        <v>14618</v>
      </c>
    </row>
    <row r="9353" spans="1:3" x14ac:dyDescent="0.25">
      <c r="A9353" s="180" t="str">
        <f t="shared" si="146"/>
        <v/>
      </c>
      <c r="B9353" t="s">
        <v>14619</v>
      </c>
      <c r="C9353" t="s">
        <v>14620</v>
      </c>
    </row>
    <row r="9354" spans="1:3" x14ac:dyDescent="0.25">
      <c r="A9354" s="180" t="str">
        <f t="shared" si="146"/>
        <v/>
      </c>
      <c r="B9354" t="s">
        <v>14621</v>
      </c>
      <c r="C9354" t="s">
        <v>14622</v>
      </c>
    </row>
    <row r="9355" spans="1:3" x14ac:dyDescent="0.25">
      <c r="A9355" s="180" t="str">
        <f t="shared" si="146"/>
        <v/>
      </c>
      <c r="B9355" t="s">
        <v>14623</v>
      </c>
      <c r="C9355" t="s">
        <v>14624</v>
      </c>
    </row>
    <row r="9356" spans="1:3" x14ac:dyDescent="0.25">
      <c r="A9356" s="180" t="str">
        <f t="shared" si="146"/>
        <v/>
      </c>
      <c r="B9356" t="s">
        <v>14625</v>
      </c>
      <c r="C9356" t="s">
        <v>14626</v>
      </c>
    </row>
    <row r="9357" spans="1:3" x14ac:dyDescent="0.25">
      <c r="A9357" s="180" t="str">
        <f t="shared" si="146"/>
        <v/>
      </c>
      <c r="B9357" t="s">
        <v>14627</v>
      </c>
      <c r="C9357" t="s">
        <v>14628</v>
      </c>
    </row>
    <row r="9358" spans="1:3" x14ac:dyDescent="0.25">
      <c r="A9358" s="180" t="str">
        <f t="shared" si="146"/>
        <v/>
      </c>
      <c r="B9358" t="s">
        <v>14629</v>
      </c>
      <c r="C9358" t="s">
        <v>14630</v>
      </c>
    </row>
    <row r="9359" spans="1:3" x14ac:dyDescent="0.25">
      <c r="A9359" s="180" t="str">
        <f t="shared" si="146"/>
        <v/>
      </c>
      <c r="B9359" t="s">
        <v>14631</v>
      </c>
      <c r="C9359" t="s">
        <v>14632</v>
      </c>
    </row>
    <row r="9360" spans="1:3" x14ac:dyDescent="0.25">
      <c r="A9360" s="180" t="str">
        <f t="shared" si="146"/>
        <v/>
      </c>
      <c r="B9360" t="s">
        <v>14633</v>
      </c>
      <c r="C9360" t="s">
        <v>14634</v>
      </c>
    </row>
    <row r="9361" spans="1:3" x14ac:dyDescent="0.25">
      <c r="A9361" s="180" t="str">
        <f t="shared" si="146"/>
        <v/>
      </c>
      <c r="B9361" t="s">
        <v>14635</v>
      </c>
      <c r="C9361" t="s">
        <v>14636</v>
      </c>
    </row>
    <row r="9362" spans="1:3" x14ac:dyDescent="0.25">
      <c r="A9362" s="180" t="str">
        <f t="shared" si="146"/>
        <v/>
      </c>
      <c r="B9362" t="s">
        <v>14637</v>
      </c>
      <c r="C9362" t="s">
        <v>14638</v>
      </c>
    </row>
    <row r="9363" spans="1:3" x14ac:dyDescent="0.25">
      <c r="A9363" s="180" t="str">
        <f t="shared" si="146"/>
        <v/>
      </c>
      <c r="B9363" t="s">
        <v>14639</v>
      </c>
      <c r="C9363" t="s">
        <v>14640</v>
      </c>
    </row>
    <row r="9364" spans="1:3" x14ac:dyDescent="0.25">
      <c r="A9364" s="180" t="str">
        <f t="shared" si="146"/>
        <v/>
      </c>
      <c r="B9364" t="s">
        <v>14641</v>
      </c>
      <c r="C9364" t="s">
        <v>14642</v>
      </c>
    </row>
    <row r="9365" spans="1:3" x14ac:dyDescent="0.25">
      <c r="A9365" s="180" t="str">
        <f t="shared" si="146"/>
        <v/>
      </c>
      <c r="B9365" t="s">
        <v>14643</v>
      </c>
      <c r="C9365" t="s">
        <v>14644</v>
      </c>
    </row>
    <row r="9366" spans="1:3" x14ac:dyDescent="0.25">
      <c r="A9366" s="180" t="str">
        <f t="shared" si="146"/>
        <v/>
      </c>
      <c r="B9366" t="s">
        <v>14645</v>
      </c>
      <c r="C9366" t="s">
        <v>14646</v>
      </c>
    </row>
    <row r="9367" spans="1:3" x14ac:dyDescent="0.25">
      <c r="A9367" s="180" t="str">
        <f t="shared" si="146"/>
        <v/>
      </c>
      <c r="B9367" t="s">
        <v>14647</v>
      </c>
      <c r="C9367" t="s">
        <v>14648</v>
      </c>
    </row>
    <row r="9368" spans="1:3" x14ac:dyDescent="0.25">
      <c r="A9368" s="180" t="str">
        <f t="shared" si="146"/>
        <v/>
      </c>
      <c r="B9368" t="s">
        <v>14649</v>
      </c>
      <c r="C9368" t="s">
        <v>14650</v>
      </c>
    </row>
    <row r="9369" spans="1:3" x14ac:dyDescent="0.25">
      <c r="A9369" s="180" t="str">
        <f t="shared" si="146"/>
        <v/>
      </c>
      <c r="B9369" t="s">
        <v>14651</v>
      </c>
      <c r="C9369" t="s">
        <v>14650</v>
      </c>
    </row>
    <row r="9370" spans="1:3" x14ac:dyDescent="0.25">
      <c r="A9370" s="180" t="str">
        <f t="shared" si="146"/>
        <v/>
      </c>
      <c r="B9370" t="s">
        <v>14652</v>
      </c>
      <c r="C9370" t="s">
        <v>14653</v>
      </c>
    </row>
    <row r="9371" spans="1:3" x14ac:dyDescent="0.25">
      <c r="A9371" s="180" t="str">
        <f t="shared" si="146"/>
        <v/>
      </c>
      <c r="B9371" t="s">
        <v>14654</v>
      </c>
      <c r="C9371" t="s">
        <v>14655</v>
      </c>
    </row>
    <row r="9372" spans="1:3" x14ac:dyDescent="0.25">
      <c r="A9372" s="180" t="str">
        <f t="shared" si="146"/>
        <v/>
      </c>
      <c r="B9372" t="s">
        <v>14656</v>
      </c>
      <c r="C9372" t="s">
        <v>14657</v>
      </c>
    </row>
    <row r="9373" spans="1:3" x14ac:dyDescent="0.25">
      <c r="A9373" s="180" t="str">
        <f t="shared" si="146"/>
        <v/>
      </c>
      <c r="B9373" t="s">
        <v>14658</v>
      </c>
      <c r="C9373" t="s">
        <v>14659</v>
      </c>
    </row>
    <row r="9374" spans="1:3" x14ac:dyDescent="0.25">
      <c r="A9374" s="180" t="str">
        <f t="shared" si="146"/>
        <v/>
      </c>
      <c r="B9374" t="s">
        <v>14660</v>
      </c>
      <c r="C9374" t="s">
        <v>14661</v>
      </c>
    </row>
    <row r="9375" spans="1:3" x14ac:dyDescent="0.25">
      <c r="A9375" s="180" t="str">
        <f t="shared" si="146"/>
        <v/>
      </c>
      <c r="B9375" t="s">
        <v>14662</v>
      </c>
      <c r="C9375" t="s">
        <v>14663</v>
      </c>
    </row>
    <row r="9376" spans="1:3" x14ac:dyDescent="0.25">
      <c r="A9376" s="180" t="str">
        <f t="shared" si="146"/>
        <v/>
      </c>
      <c r="B9376" t="s">
        <v>14664</v>
      </c>
      <c r="C9376" t="s">
        <v>14665</v>
      </c>
    </row>
    <row r="9377" spans="1:3" x14ac:dyDescent="0.25">
      <c r="A9377" s="180" t="str">
        <f t="shared" si="146"/>
        <v/>
      </c>
      <c r="B9377" t="s">
        <v>14666</v>
      </c>
      <c r="C9377" t="s">
        <v>14667</v>
      </c>
    </row>
    <row r="9378" spans="1:3" x14ac:dyDescent="0.25">
      <c r="A9378" s="180" t="str">
        <f t="shared" si="146"/>
        <v/>
      </c>
      <c r="B9378" t="s">
        <v>14668</v>
      </c>
      <c r="C9378" t="s">
        <v>14669</v>
      </c>
    </row>
    <row r="9379" spans="1:3" x14ac:dyDescent="0.25">
      <c r="A9379" s="180" t="str">
        <f t="shared" si="146"/>
        <v/>
      </c>
      <c r="B9379" t="s">
        <v>14670</v>
      </c>
      <c r="C9379" t="s">
        <v>14671</v>
      </c>
    </row>
    <row r="9380" spans="1:3" x14ac:dyDescent="0.25">
      <c r="A9380" s="180" t="str">
        <f t="shared" si="146"/>
        <v/>
      </c>
      <c r="B9380" t="s">
        <v>14672</v>
      </c>
      <c r="C9380" t="s">
        <v>14673</v>
      </c>
    </row>
    <row r="9381" spans="1:3" x14ac:dyDescent="0.25">
      <c r="A9381" s="180" t="str">
        <f t="shared" si="146"/>
        <v/>
      </c>
      <c r="B9381" t="s">
        <v>14674</v>
      </c>
      <c r="C9381" t="s">
        <v>14675</v>
      </c>
    </row>
    <row r="9382" spans="1:3" x14ac:dyDescent="0.25">
      <c r="A9382" s="180" t="str">
        <f t="shared" si="146"/>
        <v/>
      </c>
      <c r="B9382" t="s">
        <v>14676</v>
      </c>
      <c r="C9382" t="s">
        <v>14677</v>
      </c>
    </row>
    <row r="9383" spans="1:3" x14ac:dyDescent="0.25">
      <c r="A9383" s="180" t="str">
        <f t="shared" si="146"/>
        <v/>
      </c>
      <c r="B9383" t="s">
        <v>14678</v>
      </c>
      <c r="C9383" t="s">
        <v>14679</v>
      </c>
    </row>
    <row r="9384" spans="1:3" x14ac:dyDescent="0.25">
      <c r="A9384" s="180" t="str">
        <f t="shared" si="146"/>
        <v/>
      </c>
      <c r="B9384" t="s">
        <v>14680</v>
      </c>
      <c r="C9384" t="s">
        <v>14681</v>
      </c>
    </row>
    <row r="9385" spans="1:3" x14ac:dyDescent="0.25">
      <c r="A9385" s="180" t="str">
        <f t="shared" si="146"/>
        <v/>
      </c>
      <c r="B9385" t="s">
        <v>14682</v>
      </c>
      <c r="C9385" t="s">
        <v>14683</v>
      </c>
    </row>
    <row r="9386" spans="1:3" x14ac:dyDescent="0.25">
      <c r="A9386" s="180" t="str">
        <f t="shared" si="146"/>
        <v/>
      </c>
      <c r="B9386" t="s">
        <v>14684</v>
      </c>
      <c r="C9386" t="s">
        <v>14685</v>
      </c>
    </row>
    <row r="9387" spans="1:3" x14ac:dyDescent="0.25">
      <c r="A9387" s="180" t="str">
        <f t="shared" si="146"/>
        <v/>
      </c>
      <c r="B9387" t="s">
        <v>14686</v>
      </c>
      <c r="C9387" t="s">
        <v>14687</v>
      </c>
    </row>
    <row r="9388" spans="1:3" x14ac:dyDescent="0.25">
      <c r="A9388" s="180" t="str">
        <f t="shared" si="146"/>
        <v/>
      </c>
      <c r="B9388" t="s">
        <v>14688</v>
      </c>
      <c r="C9388" t="s">
        <v>14687</v>
      </c>
    </row>
    <row r="9389" spans="1:3" x14ac:dyDescent="0.25">
      <c r="A9389" s="180" t="str">
        <f t="shared" si="146"/>
        <v/>
      </c>
      <c r="B9389" t="s">
        <v>14689</v>
      </c>
      <c r="C9389" t="s">
        <v>14690</v>
      </c>
    </row>
    <row r="9390" spans="1:3" x14ac:dyDescent="0.25">
      <c r="A9390" s="180" t="str">
        <f t="shared" si="146"/>
        <v/>
      </c>
      <c r="B9390" t="s">
        <v>14691</v>
      </c>
      <c r="C9390" t="s">
        <v>14692</v>
      </c>
    </row>
    <row r="9391" spans="1:3" x14ac:dyDescent="0.25">
      <c r="A9391" s="180" t="str">
        <f t="shared" si="146"/>
        <v/>
      </c>
      <c r="B9391" t="s">
        <v>14693</v>
      </c>
      <c r="C9391" t="s">
        <v>14694</v>
      </c>
    </row>
    <row r="9392" spans="1:3" x14ac:dyDescent="0.25">
      <c r="A9392" s="180" t="str">
        <f t="shared" si="146"/>
        <v/>
      </c>
      <c r="B9392" t="s">
        <v>14695</v>
      </c>
      <c r="C9392" t="s">
        <v>14696</v>
      </c>
    </row>
    <row r="9393" spans="1:3" x14ac:dyDescent="0.25">
      <c r="A9393" s="180" t="str">
        <f t="shared" si="146"/>
        <v/>
      </c>
      <c r="B9393" t="s">
        <v>14697</v>
      </c>
    </row>
    <row r="9394" spans="1:3" x14ac:dyDescent="0.25">
      <c r="A9394" s="180" t="str">
        <f t="shared" si="146"/>
        <v/>
      </c>
      <c r="B9394" t="s">
        <v>14698</v>
      </c>
      <c r="C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14700</v>
      </c>
    </row>
    <row r="9396" spans="1:3" x14ac:dyDescent="0.25">
      <c r="A9396" s="180" t="str">
        <f t="shared" si="146"/>
        <v/>
      </c>
      <c r="B9396" t="s">
        <v>14701</v>
      </c>
      <c r="C9396" t="s">
        <v>14702</v>
      </c>
    </row>
    <row r="9397" spans="1:3" x14ac:dyDescent="0.25">
      <c r="A9397" s="180" t="str">
        <f t="shared" si="146"/>
        <v/>
      </c>
      <c r="B9397" t="s">
        <v>14703</v>
      </c>
      <c r="C9397" t="s">
        <v>14704</v>
      </c>
    </row>
    <row r="9398" spans="1:3" x14ac:dyDescent="0.25">
      <c r="A9398" s="180" t="str">
        <f t="shared" si="146"/>
        <v/>
      </c>
      <c r="B9398" t="s">
        <v>14705</v>
      </c>
      <c r="C9398" t="s">
        <v>14706</v>
      </c>
    </row>
    <row r="9399" spans="1:3" x14ac:dyDescent="0.25">
      <c r="A9399" s="180" t="str">
        <f t="shared" si="146"/>
        <v/>
      </c>
      <c r="B9399" t="s">
        <v>14707</v>
      </c>
      <c r="C9399" t="s">
        <v>14708</v>
      </c>
    </row>
    <row r="9400" spans="1:3" x14ac:dyDescent="0.25">
      <c r="A9400" s="180" t="str">
        <f t="shared" si="146"/>
        <v/>
      </c>
      <c r="B9400" t="s">
        <v>14709</v>
      </c>
      <c r="C9400" t="s">
        <v>14710</v>
      </c>
    </row>
    <row r="9401" spans="1:3" x14ac:dyDescent="0.25">
      <c r="A9401" s="180" t="str">
        <f t="shared" si="146"/>
        <v/>
      </c>
      <c r="B9401" t="s">
        <v>14711</v>
      </c>
      <c r="C9401" t="s">
        <v>14712</v>
      </c>
    </row>
    <row r="9402" spans="1:3" x14ac:dyDescent="0.25">
      <c r="A9402" s="180" t="str">
        <f t="shared" si="146"/>
        <v/>
      </c>
      <c r="B9402" t="s">
        <v>14713</v>
      </c>
      <c r="C9402" t="s">
        <v>14714</v>
      </c>
    </row>
    <row r="9403" spans="1:3" x14ac:dyDescent="0.25">
      <c r="A9403" s="180" t="str">
        <f t="shared" si="146"/>
        <v/>
      </c>
      <c r="B9403" t="s">
        <v>14715</v>
      </c>
      <c r="C9403" t="s">
        <v>14716</v>
      </c>
    </row>
    <row r="9404" spans="1:3" x14ac:dyDescent="0.25">
      <c r="A9404" s="180" t="str">
        <f t="shared" si="146"/>
        <v/>
      </c>
      <c r="B9404" t="s">
        <v>14717</v>
      </c>
      <c r="C9404" t="s">
        <v>14718</v>
      </c>
    </row>
    <row r="9405" spans="1:3" x14ac:dyDescent="0.25">
      <c r="A9405" s="180" t="str">
        <f t="shared" si="146"/>
        <v/>
      </c>
      <c r="B9405" t="s">
        <v>14719</v>
      </c>
      <c r="C9405" t="s">
        <v>14720</v>
      </c>
    </row>
    <row r="9406" spans="1:3" x14ac:dyDescent="0.25">
      <c r="A9406" s="180" t="str">
        <f t="shared" si="146"/>
        <v/>
      </c>
      <c r="B9406" t="s">
        <v>14721</v>
      </c>
      <c r="C9406" t="s">
        <v>14722</v>
      </c>
    </row>
    <row r="9407" spans="1:3" x14ac:dyDescent="0.25">
      <c r="A9407" s="180" t="str">
        <f t="shared" ref="A9407:A9470" si="147">IFERROR(B9407*1,"")</f>
        <v/>
      </c>
      <c r="B9407" t="s">
        <v>14723</v>
      </c>
      <c r="C9407" t="s">
        <v>14724</v>
      </c>
    </row>
    <row r="9408" spans="1:3" x14ac:dyDescent="0.25">
      <c r="A9408" s="180" t="str">
        <f t="shared" si="147"/>
        <v/>
      </c>
      <c r="B9408" t="s">
        <v>14725</v>
      </c>
      <c r="C9408" t="s">
        <v>14726</v>
      </c>
    </row>
    <row r="9409" spans="1:3" x14ac:dyDescent="0.25">
      <c r="A9409" s="180" t="str">
        <f t="shared" si="147"/>
        <v/>
      </c>
      <c r="B9409" t="s">
        <v>14727</v>
      </c>
      <c r="C9409" t="s">
        <v>14728</v>
      </c>
    </row>
    <row r="9410" spans="1:3" x14ac:dyDescent="0.25">
      <c r="A9410" s="180" t="str">
        <f t="shared" si="147"/>
        <v/>
      </c>
      <c r="B9410" t="s">
        <v>14729</v>
      </c>
      <c r="C9410" t="s">
        <v>14730</v>
      </c>
    </row>
    <row r="9411" spans="1:3" x14ac:dyDescent="0.25">
      <c r="A9411" s="180" t="str">
        <f t="shared" si="147"/>
        <v/>
      </c>
      <c r="B9411" t="s">
        <v>14731</v>
      </c>
      <c r="C9411" t="s">
        <v>14732</v>
      </c>
    </row>
    <row r="9412" spans="1:3" x14ac:dyDescent="0.25">
      <c r="A9412" s="180" t="str">
        <f t="shared" si="147"/>
        <v/>
      </c>
      <c r="B9412" t="s">
        <v>14733</v>
      </c>
      <c r="C9412" t="s">
        <v>14734</v>
      </c>
    </row>
    <row r="9413" spans="1:3" x14ac:dyDescent="0.25">
      <c r="A9413" s="180" t="str">
        <f t="shared" si="147"/>
        <v/>
      </c>
      <c r="B9413" t="s">
        <v>14735</v>
      </c>
      <c r="C9413" t="s">
        <v>14736</v>
      </c>
    </row>
    <row r="9414" spans="1:3" x14ac:dyDescent="0.25">
      <c r="A9414" s="180" t="str">
        <f t="shared" si="147"/>
        <v/>
      </c>
      <c r="B9414" t="s">
        <v>14737</v>
      </c>
      <c r="C9414" t="s">
        <v>14736</v>
      </c>
    </row>
    <row r="9415" spans="1:3" x14ac:dyDescent="0.25">
      <c r="A9415" s="180" t="str">
        <f t="shared" si="147"/>
        <v/>
      </c>
      <c r="B9415" t="s">
        <v>14738</v>
      </c>
      <c r="C9415" t="s">
        <v>14739</v>
      </c>
    </row>
    <row r="9416" spans="1:3" x14ac:dyDescent="0.25">
      <c r="A9416" s="180" t="str">
        <f t="shared" si="147"/>
        <v/>
      </c>
      <c r="B9416" t="s">
        <v>14740</v>
      </c>
      <c r="C9416" t="s">
        <v>14741</v>
      </c>
    </row>
    <row r="9417" spans="1:3" x14ac:dyDescent="0.25">
      <c r="A9417" s="180" t="str">
        <f t="shared" si="147"/>
        <v/>
      </c>
      <c r="B9417" t="s">
        <v>14742</v>
      </c>
      <c r="C9417" t="s">
        <v>14743</v>
      </c>
    </row>
    <row r="9418" spans="1:3" x14ac:dyDescent="0.25">
      <c r="A9418" s="180" t="str">
        <f t="shared" si="147"/>
        <v/>
      </c>
      <c r="B9418" t="s">
        <v>14744</v>
      </c>
      <c r="C9418" t="s">
        <v>14745</v>
      </c>
    </row>
    <row r="9419" spans="1:3" x14ac:dyDescent="0.25">
      <c r="A9419" s="180" t="str">
        <f t="shared" si="147"/>
        <v/>
      </c>
      <c r="B9419" t="s">
        <v>14746</v>
      </c>
      <c r="C9419" t="s">
        <v>14747</v>
      </c>
    </row>
    <row r="9420" spans="1:3" x14ac:dyDescent="0.25">
      <c r="A9420" s="180" t="str">
        <f t="shared" si="147"/>
        <v/>
      </c>
      <c r="B9420" t="s">
        <v>14748</v>
      </c>
      <c r="C9420" t="s">
        <v>14749</v>
      </c>
    </row>
    <row r="9421" spans="1:3" x14ac:dyDescent="0.25">
      <c r="A9421" s="180" t="str">
        <f t="shared" si="147"/>
        <v/>
      </c>
      <c r="B9421" t="s">
        <v>14750</v>
      </c>
      <c r="C9421" t="s">
        <v>14751</v>
      </c>
    </row>
    <row r="9422" spans="1:3" x14ac:dyDescent="0.25">
      <c r="A9422" s="180" t="str">
        <f t="shared" si="147"/>
        <v/>
      </c>
      <c r="B9422" t="s">
        <v>14752</v>
      </c>
      <c r="C9422" t="s">
        <v>14753</v>
      </c>
    </row>
    <row r="9423" spans="1:3" x14ac:dyDescent="0.25">
      <c r="A9423" s="180" t="str">
        <f t="shared" si="147"/>
        <v/>
      </c>
      <c r="B9423" t="s">
        <v>14754</v>
      </c>
      <c r="C9423" t="s">
        <v>14755</v>
      </c>
    </row>
    <row r="9424" spans="1:3" x14ac:dyDescent="0.25">
      <c r="A9424" s="180" t="str">
        <f t="shared" si="147"/>
        <v/>
      </c>
      <c r="B9424" t="s">
        <v>14756</v>
      </c>
      <c r="C9424" t="s">
        <v>14757</v>
      </c>
    </row>
    <row r="9425" spans="1:3" x14ac:dyDescent="0.25">
      <c r="A9425" s="180" t="str">
        <f t="shared" si="147"/>
        <v/>
      </c>
      <c r="B9425" t="s">
        <v>14758</v>
      </c>
      <c r="C9425" t="s">
        <v>14759</v>
      </c>
    </row>
    <row r="9426" spans="1:3" x14ac:dyDescent="0.25">
      <c r="A9426" s="180" t="str">
        <f t="shared" si="147"/>
        <v/>
      </c>
      <c r="B9426" t="s">
        <v>14760</v>
      </c>
      <c r="C9426" t="s">
        <v>14761</v>
      </c>
    </row>
    <row r="9427" spans="1:3" x14ac:dyDescent="0.25">
      <c r="A9427" s="180" t="str">
        <f t="shared" si="147"/>
        <v/>
      </c>
      <c r="B9427" t="s">
        <v>14762</v>
      </c>
      <c r="C9427" t="s">
        <v>14620</v>
      </c>
    </row>
    <row r="9428" spans="1:3" x14ac:dyDescent="0.25">
      <c r="A9428" s="180" t="str">
        <f t="shared" si="147"/>
        <v/>
      </c>
      <c r="B9428" t="s">
        <v>14763</v>
      </c>
      <c r="C9428" t="s">
        <v>14764</v>
      </c>
    </row>
    <row r="9429" spans="1:3" x14ac:dyDescent="0.25">
      <c r="A9429" s="180" t="str">
        <f t="shared" si="147"/>
        <v/>
      </c>
      <c r="B9429" t="s">
        <v>14765</v>
      </c>
      <c r="C9429" t="s">
        <v>14766</v>
      </c>
    </row>
    <row r="9430" spans="1:3" x14ac:dyDescent="0.25">
      <c r="A9430" s="180" t="str">
        <f t="shared" si="147"/>
        <v/>
      </c>
      <c r="B9430" t="s">
        <v>14767</v>
      </c>
      <c r="C9430" t="s">
        <v>14768</v>
      </c>
    </row>
    <row r="9431" spans="1:3" x14ac:dyDescent="0.25">
      <c r="A9431" s="180" t="str">
        <f t="shared" si="147"/>
        <v/>
      </c>
      <c r="B9431" t="s">
        <v>14769</v>
      </c>
      <c r="C9431" t="s">
        <v>14770</v>
      </c>
    </row>
    <row r="9432" spans="1:3" x14ac:dyDescent="0.25">
      <c r="A9432" s="180" t="str">
        <f t="shared" si="147"/>
        <v/>
      </c>
      <c r="B9432" t="s">
        <v>14771</v>
      </c>
      <c r="C9432" t="s">
        <v>14772</v>
      </c>
    </row>
    <row r="9433" spans="1:3" x14ac:dyDescent="0.25">
      <c r="A9433" s="180" t="str">
        <f t="shared" si="147"/>
        <v/>
      </c>
      <c r="B9433" t="s">
        <v>14773</v>
      </c>
      <c r="C9433" t="s">
        <v>14774</v>
      </c>
    </row>
    <row r="9434" spans="1:3" x14ac:dyDescent="0.25">
      <c r="A9434" s="180" t="str">
        <f t="shared" si="147"/>
        <v/>
      </c>
      <c r="B9434" t="s">
        <v>14775</v>
      </c>
      <c r="C9434" t="s">
        <v>14776</v>
      </c>
    </row>
    <row r="9435" spans="1:3" x14ac:dyDescent="0.25">
      <c r="A9435" s="180" t="str">
        <f t="shared" si="147"/>
        <v/>
      </c>
      <c r="B9435" t="s">
        <v>14777</v>
      </c>
      <c r="C9435" t="s">
        <v>14778</v>
      </c>
    </row>
    <row r="9436" spans="1:3" x14ac:dyDescent="0.25">
      <c r="A9436" s="180" t="str">
        <f t="shared" si="147"/>
        <v/>
      </c>
      <c r="B9436" t="s">
        <v>14779</v>
      </c>
    </row>
    <row r="9437" spans="1:3" x14ac:dyDescent="0.25">
      <c r="A9437" s="180" t="str">
        <f t="shared" si="147"/>
        <v/>
      </c>
      <c r="B9437" t="s">
        <v>14780</v>
      </c>
      <c r="C9437" t="s">
        <v>14781</v>
      </c>
    </row>
    <row r="9438" spans="1:3" x14ac:dyDescent="0.25">
      <c r="A9438" s="180" t="str">
        <f t="shared" si="147"/>
        <v/>
      </c>
      <c r="B9438" t="s">
        <v>14782</v>
      </c>
      <c r="C9438" t="s">
        <v>14638</v>
      </c>
    </row>
    <row r="9439" spans="1:3" x14ac:dyDescent="0.25">
      <c r="A9439" s="180" t="str">
        <f t="shared" si="147"/>
        <v/>
      </c>
      <c r="B9439" t="s">
        <v>14783</v>
      </c>
      <c r="C9439" t="s">
        <v>14783</v>
      </c>
    </row>
    <row r="9440" spans="1:3" x14ac:dyDescent="0.25">
      <c r="A9440" s="180" t="str">
        <f t="shared" si="147"/>
        <v/>
      </c>
      <c r="B9440" t="s">
        <v>14784</v>
      </c>
      <c r="C9440" t="s">
        <v>14785</v>
      </c>
    </row>
    <row r="9441" spans="1:3" x14ac:dyDescent="0.25">
      <c r="A9441" s="180" t="str">
        <f t="shared" si="147"/>
        <v/>
      </c>
      <c r="B9441" t="s">
        <v>14786</v>
      </c>
      <c r="C9441" t="s">
        <v>14787</v>
      </c>
    </row>
    <row r="9442" spans="1:3" x14ac:dyDescent="0.25">
      <c r="A9442" s="180" t="str">
        <f t="shared" si="147"/>
        <v/>
      </c>
      <c r="B9442" t="s">
        <v>14788</v>
      </c>
      <c r="C9442" t="s">
        <v>14789</v>
      </c>
    </row>
    <row r="9443" spans="1:3" x14ac:dyDescent="0.25">
      <c r="A9443" s="180" t="str">
        <f t="shared" si="147"/>
        <v/>
      </c>
      <c r="B9443" t="s">
        <v>14790</v>
      </c>
      <c r="C9443" t="s">
        <v>14791</v>
      </c>
    </row>
    <row r="9444" spans="1:3" x14ac:dyDescent="0.25">
      <c r="A9444" s="180" t="str">
        <f t="shared" si="147"/>
        <v/>
      </c>
      <c r="B9444" t="s">
        <v>14792</v>
      </c>
      <c r="C9444" t="s">
        <v>14793</v>
      </c>
    </row>
    <row r="9445" spans="1:3" x14ac:dyDescent="0.25">
      <c r="A9445" s="180" t="str">
        <f t="shared" si="147"/>
        <v/>
      </c>
      <c r="B9445" t="s">
        <v>14794</v>
      </c>
      <c r="C9445" t="s">
        <v>14795</v>
      </c>
    </row>
    <row r="9446" spans="1:3" x14ac:dyDescent="0.25">
      <c r="A9446" s="180" t="str">
        <f t="shared" si="147"/>
        <v/>
      </c>
      <c r="B9446" t="s">
        <v>14796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14798</v>
      </c>
    </row>
    <row r="9448" spans="1:3" x14ac:dyDescent="0.25">
      <c r="A9448" s="180" t="str">
        <f t="shared" si="147"/>
        <v/>
      </c>
      <c r="B9448" t="s">
        <v>14799</v>
      </c>
      <c r="C9448" t="s">
        <v>14800</v>
      </c>
    </row>
    <row r="9449" spans="1:3" x14ac:dyDescent="0.25">
      <c r="A9449" s="180" t="str">
        <f t="shared" si="147"/>
        <v/>
      </c>
      <c r="B9449" t="s">
        <v>14801</v>
      </c>
      <c r="C9449" t="s">
        <v>14802</v>
      </c>
    </row>
    <row r="9450" spans="1:3" x14ac:dyDescent="0.25">
      <c r="A9450" s="180" t="str">
        <f t="shared" si="147"/>
        <v/>
      </c>
      <c r="B9450" t="s">
        <v>14803</v>
      </c>
      <c r="C9450" t="s">
        <v>14804</v>
      </c>
    </row>
    <row r="9451" spans="1:3" x14ac:dyDescent="0.25">
      <c r="A9451" s="180" t="str">
        <f t="shared" si="147"/>
        <v/>
      </c>
      <c r="B9451" t="s">
        <v>14805</v>
      </c>
      <c r="C9451" t="s">
        <v>14806</v>
      </c>
    </row>
    <row r="9452" spans="1:3" x14ac:dyDescent="0.25">
      <c r="A9452" s="180" t="str">
        <f t="shared" si="147"/>
        <v/>
      </c>
      <c r="B9452" t="s">
        <v>14807</v>
      </c>
      <c r="C9452" t="s">
        <v>14808</v>
      </c>
    </row>
    <row r="9453" spans="1:3" x14ac:dyDescent="0.25">
      <c r="A9453" s="180" t="str">
        <f t="shared" si="147"/>
        <v/>
      </c>
      <c r="B9453" t="s">
        <v>14809</v>
      </c>
      <c r="C9453" t="s">
        <v>14784</v>
      </c>
    </row>
    <row r="9454" spans="1:3" x14ac:dyDescent="0.25">
      <c r="A9454" s="180" t="str">
        <f t="shared" si="147"/>
        <v/>
      </c>
      <c r="B9454" t="s">
        <v>14810</v>
      </c>
      <c r="C9454" t="s">
        <v>14811</v>
      </c>
    </row>
    <row r="9455" spans="1:3" x14ac:dyDescent="0.25">
      <c r="A9455" s="180" t="str">
        <f t="shared" si="147"/>
        <v/>
      </c>
      <c r="B9455" t="s">
        <v>863</v>
      </c>
      <c r="C9455" t="s">
        <v>14812</v>
      </c>
    </row>
    <row r="9456" spans="1:3" x14ac:dyDescent="0.25">
      <c r="A9456" s="180" t="str">
        <f t="shared" si="147"/>
        <v/>
      </c>
      <c r="B9456" t="s">
        <v>14813</v>
      </c>
      <c r="C9456" t="s">
        <v>14814</v>
      </c>
    </row>
    <row r="9457" spans="1:3" x14ac:dyDescent="0.25">
      <c r="A9457" s="180" t="str">
        <f t="shared" si="147"/>
        <v/>
      </c>
      <c r="B9457" t="s">
        <v>14815</v>
      </c>
      <c r="C9457" t="s">
        <v>14816</v>
      </c>
    </row>
    <row r="9458" spans="1:3" x14ac:dyDescent="0.25">
      <c r="A9458" s="180" t="str">
        <f t="shared" si="147"/>
        <v/>
      </c>
      <c r="B9458" t="s">
        <v>14817</v>
      </c>
      <c r="C9458" t="s">
        <v>14818</v>
      </c>
    </row>
    <row r="9459" spans="1:3" x14ac:dyDescent="0.25">
      <c r="A9459" s="180" t="str">
        <f t="shared" si="147"/>
        <v/>
      </c>
      <c r="B9459" t="s">
        <v>14819</v>
      </c>
      <c r="C9459" t="s">
        <v>14820</v>
      </c>
    </row>
    <row r="9460" spans="1:3" x14ac:dyDescent="0.25">
      <c r="A9460" s="180" t="str">
        <f t="shared" si="147"/>
        <v/>
      </c>
      <c r="B9460" t="s">
        <v>14821</v>
      </c>
      <c r="C9460" t="s">
        <v>14822</v>
      </c>
    </row>
    <row r="9461" spans="1:3" x14ac:dyDescent="0.25">
      <c r="A9461" s="180" t="str">
        <f t="shared" si="147"/>
        <v/>
      </c>
      <c r="B9461" t="s">
        <v>14823</v>
      </c>
      <c r="C9461" t="s">
        <v>14824</v>
      </c>
    </row>
    <row r="9462" spans="1:3" x14ac:dyDescent="0.25">
      <c r="A9462" s="180" t="str">
        <f t="shared" si="147"/>
        <v/>
      </c>
      <c r="B9462" t="s">
        <v>14825</v>
      </c>
      <c r="C9462" t="s">
        <v>14826</v>
      </c>
    </row>
    <row r="9463" spans="1:3" x14ac:dyDescent="0.25">
      <c r="A9463" s="180" t="str">
        <f t="shared" si="147"/>
        <v/>
      </c>
      <c r="B9463" t="s">
        <v>14827</v>
      </c>
      <c r="C9463" t="s">
        <v>14828</v>
      </c>
    </row>
    <row r="9464" spans="1:3" x14ac:dyDescent="0.25">
      <c r="A9464" s="180" t="str">
        <f t="shared" si="147"/>
        <v/>
      </c>
      <c r="B9464" t="s">
        <v>14829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14831</v>
      </c>
    </row>
    <row r="9466" spans="1:3" x14ac:dyDescent="0.25">
      <c r="A9466" s="180" t="str">
        <f t="shared" si="147"/>
        <v/>
      </c>
      <c r="B9466" t="s">
        <v>14832</v>
      </c>
      <c r="C9466" t="s">
        <v>14833</v>
      </c>
    </row>
    <row r="9467" spans="1:3" x14ac:dyDescent="0.25">
      <c r="A9467" s="180" t="str">
        <f t="shared" si="147"/>
        <v/>
      </c>
      <c r="B9467" t="s">
        <v>14834</v>
      </c>
      <c r="C9467" t="s">
        <v>14835</v>
      </c>
    </row>
    <row r="9468" spans="1:3" x14ac:dyDescent="0.25">
      <c r="A9468" s="180" t="str">
        <f t="shared" si="147"/>
        <v/>
      </c>
      <c r="B9468" t="s">
        <v>14836</v>
      </c>
      <c r="C9468" t="s">
        <v>14837</v>
      </c>
    </row>
    <row r="9469" spans="1:3" x14ac:dyDescent="0.25">
      <c r="A9469" s="180" t="str">
        <f t="shared" si="147"/>
        <v/>
      </c>
      <c r="B9469" t="s">
        <v>14838</v>
      </c>
      <c r="C9469" t="s">
        <v>14839</v>
      </c>
    </row>
    <row r="9470" spans="1:3" x14ac:dyDescent="0.25">
      <c r="A9470" s="180" t="str">
        <f t="shared" si="147"/>
        <v/>
      </c>
      <c r="B9470" t="s">
        <v>14840</v>
      </c>
      <c r="C9470" t="s">
        <v>14840</v>
      </c>
    </row>
    <row r="9471" spans="1:3" x14ac:dyDescent="0.25">
      <c r="A9471" s="180" t="str">
        <f t="shared" ref="A9471:A9489" si="148">IFERROR(B9471*1,"")</f>
        <v/>
      </c>
      <c r="B9471" t="s">
        <v>14841</v>
      </c>
      <c r="C9471" t="s">
        <v>14841</v>
      </c>
    </row>
    <row r="9472" spans="1:3" x14ac:dyDescent="0.25">
      <c r="A9472" s="180" t="str">
        <f t="shared" si="148"/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14844</v>
      </c>
    </row>
    <row r="9474" spans="1:3" x14ac:dyDescent="0.25">
      <c r="A9474" s="180" t="str">
        <f t="shared" si="148"/>
        <v/>
      </c>
      <c r="B9474" t="s">
        <v>14845</v>
      </c>
      <c r="C9474" t="s">
        <v>14846</v>
      </c>
    </row>
    <row r="9475" spans="1:3" x14ac:dyDescent="0.25">
      <c r="A9475" s="180" t="str">
        <f t="shared" si="148"/>
        <v/>
      </c>
      <c r="B9475" t="s">
        <v>14847</v>
      </c>
      <c r="C9475" t="s">
        <v>14848</v>
      </c>
    </row>
    <row r="9476" spans="1:3" x14ac:dyDescent="0.25">
      <c r="A9476" s="180" t="str">
        <f t="shared" si="148"/>
        <v/>
      </c>
      <c r="B9476" t="s">
        <v>14849</v>
      </c>
      <c r="C9476" t="s">
        <v>14850</v>
      </c>
    </row>
    <row r="9477" spans="1:3" x14ac:dyDescent="0.25">
      <c r="A9477" s="180" t="str">
        <f t="shared" si="148"/>
        <v/>
      </c>
      <c r="B9477" t="s">
        <v>14851</v>
      </c>
      <c r="C9477" t="s">
        <v>14852</v>
      </c>
    </row>
    <row r="9478" spans="1:3" x14ac:dyDescent="0.25">
      <c r="A9478" s="180" t="str">
        <f t="shared" si="148"/>
        <v/>
      </c>
      <c r="B9478" t="s">
        <v>14853</v>
      </c>
      <c r="C9478" t="s">
        <v>14854</v>
      </c>
    </row>
    <row r="9479" spans="1:3" x14ac:dyDescent="0.25">
      <c r="A9479" s="180" t="str">
        <f t="shared" si="148"/>
        <v/>
      </c>
      <c r="B9479" t="s">
        <v>14855</v>
      </c>
      <c r="C9479" t="s">
        <v>14856</v>
      </c>
    </row>
    <row r="9480" spans="1:3" x14ac:dyDescent="0.25">
      <c r="A9480" s="180" t="str">
        <f t="shared" si="148"/>
        <v/>
      </c>
      <c r="B9480" t="s">
        <v>14857</v>
      </c>
    </row>
    <row r="9481" spans="1:3" x14ac:dyDescent="0.25">
      <c r="A9481" s="180" t="str">
        <f t="shared" si="148"/>
        <v/>
      </c>
      <c r="B9481" t="s">
        <v>14858</v>
      </c>
      <c r="C9481" t="s">
        <v>14859</v>
      </c>
    </row>
    <row r="9482" spans="1:3" x14ac:dyDescent="0.25">
      <c r="A9482" s="180" t="str">
        <f t="shared" si="148"/>
        <v/>
      </c>
      <c r="B9482" t="s">
        <v>14860</v>
      </c>
      <c r="C9482" t="s">
        <v>14861</v>
      </c>
    </row>
    <row r="9483" spans="1:3" x14ac:dyDescent="0.25">
      <c r="A9483" s="180" t="str">
        <f t="shared" si="148"/>
        <v/>
      </c>
      <c r="B9483" t="s">
        <v>14862</v>
      </c>
      <c r="C9483" t="s">
        <v>14863</v>
      </c>
    </row>
    <row r="9484" spans="1:3" x14ac:dyDescent="0.25">
      <c r="A9484" s="180" t="str">
        <f t="shared" si="148"/>
        <v/>
      </c>
      <c r="B9484" t="s">
        <v>14864</v>
      </c>
      <c r="C9484" t="s">
        <v>14865</v>
      </c>
    </row>
    <row r="9485" spans="1:3" x14ac:dyDescent="0.25">
      <c r="A9485" s="180" t="str">
        <f t="shared" si="148"/>
        <v/>
      </c>
      <c r="B9485" t="s">
        <v>14866</v>
      </c>
      <c r="C9485" t="s">
        <v>14867</v>
      </c>
    </row>
    <row r="9486" spans="1:3" x14ac:dyDescent="0.25">
      <c r="A9486" s="180" t="str">
        <f t="shared" si="148"/>
        <v/>
      </c>
      <c r="B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  <c r="C9488" t="s">
        <v>14871</v>
      </c>
    </row>
    <row r="9489" spans="1:2" x14ac:dyDescent="0.25">
      <c r="A9489" s="180" t="str">
        <f t="shared" si="148"/>
        <v/>
      </c>
      <c r="B9489" t="s">
        <v>14872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2026-06-02T20:29:21Z</dcterms:modified>
</cp:coreProperties>
</file>