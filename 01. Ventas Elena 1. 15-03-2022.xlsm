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I25" i="1" l="1"/>
  <c r="K35" i="3" l="1"/>
  <c r="K34" i="3"/>
  <c r="K33" i="3"/>
  <c r="K32" i="3"/>
  <c r="K31" i="3"/>
  <c r="K30" i="3"/>
  <c r="K29" i="3"/>
  <c r="K28" i="3"/>
  <c r="K27" i="3"/>
  <c r="K26" i="3"/>
  <c r="C35" i="15" l="1"/>
  <c r="F35" i="15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B32" i="15" l="1"/>
  <c r="B34" i="15"/>
  <c r="B23" i="15"/>
  <c r="B33" i="15"/>
  <c r="B28" i="15"/>
  <c r="B25" i="15"/>
  <c r="B30" i="15"/>
  <c r="B24" i="15"/>
  <c r="B27" i="15"/>
  <c r="B31" i="15"/>
  <c r="B26" i="15"/>
  <c r="B22" i="15"/>
  <c r="B29" i="15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<sst xmlns="http://schemas.openxmlformats.org/spreadsheetml/2006/main" count="22422" uniqueCount="14216">
  <si>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</si>
  <si>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</si>
  <si>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</si>
  <si>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</si>
  <si>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</si>
  <si>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</si>
  <si>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</si>
  <si>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</si>
  <si>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</si>
  <si>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</si>
  <si>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</si>
  <si>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</si>
  <si>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</si>
  <si>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</si>
  <si>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</si>
  <si>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</si>
  <si>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</si>
  <si>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</si>
  <si>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</si>
  <si>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</si>
  <si>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</si>
  <si>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</si>
  <si>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</si>
  <si>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</si>
  <si>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</si>
  <si>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</si>
  <si>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</si>
  <si>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</si>
  <si>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</si>
  <si>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</si>
  <si>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</si>
  <si>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</si>
  <si>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</si>
  <si>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</si>
  <si>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</si>
  <si>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</si>
  <si>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</si>
  <si>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</si>
  <si>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</si>
  <si>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</si>
  <si>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</si>
  <si>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</si>
  <si>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</si>
  <si>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</si>
  <si>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</si>
  <si>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</si>
  <si>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</si>
  <si>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</si>
  <si>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</si>
  <si>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</si>
  <si>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</si>
  <si>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</si>
  <si>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</si>
  <si>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</si>
  <si>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</si>
  <si>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</si>
  <si>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</si>
  <si>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</si>
  <si>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</si>
  <si>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</si>
  <si>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</si>
  <si>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</si>
  <si>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</si>
  <si>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</si>
  <si>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</si>
  <si>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</si>
  <si>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</si>
  <si>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</si>
  <si>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</si>
  <si>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</si>
  <si>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</si>
  <si>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</si>
  <si>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</si>
  <si>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</si>
  <si>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</si>
  <si>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</si>
  <si>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</si>
  <si>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</si>
  <si>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</si>
  <si>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</si>
  <si>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</si>
  <si>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</si>
  <si>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</si>
  <si>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</si>
  <si>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</si>
  <si>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</si>
  <si>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</si>
  <si>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</si>
  <si>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</si>
  <si>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</si>
  <si>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</si>
  <si>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</si>
  <si>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</si>
  <si>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</si>
  <si>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</si>
  <si>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</si>
  <si>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</si>
  <si>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</si>
  <si>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</si>
  <si>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</si>
  <si>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</si>
  <si>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</si>
  <si>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</si>
  <si>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</si>
  <si>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</si>
  <si>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</si>
  <si>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</si>
  <si>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</si>
  <si>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</si>
  <si>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</si>
  <si>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</si>
  <si>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</si>
  <si>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</si>
  <si>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</si>
  <si>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</si>
  <si>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</si>
  <si>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</si>
  <si>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</si>
  <si>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</si>
  <si>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</si>
  <si>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</si>
  <si>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</si>
  <si>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</si>
  <si>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</si>
  <si>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</si>
  <si>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</si>
  <si>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</si>
  <si>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</si>
  <si>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</si>
  <si>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</si>
  <si>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</si>
  <si>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</si>
  <si>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</si>
  <si>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</si>
  <si>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</si>
  <si>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</si>
  <si>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</si>
  <si>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</si>
  <si>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</si>
  <si>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</si>
  <si>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</si>
  <si>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</si>
  <si>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</si>
  <si>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</si>
  <si>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</si>
  <si>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</si>
  <si>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</si>
  <si>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</si>
  <si>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</si>
  <si>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</si>
  <si>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</si>
  <si>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</si>
  <si>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</si>
  <si>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</si>
  <si>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</si>
  <si>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</si>
  <si>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</si>
  <si>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</si>
  <si>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</si>
  <si>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</si>
  <si>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</si>
  <si>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</si>
  <si>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</si>
  <si>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</si>
  <si>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</si>
  <si>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</si>
  <si>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</si>
  <si>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</si>
  <si>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</si>
  <si>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</si>
  <si>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</si>
  <si>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</si>
  <si>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</si>
  <si>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</si>
  <si>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</si>
  <si>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</si>
  <si>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</si>
  <si>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</si>
  <si>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</si>
  <si>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</si>
  <si>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</si>
  <si>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</si>
  <si>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</si>
  <si>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</si>
  <si>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</si>
  <si>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</si>
  <si>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</si>
  <si>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</si>
  <si>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</si>
  <si>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</si>
  <si>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</si>
  <si>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</si>
  <si>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</si>
  <si>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</si>
  <si>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</si>
  <si>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</si>
  <si>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</si>
  <si>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</si>
  <si>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</si>
  <si>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</si>
  <si>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</si>
  <si>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</si>
  <si>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</si>
  <si>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</si>
  <si>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</si>
  <si>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</si>
  <si>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</si>
  <si>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</si>
  <si>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</si>
  <si>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</si>
  <si>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</si>
  <si>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</si>
  <si>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</si>
  <si>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</si>
  <si>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</si>
  <si>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</si>
  <si>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</si>
  <si>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</si>
  <si>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</si>
  <si>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</si>
  <si>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</si>
  <si>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</si>
  <si>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</si>
  <si>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</si>
  <si>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</si>
  <si>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</si>
  <si>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</si>
  <si>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</si>
  <si>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</si>
  <si>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</si>
  <si>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</si>
  <si>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</si>
  <si>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</si>
  <si>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</si>
  <si>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</si>
  <si>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</si>
  <si>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</si>
  <si>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</si>
  <si>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</si>
  <si>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</si>
  <si>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</si>
  <si>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</si>
  <si>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</si>
  <si>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</si>
  <si>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</si>
  <si>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</si>
  <si>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</si>
  <si>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</si>
  <si>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</si>
  <si>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</si>
  <si>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</si>
  <si>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</si>
  <si>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</si>
  <si>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</si>
  <si>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</si>
  <si>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</si>
  <si>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</si>
  <si>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</si>
  <si>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</si>
  <si>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</si>
  <si>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</si>
  <si>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</si>
  <si>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</si>
  <si>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</si>
  <si>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</si>
  <si>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</si>
  <si>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</si>
  <si>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</si>
  <si>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</si>
  <si>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</si>
  <si>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</si>
  <si>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</si>
  <si>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</si>
  <si>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</si>
  <si>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</si>
  <si>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</si>
  <si>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</si>
  <si>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</si>
  <si>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</si>
  <si>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</si>
  <si>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</si>
  <si>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</si>
  <si>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</si>
  <si>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</si>
  <si>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</si>
  <si>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</si>
  <si>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</si>
  <si>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</si>
  <si>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</si>
  <si>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</si>
  <si>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</si>
  <si>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</si>
  <si>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</si>
  <si>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</si>
  <si>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</si>
  <si>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</si>
  <si>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</si>
  <si>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</si>
  <si>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</si>
  <si>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</si>
  <si>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</si>
  <si>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</si>
  <si>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</si>
  <si>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</si>
  <si>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</si>
  <si>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</si>
  <si>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</si>
  <si>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</si>
  <si>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</si>
  <si>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</si>
  <si>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</si>
  <si>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</si>
  <si>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</si>
  <si>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</si>
  <si>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</si>
  <si>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</si>
  <si>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</si>
  <si>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</si>
  <si>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</si>
  <si>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</si>
  <si>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</si>
  <si>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</si>
  <si>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</si>
  <si>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</si>
  <si>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</si>
  <si>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</si>
  <si>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</si>
  <si>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</si>
  <si>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</si>
  <si>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</si>
  <si>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</si>
  <si>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</si>
  <si>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</si>
  <si>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</si>
  <si>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</si>
  <si>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</si>
  <si>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</si>
  <si>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</si>
  <si>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</si>
  <si>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</si>
  <si>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</si>
  <si>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</si>
  <si>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</si>
  <si>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</si>
  <si>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</si>
  <si>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</si>
  <si>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</si>
  <si>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</si>
  <si>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</si>
  <si>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</si>
  <si>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</si>
  <si>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</si>
  <si>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</si>
  <si>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</si>
  <si>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</si>
  <si>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</si>
  <si>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</si>
  <si>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</si>
  <si>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</si>
  <si>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</si>
  <si>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</si>
  <si>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</si>
  <si>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</si>
  <si>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</si>
  <si>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</si>
  <si>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</si>
  <si>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</si>
  <si>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</si>
  <si>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</si>
  <si>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</si>
  <si>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</si>
  <si>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</si>
  <si>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</si>
  <si>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</si>
  <si>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</si>
  <si>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</si>
  <si>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</si>
  <si>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</si>
  <si>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</si>
  <si>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</si>
  <si>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</si>
  <si>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</si>
  <si>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</si>
  <si>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</si>
  <si>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</si>
  <si>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</si>
  <si>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</si>
  <si>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</si>
  <si>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</si>
  <si>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</si>
  <si>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</si>
  <si>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</si>
  <si>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</si>
  <si>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</si>
  <si>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</si>
  <si>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</si>
  <si>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</si>
  <si>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</si>
  <si>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</si>
  <si>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</si>
  <si>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</si>
  <si>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</si>
  <si>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</si>
  <si>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</si>
  <si>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</si>
  <si>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</si>
  <si>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</si>
  <si>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</si>
  <si>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</si>
  <si>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</si>
  <si>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</si>
  <si>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</si>
  <si>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</si>
  <si>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</si>
  <si>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</si>
  <si>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</si>
  <si>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</si>
  <si>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</si>
  <si>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</si>
  <si>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</si>
  <si>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</si>
  <si>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</si>
  <si>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</si>
  <si>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</si>
  <si>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</si>
  <si>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</si>
  <si>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</si>
  <si>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</si>
  <si>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</si>
  <si>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</si>
  <si>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</si>
  <si>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</si>
  <si>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</si>
  <si>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</si>
  <si>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</si>
  <si>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</si>
  <si>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</si>
  <si>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</si>
  <si>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</si>
  <si>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</si>
  <si>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</si>
  <si>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</si>
  <si>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</si>
  <si>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</si>
  <si>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</si>
  <si>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</si>
  <si>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</si>
  <si>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</si>
  <si>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</si>
  <si>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</si>
  <si>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</si>
  <si>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</si>
  <si>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</si>
  <si>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</si>
  <si>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</si>
  <si>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</si>
  <si>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</si>
  <si>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</si>
  <si>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</si>
  <si>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</si>
  <si>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</si>
  <si>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</si>
  <si>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</si>
  <si>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</si>
  <si>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</si>
  <si>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</si>
  <si>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</si>
  <si>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</si>
  <si>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</si>
  <si>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</si>
  <si>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</si>
  <si>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</si>
  <si>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</si>
  <si>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</si>
  <si>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</si>
  <si>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</si>
  <si>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</si>
  <si>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</si>
  <si>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</si>
  <si>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</si>
  <si>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</si>
  <si>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</si>
  <si>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</si>
  <si>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</si>
  <si>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</si>
  <si>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</si>
  <si>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</si>
  <si>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</si>
  <si>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</si>
  <si>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</si>
  <si>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</si>
  <si>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</si>
  <si>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</si>
  <si>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</si>
  <si>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</si>
  <si>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</si>
  <si>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</si>
  <si>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</si>
  <si>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</si>
  <si>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</si>
  <si>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</si>
  <si>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</si>
  <si>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</si>
  <si>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</si>
  <si>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</si>
  <si>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</si>
  <si>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</si>
  <si>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</si>
  <si>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</si>
  <si>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</si>
  <si>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</si>
  <si>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</si>
  <si>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</si>
  <si>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</si>
  <si>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</si>
  <si>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</si>
  <si>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</si>
  <si>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</si>
  <si>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</si>
  <si>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</si>
  <si>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</si>
  <si>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</si>
  <si>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</si>
  <si>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</si>
  <si>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</si>
  <si>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</si>
  <si>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</si>
  <si>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</si>
  <si>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</si>
  <si>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</si>
  <si>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</si>
  <si>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</si>
  <si>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</si>
  <si>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</si>
  <si>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</si>
  <si>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</si>
  <si>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</si>
  <si>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</si>
  <si>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</si>
  <si>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</si>
  <si>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</si>
  <si>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</si>
  <si>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</si>
  <si>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</si>
  <si>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</si>
  <si>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</si>
  <si>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</si>
  <si>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</si>
  <si>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</si>
  <si>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</si>
  <si>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</si>
  <si>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</si>
  <si>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</si>
  <si>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</si>
  <si>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</si>
  <si>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</si>
  <si>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</si>
  <si>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</si>
  <si>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</si>
  <si>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</si>
  <si>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</si>
  <si>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</si>
  <si>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</si>
  <si>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</si>
  <si>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</si>
  <si>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</si>
  <si>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</si>
  <si>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</si>
  <si>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</si>
  <si>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</si>
  <si>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</si>
  <si>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</si>
  <si>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</si>
  <si>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</si>
  <si>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</si>
  <si>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</si>
  <si>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</si>
  <si>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</si>
  <si>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</si>
  <si>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</si>
  <si>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</si>
  <si>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</si>
  <si>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</si>
  <si>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</si>
  <si>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</si>
  <si>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</si>
  <si>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</si>
  <si>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</si>
  <si>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</si>
  <si>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</si>
  <si>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</si>
  <si>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</si>
  <si>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</si>
  <si>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</si>
  <si>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</si>
  <si>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</si>
  <si>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</si>
  <si>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</si>
  <si>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</si>
  <si>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</si>
  <si>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</si>
  <si>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</si>
  <si>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</si>
  <si>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</si>
  <si>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</si>
  <si>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</si>
  <si>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</si>
  <si>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</si>
  <si>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</si>
  <si>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</si>
  <si>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</si>
  <si>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</si>
  <si>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</si>
  <si>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</si>
  <si>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</si>
  <si>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</si>
  <si>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</si>
  <si>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</si>
  <si>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</si>
  <si>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</si>
  <si>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</si>
  <si>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</si>
  <si>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</si>
  <si>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</si>
  <si>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</si>
  <si>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</si>
  <si>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</si>
  <si>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</si>
  <si>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</si>
  <si>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</si>
  <si>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</si>
  <si>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</si>
  <si>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</si>
  <si>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</si>
  <si>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</si>
  <si>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</si>
  <si>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</si>
  <si>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</si>
  <si>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</si>
  <si>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</si>
  <si>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</si>
  <si>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</si>
  <si>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</si>
  <si>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</si>
  <si>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</si>
  <si>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</si>
  <si>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</si>
  <si>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</si>
  <si>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</si>
  <si>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</si>
  <si>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</si>
  <si>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</si>
  <si>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</si>
  <si>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</si>
  <si>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</si>
  <si>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</si>
  <si>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</si>
  <si>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</si>
  <si>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</si>
  <si>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</si>
  <si>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</si>
  <si>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</si>
  <si>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</si>
  <si>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</si>
  <si>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</si>
  <si>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</si>
  <si>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</si>
  <si>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</si>
  <si>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</si>
  <si>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</si>
  <si>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</si>
  <si>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</si>
  <si>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</si>
  <si>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</si>
  <si>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</si>
  <si>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</si>
  <si>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</si>
  <si>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</si>
  <si>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</si>
  <si>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</si>
  <si>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</si>
  <si>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</si>
  <si>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</si>
  <si>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</si>
  <si>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</si>
  <si>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</si>
  <si>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</si>
  <si>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</si>
  <si>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</si>
  <si>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</si>
  <si>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</si>
  <si>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</si>
  <si>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</si>
  <si>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</si>
  <si>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</si>
  <si>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</si>
  <si>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</si>
  <si>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</si>
  <si>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</si>
  <si>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</si>
  <si>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</si>
  <si>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</si>
  <si>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</si>
  <si>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</si>
  <si>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</si>
  <si>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</si>
  <si>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</si>
  <si>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</si>
  <si>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</si>
  <si>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</si>
  <si>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</si>
  <si>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</si>
  <si>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</si>
  <si>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</si>
  <si>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</si>
  <si>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</si>
  <si>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</si>
  <si>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</si>
  <si>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</si>
  <si>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</si>
  <si>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</si>
  <si>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</si>
  <si>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</si>
  <si>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</si>
  <si>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</si>
  <si>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</si>
  <si>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</si>
  <si>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</si>
  <si>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</si>
  <si>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</si>
  <si>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</si>
  <si>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</si>
  <si>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</si>
  <si>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</si>
  <si>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</si>
  <si>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</si>
  <si>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</si>
  <si>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</si>
  <si>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</si>
  <si>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</si>
  <si>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</si>
  <si>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</si>
  <si>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</si>
  <si>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</si>
  <si>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</si>
  <si>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</si>
  <si>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</si>
  <si>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</si>
  <si>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</si>
  <si>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</si>
  <si>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</si>
  <si>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</si>
  <si>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</si>
  <si>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</si>
  <si>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</si>
  <si>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</si>
  <si>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</si>
  <si>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</si>
  <si>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</si>
  <si>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</si>
  <si>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</si>
  <si>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</si>
  <si>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</si>
  <si>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</si>
  <si>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</si>
  <si>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</si>
  <si>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</si>
  <si>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</si>
  <si>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</si>
  <si>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</si>
  <si>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</si>
  <si>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</si>
  <si>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</si>
  <si>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</si>
  <si>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</si>
  <si>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</si>
  <si>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</si>
  <si>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</si>
  <si>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</si>
  <si>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</si>
  <si>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</si>
  <si>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</si>
  <si>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</si>
  <si>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</si>
  <si>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</si>
  <si>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</si>
  <si>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</si>
  <si>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</si>
  <si>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</si>
  <si>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</si>
  <si>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</si>
  <si>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</si>
  <si>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</si>
  <si>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</si>
  <si>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</si>
  <si>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</si>
  <si>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</si>
  <si>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</si>
  <si>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</si>
  <si>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</si>
  <si>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</si>
  <si>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</si>
  <si>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</si>
  <si>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</si>
  <si>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</si>
  <si>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</si>
  <si>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</si>
  <si>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</si>
  <si>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</si>
  <si>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</si>
  <si>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</si>
  <si>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</si>
  <si>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</si>
  <si>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</si>
  <si>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</si>
  <si>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</si>
  <si>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</si>
  <si>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</si>
  <si>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</si>
  <si>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</si>
  <si>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</si>
  <si>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</si>
  <si>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</si>
  <si>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</si>
  <si>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</si>
  <si>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</si>
  <si>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</si>
  <si>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</si>
  <si>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</si>
  <si>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</si>
  <si>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</si>
  <si>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</si>
  <si>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</si>
  <si>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</si>
  <si>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</si>
  <si>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</si>
  <si>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</si>
  <si>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</si>
  <si>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</si>
  <si>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</si>
  <si>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</si>
  <si>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</si>
  <si>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</si>
  <si>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</si>
  <si>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</si>
  <si>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</si>
  <si>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</si>
  <si>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</si>
  <si>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</si>
  <si>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</si>
  <si>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</si>
  <si>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</si>
  <si>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</si>
  <si>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</si>
  <si>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</si>
  <si>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</si>
  <si>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</si>
  <si>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</si>
  <si>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</si>
  <si>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</si>
  <si>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</si>
  <si>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</si>
  <si>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</si>
  <si>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</si>
  <si>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</si>
  <si>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</si>
  <si>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</si>
  <si>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</si>
  <si>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</si>
  <si>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</si>
  <si>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</si>
  <si>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</si>
  <si>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</si>
  <si>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</si>
  <si>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</si>
  <si>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</si>
  <si>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</si>
  <si>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</si>
  <si>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</si>
  <si>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</si>
  <si>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</si>
  <si>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</si>
  <si>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</si>
  <si>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</si>
  <si>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</si>
  <si>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</si>
  <si>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</si>
  <si>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</si>
  <si>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</si>
  <si>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</si>
  <si>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</si>
  <si>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</si>
  <si>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</si>
  <si>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</si>
  <si>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</si>
  <si>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</si>
  <si>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</si>
  <si>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</si>
  <si>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</si>
  <si>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</si>
  <si>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</si>
  <si>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</si>
  <si>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</si>
  <si>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</si>
  <si>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</si>
  <si>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</si>
  <si>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</si>
  <si>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</si>
  <si>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</si>
  <si>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</si>
  <si>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</si>
  <si>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</si>
  <si>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</si>
  <si>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</si>
  <si>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</si>
  <si>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</si>
  <si>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</si>
  <si>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</si>
  <si>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</si>
  <si>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</si>
  <si>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</si>
  <si>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</si>
  <si>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</si>
  <si>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</si>
  <si>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</si>
  <si>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</si>
  <si>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</si>
  <si>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</si>
  <si>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</si>
  <si>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</si>
  <si>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</si>
  <si>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</si>
  <si>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</si>
  <si>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</si>
  <si>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</si>
  <si>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</si>
  <si>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</si>
  <si>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</si>
  <si>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</si>
  <si>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</si>
  <si>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</si>
  <si>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</si>
  <si>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</si>
  <si>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</si>
  <si>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</si>
  <si>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</si>
  <si>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</si>
  <si>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</si>
  <si>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</si>
  <si>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</si>
  <si>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</si>
  <si>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</si>
  <si>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</si>
  <si>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</si>
  <si>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</si>
  <si>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</si>
  <si>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</si>
  <si>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</si>
  <si>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</si>
  <si>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</si>
  <si>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</si>
  <si>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</si>
  <si>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</si>
  <si>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</si>
  <si>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</si>
  <si>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</si>
  <si>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</si>
  <si>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</si>
  <si>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</si>
  <si>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</si>
  <si>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</si>
  <si>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</si>
  <si>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</si>
  <si>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</si>
  <si>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</si>
  <si>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</si>
  <si>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</si>
  <si>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</si>
  <si>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</si>
  <si>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</si>
  <si>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</si>
  <si>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</si>
  <si>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</si>
  <si>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</si>
  <si>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</si>
  <si>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</si>
  <si>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</si>
  <si>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</si>
  <si>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</si>
  <si>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</si>
  <si>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</si>
  <si>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</si>
  <si>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</si>
  <si>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</si>
  <si>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</si>
  <si>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</si>
  <si>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</si>
  <si>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</si>
  <si>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</si>
  <si>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</si>
  <si>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</si>
  <si>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</si>
  <si>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</si>
  <si>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</si>
  <si>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</si>
  <si>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</si>
  <si>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</si>
  <si>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</si>
  <si>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</si>
  <si>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</si>
  <si>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</si>
  <si>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</si>
  <si>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</si>
  <si>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</si>
  <si>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</si>
  <si>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</si>
  <si>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</si>
  <si>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</si>
  <si>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</si>
  <si>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</si>
  <si>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</si>
  <si>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</si>
  <si>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</si>
  <si>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</si>
  <si>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</si>
  <si>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</si>
  <si>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</si>
  <si>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</si>
  <si>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</si>
  <si>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</si>
  <si>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</si>
  <si>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</si>
  <si>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</si>
  <si>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</si>
  <si>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</si>
  <si>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</si>
  <si>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</si>
  <si>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</si>
  <si>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</si>
  <si>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</si>
  <si>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</si>
  <si>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</si>
  <si>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</si>
  <si>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</si>
  <si>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</si>
  <si>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</si>
  <si>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</si>
  <si>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</si>
  <si>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</si>
  <si>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</si>
  <si>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</si>
  <si>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</si>
  <si>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</si>
  <si>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</si>
  <si>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</si>
  <si>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</si>
  <si>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</si>
  <si>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</si>
  <si>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</si>
  <si>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</si>
  <si>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</si>
  <si>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</si>
  <si>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</si>
  <si>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</si>
  <si>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</si>
  <si>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</si>
  <si>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</si>
  <si>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</si>
  <si>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</si>
  <si>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</si>
  <si>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</si>
  <si>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</si>
  <si>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</si>
  <si>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</si>
  <si>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</si>
  <si>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</si>
  <si>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</si>
  <si>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</si>
  <si>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</si>
  <si>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</si>
  <si>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</si>
  <si>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</si>
  <si>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</si>
  <si>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</si>
  <si>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</si>
  <si>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</si>
  <si>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</si>
  <si>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</si>
  <si>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</si>
  <si>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</si>
  <si>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</si>
  <si>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</si>
  <si>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</si>
  <si>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</si>
  <si>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</si>
  <si>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</si>
  <si>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</si>
  <si>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</si>
  <si>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</si>
  <si>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</si>
  <si>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</si>
  <si>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</si>
  <si>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</si>
  <si>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</si>
  <si>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</si>
  <si>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</si>
  <si>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</si>
  <si>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</si>
  <si>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</si>
  <si>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</si>
  <si>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</si>
  <si>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</si>
  <si>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</si>
  <si>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</si>
  <si>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</si>
  <si>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</si>
  <si>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</si>
  <si>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</si>
  <si>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</si>
  <si>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</si>
  <si>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</si>
  <si>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</si>
  <si>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</si>
  <si>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</si>
  <si>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</si>
  <si>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</si>
  <si>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</si>
  <si>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</si>
  <si>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</si>
  <si>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</si>
  <si>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</si>
  <si>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</si>
  <si>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</si>
  <si>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</si>
  <si>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</si>
  <si>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</si>
  <si>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</si>
  <si>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</si>
  <si>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</si>
  <si>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</si>
  <si>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</si>
  <si>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</si>
  <si>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</si>
  <si>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</si>
  <si>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</si>
  <si>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</si>
  <si>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</si>
  <si>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</si>
  <si>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</si>
  <si>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</si>
  <si>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</si>
  <si>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</si>
  <si>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</si>
  <si>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</si>
  <si>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</si>
  <si>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</si>
  <si>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</si>
  <si>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</si>
  <si>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</si>
  <si>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</si>
  <si>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</si>
  <si>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</si>
  <si>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</si>
  <si>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</si>
  <si>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</si>
  <si>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</si>
  <si>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</si>
  <si>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</si>
  <si>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</si>
  <si>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</si>
  <si>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</si>
  <si>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</si>
  <si>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</si>
  <si>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</si>
  <si>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</si>
  <si>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</si>
  <si>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</si>
  <si>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</si>
  <si>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</si>
  <si>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</si>
  <si>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</si>
  <si>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</si>
  <si>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</si>
  <si>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</si>
  <si>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</si>
  <si>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</si>
  <si>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</si>
  <si>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</si>
  <si>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</si>
  <si>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</si>
  <si>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</si>
  <si>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</si>
  <si>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</si>
  <si>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</si>
  <si>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</si>
  <si>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</si>
  <si>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</si>
  <si>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</si>
  <si>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</si>
  <si>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</si>
  <si>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</si>
  <si>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</si>
  <si>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</si>
  <si>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</si>
  <si>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</si>
  <si>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</si>
  <si>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</si>
  <si>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</si>
  <si>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</si>
  <si>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</si>
  <si>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</si>
  <si>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</si>
  <si>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</si>
  <si>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</si>
  <si>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</si>
  <si>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</si>
  <si>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</si>
  <si>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</si>
  <si>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</si>
  <si>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</si>
  <si>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</si>
  <si>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</si>
  <si>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</si>
  <si>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</si>
  <si>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</si>
  <si>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</si>
  <si>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</si>
  <si>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</si>
  <si>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</si>
  <si>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</si>
  <si>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</si>
  <si>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</si>
  <si>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</si>
  <si>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</si>
  <si>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</si>
  <si>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</si>
  <si>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</si>
  <si>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</si>
  <si>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</si>
  <si>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</si>
  <si>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</si>
  <si>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</si>
  <si>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</si>
  <si>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</si>
  <si>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</si>
  <si>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</si>
  <si>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</si>
  <si>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</si>
  <si>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</si>
  <si>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</si>
  <si>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</si>
  <si>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</si>
  <si>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</si>
  <si>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</si>
  <si>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</si>
  <si>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</si>
  <si>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</si>
  <si>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</si>
  <si>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</si>
  <si>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</si>
  <si>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</si>
  <si>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</si>
  <si>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</si>
  <si>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</si>
  <si>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</si>
  <si>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</si>
  <si>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</si>
  <si>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</si>
  <si>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</si>
  <si>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</si>
  <si>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</si>
  <si>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</si>
  <si>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</si>
  <si>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</si>
  <si>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</si>
  <si>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</si>
  <si>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</si>
  <si>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</si>
  <si>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</si>
  <si>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</si>
  <si>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</si>
  <si>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</si>
  <si>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</si>
  <si>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</si>
  <si>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</si>
  <si>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</si>
  <si>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</si>
  <si>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</si>
  <si>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</si>
  <si>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</si>
  <si>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</si>
  <si>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</si>
  <si>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</si>
  <si>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</si>
  <si>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</si>
  <si>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</si>
  <si>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</si>
  <si>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</si>
  <si>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</si>
  <si>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</si>
  <si>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</si>
  <si>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</si>
  <si>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</si>
  <si>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</si>
  <si>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</si>
  <si>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</si>
  <si>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</si>
  <si>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</si>
  <si>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</si>
  <si>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</si>
  <si>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</si>
  <si>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</si>
  <si>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</si>
  <si>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</si>
  <si>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</si>
  <si>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</si>
  <si>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</si>
  <si>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</si>
  <si>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</si>
  <si>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</si>
  <si>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</si>
  <si>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</si>
  <si>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</si>
  <si>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</si>
  <si>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</si>
  <si>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</si>
  <si>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</si>
  <si>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</si>
  <si>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</si>
  <si>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</si>
  <si>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</si>
  <si>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</si>
  <si>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</si>
  <si>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</si>
  <si>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</si>
  <si>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</si>
  <si>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</si>
  <si>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</si>
  <si>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</si>
  <si>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</si>
  <si>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</si>
  <si>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</si>
  <si>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</si>
  <si>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</si>
  <si>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</si>
  <si>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</si>
  <si>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</si>
  <si>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</si>
  <si>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</si>
  <si>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</si>
  <si>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</si>
  <si>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</si>
  <si>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</si>
  <si>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</si>
  <si>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</si>
  <si>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</si>
  <si>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</si>
  <si>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</si>
  <si>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</si>
  <si>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</si>
  <si>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</si>
  <si>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</si>
  <si>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</si>
  <si>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</si>
  <si>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</si>
  <si>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</si>
  <si>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</si>
  <si>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</si>
  <si>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</si>
  <si>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</si>
  <si>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</si>
  <si>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</si>
  <si>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</si>
  <si>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</si>
  <si>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</si>
  <si>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</si>
  <si>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</si>
  <si>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</si>
  <si>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</si>
  <si>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</si>
  <si>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</si>
  <si>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</si>
  <si>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</si>
  <si>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</si>
  <si>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</si>
  <si>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</si>
  <si>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</si>
  <si>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</si>
  <si>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</si>
  <si>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</si>
  <si>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</si>
  <si>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</si>
  <si>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</si>
  <si>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</si>
  <si>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</si>
  <si>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</si>
  <si>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</si>
  <si>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</si>
  <si>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</si>
  <si>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</si>
  <si>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</si>
  <si>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</si>
  <si>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</si>
  <si>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</si>
  <si>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</si>
  <si>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</si>
  <si>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</si>
  <si>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</si>
  <si>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</si>
  <si>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</si>
  <si>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</si>
  <si>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</si>
  <si>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</si>
  <si>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</si>
  <si>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</si>
  <si>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</si>
  <si>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</si>
  <si>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</si>
  <si>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</si>
  <si>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</si>
  <si>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</si>
  <si>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</si>
  <si>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</si>
  <si>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</si>
  <si>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</si>
  <si>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</si>
  <si>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</si>
  <si>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</si>
  <si>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</si>
  <si>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</si>
  <si>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</si>
  <si>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</si>
  <si>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</si>
  <si>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</si>
  <si>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</si>
  <si>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</si>
  <si>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</si>
  <si>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</si>
  <si>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</si>
  <si>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</si>
  <si>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</si>
  <si>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</si>
  <si>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</si>
  <si>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</si>
  <si>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</si>
  <si>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</si>
  <si>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</si>
  <si>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</si>
  <si>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</si>
  <si>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</si>
  <si>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</si>
  <si>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</si>
  <si>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</si>
  <si>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</si>
  <si>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</si>
  <si>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</si>
  <si>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</si>
  <si>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</si>
  <si>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</si>
  <si>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</si>
  <si>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</si>
  <si>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</si>
  <si>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</si>
  <si>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</si>
  <si>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</si>
  <si>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</si>
  <si>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</si>
  <si>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</si>
  <si>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</si>
  <si>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</si>
  <si>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</si>
  <si>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</si>
  <si>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</si>
  <si>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</si>
  <si>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</si>
  <si>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</si>
  <si>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</si>
  <si>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</si>
  <si>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</si>
  <si>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</si>
  <si>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</si>
  <si>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</si>
  <si>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</si>
  <si>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</si>
  <si>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</si>
  <si>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</si>
  <si>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</si>
  <si>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</si>
  <si>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</si>
  <si>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</si>
  <si>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</si>
  <si>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</si>
  <si>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</si>
  <si>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</si>
  <si>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</si>
  <si>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</si>
  <si>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</si>
  <si>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</si>
  <si>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</si>
  <si>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</si>
  <si>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</si>
  <si>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</si>
  <si>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</si>
  <si>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</si>
  <si>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</si>
  <si>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</si>
  <si>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</si>
  <si>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</si>
  <si>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</si>
  <si>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</si>
  <si>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</si>
  <si>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</si>
  <si>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</si>
  <si>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</si>
  <si>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</si>
  <si>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</si>
  <si>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</si>
  <si>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</si>
  <si>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</si>
  <si>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</si>
  <si>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</si>
  <si>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</si>
  <si>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</si>
  <si>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</si>
  <si>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</si>
  <si>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</si>
  <si>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</si>
  <si>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</si>
  <si>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</si>
  <si>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</si>
  <si>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</si>
  <si>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</si>
  <si>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</si>
  <si>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</si>
  <si>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</si>
  <si>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</si>
  <si>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</si>
  <si>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</si>
  <si>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</si>
  <si>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</si>
  <si>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</si>
  <si>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</si>
  <si>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</si>
  <si>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</si>
  <si>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</si>
  <si>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</si>
  <si>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</si>
  <si>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</si>
  <si>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</si>
  <si>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</si>
  <si>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</si>
  <si>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</si>
  <si>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</si>
  <si>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</si>
  <si>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</si>
  <si>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</si>
  <si>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</si>
  <si>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</si>
  <si>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</si>
  <si>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</si>
  <si>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</si>
  <si>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</si>
  <si>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</si>
  <si>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</si>
  <si>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</si>
  <si>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</si>
  <si>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</si>
  <si>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</si>
  <si>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</si>
  <si>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</si>
  <si>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</si>
  <si>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</si>
  <si>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</si>
  <si>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</si>
  <si>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</si>
  <si>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</si>
  <si>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</si>
  <si>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</si>
  <si>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</si>
  <si>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</si>
  <si>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</si>
  <si>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</si>
  <si>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</si>
  <si>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</si>
  <si>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</si>
  <si>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</si>
  <si>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</si>
  <si>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</si>
  <si>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</si>
  <si>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</si>
  <si>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</si>
  <si>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</si>
  <si>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</si>
  <si>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</si>
  <si>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</si>
  <si>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</si>
  <si>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</si>
  <si>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</si>
  <si>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</si>
  <si>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</si>
  <si>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</si>
  <si>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</si>
  <si>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</si>
  <si>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</si>
  <si>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</si>
  <si>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</si>
  <si>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</si>
  <si>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</si>
  <si>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</si>
  <si>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</si>
  <si>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</si>
  <si>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</si>
  <si>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</si>
  <si>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</si>
  <si>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</si>
  <si>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</si>
  <si>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</si>
  <si>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</si>
  <si>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</si>
  <si>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</si>
  <si>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</si>
  <si>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</si>
  <si>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</si>
  <si>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</si>
  <si>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</si>
  <si>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</si>
  <si>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</si>
  <si>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</si>
  <si>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</si>
  <si>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</si>
  <si>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</si>
  <si>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</si>
  <si>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</si>
  <si>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</si>
  <si>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</si>
  <si>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</si>
  <si>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</si>
  <si>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</si>
  <si>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</si>
  <si>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</si>
  <si>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</si>
  <si>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</si>
  <si>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</si>
  <si>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</si>
  <si>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</si>
  <si>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</si>
  <si>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</si>
  <si>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</si>
  <si>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</si>
  <si>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</si>
  <si>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</si>
  <si>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</si>
  <si>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</si>
  <si>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</si>
  <si>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</si>
  <si>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</si>
  <si>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</si>
  <si>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</si>
  <si>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</si>
  <si>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</si>
  <si>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</si>
  <si>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</si>
  <si>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</si>
  <si>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</si>
  <si>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</si>
  <si>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</si>
  <si>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</si>
  <si>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</si>
  <si>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</si>
  <si>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</si>
  <si>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</si>
  <si>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</si>
  <si>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</si>
  <si>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</si>
  <si>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</si>
  <si>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</si>
  <si>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</si>
  <si>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</si>
  <si>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</si>
  <si>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</si>
  <si>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</si>
  <si>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</si>
  <si>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</si>
  <si>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</si>
  <si>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</si>
  <si>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</si>
  <si>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</si>
  <si>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</si>
  <si>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</si>
  <si>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</si>
  <si>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</si>
  <si>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</si>
  <si>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</si>
  <si>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</si>
  <si>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</si>
  <si>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</si>
  <si>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</si>
  <si>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</si>
  <si>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</si>
  <si>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</si>
  <si>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</si>
  <si>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</si>
  <si>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</si>
  <si>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</si>
  <si>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</si>
  <si>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</si>
  <si>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</si>
  <si>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</si>
  <si>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</si>
  <si>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</si>
  <si>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</si>
  <si>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</si>
  <si>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</si>
  <si>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</si>
  <si>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</si>
  <si>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</si>
  <si>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</si>
  <si>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</si>
  <si>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</si>
  <si>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</si>
  <si>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</si>
  <si>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</si>
  <si>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</si>
  <si>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</si>
  <si>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</si>
  <si>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</si>
  <si>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</si>
  <si>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</si>
  <si>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</si>
  <si>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</si>
  <si>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</si>
  <si>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</si>
  <si>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</si>
  <si>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</si>
  <si>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</si>
  <si>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</si>
  <si>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</si>
  <si>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</si>
  <si>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</si>
  <si>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</si>
  <si>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</si>
  <si>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</si>
  <si>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</si>
  <si>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</si>
  <si>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</si>
  <si>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</si>
  <si>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</si>
  <si>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</si>
  <si>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</si>
  <si>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</si>
  <si>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</si>
  <si>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</si>
  <si>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</si>
  <si>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</si>
  <si>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</si>
  <si>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</si>
  <si>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</si>
  <si>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</si>
  <si>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</si>
  <si>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</si>
  <si>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</si>
  <si>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</si>
  <si>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</si>
  <si>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</si>
  <si>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</si>
  <si>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</si>
  <si>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</si>
  <si>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</si>
  <si>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</si>
  <si>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</si>
  <si>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</si>
  <si>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</si>
  <si>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</si>
  <si>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</si>
  <si>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</si>
  <si>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</si>
  <si>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</si>
  <si>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</si>
  <si>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</si>
  <si>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</si>
  <si>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</si>
  <si>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</si>
  <si>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</si>
  <si>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</si>
  <si>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</si>
  <si>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</si>
  <si>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</si>
  <si>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</si>
  <si>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</si>
  <si>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</si>
  <si>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</si>
  <si>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</si>
  <si>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</si>
  <si>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</si>
  <si>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</si>
  <si>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</si>
  <si>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</si>
  <si>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</si>
  <si>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</si>
  <si>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</si>
  <si>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</si>
  <si>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</si>
  <si>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</si>
  <si>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</si>
  <si>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</si>
  <si>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</si>
  <si>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</si>
  <si>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</si>
  <si>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</si>
  <si>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</si>
  <si>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</si>
  <si>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</si>
  <si>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</si>
  <si>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</si>
  <si>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</si>
  <si>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</si>
  <si>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</si>
  <si>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</si>
  <si>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</si>
  <si>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</si>
  <si>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</si>
  <si>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</si>
  <si>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</si>
  <si>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</si>
  <si>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</si>
  <si>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</si>
  <si>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</si>
  <si>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</si>
  <si>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</si>
  <si>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</si>
  <si>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</si>
  <si>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</si>
  <si>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</si>
  <si>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</si>
  <si>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</si>
  <si>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</si>
  <si>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</si>
  <si>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</si>
  <si>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</si>
  <si>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</si>
  <si>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</si>
  <si>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</si>
  <si>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</si>
  <si>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</si>
  <si>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</si>
  <si>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</si>
  <si>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</si>
  <si>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</si>
  <si>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</si>
  <si>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</si>
  <si>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</si>
  <si>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</si>
  <si>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</si>
  <si>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</si>
  <si>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</si>
  <si>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</si>
  <si>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</si>
  <si>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</si>
  <si>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</si>
  <si>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</si>
  <si>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</si>
  <si>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</si>
  <si>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</si>
  <si>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</si>
  <si>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</si>
  <si>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</si>
  <si>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</si>
  <si>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</si>
  <si>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</si>
  <si>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</si>
  <si>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</si>
  <si>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</si>
  <si>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</si>
  <si>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</si>
  <si>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</si>
  <si>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</si>
  <si>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</si>
  <si>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</si>
  <si>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</si>
  <si>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</si>
  <si>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</si>
  <si>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</si>
  <si>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</si>
  <si>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</si>
  <si>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</si>
  <si>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</si>
  <si>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</si>
  <si>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</si>
  <si>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</si>
  <si>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</si>
  <si>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</si>
  <si>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</si>
  <si>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</si>
  <si>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</si>
  <si>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</si>
  <si>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</si>
  <si>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</si>
  <si>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</si>
  <si>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</si>
  <si>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</si>
  <si>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</si>
  <si>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</si>
  <si>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</si>
  <si>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</si>
  <si>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</si>
  <si>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</si>
  <si>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</si>
  <si>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</si>
  <si>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</si>
  <si>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</si>
  <si>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</si>
  <si>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</si>
  <si>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</si>
  <si>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</si>
  <si>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</si>
  <si>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</si>
  <si>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</si>
  <si>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</si>
  <si>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</si>
  <si>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</si>
  <si>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</si>
  <si>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</si>
  <si>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</si>
  <si>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</si>
  <si>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</si>
  <si>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</si>
  <si>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</si>
  <si>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</si>
  <si>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</si>
  <si>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</si>
  <si>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</si>
  <si>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</si>
  <si>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</si>
  <si>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</si>
  <si>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</si>
  <si>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</si>
  <si>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</si>
  <si>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</si>
  <si>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</si>
  <si>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</si>
  <si>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</si>
  <si>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</si>
  <si>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</si>
  <si>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</si>
  <si>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</si>
  <si>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</si>
  <si>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</si>
  <si>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</si>
  <si>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</si>
  <si>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</si>
  <si>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</si>
  <si>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</si>
  <si>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</si>
  <si>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</si>
  <si>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</si>
  <si>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</si>
  <si>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</si>
  <si>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</si>
  <si>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</si>
  <si>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</si>
  <si>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</si>
  <si>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</si>
  <si>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</si>
  <si>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</si>
  <si>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</si>
  <si>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</si>
  <si>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</si>
  <si>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</si>
  <si>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</si>
  <si>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</si>
  <si>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</si>
  <si>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</si>
  <si>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</si>
  <si>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</si>
  <si>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</si>
  <si>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</si>
  <si>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</si>
  <si>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</si>
  <si>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</si>
  <si>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</si>
  <si>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</si>
  <si>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</si>
  <si>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</si>
  <si>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</si>
  <si>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</si>
  <si>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</si>
  <si>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</si>
  <si>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</si>
  <si>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</si>
  <si>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</si>
  <si>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</si>
  <si>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</si>
  <si>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</si>
  <si>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</si>
  <si>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</si>
  <si>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</si>
  <si>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</si>
  <si>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</si>
  <si>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</si>
  <si>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</si>
  <si>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</si>
  <si>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</si>
  <si>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</si>
  <si>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</si>
  <si>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</si>
  <si>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</si>
  <si>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</si>
  <si>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</si>
  <si>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</si>
  <si>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</si>
  <si>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</si>
  <si>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</si>
  <si>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</si>
  <si>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</si>
  <si>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</si>
  <si>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</si>
  <si>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</si>
  <si>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</si>
  <si>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</si>
  <si>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</si>
  <si>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</si>
  <si>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</si>
  <si>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</si>
  <si>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</si>
  <si>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</si>
  <si>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</si>
  <si>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</si>
  <si>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</si>
  <si>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</si>
  <si>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</si>
  <si>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</si>
  <si>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</si>
  <si>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</si>
  <si>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</si>
  <si>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</si>
  <si>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</si>
  <si>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</si>
  <si>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</si>
  <si>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</si>
  <si>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</si>
  <si>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</si>
  <si>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</si>
  <si>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</si>
  <si>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</si>
  <si>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</si>
  <si>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</si>
  <si>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</si>
  <si>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</si>
  <si>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</si>
  <si>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</si>
  <si>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</si>
  <si>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</si>
  <si>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</si>
  <si>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</si>
  <si>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</si>
  <si>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</si>
  <si>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</si>
  <si>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</si>
  <si>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</si>
  <si>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</si>
  <si>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</si>
  <si>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</si>
  <si>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</si>
  <si>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</si>
  <si>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</si>
  <si>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</si>
  <si>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</si>
  <si>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</si>
  <si>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</si>
  <si>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</si>
  <si>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</si>
  <si>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</si>
  <si>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</si>
  <si>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</si>
  <si>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</si>
  <si>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</si>
  <si>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</si>
  <si>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</si>
  <si>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</si>
  <si>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</si>
  <si>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</si>
  <si>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</si>
  <si>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</si>
  <si>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</si>
  <si>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</si>
  <si>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</si>
  <si>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</si>
  <si>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</si>
  <si>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</si>
  <si>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</si>
  <si>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</si>
  <si>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</si>
  <si>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</si>
  <si>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</si>
  <si>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</si>
  <si>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</si>
  <si>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</si>
  <si>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</si>
  <si>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</si>
  <si>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</si>
  <si>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</si>
  <si>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</si>
  <si>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</si>
  <si>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</si>
  <si>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</si>
  <si>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</si>
  <si>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</si>
  <si>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</si>
  <si>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</si>
  <si>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</si>
  <si>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</si>
  <si>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</si>
  <si>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</si>
  <si>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</si>
  <si>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</si>
  <si>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</si>
  <si>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</si>
  <si>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</si>
  <si>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</si>
  <si>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</si>
  <si>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</si>
  <si>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</si>
  <si>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</si>
  <si>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</si>
  <si>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</si>
  <si>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</si>
  <si>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</si>
  <si>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</si>
  <si>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</si>
  <si>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</si>
  <si>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</si>
  <si>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</si>
  <si>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</si>
  <si>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</si>
  <si>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</si>
  <si>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</si>
  <si>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</si>
  <si>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</si>
  <si>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</si>
  <si>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</si>
  <si>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</si>
  <si>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</si>
  <si>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</si>
  <si>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</si>
  <si>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</si>
  <si>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</si>
  <si>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</si>
  <si>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</si>
  <si>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</si>
  <si>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</si>
  <si>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</si>
  <si>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</si>
  <si>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</si>
  <si>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</si>
  <si>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</si>
  <si>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</si>
  <si>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</si>
  <si>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</si>
  <si>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</si>
  <si>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</si>
  <si>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</si>
  <si>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</si>
  <si>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</si>
  <si>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</si>
  <si>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</si>
  <si>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</si>
  <si>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</si>
  <si>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</si>
  <si>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</si>
  <si>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</si>
  <si>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</si>
  <si>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</si>
  <si>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</si>
  <si>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</si>
  <si>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</si>
  <si>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</si>
  <si>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</si>
  <si>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</si>
  <si>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</si>
  <si>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</si>
  <si>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</si>
  <si>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</si>
  <si>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</si>
  <si>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</si>
  <si>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</si>
  <si>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</si>
  <si>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</si>
  <si>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</si>
  <si>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</si>
  <si>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</si>
  <si>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</si>
  <si>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</si>
  <si>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</si>
  <si>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</si>
  <si>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</si>
  <si>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</si>
  <si>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</si>
  <si>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</si>
  <si>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</si>
  <si>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</si>
  <si>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</si>
  <si>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</si>
  <si>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</si>
  <si>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</si>
  <si>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</si>
  <si>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</si>
  <si>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</si>
  <si>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</si>
  <si>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</si>
  <si>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</si>
  <si>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</si>
  <si>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</si>
  <si>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</si>
  <si>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</si>
  <si>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</si>
  <si>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</si>
  <si>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</si>
  <si>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</si>
  <si>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</si>
  <si>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</si>
  <si>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</si>
  <si>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</si>
  <si>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</si>
  <si>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</si>
  <si>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</si>
  <si>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</si>
  <si>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</si>
  <si>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</si>
  <si>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</si>
  <si>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</si>
  <si>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</si>
  <si>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</si>
  <si>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</si>
  <si>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</si>
  <si>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</si>
  <si>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</si>
  <si>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</si>
  <si>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</si>
  <si>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</si>
  <si>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</si>
  <si>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</si>
  <si>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</si>
  <si>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</si>
  <si>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</si>
  <si>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</si>
  <si>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</si>
  <si>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</si>
  <si>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</si>
  <si>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</si>
  <si>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</si>
  <si>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</si>
  <si>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</si>
  <si>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</si>
  <si>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</si>
  <si>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</si>
  <si>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</si>
  <si>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</si>
  <si>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</si>
  <si>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</si>
  <si>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</si>
  <si>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</si>
  <si>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</si>
  <si>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</si>
  <si>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</si>
  <si>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</si>
  <si>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</si>
  <si>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</si>
  <si>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</si>
  <si>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</si>
  <si>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</si>
  <si>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</si>
  <si>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</si>
  <si>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</si>
  <si>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</si>
  <si>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</si>
  <si>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</si>
  <si>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</si>
  <si>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</si>
  <si>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</si>
  <si>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</si>
  <si>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</si>
  <si>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</si>
  <si>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</si>
  <si>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</si>
  <si>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</si>
  <si>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</si>
  <si>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</si>
  <si>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</si>
  <si>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</si>
  <si>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</si>
  <si>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</si>
  <si>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</si>
  <si>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</si>
  <si>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</si>
  <si>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</si>
  <si>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</si>
  <si>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</si>
  <si>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</si>
  <si>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</si>
  <si>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</si>
  <si>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</si>
  <si>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</si>
  <si>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</si>
  <si>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</si>
  <si>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</si>
  <si>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</si>
  <si>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</si>
  <si>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</si>
  <si>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</si>
  <si>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</si>
  <si>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</si>
  <si>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</si>
  <si>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</si>
  <si>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</si>
  <si>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</si>
  <si>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</si>
  <si>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</si>
  <si>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</si>
  <si>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</si>
  <si>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</si>
  <si>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</si>
  <si>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</si>
  <si>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</si>
  <si>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</si>
  <si>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</si>
  <si>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</si>
  <si>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</si>
  <si>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</si>
  <si>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</si>
  <si>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</si>
  <si>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</si>
  <si>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</si>
  <si>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</si>
  <si>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</si>
  <si>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</si>
  <si>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</si>
  <si>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</si>
  <si>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</si>
  <si>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</si>
  <si>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</si>
  <si>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</si>
  <si>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</si>
  <si>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</si>
  <si>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</si>
  <si>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</si>
  <si>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</si>
  <si>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</si>
  <si>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</si>
  <si>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</si>
  <si>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</si>
  <si>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</si>
  <si>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</si>
  <si>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</si>
  <si>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</si>
  <si>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</si>
  <si>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</si>
  <si>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</si>
  <si>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</si>
  <si>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</si>
  <si>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</si>
  <si>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</si>
  <si>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</si>
  <si>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</si>
  <si>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</si>
  <si>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</si>
  <si>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</si>
  <si>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</si>
  <si>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</si>
  <si>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</si>
  <si>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</si>
  <si>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</si>
  <si>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</si>
  <si>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</si>
  <si>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</si>
  <si>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</si>
  <si>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</si>
  <si>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</si>
  <si>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</si>
  <si>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</si>
  <si>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</si>
  <si>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</si>
  <si>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</si>
  <si>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</si>
  <si>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</si>
  <si>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</si>
  <si>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</si>
  <si>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</si>
  <si>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</si>
  <si>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</si>
  <si>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</si>
  <si>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</si>
  <si>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</si>
  <si>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</si>
  <si>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</si>
  <si>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</si>
  <si>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</si>
  <si>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</si>
  <si>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</si>
  <si>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</si>
  <si>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</si>
  <si>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</si>
  <si>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</si>
  <si>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</si>
  <si>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</si>
  <si>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</si>
  <si>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</si>
  <si>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</si>
  <si>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</si>
  <si>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</si>
  <si>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</si>
  <si>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</si>
  <si>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</si>
  <si>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</si>
  <si>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</si>
  <si>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</si>
  <si>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</si>
  <si>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</si>
  <si>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</si>
  <si>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</si>
  <si>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</si>
  <si>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</si>
  <si>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</si>
  <si>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</si>
  <si>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</si>
  <si>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</si>
  <si>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</si>
  <si>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</si>
  <si>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</si>
  <si>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</si>
  <si>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</si>
  <si>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</si>
  <si>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</si>
  <si>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</si>
  <si>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</si>
  <si>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</si>
  <si>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</si>
  <si>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</si>
  <si>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</si>
  <si>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</si>
  <si>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</si>
  <si>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</si>
  <si>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</si>
  <si>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</si>
  <si>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</si>
  <si>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</si>
  <si>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</si>
  <si>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</si>
  <si>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</si>
  <si>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</si>
  <si>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</si>
  <si>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</si>
  <si>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</si>
  <si>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</si>
  <si>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</si>
  <si>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</si>
  <si>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</si>
  <si>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</si>
  <si>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</si>
  <si>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</si>
  <si>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</si>
  <si>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</si>
  <si>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</si>
  <si>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</si>
  <si>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</si>
  <si>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</si>
  <si>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</si>
  <si>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</si>
  <si>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</si>
  <si>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</si>
  <si>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</si>
  <si>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</si>
  <si>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</si>
  <si>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</si>
  <si>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</si>
  <si>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</si>
  <si>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</si>
  <si>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</si>
  <si>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</si>
  <si>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</si>
  <si>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</si>
  <si>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</si>
  <si>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</si>
  <si>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</si>
  <si>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</si>
  <si>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</si>
  <si>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</si>
  <si>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</si>
  <si>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</si>
  <si>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</si>
  <si>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</si>
  <si>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</si>
  <si>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</si>
  <si>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</si>
  <si>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</si>
  <si>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</si>
  <si>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</si>
  <si>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</si>
  <si>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</si>
  <si>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</si>
  <si>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</si>
  <si>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</si>
  <si>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</si>
  <si>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</si>
  <si>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</si>
  <si>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</si>
  <si>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</si>
  <si>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</si>
  <si>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</si>
  <si>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</si>
  <si>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</si>
  <si>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</si>
  <si>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</si>
  <si>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</si>
  <si>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</si>
  <si>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</si>
  <si>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</si>
  <si>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</si>
  <si>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</si>
  <si>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</si>
  <si>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</si>
  <si>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</si>
  <si>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</si>
  <si>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</si>
  <si>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</si>
  <si>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</si>
  <si>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</si>
  <si>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</si>
  <si>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</si>
  <si>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</si>
  <si>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</si>
  <si>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</si>
  <si>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</si>
  <si>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</si>
  <si>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</si>
  <si>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</si>
  <si>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</si>
  <si>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</si>
  <si>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</si>
  <si>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</si>
  <si>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</si>
  <si>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</si>
  <si>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</si>
  <si>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</si>
  <si>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</si>
  <si>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</si>
  <si>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</si>
  <si>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</si>
  <si>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</si>
  <si>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</si>
  <si>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</si>
  <si>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</si>
  <si>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</si>
  <si>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</si>
  <si>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</si>
  <si>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</si>
  <si>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</si>
  <si>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</si>
  <si>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</si>
  <si>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</si>
  <si>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</si>
  <si>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</si>
  <si>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</si>
  <si>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</si>
  <si>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</si>
  <si>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</si>
  <si>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</si>
  <si>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</si>
  <si>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</si>
  <si>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</si>
  <si>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</si>
  <si>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</si>
  <si>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</si>
  <si>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</si>
  <si>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</si>
  <si>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</si>
  <si>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</si>
  <si>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</si>
  <si>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</si>
  <si>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</si>
  <si>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</si>
  <si>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</si>
  <si>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</si>
  <si>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</si>
  <si>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</si>
  <si>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</si>
  <si>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</si>
  <si>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</si>
  <si>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</si>
  <si>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</si>
  <si>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</si>
  <si>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</si>
  <si>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</si>
  <si>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</si>
  <si>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</si>
  <si>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</si>
  <si>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</si>
  <si>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</si>
  <si>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</si>
  <si>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</si>
  <si>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</si>
  <si>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</si>
  <si>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</si>
  <si>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</si>
  <si>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</si>
  <si>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</si>
  <si>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</si>
  <si>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</si>
  <si>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</si>
  <si>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</si>
  <si>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</si>
  <si>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</si>
  <si>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</si>
  <si>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</si>
  <si>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</si>
  <si>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</si>
  <si>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</si>
  <si>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</si>
  <si>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</si>
  <si>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</si>
  <si>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</si>
  <si>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</si>
  <si>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</si>
  <si>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</si>
  <si>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</si>
  <si>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</si>
  <si>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</si>
  <si>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</si>
  <si>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</si>
  <si>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</si>
  <si>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</si>
  <si>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</si>
  <si>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</si>
  <si>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</si>
  <si>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</si>
  <si>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</si>
  <si>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</si>
  <si>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</si>
  <si>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</si>
  <si>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</si>
  <si>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</si>
  <si>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</si>
  <si>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</si>
  <si>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</si>
  <si>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</si>
  <si>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</si>
  <si>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</si>
  <si>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</si>
  <si>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</si>
  <si>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</si>
  <si>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</si>
  <si>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</si>
  <si>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</si>
  <si>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</si>
  <si>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</si>
  <si>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</si>
  <si>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</si>
  <si>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</si>
  <si>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</si>
  <si>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</si>
  <si>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</si>
  <si>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</si>
  <si>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</si>
  <si>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</si>
  <si>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</si>
  <si>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</si>
  <si>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</si>
  <si>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</si>
  <si>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</si>
  <si>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</si>
  <si>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</si>
  <si>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</si>
  <si>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</si>
  <si>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</si>
  <si>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</si>
  <si>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</si>
  <si>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</si>
  <si>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</si>
  <si>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</si>
  <si>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</si>
  <si>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</si>
  <si>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</si>
  <si>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</si>
  <si>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</si>
  <si>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</si>
  <si>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</si>
  <si>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</si>
  <si>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</si>
  <si>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</si>
  <si>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</si>
  <si>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</si>
  <si>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</si>
  <si>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</si>
  <si>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</si>
  <si>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</si>
  <si>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</si>
  <si>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</si>
  <si>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</si>
  <si>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</si>
  <si>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</si>
  <si>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</si>
  <si>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</si>
  <si>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</si>
  <si>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</si>
  <si>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</si>
  <si>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</si>
  <si>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</si>
  <si>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</si>
  <si>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</si>
  <si>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</si>
  <si>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</si>
  <si>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</si>
  <si>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</si>
  <si>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</si>
  <si>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</si>
  <si>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</si>
  <si>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</si>
  <si>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</si>
  <si>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</si>
  <si>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</si>
  <si>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</si>
  <si>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</si>
  <si>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</si>
  <si>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</si>
  <si>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</si>
  <si>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</si>
  <si>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</si>
  <si>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</si>
  <si>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</si>
  <si>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</si>
  <si>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</si>
  <si>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</si>
  <si>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</si>
  <si>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</si>
  <si>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</si>
  <si>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</si>
  <si>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</si>
  <si>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</si>
  <si>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</si>
  <si>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</si>
  <si>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</si>
  <si>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</si>
  <si>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</si>
  <si>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</si>
  <si>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</si>
  <si>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</si>
  <si>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</si>
  <si>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</si>
  <si>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</si>
  <si>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</si>
  <si>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</si>
  <si>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</si>
  <si>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</si>
  <si>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</si>
  <si>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</si>
  <si>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</si>
  <si>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</si>
  <si>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</si>
  <si>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</si>
  <si>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</si>
  <si>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</si>
  <si>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</si>
  <si>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</si>
  <si>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</si>
  <si>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</si>
  <si>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</si>
  <si>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</si>
  <si>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</si>
  <si>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</si>
  <si>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</si>
  <si>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</si>
  <si>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</si>
  <si>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</si>
  <si>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</si>
  <si>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</si>
  <si>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</si>
  <si>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</si>
  <si>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</si>
  <si>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</si>
  <si>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</si>
  <si>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</si>
  <si>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</si>
  <si>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</si>
  <si>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</si>
  <si>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</si>
  <si>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</si>
  <si>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</si>
  <si>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</si>
  <si>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</si>
  <si>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</si>
  <si>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</si>
  <si>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</si>
  <si>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</si>
  <si>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</si>
  <si>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</si>
  <si>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</si>
  <si>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</si>
  <si>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</si>
  <si>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</si>
  <si>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</si>
  <si>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</si>
  <si>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</si>
  <si>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</si>
  <si>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</si>
  <si>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</si>
  <si>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</si>
  <si>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</si>
  <si>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</si>
  <si>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</si>
  <si>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</si>
  <si>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</si>
  <si>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</si>
  <si>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</si>
  <si>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</si>
  <si>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</si>
  <si>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</si>
  <si>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</si>
  <si>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</si>
  <si>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</si>
  <si>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</si>
  <si>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</si>
  <si>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</si>
  <si>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</si>
  <si>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</si>
  <si>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</si>
  <si>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</si>
  <si>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</si>
  <si>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</si>
  <si>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</si>
  <si>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</si>
  <si>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</si>
  <si>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</si>
  <si>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</si>
  <si>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</si>
  <si>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</si>
  <si>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</si>
  <si>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</si>
  <si>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</si>
  <si>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</si>
  <si>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</si>
  <si>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</si>
  <si>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</si>
  <si>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</si>
  <si>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</si>
  <si>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</si>
  <si>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</si>
  <si>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</si>
  <si>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</si>
  <si>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</si>
  <si>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</si>
  <si>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</si>
  <si>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</si>
  <si>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</si>
  <si>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</si>
  <si>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</si>
  <si>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</si>
  <si>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</si>
  <si>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</si>
  <si>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</si>
  <si>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</si>
  <si>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</si>
  <si>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</si>
  <si>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</si>
  <si>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</si>
  <si>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</si>
  <si>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</si>
  <si>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</si>
  <si>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</si>
  <si>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</si>
  <si>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</si>
  <si>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</si>
  <si>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</si>
  <si>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</si>
  <si>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</si>
  <si>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</si>
  <si>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</si>
  <si>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</si>
  <si>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</si>
  <si>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</si>
  <si>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</si>
  <si>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</si>
  <si>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</si>
  <si>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</si>
  <si>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</si>
  <si>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</si>
  <si>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</si>
  <si>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</si>
  <si>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</si>
  <si>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</si>
  <si>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</si>
  <si>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</si>
  <si>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</si>
  <si>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</si>
  <si>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</si>
  <si>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</si>
  <si>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</si>
  <si>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</si>
  <si>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</si>
  <si>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</si>
  <si>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</si>
  <si>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</si>
  <si>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</si>
  <si>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</si>
  <si>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</si>
  <si>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</si>
  <si>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</si>
  <si>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</si>
  <si>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</si>
  <si>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</si>
  <si>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</si>
  <si>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</si>
  <si>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</si>
  <si>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</si>
  <si>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</si>
  <si>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</si>
  <si>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</si>
  <si>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</si>
  <si>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</si>
  <si>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</si>
  <si>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</si>
  <si>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</si>
  <si>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</si>
  <si>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</si>
  <si>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</si>
  <si>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</si>
  <si>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</si>
  <si>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</si>
  <si>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</si>
  <si>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</si>
  <si>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</si>
  <si>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</si>
  <si>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</si>
  <si>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</si>
  <si>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</si>
  <si>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</si>
  <si>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</si>
  <si>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</si>
  <si>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</si>
  <si>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</si>
  <si>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</si>
  <si>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</si>
  <si>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</si>
  <si>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</si>
  <si>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</si>
  <si>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</si>
  <si>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</si>
  <si>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</si>
  <si>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</si>
  <si>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</si>
  <si>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</si>
  <si>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</si>
  <si>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</si>
  <si>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</si>
  <si>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</si>
  <si>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</si>
  <si>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</si>
  <si>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</si>
  <si>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</si>
  <si>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</si>
  <si>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</si>
  <si>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</si>
  <si>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</si>
  <si>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</si>
  <si>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</si>
  <si>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</si>
  <si>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</si>
  <si>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</si>
  <si>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</si>
  <si>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</si>
  <si>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</si>
  <si>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</si>
  <si>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</si>
  <si>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</si>
  <si>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</si>
  <si>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</si>
  <si>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</si>
  <si>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</si>
  <si>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</si>
  <si>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</si>
  <si>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</si>
  <si>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</si>
  <si>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</si>
  <si>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</si>
  <si>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</si>
  <si>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</si>
  <si>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</si>
  <si>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</si>
  <si>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</si>
  <si>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</si>
  <si>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</si>
  <si>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</si>
  <si>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</si>
  <si>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</si>
  <si>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</si>
  <si>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</si>
  <si>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</si>
  <si>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</si>
  <si>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</si>
  <si>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</si>
  <si>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</si>
  <si>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</si>
  <si>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</si>
  <si>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</si>
  <si>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</si>
  <si>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</si>
  <si>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</si>
  <si>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</si>
  <si>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</si>
  <si>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</si>
  <si>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</si>
  <si>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</si>
  <si>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</si>
  <si>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</si>
  <si>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</si>
  <si>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</si>
  <si>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</si>
  <si>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</si>
  <si>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</si>
  <si>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</si>
  <si>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</si>
  <si>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</si>
  <si>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</si>
  <si>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</si>
  <si>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</si>
  <si>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</si>
  <si>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</si>
  <si>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</si>
  <si>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</si>
  <si>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</si>
  <si>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</si>
  <si>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</si>
  <si>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</si>
  <si>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</si>
  <si>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</si>
  <si>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</si>
  <si>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</si>
  <si>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</si>
  <si>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</si>
  <si>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</si>
  <si>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</si>
  <si>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</si>
  <si>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</si>
  <si>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</si>
  <si>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</si>
  <si>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</si>
  <si>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</si>
  <si>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</si>
  <si>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</si>
  <si>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</si>
  <si>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</si>
  <si>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</si>
  <si>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</si>
  <si>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</si>
  <si>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</si>
  <si>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</si>
  <si>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</si>
  <si>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</si>
  <si>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</si>
  <si>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</si>
  <si>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</si>
  <si>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</si>
  <si>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</si>
  <si>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</si>
  <si>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</si>
  <si>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</si>
  <si>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</si>
  <si>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</si>
  <si>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</si>
  <si>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</si>
  <si>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</si>
  <si>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</si>
  <si>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</si>
  <si>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</si>
  <si>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</si>
  <si>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</si>
  <si>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</si>
  <si>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</si>
  <si>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</si>
  <si>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</si>
  <si>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</si>
  <si>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</si>
  <si>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</si>
  <si>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</si>
  <si>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</si>
  <si>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</si>
  <si>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</si>
  <si>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</si>
  <si>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</si>
  <si>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</si>
  <si>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</si>
  <si>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</si>
  <si>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</si>
  <si>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</si>
  <si>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</si>
  <si>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</si>
  <si>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</si>
  <si>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</si>
  <si>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</si>
  <si>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</si>
  <si>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</si>
  <si>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</si>
  <si>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</si>
  <si>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</si>
  <si>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</si>
  <si>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</si>
  <si>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</si>
  <si>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</si>
  <si>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</si>
  <si>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</si>
  <si>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</si>
  <si>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</si>
  <si>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</si>
  <si>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</si>
  <si>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</si>
  <si>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</si>
  <si>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</si>
  <si>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</si>
  <si>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</si>
  <si>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</si>
  <si>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</si>
  <si>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</si>
  <si>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</si>
  <si>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</si>
  <si>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</si>
  <si>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</si>
  <si>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</si>
  <si>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</si>
  <si>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</si>
  <si>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</si>
  <si>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</si>
  <si>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</si>
  <si>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</si>
  <si>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</si>
  <si>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</si>
  <si>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</si>
  <si>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</si>
  <si>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</si>
  <si>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</si>
  <si>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</si>
  <si>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</si>
  <si>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</si>
  <si>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</si>
  <si>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</si>
  <si>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</si>
  <si>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</si>
  <si>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</si>
  <si>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</si>
  <si>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</si>
  <si>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</si>
  <si>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</si>
  <si>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</si>
  <si>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</si>
  <si>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</si>
  <si>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</si>
  <si>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</si>
  <si>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</si>
  <si>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</si>
  <si>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</si>
  <si>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</si>
  <si>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</si>
  <si>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</si>
  <si>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</si>
  <si>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</si>
  <si>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</si>
  <si>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</si>
  <si>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</si>
  <si>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</si>
  <si>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</si>
  <si>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</si>
  <si>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</si>
  <si>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</si>
  <si>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</si>
  <si>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</si>
  <si>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</si>
  <si>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</si>
  <si>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</si>
  <si>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</si>
  <si>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</si>
  <si>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</si>
  <si>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</si>
  <si>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</si>
  <si>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</si>
  <si>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</si>
  <si>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</si>
  <si>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</si>
  <si>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</si>
  <si>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</si>
  <si>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</si>
  <si>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</si>
  <si>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</si>
  <si>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</si>
  <si>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</si>
  <si>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</si>
  <si>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</si>
  <si>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</si>
  <si>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</si>
  <si>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</si>
  <si>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</si>
  <si>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</si>
  <si>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</si>
  <si>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</si>
  <si>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</si>
  <si>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</si>
  <si>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</si>
  <si>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</si>
  <si>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</si>
  <si>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</si>
  <si>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</si>
  <si>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</si>
  <si>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</si>
  <si>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</si>
  <si>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</si>
  <si>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</si>
  <si>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</si>
  <si>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</si>
  <si>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</si>
  <si>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</si>
  <si>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</si>
  <si>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</si>
  <si>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</si>
  <si>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</si>
  <si>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</si>
  <si>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</si>
  <si>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</si>
  <si>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</si>
  <si>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</si>
  <si>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</si>
  <si>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</si>
  <si>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</si>
  <si>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</si>
  <si>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</si>
  <si>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</si>
  <si>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</si>
  <si>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</si>
  <si>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</si>
  <si>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</si>
  <si>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</si>
  <si>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</si>
  <si>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</si>
  <si>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</si>
  <si>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</si>
  <si>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</si>
  <si>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</si>
  <si>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</si>
  <si>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</si>
  <si>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</si>
  <si>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</si>
  <si>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</si>
  <si>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</si>
  <si>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</si>
  <si>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</si>
  <si>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</si>
  <si>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</si>
  <si>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</si>
  <si>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</si>
  <si>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</si>
  <si>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</si>
  <si>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</si>
  <si>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</si>
  <si>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</si>
  <si>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</si>
  <si>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</si>
  <si>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</si>
  <si>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</si>
  <si>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</si>
  <si>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</si>
  <si>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</si>
  <si>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</si>
  <si>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</si>
  <si>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</si>
  <si>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</si>
  <si>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</si>
  <si>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</si>
  <si>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</si>
  <si>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</si>
  <si>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</si>
  <si>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</si>
  <si>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</si>
  <si>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</si>
  <si>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</si>
  <si>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</si>
  <si>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</si>
  <si>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</si>
  <si>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</si>
  <si>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</si>
  <si>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</si>
  <si>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</si>
  <si>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</si>
  <si>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</si>
  <si>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</si>
  <si>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</si>
  <si>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</si>
  <si>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</si>
  <si>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</si>
  <si>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</si>
  <si>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</si>
  <si>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</si>
  <si>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</si>
  <si>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</si>
  <si>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</si>
  <si>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</si>
  <si>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</si>
  <si>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</si>
  <si>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</si>
  <si>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</si>
  <si>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</si>
  <si>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</si>
  <si>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</si>
  <si>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</si>
  <si>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</si>
  <si>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</si>
  <si>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</si>
  <si>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</si>
  <si>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</si>
  <si>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</si>
  <si>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</si>
  <si>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</si>
  <si>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</si>
  <si>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</si>
  <si>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</si>
  <si>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</si>
  <si>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</si>
  <si>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</si>
  <si>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</si>
  <si>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</si>
  <si>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</si>
  <si>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</si>
  <si>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</si>
  <si>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</si>
  <si>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</si>
  <si>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</si>
  <si>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</si>
  <si>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</si>
  <si>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</si>
  <si>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</si>
  <si>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</si>
  <si>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</si>
  <si>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</si>
  <si>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</si>
  <si>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</si>
  <si>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</si>
  <si>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</si>
  <si>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</si>
  <si>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</si>
  <si>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</si>
  <si>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</si>
  <si>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</si>
  <si>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</si>
  <si>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</si>
  <si>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</si>
  <si>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</si>
  <si>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</si>
  <si>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</si>
  <si>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</si>
  <si>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</si>
  <si>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</si>
  <si>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</si>
  <si>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</si>
  <si>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</si>
  <si>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</si>
  <si>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</si>
  <si>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</si>
  <si>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</si>
  <si>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</si>
  <si>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</si>
  <si>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</si>
  <si>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</si>
  <si>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</si>
  <si>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</si>
  <si>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</si>
  <si>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</si>
  <si>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</si>
  <si>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</si>
  <si>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</si>
  <si>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</si>
  <si>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</si>
  <si>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</si>
  <si>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</si>
  <si>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</si>
  <si>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</si>
  <si>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</si>
  <si>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</si>
  <si>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</si>
  <si>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</si>
  <si>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</si>
  <si>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</si>
  <si>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</si>
  <si>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</si>
  <si>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</si>
  <si>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</si>
  <si>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</si>
  <si>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</si>
  <si>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</si>
  <si>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</si>
  <si>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</si>
  <si>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</si>
  <si>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</si>
  <si>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</si>
  <si>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</si>
  <si>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</si>
  <si>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</si>
  <si>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</si>
  <si>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</si>
  <si>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</si>
  <si>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</si>
  <si>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</si>
  <si>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</si>
  <si>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</si>
  <si>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</si>
  <si>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</si>
  <si>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</si>
  <si>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</si>
  <si>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</si>
  <si>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</si>
  <si>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</si>
  <si>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</si>
  <si>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</si>
  <si>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</si>
  <si>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</si>
  <si>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</si>
  <si>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</si>
  <si>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</si>
  <si>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</si>
  <si>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</si>
  <si>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</si>
  <si>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</si>
  <si>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</si>
  <si>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</si>
  <si>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</si>
  <si>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</si>
  <si>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</si>
  <si>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</si>
  <si>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</si>
  <si>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</si>
  <si>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</si>
  <si>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</si>
  <si>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</si>
  <si>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</si>
  <si>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</si>
  <si>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</si>
  <si>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</si>
  <si>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</si>
  <si>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</si>
  <si>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</si>
  <si>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</si>
  <si>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</si>
  <si>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</si>
  <si>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</si>
  <si>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</si>
  <si>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</si>
  <si>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</si>
  <si>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</si>
  <si>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</si>
  <si>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</si>
  <si>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</si>
  <si>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</si>
  <si>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</si>
  <si>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</si>
  <si>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</si>
  <si>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</si>
  <si>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</si>
  <si>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</si>
  <si>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</si>
  <si>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</si>
  <si>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</si>
  <si>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</si>
  <si>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</si>
  <si>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</si>
  <si>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</si>
  <si>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</si>
  <si>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</si>
  <si>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</si>
  <si>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</si>
  <si>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</si>
  <si>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</si>
  <si>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</si>
  <si>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</si>
  <si>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</si>
  <si>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</si>
  <si>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</si>
  <si>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</si>
  <si>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</si>
  <si>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</si>
  <si>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</si>
  <si>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</si>
  <si>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</si>
  <si>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</si>
  <si>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</si>
  <si>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</si>
  <si>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</si>
  <si>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</si>
  <si>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</si>
  <si>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</si>
  <si>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</si>
  <si>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</si>
  <si>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</si>
  <si>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</si>
  <si>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</si>
  <si>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</si>
  <si>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</si>
  <si>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</si>
  <si>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</si>
  <si>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</si>
  <si>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</si>
  <si>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</si>
  <si>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</si>
  <si>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</si>
  <si>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</si>
  <si>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</si>
  <si>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</si>
  <si>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</si>
  <si>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</si>
  <si>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</si>
  <si>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</si>
  <si>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</si>
  <si>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</si>
  <si>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</si>
  <si>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</si>
  <si>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</si>
  <si>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</si>
  <si>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</si>
  <si>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</si>
  <si>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</si>
  <si>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</si>
  <si>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</si>
  <si>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</si>
  <si>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</si>
  <si>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</si>
  <si>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</si>
  <si>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</si>
  <si>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</si>
  <si>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</si>
  <si>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</si>
  <si>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</si>
  <si>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</si>
  <si>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</si>
  <si>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</si>
  <si>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</si>
  <si>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</si>
  <si>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</si>
  <si>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</si>
  <si>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</si>
  <si>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</si>
  <si>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</si>
  <si>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</si>
  <si>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</si>
  <si>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</si>
  <si>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</si>
  <si>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</si>
  <si>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</si>
  <si>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</si>
  <si>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</si>
  <si>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</si>
  <si>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</si>
  <si>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</si>
  <si>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</si>
  <si>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</si>
  <si>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</si>
  <si>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</si>
  <si>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</si>
  <si>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</si>
  <si>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</si>
  <si>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</si>
  <si>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</si>
  <si>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</si>
  <si>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</si>
  <si>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</si>
  <si>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</si>
  <si>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</si>
  <si>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</si>
  <si>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</si>
  <si>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</si>
  <si>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</si>
  <si>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</si>
  <si>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</si>
  <si>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</si>
  <si>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</si>
  <si>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</si>
  <si>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</si>
  <si>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</si>
  <si>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</si>
  <si>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</si>
  <si>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</si>
  <si>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</si>
  <si>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</si>
  <si>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</si>
  <si>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</si>
  <si>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</si>
  <si>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</si>
  <si>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</si>
  <si>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</si>
  <si>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</si>
  <si>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</si>
  <si>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</si>
  <si>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</si>
  <si>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</si>
  <si>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</si>
  <si>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</si>
  <si>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</si>
  <si>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</si>
  <si>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</si>
  <si>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</si>
  <si>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</si>
  <si>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</si>
  <si>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</si>
  <si>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</si>
  <si>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</si>
  <si>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</si>
  <si>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</si>
  <si>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</si>
  <si>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</si>
  <si>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</si>
  <si>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</si>
  <si>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</si>
  <si>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</si>
  <si>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</si>
  <si>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</si>
  <si>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</si>
  <si>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</si>
  <si>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</si>
  <si>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</si>
  <si>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</si>
  <si>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</si>
  <si>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</si>
  <si>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</si>
  <si>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</si>
  <si>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</si>
  <si>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</si>
  <si>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</si>
  <si>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</si>
  <si>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</si>
  <si>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</si>
  <si>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</si>
  <si>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</si>
  <si>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</si>
  <si>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</si>
  <si>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</si>
  <si>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</si>
  <si>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</si>
  <si>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</si>
  <si>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</si>
  <si>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</si>
  <si>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</si>
  <si>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</si>
  <si>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</si>
  <si>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</si>
  <si>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</si>
  <si>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</si>
  <si>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</si>
  <si>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</si>
  <si>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</si>
  <si>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</si>
  <si>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</si>
  <si>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</si>
  <si>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</si>
  <si>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</si>
  <si>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</si>
  <si>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</si>
  <si>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</si>
  <si>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</si>
  <si>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</si>
  <si>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</si>
  <si>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</si>
  <si>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</si>
  <si>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</si>
  <si>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</si>
  <si>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</si>
  <si>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</si>
  <si>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</si>
  <si>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</si>
  <si>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</si>
  <si>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</si>
  <si>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</si>
  <si>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</si>
  <si>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</si>
  <si>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</si>
  <si>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</si>
  <si>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</si>
  <si>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</si>
  <si>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</si>
  <si>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</si>
  <si>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</si>
  <si>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</si>
  <si>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</si>
  <si>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</si>
  <si>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</si>
  <si>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</si>
  <si>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</si>
  <si>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</si>
  <si>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</si>
  <si>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</si>
  <si>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</si>
  <si>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</si>
  <si>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</si>
  <si>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</si>
  <si>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</si>
  <si>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</si>
  <si>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</si>
  <si>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</si>
  <si>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</si>
  <si>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</si>
  <si>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</si>
  <si>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</si>
  <si>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</si>
  <si>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</si>
  <si>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</si>
  <si>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</si>
  <si>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</si>
  <si>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</si>
  <si>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</si>
  <si>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</si>
  <si>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</si>
  <si>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</si>
  <si>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</si>
  <si>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</si>
  <si>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</si>
  <si>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</si>
  <si>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</si>
  <si>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</si>
  <si>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</si>
  <si>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</si>
  <si>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</si>
  <si>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</si>
  <si>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</si>
  <si>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</si>
  <si>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</si>
  <si>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</si>
  <si>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</si>
  <si>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</si>
  <si>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</si>
  <si>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</si>
  <si>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</si>
  <si>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</si>
  <si>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</si>
  <si>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</si>
  <si>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</si>
  <si>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</si>
  <si>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</si>
  <si>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</si>
  <si>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</si>
  <si>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</si>
  <si>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</si>
  <si>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</si>
  <si>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</si>
  <si>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</si>
  <si>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</si>
  <si>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</si>
  <si>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</si>
  <si>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</si>
  <si>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</si>
  <si>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</si>
  <si>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</si>
  <si>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</si>
  <si>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</si>
  <si>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</si>
  <si>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</si>
  <si>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</si>
  <si>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</si>
  <si>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</si>
  <si>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</si>
  <si>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</si>
  <si>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</si>
  <si>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</si>
  <si>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</si>
  <si>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</si>
  <si>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</si>
  <si>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</si>
  <si>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</si>
  <si>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</si>
  <si>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</si>
  <si>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</si>
  <si>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</si>
  <si>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</si>
  <si>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</si>
  <si>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</si>
  <si>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</si>
  <si>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</si>
  <si>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</si>
  <si>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</si>
  <si>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</si>
  <si>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</si>
  <si>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</si>
  <si>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</si>
  <si>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</si>
  <si>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</si>
  <si>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</si>
  <si>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</si>
  <si>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</si>
  <si>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</si>
  <si>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</si>
  <si>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</si>
  <si>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</si>
  <si>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</si>
  <si>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</si>
  <si>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</si>
  <si>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</si>
  <si>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</si>
  <si>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</si>
  <si>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</si>
  <si>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</si>
  <si>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</si>
  <si>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</si>
  <si>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</si>
  <si>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</si>
  <si>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</si>
  <si>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</si>
  <si>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</si>
  <si>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</si>
  <si>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</si>
  <si>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</si>
  <si>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</si>
  <si>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</si>
  <si>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</si>
  <si>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</si>
  <si>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</si>
  <si>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</si>
  <si>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</si>
  <si>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</si>
  <si>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</si>
  <si>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</si>
  <si>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</si>
  <si>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</si>
  <si>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</si>
  <si>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</si>
  <si>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</si>
  <si>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</si>
  <si>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</si>
  <si>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</si>
  <si>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</si>
  <si>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</si>
  <si>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</si>
  <si>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</si>
  <si>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</si>
  <si>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</si>
  <si>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</si>
  <si>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</si>
  <si>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</si>
  <si>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</si>
  <si>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</si>
  <si>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</si>
  <si>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</si>
  <si>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</si>
  <si>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</si>
  <si>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</si>
  <si>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</si>
  <si>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</si>
  <si>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</si>
  <si>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</si>
  <si>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</si>
  <si>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</si>
  <si>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</si>
  <si>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</si>
  <si>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</si>
  <si>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</si>
  <si>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</si>
  <si>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</si>
  <si>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</si>
  <si>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</si>
  <si>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</si>
  <si>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</si>
  <si>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</si>
  <si>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</si>
  <si>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</si>
  <si>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</si>
  <si>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</si>
  <si>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</si>
  <si>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</si>
  <si>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</si>
  <si>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</si>
  <si>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</si>
  <si>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</si>
  <si>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</si>
  <si>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</si>
  <si>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</si>
  <si>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</si>
  <si>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</si>
  <si>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</si>
  <si>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</si>
  <si>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</si>
  <si>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</si>
  <si>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</si>
  <si>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</si>
  <si>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</si>
  <si>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</si>
  <si>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</si>
  <si>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</si>
  <si>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</si>
  <si>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</si>
  <si>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</si>
  <si>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</si>
  <si>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</si>
  <si>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</si>
  <si>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</si>
  <si>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</si>
  <si>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</si>
  <si>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</si>
  <si>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</si>
  <si>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</si>
  <si>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</si>
  <si>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</si>
  <si>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</si>
  <si>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</si>
  <si>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</si>
  <si>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</si>
  <si>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</si>
  <si>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</si>
  <si>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</si>
  <si>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</si>
  <si>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</si>
  <si>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</si>
  <si>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</si>
  <si>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</si>
  <si>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</si>
  <si>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</si>
  <si>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</si>
  <si>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</si>
  <si>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</si>
  <si>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</si>
  <si>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</si>
  <si>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</si>
  <si>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</si>
  <si>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</si>
  <si>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</si>
  <si>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</si>
  <si>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</si>
  <si>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</si>
  <si>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</si>
  <si>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</si>
  <si>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</si>
  <si>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</si>
  <si>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</si>
  <si>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</si>
  <si>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</si>
  <si>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</si>
  <si>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</si>
  <si>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</si>
  <si>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</si>
  <si>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</si>
  <si>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</si>
  <si>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</si>
  <si>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</si>
  <si>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</si>
  <si>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</si>
  <si>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</si>
  <si>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</si>
  <si>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</si>
  <si>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</si>
  <si>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</si>
  <si>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</si>
  <si>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</si>
  <si>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</si>
  <si>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</si>
  <si>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</si>
  <si>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</si>
  <si>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</si>
  <si>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</si>
  <si>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</si>
  <si>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</si>
  <si>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</si>
  <si>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</si>
  <si>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</si>
  <si>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</si>
  <si>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</si>
  <si>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</si>
  <si>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</si>
  <si>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</si>
  <si>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</si>
  <si>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</si>
  <si>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</si>
  <si>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</si>
  <si>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</si>
  <si>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</si>
  <si>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</si>
  <si>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</si>
  <si>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</si>
  <si>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</si>
  <si>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</si>
  <si>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</si>
  <si>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</si>
  <si>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</si>
  <si>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</si>
  <si>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</si>
  <si>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</si>
  <si>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</si>
  <si>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</si>
  <si>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</si>
  <si>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</si>
  <si>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</si>
  <si>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</si>
  <si>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</si>
  <si>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</si>
  <si>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</si>
  <si>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</si>
  <si>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</si>
  <si>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</si>
  <si>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</si>
  <si>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</si>
  <si>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</si>
  <si>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</si>
  <si>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</si>
  <si>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</si>
  <si>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</si>
  <si>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</si>
  <si>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</si>
  <si>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</si>
  <si>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</si>
  <si>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</si>
  <si>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</si>
  <si>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</si>
  <si>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</si>
  <si>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</si>
  <si>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</si>
  <si>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</si>
  <si>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</si>
  <si>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</si>
  <si>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</si>
  <si>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</si>
  <si>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</si>
  <si>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</si>
  <si>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</si>
  <si>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</si>
  <si>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</si>
  <si>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</si>
  <si>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</si>
  <si>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</si>
  <si>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</si>
  <si>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</si>
  <si>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</si>
  <si>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</si>
  <si>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</si>
  <si>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</si>
  <si>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</si>
  <si>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</si>
  <si>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</si>
  <si>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</si>
  <si>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</si>
  <si>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</si>
  <si>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</si>
  <si>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</si>
  <si>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</si>
  <si>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</si>
  <si>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</si>
  <si>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</si>
  <si>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</si>
  <si>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</si>
  <si>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</si>
  <si>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</si>
  <si>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</si>
  <si>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</si>
  <si>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</si>
  <si>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</si>
  <si>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</si>
  <si>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</si>
  <si>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</si>
  <si>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</si>
  <si>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</si>
  <si>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</si>
  <si>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</si>
  <si>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</si>
  <si>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</si>
  <si>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</si>
  <si>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</si>
  <si>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</si>
  <si>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</si>
  <si>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</si>
  <si>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</si>
  <si>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</si>
  <si>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</si>
  <si>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</si>
  <si>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</si>
  <si>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</si>
  <si>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</si>
  <si>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</si>
  <si>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</si>
  <si>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</si>
  <si>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</si>
  <si>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</si>
  <si>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</si>
  <si>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</si>
  <si>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</si>
  <si>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</si>
  <si>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</si>
  <si>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</si>
  <si>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</si>
  <si>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</si>
  <si>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</si>
  <si>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</si>
  <si>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</si>
  <si>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</si>
  <si>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</si>
  <si>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</si>
  <si>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</si>
  <si>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</si>
  <si>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</si>
  <si>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</si>
  <si>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</si>
  <si>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</si>
  <si>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</si>
  <si>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</si>
  <si>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</si>
  <si>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</si>
  <si>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</si>
  <si>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</si>
  <si>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</si>
  <si>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</si>
  <si>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</si>
  <si>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</si>
  <si>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</si>
  <si>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</si>
  <si>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</si>
  <si>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</si>
  <si>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</si>
  <si>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</si>
  <si>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</si>
  <si>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</si>
  <si>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</si>
  <si>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</si>
  <si>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</si>
  <si>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</si>
  <si>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</si>
  <si>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</si>
  <si>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</si>
  <si>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</si>
  <si>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</si>
  <si>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</si>
  <si>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</si>
  <si>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</si>
  <si>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</si>
  <si>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</si>
  <si>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</si>
  <si>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</si>
  <si>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</si>
  <si>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</si>
  <si>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</si>
  <si>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</si>
  <si>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</si>
  <si>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</si>
  <si>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</si>
  <si>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</si>
  <si>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</si>
  <si>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</si>
  <si>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</si>
  <si>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</si>
  <si>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</si>
  <si>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</si>
  <si>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</si>
  <si>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</si>
  <si>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</si>
  <si>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</si>
  <si>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</si>
  <si>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</si>
  <si>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</si>
  <si>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</si>
  <si>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</si>
  <si>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</si>
  <si>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</si>
  <si>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</si>
  <si>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</si>
  <si>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</si>
  <si>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</si>
  <si>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</si>
  <si>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</si>
  <si>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</si>
  <si>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</si>
  <si>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</si>
  <si>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</si>
  <si>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</si>
  <si>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</si>
  <si>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</si>
  <si>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</si>
  <si>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</si>
  <si>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</si>
  <si>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</si>
  <si>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</si>
  <si>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</si>
  <si>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</si>
  <si>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</si>
  <si>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</si>
  <si>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</si>
  <si>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</si>
  <si>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</si>
  <si>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</si>
  <si>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</si>
  <si>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</si>
  <si>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</si>
  <si>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</si>
  <si>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</si>
  <si>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</si>
  <si>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</si>
  <si>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</si>
  <si>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</si>
  <si>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</si>
  <si>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</si>
  <si>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</si>
  <si>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</si>
  <si>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</si>
  <si>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</si>
  <si>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</si>
  <si>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</si>
  <si>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</si>
  <si>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</si>
  <si>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</si>
  <si>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</si>
  <si>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</si>
  <si>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</si>
  <si>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</si>
  <si>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</si>
  <si>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</si>
  <si>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</si>
  <si>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</si>
  <si>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</si>
  <si>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</si>
  <si>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</si>
  <si>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</si>
  <si>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</si>
  <si>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</si>
  <si>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</si>
  <si>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</si>
  <si>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</si>
  <si>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</si>
  <si>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</si>
  <si>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</si>
  <si>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</si>
  <si>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</si>
  <si>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</si>
  <si>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</si>
  <si>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</si>
  <si>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</si>
  <si>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</si>
  <si>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</si>
  <si>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</si>
  <si>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</si>
  <si>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</si>
  <si>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</si>
  <si>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</si>
  <si>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</si>
  <si>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</si>
  <si>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</si>
  <si>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</si>
  <si>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</si>
  <si>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</si>
  <si>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</si>
  <si>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</si>
  <si>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</si>
  <si>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</si>
  <si>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</si>
  <si>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</si>
  <si>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</si>
  <si>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</si>
  <si>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</si>
  <si>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</si>
  <si>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</si>
  <si>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</si>
  <si>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</si>
  <si>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</si>
  <si>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</si>
  <si>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</si>
  <si>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</si>
  <si>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</si>
  <si>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</si>
  <si>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</si>
  <si>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</si>
  <si>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</si>
  <si>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</si>
  <si>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</si>
  <si>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</si>
  <si>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</si>
  <si>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</si>
  <si>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</si>
  <si>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</si>
  <si>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</si>
  <si>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</si>
  <si>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</si>
  <si>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</si>
  <si>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</si>
  <si>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</si>
  <si>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</si>
  <si>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</si>
  <si>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</si>
  <si>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</si>
  <si>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</si>
  <si>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</si>
  <si>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</si>
  <si>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</si>
  <si>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</si>
  <si>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</si>
  <si>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</si>
  <si>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</si>
  <si>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</si>
  <si>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</si>
  <si>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</si>
  <si>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</si>
  <si>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</si>
  <si>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</si>
  <si>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</si>
  <si>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</si>
  <si>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</si>
  <si>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</si>
  <si>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</si>
  <si>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</si>
  <si>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</si>
  <si>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</si>
  <si>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</si>
  <si>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</si>
  <si>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</si>
  <si>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</si>
  <si>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</si>
  <si>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</si>
  <si>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</si>
  <si>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</si>
  <si>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</si>
  <si>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</si>
  <si>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</si>
  <si>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</si>
  <si>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</si>
  <si>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</si>
  <si>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</si>
  <si>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</si>
  <si>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</si>
  <si>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</si>
  <si>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</si>
  <si>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</si>
  <si>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</si>
  <si>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</si>
  <si>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</si>
  <si>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</si>
  <si>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</si>
  <si>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</si>
  <si>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</si>
  <si>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</si>
  <si>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</si>
  <si>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</si>
  <si>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</si>
  <si>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</si>
  <si>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</si>
  <si>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</si>
  <si>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</si>
  <si>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</si>
  <si>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</si>
  <si>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</si>
  <si>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</si>
  <si>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</si>
  <si>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</si>
  <si>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</si>
  <si>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</si>
  <si>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</si>
  <si>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</si>
  <si>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</si>
  <si>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</si>
  <si>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</si>
  <si>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</si>
  <si>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</si>
  <si>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</si>
  <si>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</si>
  <si>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</si>
  <si>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</si>
  <si>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</si>
  <si>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</si>
  <si>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</si>
  <si>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</si>
  <si>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</si>
  <si>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</si>
  <si>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</si>
  <si>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</si>
  <si>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</si>
  <si>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</si>
  <si>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</si>
  <si>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</si>
  <si>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</si>
  <si>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</si>
  <si>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</si>
  <si>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</si>
  <si>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</si>
  <si>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</si>
  <si>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</si>
  <si>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</si>
  <si>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</si>
  <si>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</si>
  <si>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</si>
  <si>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</si>
  <si>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</si>
  <si>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</si>
  <si>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</si>
  <si>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</si>
  <si>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</si>
  <si>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</si>
  <si>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</si>
  <si>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</si>
  <si>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</si>
  <si>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</si>
  <si>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</si>
  <si>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</si>
  <si>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</si>
  <si>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</si>
  <si>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</si>
  <si>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</si>
  <si>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</si>
  <si>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</si>
  <si>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</si>
  <si>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</si>
  <si>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</si>
  <si>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</si>
  <si>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</si>
  <si>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</si>
  <si>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</si>
  <si>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</si>
  <si>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</si>
  <si>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</si>
  <si>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</si>
  <si>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</si>
  <si>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</si>
  <si>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</si>
  <si>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</si>
  <si>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</si>
  <si>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</si>
  <si>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</si>
  <si>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</si>
  <si>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</si>
  <si>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</si>
  <si>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</si>
  <si>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</si>
  <si>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</si>
  <si>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</si>
  <si>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</si>
  <si>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</si>
  <si>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</si>
  <si>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</si>
  <si>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</si>
  <si>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</si>
  <si>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</si>
  <si>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</si>
  <si>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</si>
  <si>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</si>
  <si>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</si>
  <si>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</si>
  <si>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</si>
  <si>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</si>
  <si>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</si>
  <si>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</si>
  <si>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</si>
  <si>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</si>
  <si>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</si>
  <si>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</si>
  <si>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</si>
  <si>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</si>
  <si>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</si>
  <si>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</si>
  <si>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</si>
  <si>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</si>
  <si>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</si>
  <si>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</si>
  <si>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</si>
  <si>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</si>
  <si>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</si>
  <si>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</si>
  <si>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</si>
  <si>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</si>
  <si>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</si>
  <si>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</si>
  <si>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</si>
  <si>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</si>
  <si>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</si>
  <si>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</si>
  <si>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</si>
  <si>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</si>
  <si>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</si>
  <si>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</si>
  <si>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</si>
  <si>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</si>
  <si>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</si>
  <si>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</si>
  <si>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</si>
  <si>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</si>
  <si>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</si>
  <si>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</si>
  <si>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</si>
  <si>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</si>
  <si>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</si>
  <si>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</si>
  <si>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</si>
  <si>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</si>
  <si>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</si>
  <si>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</si>
  <si>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</si>
  <si>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</si>
  <si>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</si>
  <si>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</si>
  <si>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</si>
  <si>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</si>
  <si>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</si>
  <si>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</si>
  <si>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</si>
  <si>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</si>
  <si>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</si>
  <si>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</si>
  <si>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</si>
  <si>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</si>
  <si>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</si>
  <si>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</si>
  <si>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</si>
  <si>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</si>
  <si>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</si>
  <si>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</si>
  <si>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</si>
  <si>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</si>
  <si>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</si>
  <si>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</si>
  <si>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</si>
  <si>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</si>
  <si>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</si>
  <si>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</si>
  <si>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</si>
  <si>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</si>
  <si>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</si>
  <si>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</si>
  <si>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</si>
  <si>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</si>
  <si>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</si>
  <si>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</si>
  <si>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</si>
  <si>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</si>
  <si>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</si>
  <si>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</si>
  <si>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</si>
  <si>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</si>
  <si>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</si>
  <si>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</si>
  <si>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</si>
  <si>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</si>
  <si>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</si>
  <si>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</si>
  <si>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</si>
  <si>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</si>
  <si>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</si>
  <si>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</si>
  <si>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</si>
  <si>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</si>
  <si>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</si>
  <si>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</si>
  <si>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</si>
  <si>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</si>
  <si>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</si>
  <si>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</si>
  <si>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</si>
  <si>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</si>
  <si>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</si>
  <si>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</si>
  <si>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</si>
  <si>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</si>
  <si>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</si>
  <si>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</si>
  <si>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</si>
  <si>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</si>
  <si>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</si>
  <si>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</si>
  <si>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</si>
  <si>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</si>
  <si>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</si>
  <si>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</si>
  <si>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</si>
  <si>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</si>
  <si>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</si>
  <si>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</si>
  <si>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</si>
  <si>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</si>
  <si>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</si>
  <si>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</si>
  <si>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</si>
  <si>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</si>
  <si>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</si>
  <si>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</si>
  <si>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</si>
  <si>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</si>
  <si>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</si>
  <si>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</si>
  <si>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</si>
  <si>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</si>
  <si>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</si>
  <si>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</si>
  <si>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</si>
  <si>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</si>
  <si>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</si>
  <si>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</si>
  <si>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</si>
  <si>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</si>
  <si>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</si>
  <si>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</si>
  <si>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</si>
  <si>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</si>
  <si>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</si>
  <si>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</si>
  <si>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</si>
  <si>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</si>
  <si>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</si>
  <si>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</si>
  <si>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</si>
  <si>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</si>
  <si>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</si>
  <si>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</si>
  <si>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</si>
  <si>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</si>
  <si>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</si>
  <si>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</si>
  <si>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</si>
  <si>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</si>
  <si>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</si>
  <si>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</si>
  <si>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</si>
  <si>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</si>
  <si>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</si>
  <si>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</si>
  <si>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</si>
  <si>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</si>
  <si>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</si>
  <si>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</si>
  <si>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</si>
  <si>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</si>
  <si>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</si>
  <si>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</si>
  <si>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</si>
  <si>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</si>
  <si>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</si>
  <si>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</si>
  <si>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</si>
  <si>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</si>
  <si>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</si>
  <si>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</si>
  <si>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</si>
  <si>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</si>
  <si>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</si>
  <si>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</si>
  <si>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</si>
  <si>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</si>
  <si>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</si>
  <si>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</si>
  <si>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</si>
  <si>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</si>
  <si>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</si>
  <si>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</si>
  <si>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</si>
  <si>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</si>
  <si>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</si>
  <si>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</si>
  <si>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</si>
  <si>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</si>
  <si>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</si>
  <si>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</si>
  <si>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</si>
  <si>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</si>
  <si>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</si>
  <si>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</si>
  <si>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</si>
  <si>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</si>
  <si>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</si>
  <si>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</si>
  <si>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</si>
  <si>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</si>
  <si>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</si>
  <si>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</si>
  <si>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</si>
  <si>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</si>
  <si>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</si>
  <si>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</si>
  <si>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</si>
  <si>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</si>
  <si>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</si>
  <si>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</si>
  <si>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</si>
  <si>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</si>
  <si>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</si>
  <si>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</si>
  <si>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</si>
  <si>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</si>
  <si>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</si>
  <si>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</si>
  <si>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</si>
  <si>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</si>
  <si>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</si>
  <si>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</si>
  <si>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</si>
  <si>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</si>
  <si>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</si>
  <si>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</si>
  <si>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</si>
  <si>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</si>
  <si>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</si>
  <si>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</si>
  <si>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</si>
  <si>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</si>
  <si>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</si>
  <si>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</si>
  <si>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</si>
  <si>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</si>
  <si>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</si>
  <si>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</si>
  <si>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</si>
  <si>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</si>
  <si>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</si>
  <si>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</si>
  <si>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</si>
  <si>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</si>
  <si>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</si>
  <si>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</si>
  <si>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</si>
  <si>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</si>
  <si>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</si>
  <si>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</si>
  <si>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</si>
  <si>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</si>
  <si>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</si>
  <si>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</si>
  <si>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</si>
  <si>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</si>
  <si>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</si>
  <si>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</si>
  <si>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</si>
  <si>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</si>
  <si>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</si>
  <si>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</si>
  <si>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</si>
  <si>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</si>
  <si>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</si>
  <si>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</si>
  <si>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</si>
  <si>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</si>
  <si>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</si>
  <si>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</si>
  <si>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</si>
  <si>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</si>
  <si>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</si>
  <si>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</si>
  <si>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</si>
  <si>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</si>
  <si>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</si>
  <si>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</si>
  <si>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</si>
  <si>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</si>
  <si>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</si>
  <si>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</si>
  <si>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</si>
  <si>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</si>
  <si>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</si>
  <si>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</si>
  <si>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</si>
  <si>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</si>
  <si>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</si>
  <si>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</si>
  <si>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</si>
  <si>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</si>
  <si>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</si>
  <si>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</si>
  <si>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</si>
  <si>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</si>
  <si>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</si>
  <si>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</si>
  <si>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</si>
  <si>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</si>
  <si>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</si>
  <si>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</si>
  <si>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</si>
  <si>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</si>
  <si>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</si>
  <si>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</si>
  <si>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</si>
  <si>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</si>
  <si>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</si>
  <si>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</si>
  <si>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</si>
  <si>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</si>
  <si>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</si>
  <si>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</si>
  <si>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</si>
  <si>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</si>
  <si>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</si>
  <si>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</si>
  <si>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</si>
  <si>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</si>
  <si>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</si>
  <si>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</si>
  <si>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</si>
  <si>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</si>
  <si>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</si>
  <si>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</si>
  <si>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</si>
  <si>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</si>
  <si>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</si>
  <si>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</si>
  <si>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</si>
  <si>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</si>
  <si>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</si>
  <si>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</si>
  <si>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</si>
  <si>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</si>
  <si>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</si>
  <si>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</si>
  <si>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</si>
  <si>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</si>
  <si>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</si>
  <si>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</si>
  <si>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</si>
  <si>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</si>
  <si>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</si>
  <si>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</si>
  <si>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</si>
  <si>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</si>
  <si>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</si>
  <si>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</si>
  <si>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</si>
  <si>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</si>
  <si>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</si>
  <si>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</si>
  <si>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</si>
  <si>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</si>
  <si>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</si>
  <si>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</si>
  <si>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</si>
  <si>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</si>
  <si>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</si>
  <si>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</si>
  <si>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</si>
  <si>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</si>
  <si>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</si>
  <si>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</si>
  <si>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</si>
  <si>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</si>
  <si>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</si>
  <si>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</si>
  <si>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</si>
  <si>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</si>
  <si>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</si>
  <si>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</si>
  <si>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</si>
  <si>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</si>
  <si>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</si>
  <si>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</si>
  <si>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</si>
  <si>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</si>
  <si>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</si>
  <si>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</si>
  <si>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</si>
  <si>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</si>
  <si>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</si>
  <si>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</si>
  <si>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</si>
  <si>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</si>
  <si>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</si>
  <si>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</si>
  <si>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</si>
  <si>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</si>
  <si>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</si>
  <si>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</si>
  <si>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</si>
  <si>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</si>
  <si>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</si>
  <si>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</si>
  <si>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</si>
  <si>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</si>
  <si>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</si>
  <si>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</si>
  <si>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</si>
  <si>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</si>
  <si>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</si>
  <si>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</si>
  <si>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</si>
  <si>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</si>
  <si>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</si>
  <si>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</si>
  <si>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</si>
  <si>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</si>
  <si>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</si>
  <si>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</si>
  <si>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</si>
  <si>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</si>
  <si>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</si>
  <si>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</si>
  <si>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</si>
  <si>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</si>
  <si>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</si>
  <si>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</si>
  <si>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</si>
  <si>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</si>
  <si>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</si>
  <si>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</si>
  <si>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</si>
  <si>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</si>
  <si>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</si>
  <si>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</si>
  <si>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</si>
  <si>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</si>
  <si>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</si>
  <si>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</si>
  <si>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</si>
  <si>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</si>
  <si>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</si>
  <si>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</si>
  <si>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</si>
  <si>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</si>
  <si>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</si>
  <si>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</si>
  <si>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</si>
  <si>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</si>
  <si>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</si>
  <si>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</si>
  <si>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</si>
  <si>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</si>
  <si>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</si>
  <si>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</si>
  <si>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</si>
  <si>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</si>
  <si>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</si>
  <si>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</si>
  <si>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</si>
  <si>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</si>
  <si>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</si>
  <si>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</si>
  <si>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</si>
  <si>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</si>
  <si>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</si>
  <si>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</si>
  <si>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</si>
  <si>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</si>
  <si>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</si>
  <si>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</si>
  <si>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</si>
  <si>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</si>
  <si>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</si>
  <si>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</si>
  <si>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</si>
  <si>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</si>
  <si>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</si>
  <si>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</si>
  <si>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</si>
  <si>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</si>
  <si>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</si>
  <si>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</si>
  <si>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</si>
  <si>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</si>
  <si>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</si>
  <si>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</si>
  <si>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</si>
  <si>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</si>
  <si>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</si>
  <si>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</si>
  <si>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</si>
  <si>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</si>
  <si>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</si>
  <si>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</si>
  <si>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</si>
  <si>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</si>
  <si>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</si>
  <si>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</si>
  <si>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</si>
  <si>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</si>
  <si>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</si>
  <si>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</si>
  <si>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</si>
  <si>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</si>
  <si>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</si>
  <si>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</si>
  <si>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</si>
  <si>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</si>
  <si>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</si>
  <si>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</si>
  <si>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</si>
  <si>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</si>
  <si>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</si>
  <si>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</si>
  <si>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</si>
  <si>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</si>
  <si>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</si>
  <si>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</si>
  <si>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</si>
  <si>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</si>
  <si>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</si>
  <si>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</si>
  <si>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</si>
  <si>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</si>
  <si>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</si>
  <si>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</si>
  <si>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</si>
  <si>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</si>
  <si>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</si>
  <si>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</si>
  <si>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</si>
  <si>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</si>
  <si>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</si>
  <si>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</si>
  <si>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</si>
  <si>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</si>
  <si>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</si>
  <si>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</si>
  <si>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</si>
  <si>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</si>
  <si>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</si>
  <si>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</si>
  <si>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</si>
  <si>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</si>
  <si>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</si>
  <si>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</si>
  <si>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</si>
  <si>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</si>
  <si>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</si>
  <si>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</si>
  <si>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</si>
  <si>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</si>
  <si>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</si>
  <si>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</si>
  <si>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</si>
  <si>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</si>
  <si>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</si>
  <si>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</si>
  <si>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</si>
  <si>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</si>
  <si>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</si>
  <si>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</si>
  <si>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</si>
  <si>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</si>
  <si>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</si>
  <si>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</si>
  <si>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</si>
  <si>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</si>
  <si>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</si>
  <si>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</si>
  <si>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</si>
  <si>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</si>
  <si>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</si>
  <si>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</si>
  <si>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</si>
  <si>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</si>
  <si>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</si>
  <si>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</si>
  <si>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</si>
  <si>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</si>
  <si>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</si>
  <si>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</si>
  <si>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</si>
  <si>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</si>
  <si>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</si>
  <si>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</si>
  <si>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</si>
  <si>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</si>
  <si>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</si>
  <si>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</si>
  <si>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</si>
  <si>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</si>
  <si>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</si>
  <si>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</si>
  <si>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</si>
  <si>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</si>
  <si>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</si>
  <si>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</si>
  <si>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</si>
  <si>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</si>
  <si>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</si>
  <si>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</si>
  <si>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</si>
  <si>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</si>
  <si>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</si>
  <si>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</si>
  <si>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</si>
  <si>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</si>
  <si>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</si>
  <si>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</si>
  <si>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</si>
  <si>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</si>
  <si>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</si>
  <si>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</si>
  <si>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</si>
  <si>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</si>
  <si>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</si>
  <si>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</si>
  <si>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</si>
  <si>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</si>
  <si>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</si>
  <si>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</si>
  <si>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</si>
  <si>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</si>
  <si>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</si>
  <si>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</si>
  <si>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</si>
  <si>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</si>
  <si>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</si>
  <si>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</si>
  <si>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</si>
  <si>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</si>
  <si>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</si>
  <si>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</si>
  <si>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</si>
  <si>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</si>
  <si>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</si>
  <si>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</si>
  <si>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</si>
  <si>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</si>
  <si>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</si>
  <si>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</si>
  <si>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</si>
  <si>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</si>
  <si>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</si>
  <si>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</si>
  <si>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</si>
  <si>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</si>
  <si>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</si>
  <si>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</si>
  <si>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</si>
  <si>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</si>
  <si>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</si>
  <si>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</si>
  <si>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</si>
  <si>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</si>
  <si>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</si>
  <si>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</si>
  <si>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</si>
  <si>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</si>
  <si>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</si>
  <si>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</si>
  <si>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</si>
  <si>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</si>
  <si>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</si>
  <si>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</si>
  <si>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</si>
  <si>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</si>
  <si>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</si>
  <si>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</si>
  <si>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</si>
  <si>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</si>
  <si>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</si>
  <si>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</si>
  <si>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</si>
  <si>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</si>
  <si>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</si>
  <si>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</si>
  <si>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</si>
  <si>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</si>
  <si>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</si>
  <si>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</si>
  <si>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</si>
  <si>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</si>
  <si>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</si>
  <si>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</si>
  <si>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</si>
  <si>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</si>
  <si>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</si>
  <si>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</si>
  <si>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</si>
  <si>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</si>
  <si>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</si>
  <si>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</si>
  <si>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</si>
  <si>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</si>
  <si>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</si>
  <si>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</si>
  <si>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</si>
  <si>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</si>
  <si>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</si>
  <si>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</si>
  <si>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</si>
  <si>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</si>
  <si>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</si>
  <si>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</si>
  <si>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</si>
  <si>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</si>
  <si>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</si>
  <si>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</si>
  <si>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</si>
  <si>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</si>
  <si>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</si>
  <si>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</si>
  <si>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</si>
  <si>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</si>
  <si>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</si>
  <si>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</si>
  <si>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</si>
  <si>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</si>
  <si>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</si>
  <si>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</si>
  <si>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</si>
  <si>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</si>
  <si>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</si>
  <si>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</si>
  <si>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</si>
  <si>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</si>
  <si>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</si>
  <si>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</si>
  <si>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</si>
  <si>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</si>
  <si>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</si>
  <si>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</si>
  <si>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</si>
  <si>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</si>
  <si>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</si>
  <si>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</si>
  <si>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</si>
  <si>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</si>
  <si>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</si>
  <si>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</si>
  <si>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</si>
  <si>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</si>
  <si>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</si>
  <si>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</si>
  <si>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</si>
  <si>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</si>
  <si>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</si>
  <si>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</si>
  <si>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</si>
  <si>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</si>
  <si>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</si>
  <si>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</si>
  <si>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</si>
  <si>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</si>
  <si>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</si>
  <si>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</si>
  <si>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</si>
  <si>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</si>
  <si>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</si>
  <si>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</si>
  <si>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</si>
  <si>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</si>
  <si>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</si>
  <si>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</si>
  <si>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</si>
  <si>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</si>
  <si>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</si>
  <si>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</si>
  <si>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</si>
  <si>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</si>
  <si>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</si>
  <si>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</si>
  <si>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</si>
  <si>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</si>
  <si>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</si>
  <si>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</si>
  <si>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</si>
  <si>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</si>
  <si>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</si>
  <si>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</si>
  <si>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</si>
  <si>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</si>
  <si>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</si>
  <si>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</si>
  <si>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</si>
  <si>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</si>
  <si>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</si>
  <si>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</si>
  <si>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</si>
  <si>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</si>
  <si>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</si>
  <si>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</si>
  <si>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</si>
  <si>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</si>
  <si>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</si>
  <si>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</si>
  <si>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</si>
  <si>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</si>
  <si>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</si>
  <si>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</si>
  <si>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</si>
  <si>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</si>
  <si>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</si>
  <si>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</si>
  <si>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</si>
  <si>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</si>
  <si>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</si>
  <si>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</si>
  <si>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</si>
  <si>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</si>
  <si>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</si>
  <si>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</si>
  <si>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</si>
  <si>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</si>
  <si>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</si>
  <si>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</si>
  <si>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</si>
  <si>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</si>
  <si>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</si>
  <si>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</si>
  <si>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</si>
  <si>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</si>
  <si>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</si>
  <si>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</si>
  <si>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</si>
  <si>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</si>
  <si>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</si>
  <si>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</si>
  <si>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</si>
  <si>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</si>
  <si>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</si>
  <si>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</si>
  <si>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</si>
  <si>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</si>
  <si>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</si>
  <si>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</si>
  <si>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</si>
  <si>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</si>
  <si>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</si>
  <si>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</si>
  <si>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</si>
  <si>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</si>
  <si>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</si>
  <si>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</si>
  <si>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</si>
  <si>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</si>
  <si>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</si>
  <si>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</si>
  <si>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</si>
  <si>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</si>
  <si>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</si>
  <si>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</si>
  <si>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</si>
  <si>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</si>
  <si>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</si>
  <si>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</si>
  <si>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</si>
  <si>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</si>
  <si>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</si>
  <si>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</si>
  <si>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</si>
  <si>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</si>
  <si>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</si>
  <si>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</si>
  <si>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</si>
  <si>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</si>
  <si>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</si>
  <si>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</si>
  <si>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</si>
  <si>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</si>
  <si>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</si>
  <si>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</si>
  <si>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</si>
  <si>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</si>
  <si>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</si>
  <si>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</si>
  <si>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</si>
  <si>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</si>
  <si>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</si>
  <si>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</si>
  <si>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</si>
  <si>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</si>
  <si>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</si>
  <si>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</si>
  <si>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</si>
  <si>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</si>
  <si>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</si>
  <si>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</si>
  <si>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</si>
  <si>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</si>
  <si>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</si>
  <si>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</si>
  <si>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</si>
  <si>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</si>
  <si>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</si>
  <si>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</si>
  <si>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</si>
  <si>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</si>
  <si>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</si>
  <si>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</si>
  <si>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</si>
  <si>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</si>
  <si>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</si>
  <si>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</si>
  <si>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</si>
  <si>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</si>
  <si>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</si>
  <si>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</si>
  <si>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</si>
  <si>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</si>
  <si>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</si>
  <si>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</si>
  <si>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</si>
  <si>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</si>
  <si>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</si>
  <si>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</si>
  <si>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</si>
  <si>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</si>
  <si>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</si>
  <si>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</si>
  <si>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</si>
  <si>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</si>
  <si>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</si>
  <si>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</si>
  <si>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</si>
  <si>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</si>
  <si>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</si>
  <si>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</si>
  <si>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</si>
  <si>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</si>
  <si>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</si>
  <si>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</si>
  <si>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</si>
  <si>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</si>
  <si>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</si>
  <si>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</si>
  <si>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</si>
  <si>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</si>
  <si>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</si>
  <si>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</si>
  <si>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</si>
  <si>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</si>
  <si>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</si>
  <si>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</si>
  <si>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</si>
  <si>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</si>
  <si>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</si>
  <si>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</si>
  <si>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</si>
  <si>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</si>
  <si>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</si>
  <si>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</si>
  <si>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</si>
  <si>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</si>
  <si>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</si>
  <si>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</si>
  <si>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</si>
  <si>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</si>
  <si>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</si>
  <si>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</si>
  <si>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</si>
  <si>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</si>
  <si>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</si>
  <si>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</si>
  <si>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</si>
  <si>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</si>
  <si>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</si>
  <si>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</si>
  <si>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</si>
  <si>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</si>
  <si>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</si>
  <si>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</si>
  <si>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</si>
  <si>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</si>
  <si>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</si>
  <si>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</si>
  <si>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</si>
  <si>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</si>
  <si>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</si>
  <si>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</si>
  <si>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</si>
  <si>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</si>
  <si>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</si>
  <si>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</si>
  <si>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</si>
  <si>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</si>
  <si>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</si>
  <si>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</si>
  <si>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</si>
  <si>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</si>
  <si>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</si>
  <si>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</si>
  <si>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</si>
  <si>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</si>
  <si>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</si>
  <si>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</si>
  <si>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</si>
  <si>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</si>
  <si>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</si>
  <si>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</si>
  <si>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</si>
  <si>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</si>
  <si>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</si>
  <si>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</si>
  <si>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</si>
  <si>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</si>
  <si>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</si>
  <si>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</si>
  <si>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</si>
  <si>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</si>
  <si>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</si>
  <si>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</si>
  <si>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</si>
  <si>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</si>
  <si>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</si>
  <si>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</si>
  <si>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</si>
  <si>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</si>
  <si>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</si>
  <si>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</si>
  <si>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</si>
  <si>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</si>
  <si>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</si>
  <si>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</si>
  <si>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</si>
  <si>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</si>
  <si>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</si>
  <si>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</si>
  <si>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</si>
  <si>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</si>
  <si>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</si>
  <si>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</si>
  <si>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</si>
  <si>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</si>
  <si>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</si>
  <si>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</si>
  <si>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</si>
  <si>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</si>
  <si>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</si>
  <si>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</si>
  <si>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</si>
  <si>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</si>
  <si>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</si>
  <si>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</si>
  <si>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</si>
  <si>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</si>
  <si>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</si>
  <si>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</si>
  <si>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</si>
  <si>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</si>
  <si>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</si>
  <si>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</si>
  <si>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</si>
  <si>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</si>
  <si>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</si>
  <si>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</si>
  <si>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</si>
  <si>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</si>
  <si>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</si>
  <si>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</si>
  <si>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</si>
  <si>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</si>
  <si>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</si>
  <si>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</si>
  <si>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</si>
  <si>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</si>
  <si>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</si>
  <si>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</si>
  <si>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</si>
  <si>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</si>
  <si>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</si>
  <si>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</si>
  <si>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</si>
  <si>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</si>
  <si>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</si>
  <si>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</si>
  <si>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</si>
  <si>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</si>
  <si>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</si>
  <si>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</si>
  <si>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</si>
  <si>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</si>
  <si>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</si>
  <si>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</si>
  <si>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</si>
  <si>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</si>
  <si>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</si>
  <si>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</si>
  <si>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</si>
  <si>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</si>
  <si>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</si>
  <si>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</si>
  <si>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</si>
  <si>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</si>
  <si>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</si>
  <si>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</si>
  <si>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</si>
  <si>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</si>
  <si>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</si>
  <si>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</si>
  <si>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</si>
  <si>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</si>
  <si>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</si>
  <si>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</si>
  <si>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</si>
  <si>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</si>
  <si>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</si>
  <si>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</si>
  <si>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</si>
  <si>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</si>
  <si>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</si>
  <si>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</si>
  <si>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</si>
  <si>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</si>
  <si>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</si>
  <si>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</si>
  <si>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</si>
  <si>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</si>
  <si>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</si>
  <si>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</si>
  <si>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</si>
  <si>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</si>
  <si>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</si>
  <si>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</si>
  <si>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</si>
  <si>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</si>
  <si>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</si>
  <si>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</si>
  <si>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</si>
  <si>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</si>
  <si>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</si>
  <si>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</si>
  <si>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</si>
  <si>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</si>
  <si>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</si>
  <si>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</si>
  <si>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</si>
  <si>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</si>
  <si>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</si>
  <si>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</si>
  <si>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</si>
  <si>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</si>
  <si>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</si>
  <si>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</si>
  <si>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</si>
  <si>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</si>
  <si>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</si>
  <si>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</si>
  <si>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</si>
  <si>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</si>
  <si>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</si>
  <si>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</si>
  <si>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</si>
  <si>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</si>
  <si>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</si>
  <si>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</si>
  <si>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</si>
  <si>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</si>
  <si>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</si>
  <si>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</si>
  <si>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</si>
  <si>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</si>
  <si>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</si>
  <si>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</si>
  <si>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</si>
  <si>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</si>
  <si>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</si>
  <si>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</si>
  <si>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</si>
  <si>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</si>
  <si>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</si>
  <si>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</si>
  <si>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</si>
  <si>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</si>
  <si>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</si>
  <si>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</si>
  <si>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</si>
  <si>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</si>
  <si>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</si>
  <si>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</si>
  <si>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</si>
  <si>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</si>
  <si>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</si>
  <si>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</si>
  <si>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</si>
  <si>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</si>
  <si>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</si>
  <si>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</si>
  <si>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</si>
  <si>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</si>
  <si>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</si>
  <si>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</si>
  <si>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</si>
  <si>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</si>
  <si>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</si>
  <si>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</si>
  <si>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</si>
  <si>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</si>
  <si>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</si>
  <si>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</si>
  <si>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</si>
  <si>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</si>
  <si>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</si>
  <si>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</si>
  <si>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</si>
  <si>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</si>
  <si>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</si>
  <si>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</si>
  <si>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</si>
  <si>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</si>
  <si>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</si>
  <si>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</si>
  <si>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</si>
  <si>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</si>
  <si>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</si>
  <si>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</si>
  <si>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</si>
  <si>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</si>
  <si>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</si>
  <si>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</si>
  <si>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</si>
  <si>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</si>
  <si>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</si>
  <si>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</si>
  <si>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</si>
  <si>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</si>
  <si>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</si>
  <si>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</si>
  <si>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</si>
  <si>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</si>
  <si>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</si>
  <si>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</si>
  <si>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</si>
  <si>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</si>
  <si>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</si>
  <si>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</si>
  <si>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</si>
  <si>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</si>
  <si>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</si>
  <si>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</si>
  <si>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</si>
  <si>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</si>
  <si>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</si>
  <si>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</si>
  <si>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</si>
  <si>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</si>
  <si>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</si>
  <si>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</si>
  <si>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</si>
  <si>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</si>
  <si>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</si>
  <si>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</si>
  <si>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</si>
  <si>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</si>
  <si>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</si>
  <si>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</si>
  <si>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</si>
  <si>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</si>
  <si>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</si>
  <si>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</si>
  <si>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</si>
  <si>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</si>
  <si>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</si>
  <si>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</si>
  <si>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</si>
  <si>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</si>
  <si>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</si>
  <si>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</si>
  <si>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</si>
  <si>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</si>
  <si>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</si>
  <si>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</si>
  <si>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</si>
  <si>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</si>
  <si>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</si>
  <si>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</si>
  <si>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</si>
  <si>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</si>
  <si>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</si>
  <si>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</si>
  <si>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</si>
  <si>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</si>
  <si>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</si>
  <si>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</si>
  <si>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</si>
  <si>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</si>
  <si>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</si>
  <si>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</si>
  <si>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</si>
  <si>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</si>
  <si>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</si>
  <si>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</si>
  <si>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</si>
  <si>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</si>
  <si>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</si>
  <si>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</si>
  <si>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</si>
  <si>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</si>
  <si>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</si>
  <si>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</si>
  <si>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</si>
  <si>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</si>
  <si>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</si>
  <si>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</si>
  <si>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</si>
  <si>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</si>
  <si>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</si>
  <si>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</si>
  <si>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</si>
  <si>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</si>
  <si>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</si>
  <si>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</si>
  <si>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</si>
  <si>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</si>
  <si>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</si>
  <si>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</si>
  <si>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</si>
  <si>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</si>
  <si>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</si>
  <si>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</si>
  <si>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</si>
  <si>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</si>
  <si>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</si>
  <si>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</si>
  <si>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</si>
  <si>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</si>
  <si>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</si>
  <si>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</si>
  <si>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</si>
  <si>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</si>
  <si>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</si>
  <si>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</si>
  <si>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</si>
  <si>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</si>
  <si>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</si>
  <si>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</si>
  <si>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</si>
  <si>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</si>
  <si>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</si>
  <si>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</si>
  <si>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</si>
  <si>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</si>
  <si>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</si>
  <si>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</si>
  <si>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</si>
  <si>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</si>
  <si>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</si>
  <si>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</si>
  <si>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</si>
  <si>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</si>
  <si>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</si>
  <si>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</si>
  <si>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</si>
  <si>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</si>
  <si>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</si>
  <si>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</si>
  <si>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</si>
  <si>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</si>
  <si>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</si>
  <si>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</si>
  <si>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</si>
  <si>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</si>
  <si>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</si>
  <si>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</si>
  <si>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</si>
  <si>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</si>
  <si>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</si>
  <si>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</si>
  <si>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</si>
  <si>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</si>
  <si>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</si>
  <si>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</si>
  <si>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</si>
  <si>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</si>
  <si>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</si>
  <si>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</si>
  <si>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</si>
  <si>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</si>
  <si>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</si>
  <si>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</si>
  <si>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</si>
  <si>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</si>
  <si>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</si>
  <si>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</si>
  <si>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</si>
  <si>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</si>
  <si>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</si>
  <si>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</si>
  <si>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</si>
  <si>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</si>
  <si>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</si>
  <si>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</si>
  <si>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</si>
  <si>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</si>
  <si>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</si>
  <si>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</si>
  <si>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</si>
  <si>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</si>
  <si>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</si>
  <si>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</si>
  <si>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</si>
  <si>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</si>
  <si>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</si>
  <si>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</si>
  <si>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</si>
  <si>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</si>
  <si>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</si>
  <si>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</si>
  <si>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</si>
  <si>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</si>
  <si>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</si>
  <si>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</si>
  <si>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</si>
  <si>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</si>
  <si>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</si>
  <si>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</si>
  <si>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</si>
  <si>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</si>
  <si>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</si>
  <si>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</si>
  <si>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</si>
  <si>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</si>
  <si>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</si>
  <si>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</si>
  <si>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</si>
  <si>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</si>
  <si>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</si>
  <si>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</si>
  <si>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</si>
  <si>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</si>
  <si>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</si>
  <si>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</si>
  <si>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</si>
  <si>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</si>
  <si>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</si>
  <si>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</si>
  <si>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</si>
  <si>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</si>
  <si>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</si>
  <si>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</si>
  <si>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</si>
  <si>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</si>
  <si>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</si>
  <si>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</si>
  <si>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</si>
  <si>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</si>
  <si>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</si>
  <si>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</si>
  <si>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</si>
  <si>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</si>
  <si>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</si>
  <si>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</si>
  <si>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</si>
  <si>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</si>
  <si>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</si>
  <si>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</si>
  <si>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</si>
  <si>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</si>
  <si>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</si>
  <si>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</si>
  <si>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</si>
  <si>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</si>
  <si>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</si>
  <si>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</si>
  <si>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</si>
  <si>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</si>
  <si>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</si>
  <si>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</si>
  <si>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</si>
  <si>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</si>
  <si>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</si>
  <si>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</si>
  <si>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</si>
  <si>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</si>
  <si>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</si>
  <si>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</si>
  <si>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</si>
  <si>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</si>
  <si>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</si>
  <si>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</si>
  <si>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</si>
  <si>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</si>
  <si>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</si>
  <si>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</si>
  <si>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</si>
  <si>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</si>
  <si>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</si>
  <si>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</si>
  <si>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</si>
  <si>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</si>
  <si>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</si>
  <si>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</si>
  <si>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</si>
  <si>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</si>
  <si>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</si>
  <si>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</si>
  <si>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</si>
  <si>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</si>
  <si>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</si>
  <si>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</si>
  <si>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</si>
  <si>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</si>
  <si>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</si>
  <si>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</si>
  <si>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</si>
  <si>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</si>
  <si>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</si>
  <si>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</si>
  <si>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</si>
  <si>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</si>
  <si>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</si>
  <si>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</si>
  <si>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</si>
  <si>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</si>
  <si>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</si>
  <si>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</si>
  <si>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</si>
  <si>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</si>
  <si>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</si>
  <si>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</si>
  <si>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</si>
  <si>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</si>
  <si>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</si>
  <si>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</si>
  <si>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</si>
  <si>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</si>
  <si>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</si>
  <si>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</si>
  <si>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</si>
  <si>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</si>
  <si>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</si>
  <si>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</si>
  <si>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</si>
  <si>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</si>
  <si>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</si>
  <si>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</si>
  <si>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</si>
  <si>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</si>
  <si>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</si>
  <si>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</si>
  <si>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</si>
  <si>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</si>
  <si>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</si>
  <si>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</si>
  <si>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</si>
  <si>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</si>
  <si>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</si>
  <si>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</si>
  <si>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</si>
  <si>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</si>
  <si>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</si>
  <si>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</si>
  <si>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</si>
  <si>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</si>
  <si>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</si>
  <si>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</si>
  <si>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</si>
  <si>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</si>
  <si>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</si>
  <si>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</si>
  <si>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</si>
  <si>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</si>
  <si>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</si>
  <si>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</si>
  <si>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</si>
  <si>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</si>
  <si>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</si>
  <si>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</si>
  <si>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</si>
  <si>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</si>
  <si>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</si>
  <si>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</si>
  <si>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</si>
  <si>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</si>
  <si>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</si>
  <si>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</si>
  <si>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</si>
  <si>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</si>
  <si>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</si>
  <si>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</si>
  <si>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</si>
  <si>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</si>
  <si>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</si>
  <si>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</si>
  <si>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</si>
  <si>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</si>
  <si>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</si>
  <si>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</si>
  <si>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</si>
  <si>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</si>
  <si>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</si>
  <si>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</si>
  <si>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</si>
  <si>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</si>
  <si>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</si>
  <si>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</si>
  <si>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</si>
  <si>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</si>
  <si>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</si>
  <si>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</si>
  <si>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</si>
  <si>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</si>
  <si>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</si>
  <si>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</si>
  <si>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</si>
  <si>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</si>
  <si>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</si>
  <si>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</si>
  <si>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</si>
  <si>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</si>
  <si>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</si>
  <si>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</si>
  <si>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</si>
  <si>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</si>
  <si>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</si>
  <si>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</si>
  <si>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</si>
  <si>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</si>
  <si>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</si>
  <si>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</si>
  <si>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</si>
  <si>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</si>
  <si>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</si>
  <si>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</si>
  <si>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</si>
  <si>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</si>
  <si>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</si>
  <si>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</si>
  <si>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</si>
  <si>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</si>
  <si>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</si>
  <si>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</si>
  <si>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</si>
  <si>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</si>
  <si>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</si>
  <si>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</si>
  <si>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</si>
  <si>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</si>
  <si>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</si>
  <si>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</si>
  <si>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</si>
  <si>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</si>
  <si>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</si>
  <si>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</si>
  <si>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</si>
  <si>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</si>
  <si>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</si>
  <si>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</si>
  <si>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</si>
  <si>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</si>
  <si>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</si>
  <si>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</si>
  <si>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</si>
  <si>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</si>
  <si>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</si>
  <si>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</si>
  <si>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</si>
  <si>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</si>
  <si>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</si>
  <si>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</si>
  <si>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</si>
  <si>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</si>
  <si>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</si>
  <si>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</si>
  <si>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</si>
  <si>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</si>
  <si>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</si>
  <si>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</si>
  <si>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</si>
  <si>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</si>
  <si>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</si>
  <si>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</si>
  <si>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</si>
  <si>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</si>
  <si>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</si>
  <si>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</si>
  <si>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</si>
  <si>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</si>
  <si>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</si>
  <si>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</si>
  <si>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</si>
  <si>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</si>
  <si>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</si>
  <si>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</si>
  <si>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</si>
  <si>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</si>
  <si>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</si>
  <si>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</si>
  <si>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</si>
  <si>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</si>
  <si>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</si>
  <si>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</si>
  <si>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</si>
  <si>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</si>
  <si>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</si>
  <si>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</si>
  <si>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</si>
  <si>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</si>
  <si>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</si>
  <si>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</si>
  <si>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</si>
  <si>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</si>
  <si>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</si>
  <si>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</si>
  <si>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</si>
  <si>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</si>
  <si>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</si>
  <si>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</si>
  <si>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</si>
  <si>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</si>
  <si>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</si>
  <si>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</si>
  <si>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</si>
  <si>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</si>
  <si>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</si>
  <si>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</si>
  <si>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</si>
  <si>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</si>
  <si>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</si>
  <si>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</si>
  <si>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</si>
  <si>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</si>
  <si>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</si>
  <si>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</si>
  <si>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</si>
  <si>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</si>
  <si>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</si>
  <si>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</si>
  <si>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</si>
  <si>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</si>
  <si>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</si>
  <si>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</si>
  <si>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</si>
  <si>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</si>
  <si>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</si>
  <si>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</si>
  <si>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</si>
  <si>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</si>
  <si>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</si>
  <si>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</si>
  <si>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</si>
  <si>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</si>
  <si>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</si>
  <si>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</si>
  <si>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</si>
  <si>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</si>
  <si>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</si>
  <si>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</si>
  <si>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</si>
  <si>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</si>
  <si>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</si>
  <si>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</si>
  <si>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</si>
  <si>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</si>
  <si>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</si>
  <si>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</si>
  <si>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</si>
  <si>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</si>
  <si>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</si>
  <si>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</si>
  <si>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</si>
  <si>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</si>
  <si>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</si>
  <si>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</si>
  <si>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</si>
  <si>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</si>
  <si>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</si>
  <si>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</si>
  <si>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</si>
  <si>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</si>
  <si>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</si>
  <si>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</si>
  <si>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</si>
  <si>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</si>
  <si>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</si>
  <si>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</si>
  <si>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</si>
  <si>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</si>
  <si>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</si>
  <si>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</si>
  <si>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</si>
  <si>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</si>
  <si>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</si>
  <si>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</si>
  <si>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</si>
  <si>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</si>
  <si>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</si>
  <si>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</si>
  <si>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</si>
  <si>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</si>
  <si>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</si>
  <si>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</si>
  <si>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</si>
  <si>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</si>
  <si>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</si>
  <si>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</si>
  <si>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</si>
  <si>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</si>
  <si>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</si>
  <si>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</si>
  <si>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</si>
  <si>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</si>
  <si>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</si>
  <si>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</si>
  <si>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</si>
  <si>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</si>
  <si>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</si>
  <si>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</si>
  <si>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</si>
  <si>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</si>
  <si>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</si>
  <si>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</si>
  <si>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</si>
  <si>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</si>
  <si>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</si>
  <si>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</si>
  <si>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</si>
  <si>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</si>
  <si>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</si>
  <si>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</si>
  <si>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</si>
  <si>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</si>
  <si>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</si>
  <si>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</si>
  <si>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</si>
  <si>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</si>
  <si>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</si>
  <si>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</si>
  <si>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</si>
  <si>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</si>
  <si>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</si>
  <si>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</si>
  <si>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</si>
  <si>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</si>
  <si>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</si>
  <si>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</si>
  <si>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</si>
  <si>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</si>
  <si>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</si>
  <si>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</si>
  <si>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</si>
  <si>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</si>
  <si>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</si>
  <si>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</si>
  <si>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</si>
  <si>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</si>
  <si>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</si>
  <si>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</si>
  <si>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</si>
  <si>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</si>
  <si>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</si>
  <si>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</si>
  <si>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</si>
  <si>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</si>
  <si>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</si>
  <si>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</si>
  <si>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</si>
  <si>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</si>
  <si>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</si>
  <si>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</si>
  <si>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</si>
  <si>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</si>
  <si>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</si>
  <si>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</si>
  <si>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</si>
  <si>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</si>
  <si>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</si>
  <si>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</si>
  <si>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</si>
  <si>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</si>
  <si>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</si>
  <si>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</si>
  <si>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</si>
  <si>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</si>
  <si>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</si>
  <si>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</si>
  <si>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</si>
  <si>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</si>
  <si>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</si>
  <si>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</si>
  <si>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</si>
  <si>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</si>
  <si>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</si>
  <si>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</si>
  <si>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</si>
  <si>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</si>
  <si>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</si>
  <si>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</si>
  <si>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</si>
  <si>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</si>
  <si>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</si>
  <si>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</si>
  <si>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</si>
  <si>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</si>
  <si>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</si>
  <si>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</si>
  <si>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</si>
  <si>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</si>
  <si>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</si>
  <si>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</si>
  <si>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</si>
  <si>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</si>
  <si>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</si>
  <si>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</si>
  <si>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</si>
  <si>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</si>
  <si>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</si>
  <si>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</si>
  <si>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</si>
  <si>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</si>
  <si>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</si>
  <si>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</si>
  <si>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</si>
  <si>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</si>
  <si>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</si>
  <si>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</si>
  <si>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</si>
  <si>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</si>
  <si>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</si>
  <si>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</si>
  <si>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</si>
  <si>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</si>
  <si>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</si>
  <si>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</si>
  <si>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</si>
  <si>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</si>
  <si>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</si>
  <si>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</si>
  <si>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</si>
  <si>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</si>
  <si>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</si>
  <si>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</si>
  <si>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</si>
  <si>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</si>
  <si>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</si>
  <si>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</si>
  <si>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</si>
  <si>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</si>
  <si>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</si>
  <si>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</si>
  <si>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</si>
  <si>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</si>
  <si>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</si>
  <si>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</si>
  <si>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</si>
  <si>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</si>
  <si>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</si>
  <si>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</si>
  <si>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</si>
  <si>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</si>
  <si>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</si>
  <si>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</si>
  <si>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</si>
  <si>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</si>
  <si>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</si>
  <si>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</si>
  <si>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</si>
  <si>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</si>
  <si>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</si>
  <si>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</si>
  <si>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</si>
  <si>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</si>
  <si>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</si>
  <si>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</si>
  <si>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</si>
  <si>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</si>
  <si>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</si>
  <si>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</si>
  <si>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</si>
  <si>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</si>
  <si>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</si>
  <si>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</si>
  <si>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</si>
  <si>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</si>
  <si>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</si>
  <si>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</si>
  <si>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</si>
  <si>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</si>
  <si>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</si>
  <si>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</si>
  <si>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</si>
  <si>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</si>
  <si>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</si>
  <si>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</si>
  <si>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</si>
  <si>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</si>
  <si>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</si>
  <si>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</si>
  <si>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</si>
  <si>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</si>
  <si>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</si>
  <si>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</si>
  <si>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</si>
  <si>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</si>
  <si>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</si>
  <si>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</si>
  <si>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</si>
  <si>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</si>
  <si>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</si>
  <si>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</si>
  <si>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</si>
  <si>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</si>
  <si>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</si>
  <si>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</si>
  <si>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</si>
  <si>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</si>
  <si>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</si>
  <si>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</si>
  <si>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</si>
  <si>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</si>
  <si>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</si>
  <si>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</si>
  <si>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</si>
  <si>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</si>
  <si>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</si>
  <si>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</si>
  <si>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</si>
  <si>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</si>
  <si>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</si>
  <si>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</si>
  <si>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</si>
  <si>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</si>
  <si>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</si>
  <si>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</si>
  <si>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</si>
  <si>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</si>
  <si>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</si>
  <si>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</si>
  <si>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</si>
  <si>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</si>
  <si>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</si>
  <si>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</si>
  <si>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</si>
  <si>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</si>
  <si>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</si>
  <si>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</si>
  <si>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</si>
  <si>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</si>
  <si>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</si>
  <si>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</si>
  <si>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</si>
  <si>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</si>
  <si>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</si>
  <si>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</si>
  <si>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</si>
  <si>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</si>
  <si>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</si>
  <si>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</si>
  <si>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</si>
  <si>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</si>
  <si>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</si>
  <si>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</si>
  <si>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</si>
  <si>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</si>
  <si>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</si>
  <si>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</si>
  <si>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</si>
  <si>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</si>
  <si>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</si>
  <si>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</si>
  <si>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</si>
  <si>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</si>
  <si>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</si>
  <si>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</si>
  <si>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</si>
  <si>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</si>
  <si>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</si>
  <si>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</si>
  <si>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</si>
  <si>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</si>
  <si>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</si>
  <si>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</si>
  <si>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</si>
  <si>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</si>
  <si>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</si>
  <si>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</si>
  <si>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</si>
  <si>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</si>
  <si>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</si>
  <si>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</si>
  <si>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</si>
  <si>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</si>
  <si>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</si>
  <si>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</si>
  <si>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</si>
  <si>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</si>
  <si>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</si>
  <si>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</si>
  <si>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</si>
  <si>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</si>
  <si>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</si>
  <si>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</si>
  <si>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</si>
  <si>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</si>
  <si>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</si>
  <si>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</si>
  <si>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</si>
  <si>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</si>
  <si>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</si>
  <si>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</si>
  <si>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</si>
  <si>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</si>
  <si>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</si>
  <si>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</si>
  <si>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</si>
  <si>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</si>
  <si>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</si>
  <si>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</si>
  <si>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</si>
  <si>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</si>
  <si>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</si>
  <si>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</si>
  <si>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</si>
  <si>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</si>
  <si>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</si>
  <si>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</si>
  <si>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</si>
  <si>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</si>
  <si>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</si>
  <si>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</si>
  <si>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</si>
  <si>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</si>
  <si>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</si>
  <si>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</si>
  <si>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</si>
  <si>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</si>
  <si>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</si>
  <si>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</si>
  <si>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</si>
  <si>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</si>
  <si>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</si>
  <si>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</si>
  <si>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</si>
  <si>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</si>
  <si>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</si>
  <si>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</si>
  <si>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</si>
  <si>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</si>
  <si>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</si>
  <si>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</si>
  <si>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</si>
  <si>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</si>
  <si>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</si>
  <si>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</si>
  <si>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</si>
  <si>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</si>
  <si>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</si>
  <si>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</si>
  <si>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</si>
  <si>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</si>
  <si>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</si>
  <si>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</si>
  <si>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</si>
  <si>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</si>
  <si>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</si>
  <si>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</si>
  <si>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</si>
  <si>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</si>
  <si>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</si>
  <si>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</si>
  <si>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</si>
  <si>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</si>
  <si>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</si>
  <si>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</si>
  <si>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</si>
  <si>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</si>
  <si>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</si>
  <si>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</si>
  <si>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</si>
  <si>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</si>
  <si>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</si>
  <si>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</si>
  <si>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</si>
  <si>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</si>
  <si>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</si>
  <si>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</si>
  <si>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</si>
  <si>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</si>
  <si>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</si>
  <si>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</si>
  <si>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</si>
  <si>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</si>
  <si>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</si>
  <si>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</si>
  <si>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</si>
  <si>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</si>
  <si>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</si>
  <si>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</si>
  <si>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</si>
  <si>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</si>
  <si>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</si>
  <si>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</si>
  <si>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</si>
  <si>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</si>
  <si>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</si>
  <si>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</si>
  <si>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</si>
  <si>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</si>
  <si>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</si>
  <si>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</si>
  <si>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</si>
  <si>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</si>
  <si>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</si>
  <si>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</si>
  <si>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</si>
  <si>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</si>
  <si>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</si>
  <si>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</si>
  <si>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</si>
  <si>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</si>
  <si>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</si>
  <si>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</si>
  <si>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</si>
  <si>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</si>
  <si>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</si>
  <si>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</si>
  <si>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</si>
  <si>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</si>
  <si>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</si>
  <si>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</si>
  <si>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</si>
  <si>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</si>
  <si>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</si>
  <si>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</si>
  <si>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</si>
  <si>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</si>
  <si>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</si>
  <si>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</si>
  <si>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</si>
  <si>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</si>
  <si>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</si>
  <si>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</si>
  <si>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</si>
  <si>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</si>
  <si>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</si>
  <si>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</si>
  <si>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</si>
  <si>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</si>
  <si>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</si>
  <si>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</si>
  <si>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</si>
  <si>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</si>
  <si>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</si>
  <si>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</si>
  <si>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</si>
  <si>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</si>
  <si>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</si>
  <si>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</si>
  <si>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</si>
  <si>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</si>
  <si>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</si>
  <si>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</si>
  <si>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</si>
  <si>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</si>
  <si>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</si>
  <si>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</si>
  <si>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</si>
  <si>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</si>
  <si>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</si>
  <si>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</si>
  <si>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</si>
  <si>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</si>
  <si>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</si>
  <si>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</si>
  <si>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</si>
  <si>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</si>
  <si>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</si>
  <si>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</si>
  <si>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</si>
  <si>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</si>
  <si>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</si>
  <si>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</si>
  <si>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</si>
  <si>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</si>
  <si>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</si>
  <si>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</si>
  <si>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</si>
  <si>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</si>
  <si>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</si>
  <si>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</si>
  <si>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</si>
  <si>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</si>
  <si>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</si>
  <si>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</si>
  <si>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</si>
  <si>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</si>
  <si>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</si>
  <si>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</si>
  <si>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</si>
  <si>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</si>
  <si>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</si>
  <si>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</si>
  <si>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</si>
  <si>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</si>
  <si>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</si>
  <si>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</si>
  <si>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</si>
  <si>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</si>
  <si>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</si>
  <si>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</si>
  <si>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</si>
  <si>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</si>
  <si>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</si>
  <si>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</si>
  <si>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</si>
  <si>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</si>
  <si>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</si>
  <si>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</si>
  <si>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</si>
  <si>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</si>
  <si>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</si>
  <si>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</si>
  <si>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</si>
  <si>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</si>
  <si>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</si>
  <si>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</si>
  <si>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</si>
  <si>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</si>
  <si>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</si>
  <si>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</si>
  <si>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</si>
  <si>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</si>
  <si>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</si>
  <si>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</si>
  <si>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</si>
  <si>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</si>
  <si>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</si>
  <si>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</si>
  <si>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</si>
  <si>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</si>
  <si>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</si>
  <si>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</si>
  <si>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</si>
  <si>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</si>
  <si>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</si>
  <si>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</si>
  <si>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</si>
  <si>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</si>
  <si>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</si>
  <si>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</si>
  <si>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</si>
  <si>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</si>
  <si>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</si>
  <si>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</si>
  <si>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</si>
  <si>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</si>
  <si>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</si>
  <si>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</si>
  <si>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</si>
  <si>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</si>
  <si>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</si>
  <si>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</si>
  <si>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</si>
  <si>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</si>
  <si>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</si>
  <si>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</si>
  <si>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</si>
  <si>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</si>
  <si>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</si>
  <si>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</si>
  <si>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</si>
  <si>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</si>
  <si>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</si>
  <si>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</si>
  <si>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</si>
  <si>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</si>
  <si>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</si>
  <si>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</si>
  <si>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</si>
  <si>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</si>
  <si>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</si>
  <si>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</si>
  <si>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</si>
  <si>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</si>
  <si>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</si>
  <si>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</si>
  <si>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</si>
  <si>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</si>
  <si>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</si>
  <si>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</si>
  <si>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</si>
  <si>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</si>
  <si>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</si>
  <si>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</si>
  <si>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</si>
  <si>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</si>
  <si>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</si>
  <si>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</si>
  <si>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</si>
  <si>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</si>
  <si>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</si>
  <si>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</si>
  <si>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</si>
  <si>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</si>
  <si>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</si>
  <si>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</si>
  <si>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</si>
  <si>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</si>
  <si>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</si>
  <si>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</si>
  <si>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</si>
  <si>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</si>
  <si>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</si>
  <si>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</si>
  <si>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</si>
  <si>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</si>
  <si>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</si>
  <si>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</si>
  <si>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</si>
  <si>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</si>
  <si>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</si>
  <si>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</si>
  <si>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</si>
  <si>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</si>
  <si>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</si>
  <si>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</si>
  <si>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</si>
  <si>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</si>
  <si>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</si>
  <si>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</si>
  <si>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</si>
  <si>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</si>
  <si>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</si>
  <si>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</si>
  <si>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</si>
  <si>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</si>
  <si>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</si>
  <si>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</si>
  <si>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</si>
  <si>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</si>
  <si>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</si>
  <si>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</si>
  <si>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</si>
  <si>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</si>
  <si>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</si>
  <si>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</si>
  <si>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</si>
  <si>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</si>
  <si>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</si>
  <si>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</si>
  <si>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</si>
  <si>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</si>
  <si>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</si>
  <si>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</si>
  <si>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</si>
  <si>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</si>
  <si>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</si>
  <si>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</si>
  <si>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</si>
  <si>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</si>
  <si>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</si>
  <si>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</si>
  <si>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</si>
  <si>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</si>
  <si>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</si>
  <si>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</si>
  <si>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</si>
  <si>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</si>
  <si>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</si>
  <si>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</si>
  <si>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</si>
  <si>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</si>
  <si>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</si>
  <si>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</si>
  <si>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</si>
  <si>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</si>
  <si>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</si>
  <si>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</si>
  <si>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</si>
  <si>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</si>
  <si>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</si>
  <si>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</si>
  <si>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</si>
  <si>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</si>
  <si>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</si>
  <si>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</si>
  <si>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</si>
  <si>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</si>
  <si>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</si>
  <si>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</si>
  <si>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</si>
  <si>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</si>
  <si>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</si>
  <si>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</si>
  <si>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</si>
  <si>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</si>
  <si>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</si>
  <si>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</si>
  <si>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</si>
  <si>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</si>
  <si>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</si>
  <si>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</si>
  <si>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</si>
  <si>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</si>
  <si>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</si>
  <si>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</si>
  <si>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</si>
  <si>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</si>
  <si>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</si>
  <si>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</si>
  <si>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</si>
  <si>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</si>
  <si>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</si>
  <si>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</si>
  <si>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</si>
  <si>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</si>
  <si>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</si>
  <si>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</si>
  <si>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</si>
  <si>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</si>
  <si>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</si>
  <si>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</si>
  <si>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</si>
  <si>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</si>
  <si>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</si>
  <si>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</si>
  <si>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</si>
  <si>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</si>
  <si>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</si>
  <si>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</si>
  <si>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</si>
  <si>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</si>
  <si>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</si>
  <si>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</si>
  <si>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</si>
  <si>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</si>
  <si>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</si>
  <si>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</si>
  <si>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</si>
  <si>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</si>
  <si>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</si>
  <si>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</si>
  <si>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</si>
  <si>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</si>
  <si>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</si>
  <si>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</si>
  <si>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</si>
  <si>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</si>
  <si>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</si>
  <si>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</si>
  <si>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</si>
  <si>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</si>
  <si>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</si>
  <si>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</si>
  <si>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</si>
  <si>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</si>
  <si>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</si>
  <si>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</si>
  <si>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</si>
  <si>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</si>
  <si>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</si>
  <si>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</si>
  <si>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</si>
  <si>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</si>
  <si>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</si>
  <si>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</si>
  <si>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</si>
  <si>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</si>
  <si>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</si>
  <si>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</si>
  <si>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</si>
  <si>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</si>
  <si>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</si>
  <si>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</si>
  <si>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</si>
  <si>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</si>
  <si>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</si>
  <si>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</si>
  <si>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</si>
  <si>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</si>
  <si>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</si>
  <si>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</si>
  <si>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</si>
  <si>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</si>
  <si>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</si>
  <si>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</si>
  <si>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</si>
  <si>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</si>
  <si>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</si>
  <si>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</si>
  <si>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</si>
  <si>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</si>
  <si>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</si>
  <si>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</si>
  <si>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</si>
  <si>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</si>
  <si>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</si>
  <si>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</si>
  <si>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</si>
  <si>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</si>
  <si>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</si>
  <si>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</si>
  <si>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</si>
  <si>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</si>
  <si>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</si>
  <si>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</si>
  <si>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</si>
  <si>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</si>
  <si>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</si>
  <si>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</si>
  <si>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</si>
  <si>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</si>
  <si>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</si>
  <si>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</si>
  <si>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</si>
  <si>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</si>
  <si>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</si>
  <si>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</si>
  <si>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</si>
  <si>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</si>
  <si>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</si>
  <si>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</si>
  <si>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</si>
  <si>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</si>
  <si>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</si>
  <si>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</si>
  <si>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</si>
  <si>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</si>
  <si>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</si>
  <si>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</si>
  <si>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</si>
  <si>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</si>
  <si>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</si>
  <si>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</si>
  <si>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</si>
  <si>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</si>
  <si>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</si>
  <si>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</si>
  <si>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</si>
  <si>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</si>
  <si>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</si>
  <si>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</si>
  <si>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</si>
  <si>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</si>
  <si>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</si>
  <si>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</si>
  <si>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</si>
  <si>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</si>
  <si>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</si>
  <si>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</si>
  <si>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</si>
  <si>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</si>
  <si>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</si>
  <si>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</si>
  <si>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</si>
  <si>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</si>
  <si>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</si>
  <si>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</si>
  <si>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</si>
  <si>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</si>
  <si>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</si>
  <si>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</si>
  <si>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</si>
  <si>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</si>
  <si>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</si>
  <si>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</si>
  <si>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</si>
  <si>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</si>
  <si>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</si>
  <si>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</si>
  <si>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</si>
  <si>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</si>
  <si>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</si>
  <si>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</si>
  <si>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</si>
  <si>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</si>
  <si>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</si>
  <si>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</si>
  <si>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</si>
  <si>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</si>
  <si>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</si>
  <si>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</si>
  <si>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</si>
  <si>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</si>
  <si>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</si>
  <si>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</si>
  <si>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</si>
  <si>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</si>
  <si>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</si>
  <si>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</si>
  <si>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</si>
  <si>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</si>
  <si>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</si>
  <si>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</si>
  <si>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</si>
  <si>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</si>
  <si>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</si>
  <si>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</si>
  <si>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</si>
  <si>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</si>
  <si>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</si>
  <si>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</si>
  <si>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</si>
  <si>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</si>
  <si>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</si>
  <si>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</si>
  <si>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</si>
  <si>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</si>
  <si>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</si>
  <si>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</si>
  <si>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</si>
  <si>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</si>
  <si>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</si>
  <si>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</si>
  <si>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</si>
  <si>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</si>
  <si>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</si>
  <si>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</si>
  <si>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</si>
  <si>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</si>
  <si>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</si>
  <si>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</si>
  <si>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</si>
  <si>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</si>
  <si>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</si>
  <si>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</si>
  <si>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</si>
  <si>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</si>
  <si>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</si>
  <si>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</si>
  <si>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</si>
  <si>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</si>
  <si>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</si>
  <si>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</si>
  <si>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</si>
  <si>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</si>
  <si>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</si>
  <si>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</si>
  <si>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</si>
  <si>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</si>
  <si>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</si>
  <si>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</si>
  <si>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</si>
  <si>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</si>
  <si>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</si>
  <si>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</si>
  <si>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</si>
  <si>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</si>
  <si>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</si>
  <si>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</si>
  <si>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</si>
  <si>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</si>
  <si>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</si>
  <si>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</si>
  <si>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</si>
  <si>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</si>
  <si>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</si>
  <si>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</si>
  <si>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</si>
  <si>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</si>
  <si>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</si>
  <si>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</si>
  <si>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</si>
  <si>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</si>
  <si>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</si>
  <si>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</si>
  <si>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</si>
  <si>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</si>
  <si>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</si>
  <si>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</si>
  <si>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</si>
  <si>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</si>
  <si>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</si>
  <si>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</si>
  <si>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</si>
  <si>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</si>
  <si>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</si>
  <si>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</si>
  <si>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</si>
  <si>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</si>
  <si>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</si>
  <si>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</si>
  <si>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</si>
  <si>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</si>
  <si>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</si>
  <si>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</si>
  <si>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</si>
  <si>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</si>
  <si>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</si>
  <si>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</si>
  <si>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</si>
  <si>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</si>
  <si>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</si>
  <si>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</si>
  <si>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</si>
  <si>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</si>
  <si>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</si>
  <si>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</si>
  <si>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</si>
  <si>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</si>
  <si>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</si>
  <si>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</si>
  <si>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</si>
  <si>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</si>
  <si>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</si>
  <si>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</si>
  <si>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</si>
  <si>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</si>
  <si>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</si>
  <si>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</si>
  <si>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</si>
  <si>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</si>
  <si>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</si>
  <si>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</si>
  <si>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</si>
  <si>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</si>
  <si>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</si>
  <si>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</si>
  <si>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</si>
  <si>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</si>
  <si>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</si>
  <si>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</si>
  <si>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</si>
  <si>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</si>
  <si>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</si>
  <si>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</si>
  <si>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</si>
  <si>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</si>
  <si>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</si>
  <si>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</si>
  <si>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</si>
  <si>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</si>
  <si>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</si>
  <si>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</si>
  <si>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</si>
  <si>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</si>
  <si>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</si>
  <si>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</si>
  <si>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</si>
  <si>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</si>
  <si>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</si>
  <si>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</si>
  <si>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</si>
  <si>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</si>
  <si>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</si>
  <si>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</si>
  <si>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</si>
  <si>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</si>
  <si>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</si>
  <si>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</si>
  <si>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</si>
  <si>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</si>
  <si>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</si>
  <si>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</si>
  <si>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</si>
  <si>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</si>
  <si>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</si>
  <si>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</si>
  <si>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</si>
  <si>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</si>
  <si>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</si>
  <si>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</si>
  <si>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</si>
  <si>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</si>
  <si>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</si>
  <si>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</si>
  <si>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</si>
  <si>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</si>
  <si>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</si>
  <si>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</si>
  <si>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</si>
  <si>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</si>
  <si>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</si>
  <si>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</si>
  <si>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</si>
  <si>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</si>
  <si>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</si>
  <si>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</si>
  <si>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</si>
  <si>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</si>
  <si>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</si>
  <si>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</si>
  <si>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</si>
  <si>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</si>
  <si>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</si>
  <si>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</si>
  <si>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</si>
  <si>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</si>
  <si>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</si>
  <si>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</si>
  <si>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</si>
  <si>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</si>
  <si>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</si>
  <si>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</si>
  <si>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</si>
  <si>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</si>
  <si>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</si>
  <si>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</si>
  <si>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</si>
  <si>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</si>
  <si>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</si>
  <si>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</si>
  <si>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</si>
  <si>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</si>
  <si>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</si>
  <si>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</si>
  <si>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</si>
  <si>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</si>
  <si>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</si>
  <si>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</si>
  <si>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</si>
  <si>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</si>
  <si>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</si>
  <si>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</si>
  <si>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</si>
  <si>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</si>
  <si>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</si>
  <si>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</si>
  <si>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</si>
  <si>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</si>
  <si>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</si>
  <si>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</si>
  <si>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</si>
  <si>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</si>
  <si>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</si>
  <si>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</si>
  <si>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</si>
  <si>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</si>
  <si>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</si>
  <si>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</si>
  <si>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</si>
  <si>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</si>
  <si>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</si>
  <si>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</si>
  <si>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</si>
  <si>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</si>
  <si>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</si>
  <si>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</si>
  <si>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</si>
  <si>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</si>
  <si>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</si>
  <si>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</si>
  <si>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</si>
  <si>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</si>
  <si>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</si>
  <si>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</si>
  <si>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</si>
  <si>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</si>
  <si>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</si>
  <si>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</si>
  <si>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</si>
  <si>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</si>
  <si>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</si>
  <si>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</si>
  <si>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</si>
  <si>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</si>
  <si>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</si>
  <si>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</si>
  <si>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</si>
  <si>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</si>
  <si>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</si>
  <si>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</si>
  <si>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</si>
  <si>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</si>
  <si>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</si>
  <si>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</si>
  <si>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</si>
  <si>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</si>
  <si>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</si>
  <si>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</si>
  <si>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</si>
  <si>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</si>
  <si>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</si>
  <si>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</si>
  <si>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</si>
  <si>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</si>
  <si>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</si>
  <si>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</si>
  <si>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</si>
  <si>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</si>
  <si>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</si>
  <si>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</si>
  <si>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</si>
  <si>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</si>
  <si>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</si>
  <si>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</si>
  <si>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</si>
  <si>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</si>
  <si>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</si>
  <si>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</si>
  <si>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</si>
  <si>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</si>
  <si>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</si>
  <si>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</si>
  <si>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</si>
  <si>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</si>
  <si>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</si>
  <si>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</si>
  <si>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</si>
  <si>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</si>
  <si>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</si>
  <si>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</si>
  <si>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</si>
  <si>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</si>
  <si>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</si>
  <si>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</si>
  <si>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</si>
  <si>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</si>
  <si>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</si>
  <si>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</si>
  <si>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</si>
  <si>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</si>
  <si>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</si>
  <si>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</si>
  <si>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</si>
  <si>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</si>
  <si>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</si>
  <si>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</si>
  <si>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</si>
  <si>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</si>
  <si>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</si>
  <si>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</si>
  <si>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</si>
  <si>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</si>
  <si>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</si>
  <si>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</si>
  <si>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</si>
  <si>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</si>
  <si>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</si>
  <si>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</si>
  <si>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</si>
  <si>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</si>
  <si>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</si>
  <si>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</si>
  <si>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</si>
  <si>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</si>
  <si>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</si>
  <si>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</si>
  <si>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</si>
  <si>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</si>
  <si>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</si>
  <si>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</si>
  <si>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</si>
  <si>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</si>
  <si>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</si>
  <si>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</si>
  <si>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</si>
  <si>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</si>
  <si>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</si>
  <si>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</si>
  <si>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</si>
  <si>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</si>
  <si>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</si>
  <si>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</si>
  <si>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</si>
  <si>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</si>
  <si>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</si>
  <si>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</si>
  <si>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</si>
  <si>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</si>
  <si>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</si>
  <si>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</si>
  <si>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</si>
  <si>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</si>
  <si>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</si>
  <si>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</si>
  <si>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</si>
  <si>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</si>
  <si>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</si>
  <si>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</si>
  <si>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</si>
  <si>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</si>
  <si>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</si>
  <si>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</si>
  <si>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</si>
  <si>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</si>
  <si>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</si>
  <si>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</si>
  <si>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</si>
  <si>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</si>
  <si>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</si>
  <si>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</si>
  <si>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</si>
  <si>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</si>
  <si>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</si>
  <si>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</si>
  <si>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</si>
  <si>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</si>
  <si>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</si>
  <si>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</si>
  <si>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</si>
  <si>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</si>
  <si>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</si>
  <si>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</si>
  <si>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</si>
  <si>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</si>
  <si>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</si>
  <si>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</si>
  <si>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</si>
  <si>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</si>
  <si>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</si>
  <si>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</si>
  <si>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</si>
  <si>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</si>
  <si>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</si>
  <si>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</si>
  <si>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</si>
  <si>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</si>
  <si>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</si>
  <si>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</si>
  <si>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</si>
  <si>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</si>
  <si>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</si>
  <si>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</si>
  <si>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</si>
  <si>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</si>
  <si>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</si>
  <si>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</si>
  <si>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</si>
  <si>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</si>
  <si>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</si>
  <si>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</si>
  <si>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</si>
  <si>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</si>
  <si>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</si>
  <si>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</si>
  <si>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</si>
  <si>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</si>
  <si>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</si>
  <si>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</si>
  <si>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</si>
  <si>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</si>
  <si>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</si>
  <si>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</si>
  <si>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</si>
  <si>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</si>
  <si>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</si>
  <si>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</si>
  <si>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</si>
  <si>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</si>
  <si>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</si>
  <si>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</si>
  <si>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</si>
  <si>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</si>
  <si>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</si>
  <si>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</si>
  <si>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</si>
  <si>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</si>
  <si>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</si>
  <si>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</si>
  <si>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</si>
  <si>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</si>
  <si>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</si>
  <si>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</si>
  <si>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</si>
  <si>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</si>
  <si>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</si>
  <si>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</si>
  <si>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</si>
  <si>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</si>
  <si>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</si>
  <si>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</si>
  <si>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</si>
  <si>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</si>
  <si>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</si>
  <si>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</si>
  <si>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</si>
  <si>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</si>
  <si>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</si>
  <si>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</si>
  <si>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</si>
  <si>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</si>
  <si>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</si>
  <si>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</si>
  <si>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</si>
  <si>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</si>
  <si>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</si>
  <si>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</si>
  <si>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</si>
  <si>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</si>
  <si>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</si>
  <si>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</si>
  <si>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</si>
  <si>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</si>
  <si>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</si>
  <si>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</si>
  <si>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</si>
  <si>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</si>
  <si>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</si>
  <si>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</si>
  <si>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</si>
  <si>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</si>
  <si>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</si>
  <si>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</si>
  <si>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</si>
  <si>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</si>
  <si>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</si>
  <si>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</si>
  <si>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</si>
  <si>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</si>
  <si>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</si>
  <si>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</si>
  <si>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</si>
  <si>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</si>
  <si>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</si>
  <si>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</si>
  <si>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</si>
  <si>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</si>
  <si>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</si>
  <si>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</si>
  <si>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</si>
  <si>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</si>
  <si>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</si>
  <si>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</si>
  <si>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</si>
  <si>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</si>
  <si>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</si>
  <si>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</si>
  <si>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</si>
  <si>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</si>
  <si>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</si>
  <si>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</si>
  <si>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</si>
  <si>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</si>
  <si>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</si>
  <si>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</si>
  <si>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</si>
  <si>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</si>
  <si>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</si>
  <si>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</si>
  <si>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</si>
  <si>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</si>
  <si>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</si>
  <si>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</si>
  <si>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</si>
  <si>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</si>
  <si>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</si>
  <si>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</si>
  <si>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</si>
  <si>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</si>
  <si>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</si>
  <si>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</si>
  <si>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</si>
  <si>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</si>
  <si>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</si>
  <si>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</si>
  <si>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</si>
  <si>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</si>
  <si>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</si>
  <si>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</si>
  <si>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</si>
  <si>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</si>
  <si>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</si>
  <si>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</si>
  <si>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</si>
  <si>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</si>
  <si>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</si>
  <si>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</si>
  <si>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</si>
  <si>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</si>
  <si>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</si>
  <si>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</si>
  <si>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</si>
  <si>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</si>
  <si>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</si>
  <si>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</si>
  <si>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</si>
  <si>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</si>
  <si>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</si>
  <si>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</si>
  <si>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</si>
  <si>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</si>
  <si>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</si>
  <si>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</si>
  <si>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</si>
  <si>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</si>
  <si>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</si>
  <si>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</si>
  <si>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</si>
  <si>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</si>
  <si>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</si>
  <si>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</si>
  <si>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</si>
  <si>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</si>
  <si>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</si>
  <si>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</si>
  <si>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</si>
  <si>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</si>
  <si>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</si>
  <si>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</si>
  <si>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</si>
  <si>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</si>
  <si>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</si>
  <si>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</si>
  <si>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</si>
  <si>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</si>
  <si>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</si>
  <si>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</si>
  <si>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</si>
  <si>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</si>
  <si>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</si>
  <si>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</si>
  <si>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</si>
  <si>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</si>
  <si>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</si>
  <si>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</si>
  <si>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</si>
  <si>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</si>
  <si>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</si>
  <si>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</si>
  <si>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</si>
  <si>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</si>
  <si>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</si>
  <si>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</si>
  <si>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</si>
  <si>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</si>
  <si>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</si>
  <si>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</si>
  <si>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</si>
  <si>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</si>
  <si>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</si>
  <si>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</si>
  <si>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</si>
  <si>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</si>
  <si>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</si>
  <si>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</si>
  <si>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</si>
  <si>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</si>
  <si>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</si>
  <si>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</si>
  <si>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</si>
  <si>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</si>
  <si>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</si>
  <si>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</si>
  <si>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</si>
  <si>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</si>
  <si>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</si>
  <si>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</si>
  <si>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</si>
  <si>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</si>
  <si>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</si>
  <si>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</si>
  <si>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</si>
  <si>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</si>
  <si>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</si>
  <si>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</si>
  <si>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</si>
  <si>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</si>
  <si>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</si>
  <si>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</si>
  <si>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</si>
  <si>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</si>
  <si>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</si>
  <si>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</si>
  <si>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</si>
  <si>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</si>
  <si>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</si>
  <si>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</si>
  <si>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</si>
  <si>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</si>
  <si>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</si>
  <si>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</si>
  <si>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</si>
  <si>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</si>
  <si>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</si>
  <si>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</si>
  <si>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</si>
  <si>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</si>
  <si>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</si>
  <si>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</si>
  <si>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</si>
  <si>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</si>
  <si>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</si>
  <si>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</si>
  <si>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</si>
  <si>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</si>
  <si>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</si>
  <si>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</si>
  <si>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</si>
  <si>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</si>
  <si>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</si>
  <si>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</si>
  <si>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</si>
  <si>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</si>
  <si>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</si>
  <si>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</si>
  <si>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</si>
  <si>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</si>
  <si>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</si>
  <si>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</si>
  <si>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</si>
  <si>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</si>
  <si>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</si>
  <si>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</si>
  <si>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</si>
  <si>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</si>
  <si>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</si>
  <si>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</si>
  <si>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</si>
  <si>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</si>
  <si>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</si>
  <si>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</si>
  <si>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</si>
  <si>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</si>
  <si>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</si>
  <si>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</si>
  <si>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</si>
  <si>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</si>
  <si>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</si>
  <si>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</si>
  <si>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</si>
  <si>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</si>
  <si>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</si>
  <si>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</si>
  <si>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</si>
  <si>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</si>
  <si>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</si>
  <si>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</si>
  <si>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</si>
  <si>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</si>
  <si>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</si>
  <si>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</si>
  <si>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</si>
  <si>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</si>
  <si>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</si>
  <si>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</si>
  <si>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</si>
  <si>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</si>
  <si>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</si>
  <si>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</si>
  <si>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</si>
  <si>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</si>
  <si>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</si>
  <si>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</si>
  <si>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</si>
  <si>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</si>
  <si>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</si>
  <si>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</si>
  <si>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</si>
  <si>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</si>
  <si>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</si>
  <si>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</si>
  <si>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</si>
  <si>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</si>
  <si>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</si>
  <si>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</si>
  <si>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</si>
  <si>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</si>
  <si>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</si>
  <si>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</si>
  <si>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</si>
  <si>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</si>
  <si>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</si>
  <si>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</si>
  <si>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</si>
  <si>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</si>
  <si>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</si>
  <si>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</si>
  <si>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</si>
  <si>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</si>
  <si>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</si>
  <si>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</si>
  <si>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</si>
  <si>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</si>
  <si>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</si>
  <si>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</si>
  <si>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</si>
  <si>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</si>
  <si>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</si>
  <si>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</si>
  <si>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</si>
  <si>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</si>
  <si>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</si>
  <si>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</si>
  <si>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</si>
  <si>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</si>
  <si>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</si>
  <si>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</si>
  <si>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</si>
  <si>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</si>
  <si>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</si>
  <si>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</si>
  <si>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</si>
  <si>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</si>
  <si>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</si>
  <si>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</si>
  <si>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</si>
  <si>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</si>
  <si>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</si>
  <si>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</si>
  <si>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</si>
  <si>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</si>
  <si>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</si>
  <si>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</si>
  <si>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</si>
  <si>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</si>
  <si>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</si>
  <si>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</si>
  <si>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</si>
  <si>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</si>
  <si>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</si>
  <si>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</si>
  <si>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</si>
  <si>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</si>
  <si>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</si>
  <si>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</si>
  <si>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</si>
  <si>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</si>
  <si>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</si>
  <si>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</si>
  <si>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</si>
  <si>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</si>
  <si>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</si>
  <si>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</si>
  <si>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</si>
  <si>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</si>
  <si>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</si>
  <si>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</si>
  <si>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</si>
  <si>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</si>
  <si>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</si>
  <si>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</si>
  <si>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</si>
  <si>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</si>
  <si>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</si>
  <si>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</si>
  <si>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</si>
  <si>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</si>
  <si>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</si>
  <si>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</si>
  <si>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</si>
  <si>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</si>
  <si>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</si>
  <si>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</si>
  <si>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</si>
  <si>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</si>
  <si>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</si>
  <si>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</si>
  <si>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</si>
  <si>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</si>
  <si>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</si>
  <si>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</si>
  <si>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</si>
  <si>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</si>
  <si>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</si>
  <si>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</si>
  <si>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</si>
  <si>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</si>
  <si>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</si>
  <si>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</si>
  <si>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</si>
  <si>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</si>
  <si>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</si>
  <si>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</si>
  <si>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</si>
  <si>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</si>
  <si>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</si>
  <si>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</si>
  <si>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</si>
  <si>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</si>
  <si>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</si>
  <si>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</si>
  <si>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</si>
  <si>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</si>
  <si>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</si>
  <si>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</si>
  <si>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</si>
  <si>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</si>
  <si>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</si>
  <si>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</si>
  <si>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</si>
  <si>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</si>
  <si>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</si>
  <si>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</si>
  <si>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</si>
  <si>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</si>
  <si>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</si>
  <si>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</si>
  <si>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</si>
  <si>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</si>
  <si>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</si>
  <si>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</si>
  <si>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</si>
  <si>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</si>
  <si>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</si>
  <si>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</si>
  <si>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</si>
  <si>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</si>
  <si>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</si>
  <si>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</si>
  <si>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</si>
  <si>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</si>
  <si>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</si>
  <si>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</si>
  <si>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</si>
  <si>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</si>
  <si>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</si>
  <si>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</si>
  <si>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</si>
  <si>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</si>
  <si>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</si>
  <si>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</si>
  <si>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</si>
  <si>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</si>
  <si>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</si>
  <si>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</si>
  <si>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</si>
  <si>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</si>
  <si>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</si>
  <si>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</si>
  <si>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</si>
  <si>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</si>
  <si>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</si>
  <si>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</si>
  <si>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</si>
  <si>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</si>
  <si>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</si>
  <si>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</si>
  <si>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</si>
  <si>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</si>
  <si>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</si>
  <si>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</si>
  <si>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</si>
  <si>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</si>
  <si>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</si>
  <si>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</si>
  <si>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</si>
  <si>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</si>
  <si>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</si>
  <si>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</si>
  <si>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</si>
  <si>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</si>
  <si>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</si>
  <si>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</si>
  <si>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</si>
  <si>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</si>
  <si>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</si>
  <si>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</si>
  <si>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</si>
  <si>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</si>
  <si>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</si>
  <si>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</si>
  <si>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</si>
  <si>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</si>
  <si>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</si>
  <si>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</si>
  <si>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</si>
  <si>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</si>
  <si>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</si>
  <si>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</si>
  <si>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</si>
  <si>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</si>
  <si>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</si>
  <si>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</si>
  <si>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</si>
  <si>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</si>
  <si>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</si>
  <si>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</si>
  <si>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</si>
  <si>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</si>
  <si>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</si>
  <si>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</si>
  <si>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</si>
  <si>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</si>
  <si>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</si>
  <si>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</si>
  <si>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</si>
  <si>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</si>
  <si>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</si>
  <si>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</si>
  <si>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</si>
  <si>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</si>
  <si>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</si>
  <si>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</si>
  <si>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</si>
  <si>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</si>
  <si>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</si>
  <si>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</si>
  <si>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</si>
  <si>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</si>
  <si>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</si>
  <si>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</si>
  <si>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</si>
  <si>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</si>
  <si>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</si>
  <si>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</si>
  <si>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</si>
  <si>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</si>
  <si>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</si>
  <si>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</si>
  <si>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</si>
  <si>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</si>
  <si>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</si>
  <si>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</si>
  <si>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</si>
  <si>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</si>
  <si>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</si>
  <si>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</si>
  <si>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</si>
  <si>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</si>
  <si>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</si>
  <si>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</si>
  <si>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</si>
  <si>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</si>
  <si>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</si>
  <si>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</si>
  <si>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</si>
  <si>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</si>
  <si>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</si>
  <si>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</si>
  <si>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</si>
  <si>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</si>
  <si>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</si>
  <si>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</si>
  <si>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</si>
  <si>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</si>
  <si>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</si>
  <si>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</si>
  <si>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</si>
  <si>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</si>
  <si>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</si>
  <si>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</si>
  <si>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</si>
  <si>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</si>
  <si>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</si>
  <si>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</si>
  <si>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</si>
  <si>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</si>
  <si>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</si>
  <si>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</si>
  <si>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</si>
  <si>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</si>
  <si>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</si>
  <si>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</si>
  <si>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</si>
  <si>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</si>
  <si>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</si>
  <si>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</si>
  <si>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</si>
  <si>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</si>
  <si>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</si>
  <si>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</si>
  <si>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</si>
  <si>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</si>
  <si>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</si>
  <si>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</si>
  <si>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</si>
  <si>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</si>
  <si>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</si>
  <si>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</si>
  <si>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</si>
  <si>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</si>
  <si>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</si>
  <si>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</si>
  <si>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</si>
  <si>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</si>
  <si>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</si>
  <si>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</si>
  <si>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</si>
  <si>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</si>
  <si>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</si>
  <si>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</si>
  <si>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</si>
  <si>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</si>
  <si>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</si>
  <si>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</si>
  <si>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</si>
  <si>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</si>
  <si>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</si>
  <si>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</si>
  <si>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</si>
  <si>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</si>
  <si>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</si>
  <si>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</si>
  <si>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</si>
  <si>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</si>
  <si>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</si>
  <si>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</si>
  <si>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</si>
  <si>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</si>
  <si>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</si>
  <si>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</si>
  <si>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</si>
  <si>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</si>
  <si>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</si>
  <si>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</si>
  <si>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</si>
  <si>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</si>
  <si>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</si>
  <si>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</si>
  <si>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</si>
  <si>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</si>
  <si>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</si>
  <si>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</si>
  <si>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</si>
  <si>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</si>
  <si>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</si>
  <si>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</si>
  <si>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</si>
  <si>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</si>
  <si>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</si>
  <si>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</si>
  <si>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</si>
  <si>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</si>
  <si>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</si>
  <si>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</si>
  <si>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</si>
  <si>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</si>
  <si>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</si>
  <si>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</si>
  <si>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</si>
  <si>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</si>
  <si>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</si>
  <si>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</si>
  <si>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</si>
  <si>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</si>
  <si>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</si>
  <si>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</si>
  <si>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</si>
  <si>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</si>
  <si>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</si>
  <si>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</si>
  <si>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</si>
  <si>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</si>
  <si>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</si>
  <si>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</si>
  <si>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</si>
  <si>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</si>
  <si>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</si>
  <si>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</si>
  <si>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</si>
  <si>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</si>
  <si>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</si>
  <si>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</si>
  <si>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</si>
  <si>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</si>
  <si>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</si>
  <si>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</si>
  <si>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</si>
  <si>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</si>
  <si>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</si>
  <si>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</si>
  <si>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</si>
  <si>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</si>
  <si>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</si>
  <si>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</si>
  <si>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</si>
  <si>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</si>
  <si>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</si>
  <si>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</si>
  <si>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</si>
  <si>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</si>
  <si>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</si>
  <si>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</si>
  <si>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</si>
  <si>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</si>
  <si>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</si>
  <si>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</si>
  <si>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</si>
  <si>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</si>
  <si>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</si>
  <si>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</si>
  <si>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</si>
  <si>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</si>
  <si>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</si>
  <si>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</si>
  <si>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</si>
  <si>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</si>
  <si>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</si>
  <si>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</si>
  <si>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</si>
  <si>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</si>
  <si>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</si>
  <si>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</si>
  <si>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</si>
  <si>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</si>
  <si>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</si>
  <si>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</si>
  <si>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</si>
  <si>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</si>
  <si>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</si>
  <si>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</si>
  <si>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</si>
  <si>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</si>
  <si>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</si>
  <si>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</si>
  <si>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</si>
  <si>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</si>
  <si>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</si>
  <si>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</si>
  <si>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</si>
  <si>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</si>
  <si>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</si>
  <si>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</si>
  <si>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</si>
  <si>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</si>
  <si>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</si>
  <si>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</si>
  <si>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</si>
  <si>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</si>
  <si>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</si>
  <si>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</si>
  <si>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</si>
  <si>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</si>
  <si>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</si>
  <si>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</si>
  <si>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</si>
  <si>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</si>
  <si>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</si>
  <si>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</si>
  <si>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</si>
  <si>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</si>
  <si>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</si>
  <si>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</si>
  <si>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</si>
  <si>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</si>
  <si>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</si>
  <si>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</si>
  <si>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</si>
  <si>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</si>
  <si>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</si>
  <si>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</si>
  <si>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</si>
  <si>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</si>
  <si>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</si>
  <si>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</si>
  <si>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</si>
  <si>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</si>
  <si>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</si>
  <si>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</si>
  <si>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</si>
  <si>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</si>
  <si>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</si>
  <si>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</si>
  <si>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</si>
  <si>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</si>
  <si>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</si>
  <si>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</si>
  <si>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</si>
  <si>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</si>
  <si>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</si>
  <si>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</si>
  <si>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</si>
  <si>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</si>
  <si>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</si>
  <si>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</si>
  <si>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</si>
  <si>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</si>
  <si>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</si>
  <si>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</si>
  <si>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</si>
  <si>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</si>
  <si>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</si>
  <si>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</si>
  <si>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</si>
  <si>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</si>
  <si>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</si>
  <si>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</si>
  <si>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</si>
  <si>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</si>
  <si>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</si>
  <si>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</si>
  <si>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</si>
  <si>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</si>
  <si>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</si>
  <si>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</si>
  <si>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</si>
  <si>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</si>
  <si>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</si>
  <si>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</si>
  <si>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</si>
  <si>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</si>
  <si>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</si>
  <si>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</si>
  <si>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</si>
  <si>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</si>
  <si>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</si>
  <si>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</si>
  <si>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</si>
  <si>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</si>
  <si>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</si>
  <si>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</si>
  <si>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</si>
  <si>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</si>
  <si>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</si>
  <si>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</si>
  <si>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</si>
  <si>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</si>
  <si>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</si>
  <si>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</si>
  <si>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</si>
  <si>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</si>
  <si>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</si>
  <si>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</si>
  <si>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</si>
  <si>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</si>
  <si>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</si>
  <si>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</si>
  <si>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</si>
  <si>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</si>
  <si>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</si>
  <si>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</si>
  <si>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</si>
  <si>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</si>
  <si>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</si>
  <si>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</si>
  <si>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</si>
  <si>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</si>
  <si>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</si>
  <si>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</si>
  <si>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</si>
  <si>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</si>
  <si>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</si>
  <si>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</si>
  <si>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</si>
  <si>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</si>
  <si>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</si>
  <si>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</si>
  <si>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</si>
  <si>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</si>
  <si>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</si>
  <si>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</si>
  <si>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</si>
  <si>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</si>
  <si>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</si>
  <si>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</si>
  <si>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</si>
  <si>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</si>
  <si>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</si>
  <si>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</si>
  <si>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</si>
  <si>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</si>
  <si>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</si>
  <si>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</si>
  <si>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</si>
  <si>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</si>
  <si>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</si>
  <si>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</si>
  <si>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</si>
  <si>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</si>
  <si>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</si>
  <si>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</si>
  <si>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</si>
  <si>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</si>
  <si>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</si>
  <si>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</si>
  <si>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</si>
  <si>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</si>
  <si>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</si>
  <si>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</si>
  <si>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</si>
  <si>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</si>
  <si>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</si>
  <si>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</si>
  <si>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</si>
  <si>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</si>
  <si>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</si>
  <si>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</si>
  <si>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</si>
  <si>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</si>
  <si>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</si>
  <si>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</si>
  <si>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</si>
  <si>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</si>
  <si>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</si>
  <si>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</si>
  <si>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</si>
  <si>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</si>
  <si>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</si>
  <si>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</si>
  <si>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</si>
  <si>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</si>
  <si>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</si>
  <si>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</si>
  <si>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</si>
  <si>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</si>
  <si>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</si>
  <si>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</si>
  <si>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</si>
  <si>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</si>
  <si>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</si>
  <si>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</si>
  <si>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</si>
  <si>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</si>
  <si>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</si>
  <si>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</si>
  <si>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</si>
  <si>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</si>
  <si>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</si>
  <si>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</si>
  <si>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</si>
  <si>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</si>
  <si>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</si>
  <si>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</si>
  <si>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</si>
  <si>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</si>
  <si>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</si>
  <si>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</si>
  <si>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</si>
  <si>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</si>
  <si>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</si>
  <si>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</si>
  <si>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</si>
  <si>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</si>
  <si>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</si>
  <si>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</si>
  <si>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</si>
  <si>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</si>
  <si>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</si>
  <si>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</si>
  <si>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</si>
  <si>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</si>
  <si>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</si>
  <si>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</si>
  <si>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</si>
  <si>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</si>
  <si>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</si>
  <si>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</si>
  <si>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</si>
  <si>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</si>
  <si>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</si>
  <si>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</si>
  <si>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</si>
  <si>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</si>
  <si>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</si>
  <si>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</si>
  <si>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</si>
  <si>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</si>
  <si>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</si>
  <si>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</si>
  <si>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</si>
  <si>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</si>
  <si>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</si>
  <si>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</si>
  <si>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</si>
  <si>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</si>
  <si>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</si>
  <si>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</si>
  <si>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</si>
  <si>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</si>
  <si>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</si>
  <si>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</si>
  <si>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</si>
  <si>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</si>
  <si>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</si>
  <si>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</si>
  <si>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</si>
  <si>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</si>
  <si>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</si>
  <si>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</si>
  <si>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</si>
  <si>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</si>
  <si>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</si>
  <si>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</si>
  <si>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</si>
  <si>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</si>
  <si>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</si>
  <si>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</si>
  <si>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</si>
  <si>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</si>
  <si>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</si>
  <si>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</si>
  <si>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</si>
  <si>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</si>
  <si>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</si>
  <si>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</si>
  <si>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</si>
  <si>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</si>
  <si>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</si>
  <si>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</si>
  <si>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</si>
  <si>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</si>
  <si>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</si>
  <si>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</si>
  <si>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</si>
  <si>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</si>
  <si>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</si>
  <si>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</si>
  <si>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</si>
  <si>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</si>
  <si>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</si>
  <si>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</si>
  <si>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</si>
  <si>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</si>
  <si>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</si>
  <si>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</si>
  <si>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</si>
  <si>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</si>
  <si>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</si>
  <si>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</si>
  <si>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</si>
  <si>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</si>
  <si>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</si>
  <si>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</si>
  <si>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</si>
  <si>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</si>
  <si>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</si>
  <si>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</si>
  <si>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</si>
  <si>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</si>
  <si>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</si>
  <si>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</si>
  <si>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</si>
  <si>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</si>
  <si>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</si>
  <si>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</si>
  <si>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</si>
  <si>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</si>
  <si>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</si>
  <si>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</si>
  <si>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</si>
  <si>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</si>
  <si>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</si>
  <si>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</si>
  <si>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</si>
  <si>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</si>
  <si>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</si>
  <si>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</si>
  <si>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</si>
  <si>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</si>
  <si>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</si>
  <si>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</si>
  <si>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</si>
  <si>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</si>
  <si>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</si>
  <si>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</si>
  <si>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</si>
  <si>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</si>
  <si>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</si>
  <si>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</si>
  <si>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</si>
  <si>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</si>
  <si>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</si>
  <si>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</si>
  <si>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</si>
  <si>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</si>
  <si>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</si>
  <si>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</si>
  <si>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</si>
  <si>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</si>
  <si>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</si>
  <si>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</si>
  <si>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</si>
  <si>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</si>
  <si>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</si>
  <si>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</si>
  <si>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</si>
  <si>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</si>
  <si>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</si>
  <si>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</si>
  <si>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</si>
  <si>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</si>
  <si>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</si>
  <si>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</si>
  <si>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</si>
  <si>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</si>
  <si>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</si>
  <si>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</si>
  <si>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</si>
  <si>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</si>
  <si>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</si>
  <si>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</si>
  <si>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</si>
  <si>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</si>
  <si>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</si>
  <si>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</si>
  <si>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</si>
  <si>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</si>
  <si>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</si>
  <si>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</si>
  <si>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</si>
  <si>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</si>
  <si>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</si>
  <si>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</si>
  <si>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</si>
  <si>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</si>
  <si>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</si>
  <si>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</si>
  <si>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</si>
  <si>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</si>
  <si>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</si>
  <si>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</si>
  <si>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</si>
  <si>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</si>
  <si>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</si>
  <si>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</si>
  <si>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</si>
  <si>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</si>
  <si>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</si>
  <si>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</si>
  <si>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</si>
  <si>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</si>
  <si>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</si>
  <si>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</si>
  <si>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</si>
  <si>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</si>
  <si>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</si>
  <si>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</si>
  <si>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</si>
  <si>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</si>
  <si>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</si>
  <si>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</si>
  <si>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</si>
  <si>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</si>
  <si>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</si>
  <si>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</si>
  <si>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</si>
  <si>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</si>
  <si>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</si>
  <si>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</si>
  <si>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</si>
  <si>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</si>
  <si>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</si>
  <si>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</si>
  <si>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</si>
  <si>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</si>
  <si>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</si>
  <si>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</si>
  <si>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</si>
  <si>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</si>
  <si>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</si>
  <si>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</si>
  <si>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</si>
  <si>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</si>
  <si>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</si>
  <si>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</si>
  <si>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</si>
  <si>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</si>
  <si>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</si>
  <si>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</si>
  <si>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</si>
  <si>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</si>
  <si>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</si>
  <si>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</si>
  <si>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</si>
  <si>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</si>
  <si>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</si>
  <si>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</si>
  <si>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</si>
  <si>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</si>
  <si>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</si>
  <si>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</si>
  <si>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</si>
  <si>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</si>
  <si>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</si>
  <si>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</si>
  <si>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</si>
  <si>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</si>
  <si>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</si>
  <si>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</si>
  <si>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</si>
  <si>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</si>
  <si>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</si>
  <si>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</si>
  <si>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</si>
  <si>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</si>
  <si>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</si>
  <si>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</si>
  <si>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</si>
  <si>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</si>
  <si>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</si>
  <si>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</si>
  <si>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</si>
  <si>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</si>
  <si>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</si>
  <si>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</si>
  <si>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</si>
  <si>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</si>
  <si>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</si>
  <si>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</si>
  <si>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</si>
  <si>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</si>
  <si>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</si>
  <si>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</si>
  <si>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</si>
  <si>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</si>
  <si>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</si>
  <si>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</si>
  <si>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</si>
  <si>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</si>
  <si>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</si>
  <si>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</si>
  <si>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</si>
  <si>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</si>
  <si>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</si>
  <si>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</si>
  <si>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</si>
  <si>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</si>
  <si>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</si>
  <si>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</si>
  <si>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</si>
  <si>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</si>
  <si>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</si>
  <si>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</si>
  <si>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</si>
  <si>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</si>
  <si>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</si>
  <si>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</si>
  <si>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</si>
  <si>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</si>
  <si>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</si>
  <si>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</si>
  <si>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</si>
  <si>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</si>
  <si>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</si>
  <si>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</si>
  <si>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</si>
  <si>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</si>
  <si>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</si>
  <si>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</si>
  <si>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</si>
  <si>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</si>
  <si>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</si>
  <si>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</si>
  <si>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</si>
  <si>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</si>
  <si>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</si>
  <si>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</si>
  <si>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</si>
  <si>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</si>
  <si>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</si>
  <si>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</si>
  <si>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</si>
  <si>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</si>
  <si>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</si>
  <si>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</si>
  <si>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</si>
  <si>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</si>
  <si>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</si>
  <si>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</si>
  <si>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</si>
  <si>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</si>
  <si>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</si>
  <si>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</si>
  <si>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</si>
  <si>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</si>
  <si>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</si>
  <si>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</si>
  <si>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</si>
  <si>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</si>
  <si>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</si>
  <si>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</si>
  <si>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</si>
  <si>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</si>
  <si>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</si>
  <si>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</si>
  <si>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</si>
  <si>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</si>
  <si>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</si>
  <si>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</si>
  <si>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</si>
  <si>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</si>
  <si>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</si>
  <si>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</si>
  <si>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</si>
  <si>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</si>
  <si>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</si>
  <si>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</si>
  <si>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</si>
  <si>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</si>
  <si>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</si>
  <si>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</si>
  <si>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</si>
  <si>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</si>
  <si>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</si>
  <si>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</si>
  <si>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</si>
  <si>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</si>
  <si>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</si>
  <si>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</si>
  <si>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</si>
  <si>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</si>
  <si>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</si>
  <si>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</si>
  <si>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</si>
  <si>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</si>
  <si>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</si>
  <si>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</si>
  <si>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</si>
  <si>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</si>
  <si>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</si>
  <si>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</si>
  <si>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</si>
  <si>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</si>
  <si>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</si>
  <si>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</si>
  <si>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</si>
  <si>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</si>
  <si>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</si>
  <si>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</si>
  <si>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</si>
  <si>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</si>
  <si>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</si>
  <si>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</si>
  <si>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</si>
  <si>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</si>
  <si>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</si>
  <si>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</si>
  <si>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</si>
  <si>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</si>
  <si>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</si>
  <si>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</si>
  <si>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</si>
  <si>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</si>
  <si>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</si>
  <si>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</si>
  <si>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</si>
  <si>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</si>
  <si>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</si>
  <si>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</si>
  <si>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</si>
  <si>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</si>
  <si>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</si>
  <si>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</si>
  <si>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</si>
  <si>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</si>
  <si>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</si>
  <si>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</si>
  <si>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</si>
  <si>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</si>
  <si>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</si>
  <si>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</si>
  <si>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</si>
  <si>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</si>
  <si>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</si>
  <si>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</si>
  <si>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</si>
  <si>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</si>
  <si>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</si>
  <si>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</si>
  <si>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</si>
  <si>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</si>
  <si>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</si>
  <si>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</si>
  <si>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</si>
  <si>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</si>
  <si>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</si>
  <si>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</si>
  <si>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</si>
  <si>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</si>
  <si>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</si>
  <si>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</si>
  <si>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</si>
  <si>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</si>
  <si>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</si>
  <si>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</si>
  <si>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</si>
  <si>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</si>
  <si>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</si>
  <si>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</si>
  <si>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</si>
  <si>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</si>
  <si>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</si>
  <si>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</si>
  <si>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</si>
  <si>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</si>
  <si>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</si>
  <si>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</si>
  <si>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</si>
  <si>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</si>
  <si>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</si>
  <si>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</si>
  <si>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</si>
  <si>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</si>
  <si>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</si>
  <si>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</si>
  <si>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</si>
  <si>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</si>
  <si>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</si>
  <si>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</si>
  <si>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</si>
  <si>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</si>
  <si>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</si>
  <si>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</si>
  <si>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</si>
  <si>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</si>
  <si>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</si>
  <si>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</si>
  <si>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</si>
  <si>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</si>
  <si>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</si>
  <si>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</si>
  <si>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</si>
  <si>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</si>
  <si>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</si>
  <si>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</si>
  <si>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</si>
  <si>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</si>
  <si>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</si>
  <si>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</si>
  <si>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</si>
  <si>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</si>
  <si>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</si>
  <si>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</si>
  <si>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</si>
  <si>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</si>
  <si>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</si>
  <si>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</si>
  <si>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</si>
  <si>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</si>
  <si>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</si>
  <si>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</si>
  <si>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</si>
  <si>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</si>
  <si>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</si>
  <si>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</si>
  <si>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</si>
  <si>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</si>
  <si>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</si>
  <si>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</si>
  <si>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</si>
  <si>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</si>
  <si>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</si>
  <si>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</si>
  <si>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</si>
  <si>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</si>
  <si>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</si>
  <si>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</si>
  <si>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</si>
  <si>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</si>
  <si>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</si>
  <si>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</si>
  <si>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</si>
  <si>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</si>
  <si>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</si>
  <si>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</si>
  <si>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</si>
  <si>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</si>
  <si>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</si>
  <si>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</si>
  <si>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</si>
  <si>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</si>
  <si>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</si>
  <si>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</si>
  <si>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</si>
  <si>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</si>
  <si>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</si>
  <si>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</si>
  <si>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</si>
  <si>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</si>
  <si>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</si>
  <si>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</si>
  <si>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</si>
  <si>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</si>
  <si>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</si>
  <si>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</si>
  <si>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</si>
  <si>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</si>
  <si>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</si>
  <si>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</si>
  <si>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</si>
  <si>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</si>
  <si>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</si>
  <si>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</si>
  <si>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</si>
  <si>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</si>
  <si>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</si>
  <si>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</si>
  <si>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</si>
  <si>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</si>
  <si>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</si>
  <si>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</si>
  <si>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</si>
  <si>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</si>
  <si>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</si>
  <si>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</si>
  <si>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</si>
  <si>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</si>
  <si>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</si>
  <si>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</si>
  <si>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</si>
  <si>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</si>
  <si>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</si>
  <si>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</si>
  <si>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</si>
  <si>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</si>
  <si>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</si>
  <si>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</si>
  <si>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</si>
  <si>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</si>
  <si>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</si>
  <si>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</si>
  <si>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</si>
  <si>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</si>
  <si>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</si>
  <si>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</si>
  <si>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</si>
  <si>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</si>
  <si>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</si>
  <si>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</si>
  <si>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</si>
  <si>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</si>
  <si>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</si>
  <si>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</si>
  <si>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</si>
  <si>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</si>
  <si>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</si>
  <si>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</si>
  <si>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</si>
  <si>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</si>
  <si>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</si>
  <si>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</si>
  <si>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</si>
  <si>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</si>
  <si>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</si>
  <si>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</si>
  <si>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</si>
  <si>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</si>
  <si>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</si>
  <si>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</si>
  <si>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</si>
  <si>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</si>
  <si>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</si>
  <si>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</si>
  <si>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</si>
  <si>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</si>
  <si>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</si>
  <si>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</si>
  <si>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</si>
  <si>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</si>
  <si>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</si>
  <si>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</si>
  <si>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</si>
  <si>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</si>
  <si>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</si>
  <si>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</si>
  <si>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</si>
  <si>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</si>
  <si>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</si>
  <si>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</si>
  <si>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</si>
  <si>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</si>
  <si>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</si>
  <si>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</si>
  <si>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</si>
  <si>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</si>
  <si>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</si>
  <si>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</si>
  <si>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</si>
  <si>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</si>
  <si>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</si>
  <si>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</si>
  <si>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</si>
  <si>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</si>
  <si>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</si>
  <si>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</si>
  <si>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</si>
  <si>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</si>
  <si>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</si>
  <si>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</si>
  <si>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</si>
  <si>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</si>
  <si>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</si>
  <si>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</si>
  <si>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</si>
  <si>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</si>
  <si>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</si>
  <si>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</si>
  <si>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</si>
  <si>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</si>
  <si>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</si>
  <si>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</si>
  <si>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</si>
  <si>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</si>
  <si>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</si>
  <si>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</si>
  <si>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</si>
  <si>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</si>
  <si>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</si>
  <si>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</si>
  <si>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</si>
  <si>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</si>
  <si>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</si>
  <si>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</si>
  <si>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</si>
  <si>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</si>
  <si>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</si>
  <si>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</si>
  <si>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</si>
  <si>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</si>
  <si>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</si>
  <si>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</si>
  <si>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</si>
  <si>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</si>
  <si>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</si>
  <si>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</si>
  <si>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</si>
  <si>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</si>
  <si>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</si>
  <si>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</si>
  <si>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</si>
  <si>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</si>
  <si>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</si>
  <si>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</si>
  <si>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</si>
  <si>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</si>
  <si>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</si>
  <si>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</si>
  <si>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</si>
  <si>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</si>
  <si>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</si>
  <si>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</si>
  <si>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</si>
  <si>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</si>
  <si>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</si>
  <si>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</si>
  <si>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</si>
  <si>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</si>
  <si>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</si>
  <si>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</si>
  <si>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</si>
  <si>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</si>
  <si>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</si>
  <si>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</si>
  <si>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</si>
  <si>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</si>
  <si>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</si>
  <si>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</si>
  <si>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</si>
  <si>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</si>
  <si>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</si>
  <si>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</si>
  <si>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</si>
  <si>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</si>
  <si>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</si>
  <si>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</si>
  <si>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</si>
  <si>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</si>
  <si>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</si>
  <si>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</si>
  <si>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</si>
  <si>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</si>
  <si>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</si>
  <si>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</si>
  <si>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</si>
  <si>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</si>
  <si>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</si>
  <si>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</si>
  <si>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</si>
  <si>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</si>
  <si>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</si>
  <si>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</si>
  <si>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</si>
  <si>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</si>
  <si>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</si>
  <si>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</si>
  <si>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</si>
  <si>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</si>
  <si>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</si>
  <si>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</si>
  <si>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</si>
  <si>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</si>
  <si>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</si>
  <si>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</si>
  <si>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</si>
  <si>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</si>
  <si>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</si>
  <si>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</si>
  <si>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</si>
  <si>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</si>
  <si>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</si>
  <si>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</si>
  <si>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</si>
  <si>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</si>
  <si>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</si>
  <si>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</si>
  <si>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</si>
  <si>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</si>
  <si>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</si>
  <si>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</si>
  <si>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</si>
  <si>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</si>
  <si>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</si>
  <si>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</si>
  <si>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</si>
  <si>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</si>
  <si>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</si>
  <si>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</si>
  <si>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</si>
  <si>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</si>
  <si>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</si>
  <si>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</si>
  <si>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</si>
  <si>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</si>
  <si>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</si>
  <si>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</si>
  <si>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</si>
  <si>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</si>
  <si>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</si>
  <si>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</si>
  <si>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</si>
  <si>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</si>
  <si>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</si>
  <si>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</si>
  <si>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</si>
  <si>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</si>
  <si>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</si>
  <si>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</si>
  <si>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</si>
  <si>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</si>
  <si>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</si>
  <si>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</si>
  <si>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</si>
  <si>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</si>
  <si>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</si>
  <si>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</si>
  <si>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</si>
  <si>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</si>
  <si>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</si>
  <si>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</si>
  <si>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</si>
  <si>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</si>
  <si>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</si>
  <si>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</si>
  <si>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</si>
  <si>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</si>
  <si>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</si>
  <si>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</si>
  <si>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</si>
  <si>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</si>
  <si>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</si>
  <si>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</si>
  <si>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</si>
  <si>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</si>
  <si>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</si>
  <si>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</si>
  <si>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</si>
  <si>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</si>
  <si>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</si>
  <si>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</si>
  <si>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</si>
  <si>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</si>
  <si>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</si>
  <si>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</si>
  <si>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</si>
  <si>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</si>
  <si>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</si>
  <si>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</si>
  <si>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</si>
  <si>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</si>
  <si>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</si>
  <si>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</si>
  <si>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</si>
  <si>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</si>
  <si>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</si>
  <si>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</si>
  <si>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</si>
  <si>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</si>
  <si>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</si>
  <si>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</si>
  <si>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</si>
  <si>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</si>
  <si>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</si>
  <si>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</si>
  <si>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</si>
  <si>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</si>
  <si>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</si>
  <si>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</si>
  <si>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</si>
  <si>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</si>
  <si>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</si>
  <si>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</si>
  <si>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</si>
  <si>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</si>
  <si>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</si>
  <si>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</si>
  <si>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</si>
  <si>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</si>
  <si>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</si>
  <si>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</si>
  <si>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</si>
  <si>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</si>
  <si>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</si>
  <si>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</si>
  <si>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</si>
  <si>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</si>
  <si>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</si>
  <si>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</si>
  <si>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</si>
  <si>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</si>
  <si>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</si>
  <si>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</si>
  <si>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</si>
  <si>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</si>
  <si>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</si>
  <si>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</si>
  <si>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</si>
  <si>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</si>
  <si>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</si>
  <si>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</si>
  <si>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</si>
  <si>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</si>
  <si>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</si>
  <si>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</si>
  <si>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</si>
  <si>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</si>
  <si>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</si>
  <si>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</si>
  <si>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</si>
  <si>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</si>
  <si>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</si>
  <si>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</si>
  <si>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</si>
  <si>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</si>
  <si>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</si>
  <si>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</si>
  <si>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</si>
  <si>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</si>
  <si>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</si>
  <si>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</si>
  <si>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</si>
  <si>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</si>
  <si>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</si>
  <si>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</si>
  <si>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</si>
  <si>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</si>
  <si>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</si>
  <si>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</si>
  <si>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</si>
  <si>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</si>
  <si>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</si>
  <si>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</si>
  <si>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</si>
  <si>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</si>
  <si>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</si>
  <si>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</si>
  <si>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</si>
  <si>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</si>
  <si>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</si>
  <si>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</si>
  <si>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</si>
  <si>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</si>
  <si>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</si>
  <si>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</si>
  <si>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</si>
  <si>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</si>
  <si>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</si>
  <si>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</si>
  <si>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</si>
  <si>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</si>
  <si>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</si>
  <si>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</si>
  <si>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</si>
  <si>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</si>
  <si>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</si>
  <si>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</si>
  <si>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</si>
  <si>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</si>
  <si>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</si>
  <si>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</si>
  <si>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</si>
  <si>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</si>
  <si>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</si>
  <si>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</si>
  <si>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</si>
  <si>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</si>
  <si>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</si>
  <si>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</si>
  <si>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</si>
  <si>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</si>
  <si>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</si>
  <si>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</si>
  <si>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</si>
  <si>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</si>
  <si>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</si>
  <si>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</si>
  <si>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</si>
  <si>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</si>
  <si>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</si>
  <si>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</si>
  <si>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</si>
  <si>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</si>
  <si>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</si>
  <si>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</si>
  <si>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</si>
  <si>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</si>
  <si>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</si>
  <si>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</si>
  <si>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</si>
  <si>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</si>
  <si>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</si>
  <si>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</si>
  <si>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</si>
  <si>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</si>
  <si>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</si>
  <si>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</si>
  <si>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</si>
  <si>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</si>
  <si>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</si>
  <si>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</si>
  <si>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</si>
  <si>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</si>
  <si>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</si>
  <si>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</si>
  <si>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</si>
  <si>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</si>
  <si>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</si>
  <si>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</si>
  <si>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</si>
  <si>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</si>
  <si>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</si>
  <si>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</si>
  <si>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</si>
  <si>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</si>
  <si>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</si>
  <si>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</si>
  <si>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</si>
  <si>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</si>
  <si>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</si>
  <si>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</si>
  <si>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</si>
  <si>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</si>
  <si>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</si>
  <si>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</si>
  <si>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</si>
  <si>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</si>
  <si>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</si>
  <si>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</si>
  <si>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</si>
  <si>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</si>
  <si>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</si>
  <si>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</si>
  <si>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</si>
  <si>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</si>
  <si>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</si>
  <si>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</si>
  <si>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</si>
  <si>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</si>
  <si>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</si>
  <si>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</si>
  <si>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</si>
  <si>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</si>
  <si>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</si>
  <si>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</si>
  <si>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</si>
  <si>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</si>
  <si>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</si>
  <si>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</si>
  <si>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</si>
  <si>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</si>
  <si>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</si>
  <si>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</si>
  <si>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</si>
  <si>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</si>
  <si>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</si>
  <si>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</si>
  <si>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</si>
  <si>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</si>
  <si>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</si>
  <si>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</si>
  <si>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</si>
  <si>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</si>
  <si>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</si>
  <si>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</si>
  <si>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</si>
  <si>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</si>
  <si>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</si>
  <si>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</si>
  <si>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</si>
  <si>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</si>
  <si>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</si>
  <si>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</si>
  <si>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</si>
  <si>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</si>
  <si>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</si>
  <si>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</si>
  <si>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</si>
  <si>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</si>
  <si>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</si>
  <si>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</si>
  <si>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</si>
  <si>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</si>
  <si>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</si>
  <si>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</si>
  <si>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</si>
  <si>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</si>
  <si>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</si>
  <si>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</si>
  <si>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</si>
  <si>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</si>
  <si>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</si>
  <si>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</si>
  <si>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</si>
  <si>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</si>
  <si>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</si>
  <si>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</si>
  <si>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</si>
  <si>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</si>
  <si>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</si>
  <si>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</si>
  <si>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</si>
  <si>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</si>
  <si>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</si>
  <si>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</si>
  <si>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</si>
  <si>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</si>
  <si>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</si>
  <si>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</si>
  <si>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</si>
  <si>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</si>
  <si>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</si>
  <si>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</si>
  <si>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</si>
  <si>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</si>
  <si>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</si>
  <si>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</si>
  <si>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</si>
  <si>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</si>
  <si>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</si>
  <si>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</si>
  <si>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</si>
  <si>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</si>
  <si>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</si>
  <si>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</si>
  <si>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</si>
  <si>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</si>
  <si>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</si>
  <si>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</si>
  <si>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</si>
  <si>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</si>
  <si>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</si>
  <si>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</si>
  <si>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</si>
  <si>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</si>
  <si>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</si>
  <si>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</si>
  <si>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</si>
  <si>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</si>
  <si>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</si>
  <si>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</si>
  <si>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</si>
  <si>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</si>
  <si>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</si>
  <si>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</si>
  <si>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</si>
  <si>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</si>
  <si>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</si>
  <si>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</si>
  <si>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</si>
  <si>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</si>
  <si>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</si>
  <si>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</si>
  <si>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</si>
  <si>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</si>
  <si>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</si>
  <si>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</si>
  <si>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</si>
  <si>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</si>
  <si>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</si>
  <si>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</si>
  <si>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</si>
  <si>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</si>
  <si>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</si>
  <si>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</si>
  <si>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</si>
  <si>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</si>
  <si>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</si>
  <si>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</si>
  <si>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</si>
  <si>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</si>
  <si>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</si>
  <si>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</si>
  <si>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</si>
  <si>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</si>
  <si>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</si>
  <si>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</si>
  <si>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</si>
  <si>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</si>
  <si>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</si>
  <si>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</si>
  <si>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</si>
  <si>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</si>
  <si>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</si>
  <si>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</si>
  <si>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</si>
  <si>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</si>
  <si>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</si>
  <si>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</si>
  <si>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</si>
  <si>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</si>
  <si>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</si>
  <si>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</si>
  <si>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</si>
  <si>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</si>
  <si>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</si>
  <si>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</si>
  <si>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</si>
  <si>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</si>
  <si>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</si>
  <si>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</si>
  <si>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</si>
  <si>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</si>
  <si>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</si>
  <si>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</si>
  <si>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</si>
  <si>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</si>
  <si>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</si>
  <si>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</si>
  <si>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</si>
  <si>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</si>
  <si>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</si>
  <si>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</si>
  <si>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</si>
  <si>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</si>
  <si>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</si>
  <si>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</si>
  <si>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</si>
  <si>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</si>
  <si>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</si>
  <si>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</si>
  <si>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</si>
  <si>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</si>
  <si>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</si>
  <si>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</si>
  <si>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</si>
  <si>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</si>
  <si>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</si>
  <si>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</si>
  <si>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</si>
  <si>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</si>
  <si>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</si>
  <si>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</si>
  <si>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</si>
  <si>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</si>
  <si>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</si>
  <si>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</si>
  <si>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</si>
  <si>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</si>
  <si>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</si>
  <si>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</si>
  <si>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</si>
  <si>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</si>
  <si>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</si>
  <si>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</si>
  <si>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</si>
  <si>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</si>
  <si>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</si>
  <si>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</si>
  <si>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</si>
  <si>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</si>
  <si>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</si>
  <si>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</si>
  <si>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</si>
  <si>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</si>
  <si>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</si>
  <si>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</si>
  <si>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</si>
  <si>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</si>
  <si>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</si>
  <si>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</si>
  <si>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</si>
  <si>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</si>
  <si>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</si>
  <si>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</si>
  <si>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</si>
  <si>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</si>
  <si>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</si>
  <si>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</si>
  <si>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</si>
  <si>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</si>
  <si>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</si>
  <si>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</si>
  <si>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</si>
  <si>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</si>
  <si>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</si>
  <si>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</si>
  <si>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</si>
  <si>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</si>
  <si>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</si>
  <si>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</si>
  <si>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</si>
  <si>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</si>
  <si>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</si>
  <si>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</si>
  <si>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</si>
  <si>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</si>
  <si>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</si>
  <si>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</si>
  <si>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</si>
  <si>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</si>
  <si>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</si>
  <si>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</si>
  <si>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</si>
  <si>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</si>
  <si>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</si>
  <si>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</si>
  <si>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</si>
  <si>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</si>
  <si>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</si>
  <si>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</si>
  <si>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</si>
  <si>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</si>
  <si>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</si>
  <si>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</si>
  <si>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</si>
  <si>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</si>
  <si>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</si>
  <si>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</si>
  <si>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</si>
  <si>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</si>
  <si>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</si>
  <si>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</si>
  <si>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</si>
  <si>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</si>
  <si>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</si>
  <si>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</si>
  <si>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</si>
  <si>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</si>
  <si>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</si>
  <si>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</si>
  <si>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</si>
  <si>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</si>
  <si>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</si>
  <si>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</si>
  <si>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</si>
  <si>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</si>
  <si>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</si>
  <si>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</si>
  <si>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</si>
  <si>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</si>
  <si>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</si>
  <si>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</si>
  <si>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</si>
  <si>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</si>
  <si>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</si>
  <si>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</si>
  <si>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</si>
  <si>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</si>
  <si>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</si>
  <si>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</si>
  <si>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</si>
  <si>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</si>
  <si>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</si>
  <si>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</si>
  <si>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</si>
  <si>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</si>
  <si>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</si>
  <si>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</si>
  <si>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</si>
  <si>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</si>
  <si>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</si>
  <si>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</si>
  <si>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</si>
  <si>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</si>
  <si>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</si>
  <si>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</si>
  <si>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</si>
  <si>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</si>
  <si>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</si>
  <si>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</si>
  <si>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</si>
  <si>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</si>
  <si>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</si>
  <si>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</si>
  <si>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</si>
  <si>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</si>
  <si>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</si>
  <si>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</si>
  <si>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</si>
  <si>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</si>
  <si>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</si>
  <si>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</si>
  <si>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</si>
  <si>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</si>
  <si>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</si>
  <si>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</si>
  <si>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</si>
  <si>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</si>
  <si>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</si>
  <si>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</si>
  <si>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</si>
  <si>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</si>
  <si>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</si>
  <si>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</si>
  <si>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</si>
  <si>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</si>
  <si>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</si>
  <si>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</si>
  <si>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</si>
  <si>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</si>
  <si>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</si>
  <si>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</si>
  <si>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</si>
  <si>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</si>
  <si>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</si>
  <si>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</si>
  <si>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</si>
  <si>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</si>
  <si>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</si>
  <si>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</si>
  <si>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</si>
  <si>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</si>
  <si>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</si>
  <si>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</si>
  <si>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</si>
  <si>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</si>
  <si>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</si>
  <si>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</si>
  <si>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</si>
  <si>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</si>
  <si>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</si>
  <si>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</si>
  <si>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</si>
  <si>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</si>
  <si>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</si>
  <si>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</si>
  <si>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</si>
  <si>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</si>
  <si>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</si>
  <si>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</si>
  <si>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</si>
  <si>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</si>
  <si>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</si>
  <si>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</si>
  <si>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</si>
  <si>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</si>
  <si>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</si>
  <si>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</si>
  <si>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</si>
  <si>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</si>
  <si>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</si>
  <si>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</si>
  <si>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</si>
  <si>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</si>
  <si>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</si>
  <si>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</si>
  <si>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</si>
  <si>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</si>
  <si>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</si>
  <si>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</si>
  <si>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</si>
  <si>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</si>
  <si>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</si>
  <si>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</si>
  <si>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</si>
  <si>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</si>
  <si>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</si>
  <si>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</si>
  <si>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</si>
  <si>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</si>
  <si>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</si>
  <si>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</si>
  <si>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</si>
  <si>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</si>
  <si>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</si>
  <si>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</si>
  <si>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</si>
  <si>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</si>
  <si>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</si>
  <si>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</si>
  <si>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</si>
  <si>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</si>
  <si>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</si>
  <si>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</si>
  <si>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</si>
  <si>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</si>
  <si>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</si>
  <si>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</si>
  <si>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</si>
  <si>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</si>
  <si>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</si>
  <si>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</si>
  <si>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</si>
  <si>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</si>
  <si>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</si>
  <si>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</si>
  <si>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</si>
  <si>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</si>
  <si>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</si>
  <si>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</si>
  <si>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</si>
  <si>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</si>
  <si>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</si>
  <si>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</si>
  <si>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</si>
  <si>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</si>
  <si>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</si>
  <si>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</si>
  <si>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</si>
  <si>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</si>
  <si>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</si>
  <si>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</si>
  <si>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</si>
  <si>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</si>
  <si>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</si>
  <si>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</si>
  <si>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</si>
  <si>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</si>
  <si>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</si>
  <si>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</si>
  <si>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</si>
  <si>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</si>
  <si>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</si>
  <si>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</si>
  <si>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</si>
  <si>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</si>
  <si>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</si>
  <si>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</si>
  <si>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</si>
  <si>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</si>
  <si>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</si>
  <si>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</si>
  <si>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</si>
  <si>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</si>
  <si>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</si>
  <si>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</si>
  <si>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</si>
  <si>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</si>
  <si>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</si>
  <si>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</si>
  <si>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</si>
  <si>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</si>
  <si>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</si>
  <si>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</si>
  <si>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</si>
  <si>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</si>
  <si>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</si>
  <si>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</si>
  <si>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</si>
  <si>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</si>
  <si>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</si>
  <si>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</si>
  <si>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</si>
  <si>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</si>
  <si>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</si>
  <si>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</si>
  <si>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</si>
  <si>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</si>
  <si>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</si>
  <si>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</si>
  <si>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</si>
  <si>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</si>
  <si>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</si>
  <si>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</si>
  <si>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</si>
  <si>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</si>
  <si>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</si>
  <si>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</si>
  <si>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</si>
  <si>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</si>
  <si>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</si>
  <si>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</si>
  <si>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</si>
  <si>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</si>
  <si>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</si>
  <si>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</si>
  <si>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</si>
  <si>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</si>
  <si>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</si>
  <si>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</si>
  <si>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</si>
  <si>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</si>
  <si>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</si>
  <si>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</si>
  <si>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</si>
  <si>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</si>
  <si>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</si>
  <si>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</si>
  <si>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</si>
  <si>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</si>
  <si>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</si>
  <si>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</si>
  <si>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</si>
  <si>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</si>
  <si>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</si>
  <si>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</si>
  <si>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</si>
  <si>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</si>
  <si>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</si>
  <si>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</si>
  <si>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</si>
  <si>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</si>
  <si>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</si>
  <si>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</si>
  <si>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</si>
  <si>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</si>
  <si>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</si>
  <si>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</si>
  <si>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</si>
  <si>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</si>
  <si>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</si>
  <si>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</si>
  <si>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</si>
  <si>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</si>
  <si>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</si>
  <si>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</si>
  <si>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</si>
  <si>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</si>
  <si>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</si>
  <si>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</si>
  <si>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</si>
  <si>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</si>
  <si>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</si>
  <si>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</si>
  <si>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</si>
  <si>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</si>
  <si>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</si>
  <si>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</si>
  <si>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</si>
  <si>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</si>
  <si>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</si>
  <si>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</si>
  <si>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</si>
  <si>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</si>
  <si>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</si>
  <si>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</si>
  <si>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</si>
  <si>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</si>
  <si>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</si>
  <si>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</si>
  <si>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</si>
  <si>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</si>
  <si>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</si>
  <si>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</si>
  <si>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</si>
  <si>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</si>
  <si>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</si>
  <si>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</si>
  <si>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</si>
  <si>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</si>
  <si>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</si>
  <si>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</si>
  <si>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</si>
  <si>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</si>
  <si>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</si>
  <si>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</si>
  <si>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</si>
  <si>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</si>
  <si>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</si>
  <si>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</si>
  <si>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</si>
  <si>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</si>
  <si>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</si>
  <si>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</si>
  <si>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</si>
  <si>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</si>
  <si>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</si>
  <si>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</si>
  <si>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</si>
  <si>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</si>
  <si>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</si>
  <si>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</si>
  <si>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</si>
  <si>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</si>
  <si>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</si>
  <si>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</si>
  <si>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</si>
  <si>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</si>
  <si>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</si>
  <si>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</si>
  <si>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</si>
  <si>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</si>
  <si>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</si>
  <si>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</si>
  <si>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</si>
  <si>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</si>
  <si>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</si>
  <si>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</si>
  <si>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</si>
  <si>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</si>
  <si>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</si>
  <si>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</si>
  <si>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</si>
  <si>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</si>
  <si>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</si>
  <si>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</si>
  <si>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</si>
  <si>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</si>
  <si>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</si>
  <si>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</si>
  <si>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</si>
  <si>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</si>
  <si>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</si>
  <si>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</si>
  <si>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</si>
  <si>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</si>
  <si>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</si>
  <si>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</si>
  <si>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</si>
  <si>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</si>
  <si>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</si>
  <si>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</si>
  <si>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</si>
  <si>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</si>
  <si>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</si>
  <si>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</si>
  <si>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</si>
  <si>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</si>
  <si>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</si>
  <si>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</si>
  <si>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</si>
  <si>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</si>
  <si>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</si>
  <si>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</si>
  <si>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</si>
  <si>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</si>
  <si>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</si>
  <si>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</si>
  <si>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</si>
  <si>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</si>
  <si>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</si>
  <si>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</si>
  <si>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</si>
  <si>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</si>
  <si>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</si>
  <si>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</si>
  <si>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</si>
  <si>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</si>
  <si>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</si>
  <si>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</si>
  <si>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</si>
  <si>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</si>
  <si>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</si>
  <si>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</si>
  <si>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</si>
  <si>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</si>
  <si>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</si>
  <si>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</si>
  <si>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</si>
  <si>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</si>
  <si>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</si>
  <si>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</si>
  <si>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</si>
  <si>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</si>
  <si>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</si>
  <si>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</si>
  <si>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</si>
  <si>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</si>
  <si>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</si>
  <si>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</si>
  <si>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</si>
  <si>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</si>
  <si>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</si>
  <si>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</si>
  <si>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</si>
  <si>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</si>
  <si>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</si>
  <si>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</si>
  <si>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</si>
  <si>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</si>
  <si>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</si>
  <si>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</si>
  <si>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</si>
  <si>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</si>
  <si>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</si>
  <si>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</si>
  <si>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</si>
  <si>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</si>
  <si>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</si>
  <si>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</si>
  <si>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</si>
  <si>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</si>
  <si>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</si>
  <si>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</si>
  <si>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</si>
  <si>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</si>
  <si>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</si>
  <si>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</si>
  <si>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</si>
  <si>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</si>
  <si>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</si>
  <si>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</si>
  <si>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</si>
  <si>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</si>
  <si>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</si>
  <si>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</si>
  <si>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</si>
  <si>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</si>
  <si>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</si>
  <si>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</si>
  <si>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</si>
  <si>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</si>
  <si>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</si>
  <si>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</si>
  <si>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</si>
  <si>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</si>
  <si>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</si>
  <si>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</si>
  <si>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</si>
  <si>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</si>
  <si>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</si>
  <si>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</si>
  <si>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</si>
  <si>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</si>
  <si>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</si>
  <si>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</si>
  <si>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</si>
  <si>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</si>
  <si>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</si>
  <si>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</si>
  <si>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</si>
  <si>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</si>
  <si>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</si>
  <si>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</si>
  <si>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</si>
  <si>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</si>
  <si>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</si>
  <si>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</si>
  <si>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</si>
  <si>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</si>
  <si>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</si>
  <si>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</si>
  <si>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</si>
  <si>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</si>
  <si>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</si>
  <si>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</si>
  <si>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</si>
  <si>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</si>
  <si>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</si>
  <si>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</si>
  <si>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</si>
  <si>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</si>
  <si>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</si>
  <si>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</si>
  <si>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</si>
  <si>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</si>
  <si>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</si>
  <si>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</si>
  <si>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</si>
  <si>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</si>
  <si>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</si>
  <si>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</si>
  <si>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</si>
  <si>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</si>
  <si>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</si>
  <si>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</si>
  <si>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</si>
  <si>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</si>
  <si>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</si>
  <si>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</si>
  <si>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</si>
  <si>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</si>
  <si>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</si>
  <si>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</si>
  <si>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</si>
  <si>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</si>
  <si>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</si>
  <si>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</si>
  <si>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</si>
  <si>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</si>
  <si>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</si>
  <si>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</si>
  <si>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</si>
  <si>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</si>
  <si>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</si>
  <si>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</si>
  <si>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</si>
  <si>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</si>
  <si>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</si>
  <si>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</si>
  <si>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</si>
  <si>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</si>
  <si>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</si>
  <si>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</si>
  <si>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</si>
  <si>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</si>
  <si>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</si>
  <si>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</si>
  <si>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</si>
  <si>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</si>
  <si>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</si>
  <si>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</si>
  <si>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</si>
  <si>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</si>
  <si>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</si>
  <si>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</si>
  <si>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</si>
  <si>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</si>
  <si>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</si>
  <si>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</si>
  <si>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</si>
  <si>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</si>
  <si>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</si>
  <si>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</si>
  <si>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</si>
  <si>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</si>
  <si>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</si>
  <si>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</si>
  <si>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</si>
  <si>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</si>
  <si>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</si>
  <si>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</si>
  <si>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</si>
  <si>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</si>
  <si>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</si>
  <si>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</si>
  <si>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</si>
  <si>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</si>
  <si>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</si>
  <si>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</si>
  <si>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</si>
  <si>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</si>
  <si>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</si>
  <si>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</si>
  <si>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</si>
  <si>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</si>
  <si>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</si>
  <si>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</si>
  <si>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</si>
  <si>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</si>
  <si>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</si>
  <si>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</si>
  <si>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</si>
  <si>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</si>
  <si>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</si>
  <si>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</si>
  <si>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</si>
  <si>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</si>
  <si>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</si>
  <si>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</si>
  <si>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</si>
  <si>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</si>
  <si>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</si>
  <si>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</si>
  <si>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</si>
  <si>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</si>
  <si>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</si>
  <si>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</si>
  <si>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</si>
  <si>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</si>
  <si>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</si>
  <si>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</si>
  <si>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</si>
  <si>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</si>
  <si>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</si>
  <si>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</si>
  <si>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</si>
  <si>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</si>
  <si>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</si>
  <si>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</si>
  <si>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</si>
  <si>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</si>
  <si>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</si>
  <si>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</si>
  <si>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</si>
  <si>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</si>
  <si>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</si>
  <si>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</si>
  <si>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</si>
  <si>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</si>
  <si>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</si>
  <si>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</si>
  <si>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</si>
  <si>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</si>
  <si>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</si>
  <si>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</si>
  <si>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</si>
  <si>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</si>
  <si>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</si>
  <si>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</si>
  <si>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</si>
  <si>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</si>
  <si>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</si>
  <si>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</si>
  <si>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</si>
  <si>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</si>
  <si>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</si>
  <si>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</si>
  <si>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</si>
  <si>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</si>
  <si>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</si>
  <si>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</si>
  <si>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</si>
  <si>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</si>
  <si>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</si>
  <si>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</si>
  <si>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</si>
  <si>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</si>
  <si>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</si>
  <si>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</si>
  <si>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</si>
  <si>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</si>
  <si>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</si>
  <si>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</si>
  <si>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</si>
  <si>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</si>
  <si>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</si>
  <si>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</si>
  <si>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</si>
  <si>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</si>
  <si>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</si>
  <si>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</si>
  <si>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</si>
  <si>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</si>
  <si>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</si>
  <si>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</si>
  <si>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</si>
  <si>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</si>
  <si>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</si>
  <si>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</si>
  <si>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</si>
  <si>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</si>
  <si>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</si>
  <si>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</si>
  <si>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</si>
  <si>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</si>
  <si>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</si>
  <si>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</si>
  <si>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</si>
  <si>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</si>
  <si>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</si>
  <si>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</si>
  <si>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</si>
  <si>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</si>
  <si>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</si>
  <si>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</si>
  <si>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</si>
  <si>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</si>
  <si>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</si>
  <si>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</si>
  <si>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</si>
  <si>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</si>
  <si>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</si>
  <si>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</si>
  <si>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</si>
  <si>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</si>
  <si>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</si>
  <si>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</si>
  <si>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</si>
  <si>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</si>
  <si>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</si>
  <si>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</si>
  <si>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</si>
  <si>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</si>
  <si>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</si>
  <si>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</si>
  <si>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</si>
  <si>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</si>
  <si>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</si>
  <si>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</si>
  <si>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</si>
  <si>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</si>
  <si>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</si>
  <si>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</si>
  <si>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</si>
  <si>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</si>
  <si>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</si>
  <si>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</si>
  <si>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</si>
  <si>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</si>
  <si>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</si>
  <si>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</si>
  <si>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</si>
  <si>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</si>
  <si>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</si>
  <si>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</si>
  <si>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</si>
  <si>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</si>
  <si>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</si>
  <si>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</si>
  <si>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</si>
  <si>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</si>
  <si>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</si>
  <si>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</si>
  <si>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</si>
  <si>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</si>
  <si>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</si>
  <si>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</si>
  <si>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</si>
  <si>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</si>
  <si>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</si>
  <si>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</si>
  <si>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</si>
  <si>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</si>
  <si>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</si>
  <si>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</si>
  <si>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</si>
  <si>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</si>
  <si>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</si>
  <si>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</si>
  <si>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</si>
  <si>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</si>
  <si>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</si>
  <si>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</si>
  <si>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</si>
  <si>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</si>
  <si>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</si>
  <si>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</si>
  <si>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</si>
  <si>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</si>
  <si>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</si>
  <si>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</si>
  <si>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</si>
  <si>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</si>
  <si>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</si>
  <si>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</si>
  <si>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</si>
  <si>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</si>
  <si>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</si>
  <si>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</si>
  <si>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</si>
  <si>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</si>
  <si>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</si>
  <si>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</si>
  <si>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</si>
  <si>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</si>
  <si>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</si>
  <si>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</si>
  <si>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</si>
  <si>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</si>
  <si>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</si>
  <si>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</si>
  <si>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</si>
  <si>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</si>
  <si>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</si>
  <si>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</si>
  <si>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</si>
  <si>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</si>
  <si>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</si>
  <si>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</si>
  <si>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</si>
  <si>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</si>
  <si>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</si>
  <si>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</si>
  <si>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</si>
  <si>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</si>
  <si>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</si>
  <si>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</si>
  <si>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</si>
  <si>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</si>
  <si>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</si>
  <si>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</si>
  <si>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</si>
  <si>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</si>
  <si>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</si>
  <si>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</si>
  <si>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</si>
  <si>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</si>
  <si>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</si>
  <si>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</si>
  <si>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</si>
  <si>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</si>
  <si>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</si>
  <si>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</si>
  <si>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</si>
  <si>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</si>
  <si>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</si>
  <si>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</si>
  <si>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</si>
  <si>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</si>
  <si>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</si>
  <si>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</si>
  <si>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</si>
  <si>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</si>
  <si>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</si>
  <si>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</si>
  <si>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</si>
  <si>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</si>
  <si>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</si>
  <si>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</si>
  <si>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</si>
  <si>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</si>
  <si>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</si>
  <si>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</si>
  <si>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</si>
  <si>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</si>
  <si>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</si>
  <si>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</si>
  <si>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</si>
  <si>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</si>
  <si>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</si>
  <si>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</si>
  <si>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</si>
  <si>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</si>
  <si>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</si>
  <si>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</si>
  <si>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</si>
  <si>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</si>
  <si>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</si>
  <si>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</si>
  <si>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</si>
  <si>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</si>
  <si>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</si>
  <si>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</si>
  <si>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</si>
  <si>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</si>
  <si>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</si>
  <si>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</si>
  <si>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</si>
  <si>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</si>
  <si>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</si>
  <si>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</si>
  <si>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</si>
  <si>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</si>
  <si>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</si>
  <si>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</si>
  <si>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</si>
  <si>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</si>
  <si>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</si>
  <si>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</si>
  <si>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</si>
  <si>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</si>
  <si>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</si>
  <si>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</si>
  <si>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</si>
  <si>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</si>
  <si>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</si>
  <si>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</si>
  <si>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</si>
  <si>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</si>
  <si>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</si>
  <si>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</si>
  <si>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</si>
  <si>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</si>
  <si>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</si>
  <si>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</si>
  <si>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</si>
  <si>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</si>
  <si>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</si>
  <si>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</si>
  <si>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</si>
  <si>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</si>
  <si>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</si>
  <si>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</si>
  <si>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</si>
  <si>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</si>
  <si>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</si>
  <si>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</si>
  <si>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</si>
  <si>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</si>
  <si>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</si>
  <si>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</si>
  <si>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</si>
  <si>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</si>
  <si>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</si>
  <si>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</si>
  <si>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</si>
  <si>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</si>
  <si>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</si>
  <si>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</si>
  <si>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</si>
  <si>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</si>
  <si>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</si>
  <si>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</si>
  <si>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</si>
  <si>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</si>
  <si>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</si>
  <si>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</si>
  <si>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</si>
  <si>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</si>
  <si>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</si>
  <si>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</si>
  <si>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</si>
  <si>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</si>
  <si>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</si>
  <si>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</si>
  <si>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</si>
  <si>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</si>
  <si>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</si>
  <si>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</si>
  <si>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</si>
  <si>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</si>
  <si>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</si>
  <si>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</si>
  <si>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</si>
  <si>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</si>
  <si>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</si>
  <si>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</si>
  <si>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</si>
  <si>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</si>
  <si>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</si>
  <si>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</si>
  <si>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</si>
  <si>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</si>
  <si>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</si>
  <si>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</si>
  <si>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</si>
  <si>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</si>
  <si>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</si>
  <si>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</si>
  <si>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</si>
  <si>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</si>
  <si>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</si>
  <si>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</si>
  <si>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</si>
  <si>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</si>
  <si>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</si>
  <si>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</si>
  <si>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</si>
  <si>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</si>
  <si>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</si>
  <si>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</si>
  <si>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</si>
  <si>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</si>
  <si>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</si>
  <si>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</si>
  <si>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</si>
  <si>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</si>
  <si>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</si>
  <si>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</si>
  <si>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</si>
  <si>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</si>
  <si>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</si>
  <si>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</si>
  <si>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</si>
  <si>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</si>
  <si>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</si>
  <si>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</si>
  <si>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</si>
  <si>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</si>
  <si>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</si>
  <si>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</si>
  <si>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</si>
  <si>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</si>
  <si>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</si>
  <si>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</si>
  <si>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</si>
  <si>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</si>
  <si>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</si>
  <si>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</si>
  <si>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</si>
  <si>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</si>
  <si>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</si>
  <si>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</si>
  <si>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</si>
  <si>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</si>
  <si>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</si>
  <si>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</si>
  <si>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</si>
  <si>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</si>
  <si>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</si>
  <si>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</si>
  <si>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</si>
  <si>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</si>
  <si>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</si>
  <si>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</si>
  <si>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</si>
  <si>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</si>
  <si>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</si>
  <si>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</si>
  <si>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</si>
  <si>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</si>
  <si>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</si>
  <si>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</si>
  <si>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</si>
  <si>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</si>
  <si>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</si>
  <si>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</si>
  <si>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</si>
  <si>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</si>
  <si>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</si>
  <si>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</si>
  <si>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</si>
  <si>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</si>
  <si>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</si>
  <si>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</si>
  <si>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</si>
  <si>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</si>
  <si>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</si>
  <si>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</si>
  <si>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</si>
  <si>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</si>
  <si>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</si>
  <si>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</si>
  <si>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</si>
  <si>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</si>
  <si>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</si>
  <si>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</si>
  <si>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</si>
  <si>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</si>
  <si>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</si>
  <si>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</si>
  <si>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</si>
  <si>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</si>
  <si>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</si>
  <si>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</si>
  <si>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</si>
  <si>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</si>
  <si>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</si>
  <si>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</si>
  <si>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</si>
  <si>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</si>
  <si>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</si>
  <si>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</si>
  <si>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</si>
  <si>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</si>
  <si>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</si>
  <si>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</si>
  <si>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</si>
  <si>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</si>
  <si>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</si>
  <si>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</si>
  <si>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</si>
  <si>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</si>
  <si>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</si>
  <si>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</si>
  <si>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</si>
  <si>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</si>
  <si>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</si>
  <si>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</si>
  <si>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</si>
  <si>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</si>
  <si>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</si>
  <si>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</si>
  <si>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</si>
  <si>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</si>
  <si>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</si>
  <si>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</si>
  <si>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</si>
  <si>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</si>
  <si>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</si>
  <si>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</si>
  <si>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</si>
  <si>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</si>
  <si>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</si>
  <si>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</si>
  <si>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</si>
  <si>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</si>
  <si>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</si>
  <si>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</si>
  <si>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</si>
  <si>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</si>
  <si>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</si>
  <si>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</si>
  <si>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</si>
  <si>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</si>
  <si>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</si>
  <si>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</si>
  <si>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</si>
  <si>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</si>
  <si>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</si>
  <si>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</si>
  <si>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</si>
  <si>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</si>
  <si>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</si>
  <si>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</si>
  <si>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</si>
  <si>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</si>
  <si>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</si>
  <si>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</si>
  <si>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</si>
  <si>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</si>
  <si>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</si>
  <si>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</si>
  <si>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</si>
  <si>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</si>
  <si>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</si>
  <si>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</si>
  <si>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</si>
  <si>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</si>
  <si>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</si>
  <si>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</si>
  <si>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</si>
  <si>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</si>
  <si>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</si>
  <si>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</si>
  <si>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</si>
  <si>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</si>
  <si>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</si>
  <si>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</si>
  <si>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</si>
  <si>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</si>
  <si>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</si>
  <si>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</si>
  <si>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</si>
  <si>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</si>
  <si>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</si>
  <si>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</si>
  <si>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</si>
  <si>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</si>
  <si>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</si>
  <si>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</si>
  <si>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</si>
  <si>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</si>
  <si>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</si>
  <si>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</si>
  <si>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</si>
  <si>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</si>
  <si>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</si>
  <si>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</si>
  <si>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</si>
  <si>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</si>
  <si>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</si>
  <si>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</si>
  <si>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</si>
  <si>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</si>
  <si>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</si>
  <si>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</si>
  <si>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</si>
  <si>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</si>
  <si>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</si>
  <si>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</si>
  <si>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</si>
  <si>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</si>
  <si>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</si>
  <si>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</si>
  <si>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</si>
  <si>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</si>
  <si>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</si>
  <si>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</si>
  <si>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</si>
  <si>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</si>
  <si>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</si>
  <si>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</si>
  <si>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</si>
  <si>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</si>
  <si>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</si>
  <si>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</si>
  <si>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</si>
  <si>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</si>
  <si>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</si>
  <si>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</si>
  <si>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</si>
  <si>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</si>
  <si>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</si>
  <si>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</si>
  <si>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</si>
  <si>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</si>
  <si>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</si>
  <si>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</si>
  <si>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</si>
  <si>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</si>
  <si>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</si>
  <si>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</si>
  <si>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</si>
  <si>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</si>
  <si>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</si>
  <si>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</si>
  <si>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</si>
  <si>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</si>
  <si>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</si>
  <si>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</si>
  <si>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</si>
  <si>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</si>
  <si>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</si>
  <si>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</si>
  <si>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</si>
  <si>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</si>
  <si>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</si>
  <si>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</si>
  <si>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</si>
  <si>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</si>
  <si>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</si>
  <si>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</si>
  <si>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</si>
  <si>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</si>
  <si>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</si>
  <si>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</si>
  <si>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</si>
  <si>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</si>
  <si>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</si>
  <si>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</si>
  <si>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</si>
  <si>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</si>
  <si>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</si>
  <si>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</si>
  <si>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</si>
  <si>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</si>
  <si>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</si>
  <si>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</si>
  <si>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</si>
  <si>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</si>
  <si>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</si>
  <si>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</si>
  <si>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</si>
  <si>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</si>
  <si>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</si>
  <si>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</si>
  <si>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</si>
  <si>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</si>
  <si>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</si>
  <si>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</si>
  <si>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</si>
  <si>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</si>
  <si>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</si>
  <si>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</si>
  <si>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</si>
  <si>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</si>
  <si>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</si>
  <si>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</si>
  <si>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</si>
  <si>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</si>
  <si>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</si>
  <si>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</si>
  <si>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</si>
  <si>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</si>
  <si>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</si>
  <si>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</si>
  <si>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</si>
  <si>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</si>
  <si>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</si>
  <si>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</si>
  <si>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</si>
  <si>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</si>
  <si>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</si>
  <si>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</si>
  <si>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</si>
  <si>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</si>
  <si>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</si>
  <si>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</si>
  <si>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</si>
  <si>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</si>
  <si>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</si>
  <si>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</si>
  <si>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</si>
  <si>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</si>
  <si>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</si>
  <si>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</si>
  <si>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</si>
  <si>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</si>
  <si>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</si>
  <si>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</si>
  <si>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</si>
  <si>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</si>
  <si>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</si>
  <si>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</si>
  <si>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</si>
  <si>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</si>
  <si>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</si>
  <si>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</si>
  <si>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</si>
  <si>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</si>
  <si>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</si>
  <si>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</si>
  <si>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</si>
  <si>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</si>
  <si>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</si>
  <si>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</si>
  <si>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</si>
  <si>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</si>
  <si>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</si>
  <si>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</si>
  <si>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</si>
  <si>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</si>
  <si>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</si>
  <si>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</si>
  <si>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</si>
  <si>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</si>
  <si>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</si>
  <si>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</si>
  <si>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</si>
  <si>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</si>
  <si>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</si>
  <si>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</si>
  <si>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</si>
  <si>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</si>
  <si>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</si>
  <si>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</si>
  <si>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</si>
  <si>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</si>
  <si>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</si>
  <si>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</si>
  <si>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</si>
  <si>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</si>
  <si>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</si>
  <si>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</si>
  <si>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</si>
  <si>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</si>
  <si>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</si>
  <si>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</si>
  <si>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</si>
  <si>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</si>
  <si>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</si>
  <si>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</si>
  <si>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</si>
  <si>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</si>
  <si>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</si>
  <si>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</si>
  <si>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</si>
  <si>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</si>
  <si>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</si>
  <si>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</si>
  <si>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</si>
  <si>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</si>
  <si>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</si>
  <si>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</si>
  <si>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</si>
  <si>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</si>
  <si>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</si>
  <si>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</si>
  <si>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</si>
  <si>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</si>
  <si>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</si>
  <si>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</si>
  <si>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</si>
  <si>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</si>
  <si>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</si>
  <si>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</si>
  <si>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</si>
  <si>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</si>
  <si>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</si>
  <si>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</si>
  <si>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</si>
  <si>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</si>
  <si>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</si>
  <si>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</si>
  <si>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</si>
  <si>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</si>
  <si>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</si>
  <si>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</si>
  <si>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</si>
  <si>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</si>
  <si>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</si>
  <si>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</si>
  <si>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</si>
  <si>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</si>
  <si>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</si>
  <si>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</si>
  <si>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</si>
  <si>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</si>
  <si>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</si>
  <si>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</si>
  <si>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</si>
  <si>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</si>
  <si>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</si>
  <si>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</si>
  <si>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</si>
  <si>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</si>
  <si>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</si>
  <si>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</si>
  <si>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</si>
  <si>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</si>
  <si>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</si>
  <si>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</si>
  <si>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</si>
  <si>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</si>
  <si>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</si>
  <si>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</si>
  <si>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</si>
  <si>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</si>
  <si>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</si>
  <si>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</si>
  <si>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</si>
  <si>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</si>
  <si>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</si>
  <si>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</si>
  <si>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</si>
  <si>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</si>
  <si>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</si>
  <si>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</si>
  <si>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</si>
  <si>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</si>
  <si>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</si>
  <si>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</si>
  <si>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</si>
  <si>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</si>
  <si>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</si>
  <si>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</si>
  <si>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</si>
  <si>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</si>
  <si>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</si>
  <si>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</si>
  <si>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</si>
  <si>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</si>
  <si>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</si>
  <si>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</si>
  <si>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</si>
  <si>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</si>
  <si>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</si>
  <si>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</si>
  <si>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</si>
  <si>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</si>
  <si>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</si>
  <si>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</si>
  <si>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</si>
  <si>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</si>
  <si>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</si>
  <si>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</si>
  <si>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</si>
  <si>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</si>
  <si>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</si>
  <si>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</si>
  <si>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</si>
  <si>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</si>
  <si>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</si>
  <si>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</si>
  <si>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</si>
  <si>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</si>
  <si>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</si>
  <si>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</si>
  <si>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</si>
  <si>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</si>
  <si>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</si>
  <si>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</si>
  <si>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</si>
  <si>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</si>
  <si>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</si>
  <si>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</si>
  <si>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</si>
  <si>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</si>
  <si>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</si>
  <si>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</si>
  <si>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</si>
  <si>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</si>
  <si>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</si>
  <si>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</si>
  <si>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</si>
  <si>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</si>
  <si>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</si>
  <si>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</si>
  <si>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</si>
  <si>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</si>
  <si>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</si>
  <si>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</si>
  <si>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</si>
  <si>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</si>
  <si>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</si>
  <si>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</si>
  <si>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</si>
  <si>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</si>
  <si>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</si>
  <si>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</si>
  <si>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</si>
  <si>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</si>
  <si>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</si>
  <si>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</si>
  <si>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</si>
  <si>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</si>
  <si>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</si>
  <si>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</si>
  <si>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</si>
  <si>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</si>
  <si>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</si>
  <si>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</si>
  <si>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</si>
  <si>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</si>
  <si>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</si>
  <si>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</si>
  <si>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</si>
  <si>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</si>
  <si>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</si>
  <si>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</si>
  <si>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</si>
  <si>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</si>
  <si>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</si>
  <si>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</si>
  <si>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</si>
  <si>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</si>
  <si>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</si>
  <si>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</si>
  <si>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</si>
  <si>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</si>
  <si>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</si>
  <si>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</si>
  <si>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</si>
  <si>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</si>
  <si>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</si>
  <si>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</si>
  <si>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</si>
  <si>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</si>
  <si>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</si>
  <si>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</si>
  <si>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</si>
  <si>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</si>
  <si>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</si>
  <si>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</si>
  <si>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</si>
  <si>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</si>
  <si>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</si>
  <si>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</si>
  <si>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</si>
  <si>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</si>
  <si>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</si>
  <si>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</si>
  <si>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</si>
  <si>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</si>
  <si>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</si>
  <si>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</si>
  <si>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</si>
  <si>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</si>
  <si>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</si>
  <si>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</si>
  <si>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</si>
  <si>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</si>
  <si>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</si>
  <si>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</si>
  <si>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</si>
  <si>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</si>
  <si>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</si>
  <si>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</si>
  <si>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</si>
  <si>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</si>
  <si>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</si>
  <si>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</si>
  <si>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</si>
  <si>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</si>
  <si>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</si>
  <si>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</si>
  <si>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</si>
  <si>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</si>
  <si>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</si>
  <si>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</si>
  <si>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</si>
  <si>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</si>
  <si>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</si>
  <si>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</si>
  <si>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</si>
  <si>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</si>
  <si>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</si>
  <si>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</si>
  <si>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</si>
  <si>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</si>
  <si>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</si>
  <si>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</si>
  <si>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</si>
  <si>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</si>
  <si>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</si>
  <si>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</si>
  <si>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</si>
  <si>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</si>
  <si>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</si>
  <si>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</si>
  <si>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</si>
  <si>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</si>
  <si>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</si>
  <si>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</si>
  <si>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</si>
  <si>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</si>
  <si>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</si>
  <si>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</si>
  <si>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</si>
  <si>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</si>
  <si>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</si>
  <si>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</si>
  <si>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</si>
  <si>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</si>
  <si>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</si>
  <si>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</si>
  <si>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</si>
  <si>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</si>
  <si>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</si>
  <si>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</si>
  <si>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</si>
  <si>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</si>
  <si>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</si>
  <si>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</si>
  <si>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</si>
  <si>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</si>
  <si>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</si>
  <si>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</si>
  <si>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</si>
  <si>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</si>
  <si>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</si>
  <si>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</si>
  <si>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</si>
  <si>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</si>
  <si>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</si>
  <si>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</si>
  <si>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</si>
  <si>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</si>
  <si>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</si>
  <si>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</si>
  <si>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</si>
  <si>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</si>
  <si>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</si>
  <si>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</si>
  <si>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</si>
  <si>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</si>
  <si>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</si>
  <si>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</si>
  <si>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</si>
  <si>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</si>
  <si>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</si>
  <si>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</si>
  <si>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</si>
  <si>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</si>
  <si>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</si>
  <si>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</si>
  <si>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</si>
  <si>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</si>
  <si>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</si>
  <si>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</si>
  <si>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</si>
  <si>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</si>
  <si>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</si>
  <si>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</si>
  <si>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</si>
  <si>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</si>
  <si>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</si>
  <si>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</si>
  <si>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</si>
  <si>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</si>
  <si>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</si>
  <si>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</si>
  <si>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</si>
  <si>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</si>
  <si>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</si>
  <si>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</si>
  <si>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</si>
  <si>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</si>
  <si>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</si>
  <si>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</si>
  <si>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</si>
  <si>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</si>
  <si>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</si>
  <si>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</si>
  <si>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</si>
  <si>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</si>
  <si>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</si>
  <si>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</si>
  <si>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</si>
  <si>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</si>
  <si>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</si>
  <si>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</si>
  <si>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</si>
  <si>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</si>
  <si>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</si>
  <si>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</si>
  <si>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</si>
  <si>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</si>
  <si>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</si>
  <si>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</si>
  <si>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</si>
  <si>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</si>
  <si>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</si>
  <si>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</si>
  <si>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</si>
  <si>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</si>
  <si>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</si>
  <si>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</si>
  <si>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</si>
  <si>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</si>
  <si>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</si>
  <si>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</si>
  <si>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</si>
  <si>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</si>
  <si>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</si>
  <si>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</si>
  <si>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</si>
  <si>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</si>
  <si>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</si>
  <si>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</si>
  <si>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</si>
  <si>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</si>
  <si>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</si>
  <si>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</si>
  <si>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</si>
  <si>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</si>
  <si>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</si>
  <si>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</si>
  <si>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</si>
  <si>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</si>
  <si>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</si>
  <si>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</si>
  <si>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</si>
  <si>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</si>
  <si>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</si>
  <si>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</si>
  <si>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</si>
  <si>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</si>
  <si>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</si>
  <si>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</si>
  <si>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</si>
  <si>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</si>
  <si>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</si>
  <si>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</si>
  <si>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</si>
  <si>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</si>
  <si>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</si>
  <si>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</si>
  <si>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</si>
  <si>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</si>
  <si>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</si>
  <si>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</si>
  <si>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</si>
  <si>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</si>
  <si>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</si>
  <si>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</si>
  <si>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</si>
  <si>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</si>
  <si>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</si>
  <si>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</si>
  <si>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</si>
  <si>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</si>
  <si>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</si>
  <si>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</si>
  <si>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</si>
  <si>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</si>
  <si>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</si>
  <si>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</si>
  <si>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</si>
  <si>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</si>
  <si>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</si>
  <si>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</si>
  <si>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</si>
  <si>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</si>
  <si>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</si>
  <si>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</si>
  <si>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</si>
  <si>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</si>
  <si>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</si>
  <si>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</si>
  <si>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</si>
  <si>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</si>
  <si>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</si>
  <si>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</si>
  <si>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</si>
  <si>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</si>
  <si>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</si>
  <si>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</si>
  <si>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</si>
  <si>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</si>
  <si>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</si>
  <si>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</si>
  <si>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</si>
  <si>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</si>
  <si>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</si>
  <si>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</si>
  <si>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</si>
  <si>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</si>
  <si>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</si>
  <si>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</si>
  <si>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</si>
  <si>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</si>
  <si>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</si>
  <si>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</si>
  <si>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</si>
  <si>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</si>
  <si>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</si>
  <si>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</si>
  <si>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</si>
  <si>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</si>
  <si>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</si>
  <si>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</si>
  <si>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</si>
  <si>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</si>
  <si>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</si>
  <si>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</si>
  <si>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</si>
  <si>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</si>
  <si>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</si>
  <si>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</si>
  <si>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</si>
  <si>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</si>
  <si>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</si>
  <si>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</si>
  <si>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</si>
  <si>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</si>
  <si>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</si>
  <si>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</si>
  <si>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</si>
  <si>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</si>
  <si>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</si>
  <si>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</si>
  <si>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</si>
  <si>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</si>
  <si>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</si>
  <si>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</si>
  <si>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</si>
  <si>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</si>
  <si>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</si>
  <si>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</si>
  <si>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</si>
  <si>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</si>
  <si>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</si>
  <si>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</si>
  <si>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</si>
  <si>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</si>
  <si>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</si>
  <si>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</si>
  <si>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</si>
  <si>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</si>
  <si>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</si>
  <si>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</si>
  <si>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</si>
  <si>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</si>
  <si>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</si>
  <si>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</si>
  <si>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</si>
  <si>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</si>
  <si>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</si>
  <si>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</si>
  <si>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</si>
  <si>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</si>
  <si>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</si>
  <si>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</si>
  <si>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</si>
  <si>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</si>
  <si>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</si>
  <si>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</si>
  <si>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</si>
  <si>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</si>
  <si>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</si>
  <si>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</si>
  <si>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</si>
  <si>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</si>
  <si>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</si>
  <si>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</si>
  <si>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</si>
  <si>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</si>
  <si>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</si>
  <si>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</si>
  <si>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</si>
  <si>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</si>
  <si>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</si>
  <si>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</si>
  <si>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</si>
  <si>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</si>
  <si>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</si>
  <si>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</si>
  <si>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</si>
  <si>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</si>
  <si>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</si>
  <si>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</si>
  <si>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</si>
  <si>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</si>
  <si>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</si>
  <si>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</si>
  <si>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</si>
  <si>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</si>
  <si>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</si>
  <si>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</si>
  <si>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</si>
  <si>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</si>
  <si>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</si>
  <si>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</si>
  <si>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</si>
  <si>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</si>
  <si>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</si>
  <si>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</si>
  <si>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</si>
  <si>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</si>
  <si>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</si>
  <si>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</si>
  <si>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</si>
  <si>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</si>
  <si>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</si>
  <si>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</si>
  <si>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</si>
  <si>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</si>
  <si>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</si>
  <si>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</si>
  <si>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</si>
  <si>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</si>
  <si>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</si>
  <si>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</si>
  <si>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</si>
  <si>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</si>
  <si>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</si>
  <si>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</si>
  <si>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</si>
  <si>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</si>
  <si>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</si>
  <si>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</si>
  <si>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</si>
  <si>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</si>
  <si>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</si>
  <si>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</si>
  <si>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</si>
  <si>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</si>
  <si>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</si>
  <si>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</si>
  <si>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</si>
  <si>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</si>
  <si>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</si>
  <si>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</si>
  <si>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</si>
  <si>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</si>
  <si>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</si>
  <si>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</si>
  <si>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</si>
  <si>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</si>
  <si>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</si>
  <si>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</si>
  <si>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</si>
  <si>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</si>
  <si>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</si>
  <si>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</si>
  <si>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</si>
  <si>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</si>
  <si>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</si>
  <si>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</si>
  <si>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</si>
  <si>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</si>
  <si>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</si>
  <si>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</si>
  <si>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</si>
  <si>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</si>
  <si>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</si>
  <si>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</si>
  <si>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</si>
  <si>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</si>
  <si>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</si>
  <si>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</si>
  <si>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</si>
  <si>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</si>
  <si>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</si>
  <si>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</si>
  <si>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</si>
  <si>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</si>
  <si>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</si>
  <si>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</si>
  <si>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</si>
  <si>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</si>
  <si>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</si>
  <si>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</si>
  <si>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</si>
  <si>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</si>
  <si>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</si>
  <si>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</si>
  <si>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</si>
  <si>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</si>
  <si>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</si>
  <si>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</si>
  <si>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</si>
  <si>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</si>
  <si>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</si>
  <si>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</si>
  <si>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</si>
  <si>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</si>
  <si>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</si>
  <si>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</si>
  <si>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</si>
  <si>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</si>
  <si>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</si>
  <si>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</si>
  <si>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</si>
  <si>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</si>
  <si>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</si>
  <si>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</si>
  <si>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</si>
  <si>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</si>
  <si>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</si>
  <si>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</si>
  <si>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</si>
  <si>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</si>
  <si>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</si>
  <si>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</si>
  <si>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</si>
  <si>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</si>
  <si>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</si>
  <si>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</si>
  <si>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</si>
  <si>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</si>
  <si>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</si>
  <si>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</si>
  <si>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</si>
  <si>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</si>
  <si>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</si>
  <si>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</si>
  <si>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</si>
  <si>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</si>
  <si>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</si>
  <si>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</si>
  <si>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</si>
  <si>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</si>
  <si>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</si>
  <si>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</si>
  <si>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</si>
  <si>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</si>
  <si>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</si>
  <si>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</si>
  <si>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</si>
  <si>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</si>
  <si>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</si>
  <si>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</si>
  <si>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</si>
  <si>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</si>
  <si>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</si>
  <si>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</si>
  <si>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</si>
  <si>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</si>
  <si>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</si>
  <si>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</si>
  <si>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</si>
  <si>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</si>
  <si>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</si>
  <si>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</si>
  <si>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</si>
  <si>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</si>
  <si>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</si>
  <si>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</si>
  <si>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</si>
  <si>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</si>
  <si>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</si>
  <si>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</si>
  <si>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</si>
  <si>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</si>
  <si>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</si>
  <si>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</si>
  <si>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</si>
  <si>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</si>
  <si>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</si>
  <si>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</si>
  <si>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</si>
  <si>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</si>
  <si>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</si>
  <si>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</si>
  <si>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</si>
  <si>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</si>
  <si>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</si>
  <si>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</si>
  <si>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</si>
  <si>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</si>
  <si>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</si>
  <si>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</si>
  <si>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</si>
  <si>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</si>
  <si>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</si>
  <si>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</si>
  <si>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</si>
  <si>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</si>
  <si>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</si>
  <si>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</si>
  <si>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</si>
  <si>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</si>
  <si>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</si>
  <si>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</si>
  <si>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</si>
  <si>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</si>
  <si>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</si>
  <si>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</si>
  <si>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</si>
  <si>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</si>
  <si>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</si>
  <si>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</si>
  <si>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</si>
  <si>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</si>
  <si>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</si>
  <si>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</si>
  <si>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</si>
  <si>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</si>
  <si>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</si>
  <si>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</si>
  <si>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</si>
  <si>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</si>
  <si>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</si>
  <si>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</si>
  <si>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</si>
  <si>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</si>
  <si>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</si>
  <si>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</si>
  <si>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</si>
  <si>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</si>
  <si>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</si>
  <si>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</si>
  <si>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</si>
  <si>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</si>
  <si>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</si>
  <si>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</si>
  <si>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</si>
  <si>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</si>
  <si>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</si>
  <si>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</si>
  <si>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</si>
  <si>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</si>
  <si>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</si>
  <si>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</si>
  <si>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</si>
  <si>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</si>
  <si>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</si>
  <si>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</si>
  <si>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</si>
  <si>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</si>
  <si>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</si>
  <si>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</si>
  <si>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</si>
  <si>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</si>
  <si>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</si>
  <si>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</si>
  <si>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</si>
  <si>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</si>
  <si>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</si>
  <si>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</si>
  <si>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</si>
  <si>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</si>
  <si>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</si>
  <si>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</si>
  <si>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</si>
  <si>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</si>
  <si>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</si>
  <si>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</si>
  <si>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</si>
  <si>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</si>
  <si>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</si>
  <si>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</si>
  <si>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</si>
  <si>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</si>
  <si>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</si>
  <si>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</si>
  <si>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</si>
  <si>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</si>
  <si>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</si>
  <si>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</si>
  <si>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</si>
  <si>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</si>
  <si>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</si>
  <si>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</si>
  <si>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</si>
  <si>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</si>
  <si>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</si>
  <si>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</si>
  <si>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</si>
  <si>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</si>
  <si>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</si>
  <si>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</si>
  <si>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</si>
  <si>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</si>
  <si>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</si>
  <si>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</si>
  <si>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</si>
  <si>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</si>
  <si>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</si>
  <si>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</si>
  <si>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</si>
  <si>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</si>
  <si>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</si>
  <si>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</si>
  <si>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</si>
  <si>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</si>
  <si>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</si>
  <si>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</si>
  <si>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</si>
  <si>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</si>
  <si>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</si>
  <si>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</si>
  <si>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</si>
  <si>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</si>
  <si>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</si>
  <si>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</si>
  <si>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</si>
  <si>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</si>
  <si>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</si>
  <si>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</si>
  <si>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</si>
  <si>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</si>
  <si>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</si>
  <si>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</si>
  <si>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</si>
  <si>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</si>
  <si>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</si>
  <si>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</si>
  <si>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</si>
  <si>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</si>
  <si>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</si>
  <si>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</si>
  <si>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</si>
  <si>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</si>
  <si>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</si>
  <si>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</si>
  <si>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</si>
  <si>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</si>
  <si>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</si>
  <si>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</si>
  <si>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</si>
  <si>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</si>
  <si>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</si>
  <si>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</si>
  <si>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</si>
  <si>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</si>
  <si>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</si>
  <si>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</si>
  <si>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</si>
  <si>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</si>
  <si>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</si>
  <si>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</si>
  <si>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</si>
  <si>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</si>
  <si>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</si>
  <si>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</si>
  <si>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</si>
  <si>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</si>
  <si>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</si>
  <si>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</si>
  <si>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</si>
  <si>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</si>
  <si>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</si>
  <si>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</si>
  <si>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</si>
  <si>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</si>
  <si>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</si>
  <si>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</si>
  <si>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</si>
  <si>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</si>
  <si>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</si>
  <si>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</si>
  <si>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</si>
  <si>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</si>
  <si>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</si>
  <si>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</si>
  <si>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</si>
  <si>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</si>
  <si>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</si>
  <si>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</si>
  <si>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</si>
  <si>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</si>
  <si>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</si>
  <si>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</si>
  <si>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</si>
  <si>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</si>
  <si>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</si>
  <si>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</si>
  <si>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</si>
  <si>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</si>
  <si>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</si>
  <si>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</si>
  <si>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</si>
  <si>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</si>
  <si>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</si>
  <si>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</si>
  <si>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</si>
  <si>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</si>
  <si>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</si>
  <si>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</si>
  <si>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</si>
  <si>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</si>
  <si>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</si>
  <si>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</si>
  <si>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</si>
  <si>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</si>
  <si>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</si>
  <si>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</si>
  <si>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</si>
  <si>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</si>
  <si>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</si>
  <si>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</si>
  <si>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</si>
  <si>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</si>
  <si>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</si>
  <si>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</si>
  <si>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</si>
  <si>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</si>
  <si>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</si>
  <si>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</si>
  <si>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</si>
  <si>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</si>
  <si>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</si>
  <si>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</si>
  <si>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</si>
  <si>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</si>
  <si>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</si>
  <si>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</si>
  <si>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</si>
  <si>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</si>
  <si>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</si>
  <si>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</si>
  <si>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</si>
  <si>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</si>
  <si>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</si>
  <si>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</si>
  <si>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</si>
  <si>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</si>
  <si>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</si>
  <si>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</si>
  <si>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</si>
  <si>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</si>
  <si>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</si>
  <si>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</si>
  <si>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</si>
  <si>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</si>
  <si>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</si>
  <si>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</si>
  <si>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</si>
  <si>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</si>
  <si>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</si>
  <si>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</si>
  <si>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</si>
  <si>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</si>
  <si>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</si>
  <si>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</si>
  <si>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</si>
  <si>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</si>
  <si>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</si>
  <si>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</si>
  <si>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</si>
  <si>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</si>
  <si>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</si>
  <si>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</si>
  <si>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</si>
  <si>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</si>
  <si>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</si>
  <si>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</si>
  <si>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</si>
  <si>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</si>
  <si>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</si>
  <si>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</si>
  <si>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</si>
  <si>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</si>
  <si>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</si>
  <si>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</si>
  <si>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</si>
  <si>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</si>
  <si>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</si>
  <si>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</si>
  <si>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</si>
  <si>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</si>
  <si>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</si>
  <si>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</si>
  <si>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</si>
  <si>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</si>
  <si>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</si>
  <si>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</si>
  <si>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</si>
  <si>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</si>
  <si>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</si>
  <si>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</si>
  <si>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</si>
  <si>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</si>
  <si>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</si>
  <si>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</si>
  <si>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</si>
  <si>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</si>
  <si>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</si>
  <si>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</si>
  <si>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</si>
  <si>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</si>
  <si>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</si>
  <si>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</si>
  <si>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</si>
  <si>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</si>
  <si>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</si>
  <si>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</si>
  <si>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</si>
  <si>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</si>
  <si>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</si>
  <si>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</si>
  <si>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</si>
  <si>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</si>
  <si>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</si>
  <si>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</si>
  <si>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</si>
  <si>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</si>
  <si>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</si>
  <si>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</si>
  <si>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</si>
  <si>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</si>
  <si>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</si>
  <si>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</si>
  <si>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</si>
  <si>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</si>
  <si>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</si>
  <si>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</si>
  <si>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</si>
  <si>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</si>
  <si>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</si>
  <si>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</si>
  <si>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</si>
  <si>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</si>
  <si>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</si>
  <si>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</si>
  <si>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</si>
  <si>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</si>
  <si>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</si>
  <si>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</si>
  <si>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</si>
  <si>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</si>
  <si>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</si>
  <si>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</si>
  <si>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</si>
  <si>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</si>
  <si>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</si>
  <si>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</si>
  <si>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</si>
  <si>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</si>
  <si>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</si>
  <si>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</si>
  <si>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</si>
  <si>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</si>
  <si>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</si>
  <si>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</si>
  <si>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</si>
  <si>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</si>
  <si>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</si>
  <si>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</si>
  <si>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</si>
  <si>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</si>
  <si>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</si>
  <si>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</si>
  <si>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</si>
  <si>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</si>
  <si>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</si>
  <si>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</si>
  <si>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</si>
  <si>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</si>
  <si>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</si>
  <si>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</si>
  <si>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</si>
  <si>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</si>
  <si>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</si>
  <si>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</si>
  <si>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</si>
  <si>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</si>
  <si>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</si>
  <si>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</si>
  <si>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</si>
  <si>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</si>
  <si>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</si>
  <si>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</si>
  <si>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</si>
  <si>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</si>
  <si>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</si>
  <si>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</si>
  <si>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</si>
  <si>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</si>
  <si>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</si>
  <si>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</si>
  <si>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</si>
  <si>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</si>
  <si>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</si>
  <si>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</si>
  <si>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</si>
  <si>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</si>
  <si>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</si>
  <si>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</si>
  <si>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</si>
  <si>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</si>
  <si>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</si>
  <si>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</si>
  <si>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</si>
  <si>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</si>
  <si>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</si>
  <si>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</si>
  <si>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</si>
  <si>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</si>
  <si>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</si>
  <si>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</si>
  <si>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</si>
  <si>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</si>
  <si>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</si>
  <si>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</si>
  <si>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</si>
  <si>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</si>
  <si>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</si>
  <si>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</si>
  <si>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</si>
  <si>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</si>
  <si>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</si>
  <si>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</si>
  <si>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</si>
  <si>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</si>
  <si>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</si>
  <si>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</si>
  <si>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</si>
  <si>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</si>
  <si>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</si>
  <si>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</si>
  <si>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</si>
  <si>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</si>
  <si>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</si>
  <si>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</si>
  <si>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</si>
  <si>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</si>
  <si>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</si>
  <si>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</si>
  <si>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</si>
  <si>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</si>
  <si>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</si>
  <si>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</si>
  <si>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</si>
  <si>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</si>
  <si>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</si>
  <si>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</si>
  <si>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</si>
  <si>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</si>
  <si>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</si>
  <si>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</si>
  <si>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</si>
  <si>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</si>
  <si>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</si>
  <si>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</si>
  <si>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</si>
  <si>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</si>
  <si>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</si>
  <si>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</si>
  <si>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</si>
  <si>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</si>
  <si>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</si>
  <si>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</si>
  <si>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</si>
  <si>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</si>
  <si>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</si>
  <si>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</si>
  <si>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</si>
  <si>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</si>
  <si>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</si>
  <si>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</si>
  <si>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</si>
  <si>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</si>
  <si>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</si>
  <si>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</si>
  <si>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</si>
  <si>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</si>
  <si>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</si>
  <si>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</si>
  <si>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</si>
  <si>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</si>
  <si>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</si>
  <si>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</si>
  <si>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</si>
  <si>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</si>
  <si>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</si>
  <si>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</si>
  <si>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</si>
  <si>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</si>
  <si>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</si>
  <si>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</si>
  <si>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</si>
  <si>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</si>
  <si>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</si>
  <si>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</si>
  <si>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</si>
  <si>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</si>
  <si>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</si>
  <si>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</si>
  <si>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</si>
  <si>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</si>
  <si>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</si>
  <si>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</si>
  <si>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</si>
  <si>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</si>
  <si>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</si>
  <si>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</si>
  <si>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</si>
  <si>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</si>
  <si>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</si>
  <si>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</si>
  <si>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</si>
  <si>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</si>
  <si>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</si>
  <si>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</si>
  <si>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</si>
  <si>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</si>
  <si>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</si>
  <si>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</si>
  <si>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</si>
  <si>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</si>
  <si>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</si>
  <si>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</si>
  <si>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</si>
  <si>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</si>
  <si>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</si>
  <si>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</si>
  <si>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</si>
  <si>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</si>
  <si>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</si>
  <si>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</si>
  <si>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</si>
  <si>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</si>
  <si>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</si>
  <si>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</si>
  <si>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</si>
  <si>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</si>
  <si>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</si>
  <si>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</si>
  <si>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</si>
  <si>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</si>
  <si>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</si>
  <si>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</si>
  <si>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</si>
  <si>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</si>
  <si>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</si>
  <si>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</si>
  <si>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</si>
  <si>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</si>
  <si>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</si>
  <si>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</si>
  <si>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</si>
  <si>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</si>
  <si>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</si>
  <si>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</si>
  <si>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</si>
  <si>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</si>
  <si>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</si>
  <si>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</si>
  <si>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</si>
  <si>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</si>
  <si>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</si>
  <si>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</si>
  <si>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</si>
  <si>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</si>
  <si>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</si>
  <si>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</si>
  <si>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</si>
  <si>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</si>
  <si>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</si>
  <si>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</si>
  <si>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</si>
  <si>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</si>
  <si>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</si>
  <si>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</si>
  <si>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</si>
  <si>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</si>
  <si>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</si>
  <si>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</si>
  <si>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</si>
  <si>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</si>
  <si>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</si>
  <si>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</si>
  <si>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</si>
  <si>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</si>
  <si>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</si>
  <si>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</si>
  <si>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</si>
  <si>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</si>
  <si>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</si>
  <si>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</si>
  <si>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</si>
  <si>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</si>
  <si>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</si>
  <si>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</si>
  <si>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</si>
  <si>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</si>
  <si>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</si>
  <si>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</si>
  <si>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</si>
  <si>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</si>
  <si>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</si>
  <si>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</si>
  <si>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</si>
  <si>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</si>
  <si>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</si>
  <si>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</si>
  <si>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</si>
  <si>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</si>
  <si>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</si>
  <si>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</si>
  <si>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</si>
  <si>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</si>
  <si>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</si>
  <si>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</si>
  <si>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</si>
  <si>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</si>
  <si>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</si>
  <si>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</si>
  <si>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</si>
  <si>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</si>
  <si>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</si>
  <si>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</si>
  <si>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</si>
  <si>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</si>
  <si>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</si>
  <si>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</si>
  <si>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</si>
  <si>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</si>
  <si>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</si>
  <si>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</si>
  <si>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</si>
  <si>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</si>
  <si>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</si>
  <si>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</si>
  <si>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</si>
  <si>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</si>
  <si>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</si>
  <si>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</si>
  <si>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</si>
  <si>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</si>
  <si>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</si>
  <si>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</si>
  <si>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</si>
  <si>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</si>
  <si>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</si>
  <si>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</si>
  <si>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</si>
  <si>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</si>
  <si>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</si>
  <si>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</si>
  <si>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</si>
  <si>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</si>
  <si>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</si>
  <si>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</si>
  <si>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</si>
  <si>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</si>
  <si>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</si>
  <si>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</si>
  <si>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</si>
  <si>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</si>
  <si>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</si>
  <si>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</si>
  <si>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</si>
  <si>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</si>
  <si>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</si>
  <si>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</si>
  <si>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</si>
  <si>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</si>
  <si>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</si>
  <si>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</si>
  <si>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</si>
  <si>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</si>
  <si>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</si>
  <si>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</si>
  <si>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</si>
  <si>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</si>
  <si>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</si>
  <si>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</si>
  <si>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</si>
  <si>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</si>
  <si>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</si>
  <si>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</si>
  <si>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</si>
  <si>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</si>
  <si>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</si>
  <si>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</si>
  <si>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</si>
  <si>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</si>
  <si>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</si>
  <si>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</si>
  <si>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</si>
  <si>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</si>
  <si>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</si>
  <si>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</si>
  <si>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</si>
  <si>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</si>
  <si>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</si>
  <si>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</si>
  <si>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</si>
  <si>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</si>
  <si>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</si>
  <si>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</si>
  <si>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</si>
  <si>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</si>
  <si>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</si>
  <si>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</si>
  <si>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</si>
  <si>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</si>
  <si>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</si>
  <si>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</si>
  <si>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</si>
  <si>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</si>
  <si>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</si>
  <si>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</si>
  <si>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</si>
  <si>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</si>
  <si>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</si>
  <si>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</si>
  <si>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</si>
  <si>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</si>
  <si>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</si>
  <si>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</si>
  <si>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</si>
  <si>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</si>
  <si>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</si>
  <si>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</si>
  <si>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</si>
  <si>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</si>
  <si>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</si>
  <si>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</si>
  <si>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</si>
  <si>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</si>
  <si>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</si>
  <si>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</si>
  <si>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</si>
  <si>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</si>
  <si>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</si>
  <si>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</si>
  <si>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</si>
  <si>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</si>
  <si>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</si>
  <si>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</si>
  <si>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</si>
  <si>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</si>
  <si>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</si>
  <si>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</si>
  <si>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</si>
  <si>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</si>
  <si>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</si>
  <si>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</si>
  <si>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</si>
  <si>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</si>
  <si>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</si>
  <si>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</si>
  <si>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</si>
  <si>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</si>
  <si>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</si>
  <si>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</si>
  <si>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</si>
  <si>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</si>
  <si>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</si>
  <si>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</si>
  <si>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</si>
  <si>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</si>
  <si>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</si>
  <si>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</si>
  <si>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</si>
  <si>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</si>
  <si>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</si>
  <si>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</si>
  <si>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</si>
  <si>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</si>
  <si>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</si>
  <si>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</si>
  <si>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</si>
  <si>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</si>
  <si>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</si>
  <si>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</si>
  <si>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</si>
  <si>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</si>
  <si>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</si>
  <si>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</si>
  <si>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</si>
  <si>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</si>
  <si>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</si>
  <si>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</si>
  <si>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</si>
  <si>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</si>
  <si>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</si>
  <si>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</si>
  <si>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</si>
  <si>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</si>
  <si>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</si>
  <si>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</si>
  <si>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</si>
  <si>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</si>
  <si>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</si>
  <si>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</si>
  <si>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</si>
  <si>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</si>
  <si>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</si>
  <si>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</si>
  <si>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</si>
  <si>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</si>
  <si>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</si>
  <si>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</si>
  <si>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</si>
  <si>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</si>
  <si>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</si>
  <si>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</si>
  <si>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</si>
  <si>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</si>
  <si>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</si>
  <si>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</si>
  <si>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</si>
  <si>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</si>
  <si>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</si>
  <si>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</si>
  <si>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</si>
  <si>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</si>
  <si>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</si>
  <si>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</si>
  <si>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</si>
  <si>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</si>
  <si>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</si>
  <si>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</si>
  <si>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</si>
  <si>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</si>
  <si>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</si>
  <si>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</si>
  <si>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</si>
  <si>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</si>
  <si>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</si>
  <si>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</si>
  <si>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</si>
  <si>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</si>
  <si>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</si>
  <si>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</si>
  <si>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</si>
  <si>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</si>
  <si>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</si>
  <si>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</si>
  <si>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</si>
  <si>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</si>
  <si>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</si>
  <si>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</si>
  <si>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</si>
  <si>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</si>
  <si>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</si>
  <si>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</si>
  <si>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</si>
  <si>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</si>
  <si>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</si>
  <si>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</si>
  <si>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</si>
  <si>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</si>
  <si>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</si>
  <si>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</si>
  <si>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</si>
  <si>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</si>
  <si>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</si>
  <si>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</si>
  <si>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</si>
  <si>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</si>
  <si>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</si>
  <si>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</si>
  <si>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</si>
  <si>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</si>
  <si>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</si>
  <si>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</si>
  <si>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</si>
  <si>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</si>
  <si>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</si>
  <si>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</si>
  <si>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</si>
  <si>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</si>
  <si>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</si>
  <si>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</si>
  <si>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</si>
  <si>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</si>
  <si>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</si>
  <si>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</si>
  <si>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</si>
  <si>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</si>
  <si>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</si>
  <si>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</si>
  <si>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</si>
  <si>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</si>
  <si>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</si>
  <si>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</si>
  <si>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</si>
  <si>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</si>
  <si>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</si>
  <si>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</si>
  <si>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</si>
  <si>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</si>
  <si>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</si>
  <si>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</si>
  <si>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</si>
  <si>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</si>
  <si>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</si>
  <si>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</si>
  <si>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</si>
  <si>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</si>
  <si>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</si>
  <si>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</si>
  <si>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</si>
  <si>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</si>
  <si>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</si>
  <si>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</si>
  <si>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</si>
  <si>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</si>
  <si>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</si>
  <si>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</si>
  <si>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</si>
  <si>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</si>
  <si>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</si>
  <si>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</si>
  <si>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</si>
  <si>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</si>
  <si>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</si>
  <si>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</si>
  <si>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</si>
  <si>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</si>
  <si>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</si>
  <si>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</si>
  <si>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</si>
  <si>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</si>
  <si>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</si>
  <si>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</si>
  <si>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</si>
  <si>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</si>
  <si>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</si>
  <si>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</si>
  <si>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</si>
  <si>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</si>
  <si>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</si>
  <si>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</si>
  <si>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</si>
  <si>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</si>
  <si>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</si>
  <si>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</si>
  <si>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</si>
  <si>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</si>
  <si>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</si>
  <si>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</si>
  <si>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</si>
  <si>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</si>
  <si>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</si>
  <si>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</si>
  <si>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</si>
  <si>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</si>
  <si>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</si>
  <si>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</si>
  <si>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</si>
  <si>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</si>
  <si>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</si>
  <si>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</si>
  <si>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</si>
  <si>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</si>
  <si>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</si>
  <si>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</si>
  <si>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</si>
  <si>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</si>
  <si>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</si>
  <si>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</si>
  <si>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</si>
  <si>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</si>
  <si>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</si>
  <si>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</si>
  <si>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</si>
  <si>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</si>
  <si>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</si>
  <si>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</si>
  <si>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</si>
  <si>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</si>
  <si>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</si>
  <si>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</si>
  <si>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</si>
  <si>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</si>
  <si>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</si>
  <si>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</si>
  <si>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</si>
  <si>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</si>
  <si>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</si>
  <si>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</si>
  <si>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</si>
  <si>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</si>
  <si>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</si>
  <si>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</si>
  <si>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</si>
  <si>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</si>
  <si>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</si>
  <si>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</si>
  <si>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</si>
  <si>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</si>
  <si>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</si>
  <si>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</si>
  <si>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</si>
  <si>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</si>
  <si>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</si>
  <si>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</si>
  <si>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</si>
  <si>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</si>
  <si>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</si>
  <si>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</si>
  <si>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</si>
  <si>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</si>
  <si>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</si>
  <si>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</si>
  <si>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</si>
  <si>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</si>
  <si>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</si>
  <si>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</si>
  <si>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</si>
  <si>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</si>
  <si>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</si>
  <si>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</si>
  <si>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</si>
  <si>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</si>
  <si>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</si>
  <si>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</si>
  <si>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</si>
  <si>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</si>
  <si>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</si>
  <si>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</si>
  <si>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</si>
  <si>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</si>
  <si>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</si>
  <si>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</si>
  <si>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</si>
  <si>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</si>
  <si>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</si>
  <si>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</si>
  <si>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</si>
  <si>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</si>
  <si>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</si>
  <si>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</si>
  <si>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</si>
  <si>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</si>
  <si>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</si>
  <si>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</si>
  <si>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</si>
  <si>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</si>
  <si>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</si>
  <si>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</si>
  <si>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</si>
  <si>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</si>
  <si>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</si>
  <si>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</si>
  <si>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</si>
  <si>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</si>
  <si>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</si>
  <si>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</si>
  <si>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</si>
  <si>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</si>
  <si>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</si>
  <si>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</si>
  <si>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</si>
  <si>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</si>
  <si>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</si>
  <si>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</si>
  <si>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</si>
  <si>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</si>
  <si>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</si>
  <si>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</si>
  <si>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</si>
  <si>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</si>
  <si>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</si>
  <si>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</si>
  <si>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</si>
  <si>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</si>
  <si>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</si>
  <si>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</si>
  <si>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</si>
  <si>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</si>
  <si>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</si>
  <si>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</si>
  <si>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</si>
  <si>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</si>
  <si>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</si>
  <si>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</si>
  <si>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</si>
  <si>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</si>
  <si>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</si>
  <si>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</si>
  <si>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</si>
  <si>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</si>
  <si>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</si>
  <si>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</si>
  <si>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</si>
  <si>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</si>
  <si>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</si>
  <si>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</si>
  <si>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</si>
  <si>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</si>
  <si>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</si>
  <si>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</si>
  <si>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</si>
  <si>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</si>
  <si>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</si>
  <si>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</si>
  <si>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</si>
  <si>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</si>
  <si>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</si>
  <si>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</si>
  <si>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</si>
  <si>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</si>
  <si>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</si>
  <si>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</si>
  <si>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</si>
  <si>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</si>
  <si>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</si>
  <si>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</si>
  <si>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</si>
  <si>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</si>
  <si>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</si>
  <si>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</si>
  <si>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</si>
  <si>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</si>
  <si>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</si>
  <si>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</si>
  <si>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</si>
  <si>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</si>
  <si>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</si>
  <si>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</si>
  <si>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</si>
  <si>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</si>
  <si>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</si>
  <si>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</si>
  <si>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</si>
  <si>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</si>
  <si>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</si>
  <si>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</si>
  <si>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</si>
  <si>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</si>
  <si>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</si>
  <si>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</si>
  <si>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</si>
  <si>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</si>
  <si>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</si>
  <si>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</si>
  <si>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</si>
  <si>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</si>
  <si>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</si>
  <si>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</si>
  <si>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</si>
  <si>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</si>
  <si>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</si>
  <si>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</si>
  <si>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</si>
  <si>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</si>
  <si>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</si>
  <si>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</si>
  <si>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</si>
  <si>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</si>
  <si>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</si>
  <si>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</si>
  <si>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</si>
  <si>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</si>
  <si>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</si>
  <si>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</si>
  <si>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</si>
  <si>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</si>
  <si>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</si>
  <si>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</si>
  <si>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</si>
  <si>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</si>
  <si>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</si>
  <si>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</si>
  <si>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</si>
  <si>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</si>
  <si>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</si>
  <si>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</si>
  <si>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</si>
  <si>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</si>
  <si>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</si>
  <si>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</si>
  <si>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</si>
  <si>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</si>
  <si>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</si>
  <si>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</si>
  <si>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</si>
  <si>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</si>
  <si>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</si>
  <si>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</si>
  <si>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</si>
  <si>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</si>
  <si>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</si>
  <si>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</si>
  <si>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</si>
  <si>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</si>
  <si>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</si>
  <si>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</si>
  <si>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</si>
  <si>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</si>
  <si>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</si>
  <si>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</si>
  <si>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</si>
  <si>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</si>
  <si>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</si>
  <si>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</si>
  <si>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</si>
  <si>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</si>
  <si>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</si>
  <si>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</si>
  <si>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</si>
  <si>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</si>
  <si>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</si>
  <si>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</si>
  <si>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</si>
  <si>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</si>
  <si>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</si>
  <si>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</si>
  <si>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</si>
  <si>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</si>
  <si>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</si>
  <si>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</si>
  <si>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</si>
  <si>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</si>
  <si>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</si>
  <si>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</si>
  <si>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</si>
  <si>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</si>
  <si>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</si>
  <si>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</si>
  <si>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</si>
  <si>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</si>
  <si>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</si>
  <si>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</si>
  <si>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</si>
  <si>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</si>
  <si>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</si>
  <si>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</si>
  <si>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</si>
  <si>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</si>
  <si>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</si>
  <si>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</si>
  <si>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</si>
  <si>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</si>
  <si>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</si>
  <si>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</si>
  <si>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</si>
  <si>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</si>
  <si>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</si>
  <si>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</si>
  <si>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</si>
  <si>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</si>
  <si>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</si>
  <si>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</si>
  <si>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</si>
  <si>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</si>
  <si>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</si>
  <si>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</si>
  <si>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</si>
  <si>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</si>
  <si>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</si>
  <si>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</si>
  <si>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</si>
  <si>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</si>
  <si>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</si>
  <si>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</si>
  <si>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</si>
  <si>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</si>
  <si>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</si>
  <si>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</si>
  <si>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</si>
  <si>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</si>
  <si>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</si>
  <si>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</si>
  <si>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</si>
  <si>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</si>
  <si>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</si>
  <si>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</si>
  <si>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</si>
  <si>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</si>
  <si>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</si>
  <si>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</si>
  <si>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</si>
  <si>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</si>
  <si>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</si>
  <si>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</si>
  <si>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</si>
  <si>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</si>
  <si>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</si>
  <si>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</si>
  <si>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</si>
  <si>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</si>
  <si>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</si>
  <si>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</si>
  <si>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</si>
  <si>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</si>
  <si>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</si>
  <si>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</si>
  <si>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</si>
  <si>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</si>
  <si>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</si>
  <si>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</si>
  <si>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</si>
  <si>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</si>
  <si>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</si>
  <si>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</si>
  <si>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</si>
  <si>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</si>
  <si>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</si>
  <si>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</si>
  <si>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</si>
  <si>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</si>
  <si>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</si>
  <si>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</si>
  <si>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</si>
  <si>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</si>
  <si>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</si>
  <si>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</si>
  <si>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</si>
  <si>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</si>
  <si>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</si>
  <si>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</si>
  <si>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</si>
  <si>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</si>
  <si>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</si>
  <si>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</si>
  <si>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</si>
  <si>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</si>
  <si>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</si>
  <si>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</si>
  <si>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</si>
  <si>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</si>
  <si>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</si>
  <si>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</si>
  <si>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</si>
  <si>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</si>
  <si>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</si>
  <si>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</si>
  <si>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</si>
  <si>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</si>
  <si>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</si>
  <si>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</si>
  <si>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</si>
  <si>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</si>
  <si>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</si>
  <si>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</si>
  <si>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</si>
  <si>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</si>
  <si>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</si>
  <si>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</si>
  <si>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</si>
  <si>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</si>
  <si>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</si>
  <si>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</si>
  <si>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</si>
  <si>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</si>
  <si>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</si>
  <si>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</si>
  <si>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</si>
  <si>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</si>
  <si>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</si>
  <si>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</si>
  <si>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</si>
  <si>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</si>
  <si>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</si>
  <si>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</si>
  <si>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</si>
  <si>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</si>
  <si>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</si>
  <si>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</si>
  <si>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</si>
  <si>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</si>
  <si>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</si>
  <si>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</si>
  <si>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</si>
  <si>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</si>
  <si>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</si>
  <si>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</si>
  <si>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</si>
  <si>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</si>
  <si>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</si>
  <si>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</si>
  <si>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</si>
  <si>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</si>
  <si>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</si>
  <si>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</si>
  <si>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</si>
  <si>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</si>
  <si>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</si>
  <si>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</si>
  <si>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</si>
  <si>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</si>
  <si>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</si>
  <si>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</si>
  <si>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</si>
  <si>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</si>
  <si>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</si>
  <si>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</si>
  <si>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</si>
  <si>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</si>
  <si>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</si>
  <si>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</si>
  <si>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</si>
  <si>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</si>
  <si>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</si>
  <si>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</si>
  <si>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</si>
  <si>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</si>
  <si>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</si>
  <si>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</si>
  <si>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</si>
  <si>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</si>
  <si>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</si>
  <si>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</si>
  <si>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</si>
  <si>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</si>
  <si>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</si>
  <si>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</si>
  <si>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</si>
  <si>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</si>
  <si>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</si>
  <si>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</si>
  <si>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</si>
  <si>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</si>
  <si>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</si>
  <si>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</si>
  <si>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</si>
  <si>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</si>
  <si>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</si>
  <si>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</si>
  <si>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</si>
  <si>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</si>
  <si>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</si>
  <si>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</si>
  <si>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</si>
  <si>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</si>
  <si>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</si>
  <si>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</si>
  <si>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</si>
  <si>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</si>
  <si>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</si>
  <si>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</si>
  <si>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</si>
  <si>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</si>
  <si>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</si>
  <si>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</si>
  <si>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</si>
  <si>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</si>
  <si>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</si>
  <si>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</si>
  <si>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</si>
  <si>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</si>
  <si>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</si>
  <si>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</si>
  <si>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</si>
  <si>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</si>
  <si>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</si>
  <si>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</si>
  <si>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</si>
  <si>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</si>
  <si>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</si>
  <si>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</si>
  <si>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</si>
  <si>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</si>
  <si>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</si>
  <si>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</si>
  <si>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</si>
  <si>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</si>
  <si>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</si>
  <si>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</si>
  <si>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</si>
  <si>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</si>
  <si>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</si>
  <si>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</si>
  <si>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</si>
  <si>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</si>
  <si>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</si>
  <si>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</si>
  <si>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</si>
  <si>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</si>
  <si>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</si>
  <si>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</si>
  <si>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</si>
  <si>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</si>
  <si>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</si>
  <si>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</si>
  <si>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</si>
  <si>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</si>
  <si>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</si>
  <si>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</si>
  <si>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</si>
  <si>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</si>
  <si>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</si>
  <si>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</si>
  <si>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</si>
  <si>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</si>
  <si>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</si>
  <si>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</si>
  <si>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</si>
  <si>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</si>
  <si>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</si>
  <si>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</si>
  <si>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</si>
  <si>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</si>
  <si>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</si>
  <si>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</si>
  <si>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</si>
  <si>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</si>
  <si>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</si>
  <si>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</si>
  <si>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</si>
  <si>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</si>
  <si>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</si>
  <si>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</si>
  <si>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</si>
  <si>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</si>
  <si>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</si>
  <si>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</si>
  <si>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</si>
  <si>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</si>
  <si>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</si>
  <si>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</si>
  <si>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</si>
  <si>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</si>
  <si>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</si>
  <si>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</si>
  <si>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</si>
  <si>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</si>
  <si>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</si>
  <si>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</si>
  <si>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</si>
  <si>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</si>
  <si>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</si>
  <si>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</si>
  <si>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</si>
  <si>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</si>
  <si>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</si>
  <si>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</si>
  <si>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</si>
  <si>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</si>
  <si>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</si>
  <si>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</si>
  <si>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</si>
  <si>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</si>
  <si>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</si>
  <si>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</si>
  <si>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</si>
  <si>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</si>
  <si>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</si>
  <si>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</si>
  <si>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</si>
  <si>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</si>
  <si>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</si>
  <si>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</si>
  <si>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</si>
  <si>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</si>
  <si>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</si>
  <si>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</si>
  <si>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</si>
  <si>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</si>
  <si>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</si>
  <si>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</si>
  <si>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</si>
  <si>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</si>
  <si>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</si>
  <si>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</si>
  <si>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</si>
  <si>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</si>
  <si>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</si>
  <si>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</si>
  <si>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</si>
  <si>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</si>
  <si>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</si>
  <si>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</si>
  <si>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</si>
  <si>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</si>
  <si>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</si>
  <si>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</si>
  <si>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</si>
  <si>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</si>
  <si>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</si>
  <si>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</si>
  <si>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</si>
  <si>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</si>
  <si>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</si>
  <si>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</si>
  <si>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</si>
  <si>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</si>
  <si>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</si>
  <si>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</si>
  <si>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</si>
  <si>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</si>
  <si>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</si>
  <si>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</si>
  <si>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</si>
  <si>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</si>
  <si>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</si>
  <si>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</si>
  <si>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</si>
  <si>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</si>
  <si>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</si>
  <si>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</si>
  <si>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</si>
  <si>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</si>
  <si>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</si>
  <si>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</si>
  <si>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</si>
  <si>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</si>
  <si>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</si>
  <si>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</si>
  <si>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</si>
  <si>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</si>
  <si>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</si>
  <si>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</si>
  <si>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</si>
  <si>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</si>
  <si>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</si>
  <si>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</si>
  <si>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</si>
  <si>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</si>
  <si>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</si>
  <si>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</si>
  <si>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</si>
  <si>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</si>
  <si>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</si>
  <si>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</si>
  <si>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</si>
  <si>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</si>
  <si>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</si>
  <si>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</si>
  <si>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</si>
  <si>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</si>
  <si>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</si>
  <si>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</si>
  <si>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</si>
  <si>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</si>
  <si>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</si>
  <si>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</si>
  <si>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</si>
  <si>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</si>
  <si>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</si>
  <si>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</si>
  <si>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</si>
  <si>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</si>
  <si>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</si>
  <si>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</si>
  <si>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</si>
  <si>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</si>
  <si>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</si>
  <si>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</si>
  <si>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</si>
  <si>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</si>
  <si>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</si>
  <si>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</si>
  <si>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</si>
  <si>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</si>
  <si>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</si>
  <si>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</si>
  <si>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</si>
  <si>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</si>
  <si>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</si>
  <si>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</si>
  <si>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</si>
  <si>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</si>
  <si>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</si>
  <si>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</si>
  <si>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</si>
  <si>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</si>
  <si>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</si>
  <si>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</si>
  <si>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</si>
  <si>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</si>
  <si>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</si>
  <si>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</si>
  <si>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</si>
  <si>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</si>
  <si>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</si>
  <si>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</si>
  <si>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</si>
  <si>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</si>
  <si>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</si>
  <si>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</si>
  <si>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</si>
  <si>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</si>
  <si>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</si>
  <si>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</si>
  <si>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</si>
  <si>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</si>
  <si>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</si>
  <si>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</si>
  <si>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</si>
  <si>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</si>
  <si>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</si>
  <si>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</si>
  <si>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</si>
  <si>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</si>
  <si>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</si>
  <si>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</si>
  <si>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</si>
  <si>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</si>
  <si>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</si>
  <si>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</si>
  <si>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</si>
  <si>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</si>
  <si>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</si>
  <si>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</si>
  <si>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</si>
  <si>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</si>
  <si>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</si>
  <si>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</si>
  <si>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</si>
  <si>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</si>
  <si>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</si>
  <si>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</si>
  <si>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</si>
  <si>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</si>
  <si>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</si>
  <si>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</si>
  <si>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</si>
  <si>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</si>
  <si>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</si>
  <si>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</si>
  <si>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</si>
  <si>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</si>
  <si>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</si>
  <si>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</si>
  <si>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</si>
  <si>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</si>
  <si>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</si>
  <si>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</si>
  <si>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</si>
  <si>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</si>
  <si>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</si>
  <si>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</si>
  <si>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</si>
  <si>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</si>
  <si>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</si>
  <si>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</si>
  <si>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</si>
  <si>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</si>
  <si>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</si>
  <si>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</si>
  <si>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</si>
  <si>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</si>
  <si>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</si>
  <si>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</si>
  <si>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</si>
  <si>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</si>
  <si>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</si>
  <si>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</si>
  <si>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</si>
  <si>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</si>
  <si>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</si>
  <si>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</si>
  <si>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</si>
  <si>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</si>
  <si>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</si>
  <si>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</si>
  <si>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</si>
  <si>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</si>
  <si>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</si>
  <si>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</si>
  <si>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</si>
  <si>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</si>
  <si>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</si>
  <si>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</si>
  <si>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</si>
  <si>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</si>
  <si>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</si>
  <si>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</si>
  <si>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</si>
  <si>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</si>
  <si>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</si>
  <si>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</si>
  <si>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</si>
  <si>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</si>
  <si>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</si>
  <si>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</si>
  <si>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</si>
  <si>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</si>
  <si>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</si>
  <si>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</si>
  <si>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</si>
  <si>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</si>
  <si>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</si>
  <si>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</si>
  <si>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</si>
  <si>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</si>
  <si>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</si>
  <si>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</si>
  <si>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</si>
  <si>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</si>
  <si>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</si>
  <si>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</si>
  <si>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</si>
  <si>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</si>
  <si>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</si>
  <si>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</si>
  <si>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</si>
  <si>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</si>
  <si>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</si>
  <si>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</si>
  <si>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</si>
  <si>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</si>
  <si>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</si>
  <si>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</si>
  <si>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</si>
  <si>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</si>
  <si>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</si>
  <si>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</si>
  <si>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</si>
  <si>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</si>
  <si>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</si>
  <si>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</si>
  <si>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</si>
  <si>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</si>
  <si>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</si>
  <si>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</si>
  <si>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</si>
  <si>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</si>
  <si>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</si>
  <si>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</si>
  <si>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</si>
  <si>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</si>
  <si>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</si>
  <si>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</si>
  <si>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</si>
  <si>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</si>
  <si>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</si>
  <si>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</si>
  <si>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</si>
  <si>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</si>
  <si>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</si>
  <si>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</si>
  <si>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</si>
  <si>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</si>
  <si>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</si>
  <si>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</si>
  <si>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</si>
  <si>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</si>
  <si>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</si>
  <si>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</si>
  <si>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</si>
  <si>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</si>
  <si>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</si>
  <si>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</si>
  <si>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</si>
  <si>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</si>
  <si>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</si>
  <si>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</si>
  <si>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</si>
  <si>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</si>
  <si>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</si>
  <si>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</si>
  <si>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</si>
  <si>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</si>
  <si>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</si>
  <si>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</si>
  <si>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</si>
  <si>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</si>
  <si>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</si>
  <si>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</si>
  <si>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</si>
  <si>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</si>
  <si>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</si>
  <si>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</si>
  <si>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</si>
  <si>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</si>
  <si>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</si>
  <si>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</si>
  <si>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</si>
  <si>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</si>
  <si>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</si>
  <si>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</si>
  <si>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</si>
  <si>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</si>
  <si>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</si>
  <si>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</si>
  <si>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</si>
  <si>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</si>
  <si>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</si>
  <si>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</si>
  <si>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</si>
  <si>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</si>
  <si>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</si>
  <si>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</si>
  <si>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</si>
  <si>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</si>
  <si>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</si>
  <si>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</si>
  <si>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</si>
  <si>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</si>
  <si>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</si>
  <si>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</si>
  <si>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</si>
  <si>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</si>
  <si>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</si>
  <si>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</si>
  <si>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</si>
  <si>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</si>
  <si>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</si>
  <si>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</si>
  <si>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</si>
  <si>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</si>
  <si>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</si>
  <si>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</si>
  <si>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</si>
  <si>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</si>
  <si>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</si>
  <si>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</si>
  <si>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</si>
  <si>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</si>
  <si>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</si>
  <si>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</si>
  <si>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</si>
  <si>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</si>
  <si>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</si>
  <si>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</si>
  <si>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</si>
  <si>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</si>
  <si>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</si>
  <si>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</si>
  <si>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</si>
  <si>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</si>
  <si>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</si>
  <si>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</si>
  <si>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</si>
  <si>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</si>
  <si>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</si>
  <si>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</si>
  <si>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</si>
  <si>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</si>
  <si>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</si>
  <si>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</si>
  <si>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</si>
  <si>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</si>
  <si>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</si>
  <si>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</si>
  <si>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</si>
  <si>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</si>
  <si>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</si>
  <si>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</si>
  <si>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</si>
  <si>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</si>
  <si>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</si>
  <si>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</si>
  <si>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</si>
  <si>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</si>
  <si>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</si>
  <si>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</si>
  <si>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</si>
  <si>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</si>
  <si>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</si>
  <si>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</si>
  <si>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</si>
  <si>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</si>
  <si>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</si>
  <si>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</si>
  <si>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</si>
  <si>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</si>
  <si>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</si>
  <si>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</si>
  <si>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</si>
  <si>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</si>
  <si>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</si>
  <si>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</si>
  <si>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</si>
  <si>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</si>
  <si>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</si>
  <si>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</si>
  <si>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</si>
  <si>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</si>
  <si>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</si>
  <si>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</si>
  <si>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</si>
  <si>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</si>
  <si>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</si>
  <si>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</si>
  <si>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</si>
  <si>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</si>
  <si>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</si>
  <si>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</si>
  <si>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</si>
  <si>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</si>
  <si>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</si>
  <si>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</si>
  <si>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</si>
  <si>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</si>
  <si>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</si>
  <si>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</si>
  <si>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</si>
  <si>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</si>
  <si>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</si>
  <si>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</si>
  <si>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</si>
  <si>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</si>
  <si>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</si>
  <si>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</si>
  <si>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</si>
  <si>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</si>
  <si>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</si>
  <si>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</si>
  <si>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</si>
  <si>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</si>
  <si>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</si>
  <si>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</si>
  <si>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</si>
  <si>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</si>
  <si>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</si>
  <si>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</si>
  <si>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</si>
  <si>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</si>
  <si>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</si>
  <si>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</si>
  <si>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</si>
  <si>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</si>
  <si>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</si>
  <si>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</si>
  <si>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</si>
  <si>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</si>
  <si>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</si>
  <si>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</si>
  <si>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</si>
  <si>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</si>
  <si>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</si>
  <si>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</si>
  <si>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</si>
  <si>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</si>
  <si>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</si>
  <si>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</si>
  <si>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</si>
  <si>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</si>
  <si>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</si>
  <si>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</si>
  <si>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</si>
  <si>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</si>
  <si>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</si>
  <si>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</si>
  <si>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</si>
  <si>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</si>
  <si>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</si>
  <si>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</si>
  <si>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</si>
  <si>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</si>
  <si>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</si>
  <si>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</si>
  <si>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</si>
  <si>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</si>
  <si>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</si>
  <si>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</si>
  <si>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</si>
  <si>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</si>
  <si>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</si>
  <si>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</si>
  <si>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</si>
  <si>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</si>
  <si>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</si>
  <si>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</si>
  <si>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</si>
  <si>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</si>
  <si>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</si>
  <si>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</si>
  <si>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</si>
  <si>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</si>
  <si>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</si>
  <si>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</si>
  <si>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</si>
  <si>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</si>
  <si>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</si>
  <si>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</si>
  <si>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</si>
  <si>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</si>
  <si>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</si>
  <si>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</si>
  <si>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</si>
  <si>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</si>
  <si>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</si>
  <si>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</si>
  <si>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</si>
  <si>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</si>
  <si>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</si>
  <si>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</si>
  <si>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</si>
  <si>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</si>
  <si>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</si>
  <si>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</si>
  <si>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</si>
  <si>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</si>
  <si>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</si>
  <si>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</si>
  <si>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</si>
  <si>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</si>
  <si>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</si>
  <si>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</si>
  <si>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</si>
  <si>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</si>
  <si>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</si>
  <si>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</si>
  <si>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</si>
  <si>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</si>
  <si>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</si>
  <si>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</si>
  <si>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</si>
  <si>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</si>
  <si>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</si>
  <si>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</si>
  <si>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</si>
  <si>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</si>
  <si>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</si>
  <si>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</si>
  <si>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</si>
  <si>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</si>
  <si>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</si>
  <si>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</si>
  <si>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</si>
  <si>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</si>
  <si>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</si>
  <si>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</si>
  <si>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</si>
  <si>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</si>
  <si>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</si>
  <si>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</si>
  <si>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</si>
  <si>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</si>
  <si>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</si>
  <si>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</si>
  <si>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</si>
  <si>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</si>
  <si>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</si>
  <si>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</si>
  <si>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</si>
  <si>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</si>
  <si>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</si>
  <si>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</si>
  <si>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</si>
  <si>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</si>
  <si>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</si>
  <si>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</si>
  <si>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</si>
  <si>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</si>
  <si>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</si>
  <si>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</si>
  <si>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</si>
  <si>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</si>
  <si>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</si>
  <si>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</si>
  <si>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</si>
  <si>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</si>
  <si>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</si>
  <si>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</si>
  <si>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</si>
  <si>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</si>
  <si>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</si>
  <si>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</si>
  <si>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</si>
  <si>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</si>
  <si>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</si>
  <si>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</si>
  <si>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</si>
  <si>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</si>
  <si>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</si>
  <si>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</si>
  <si>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</si>
  <si>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</si>
  <si>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</si>
  <si>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</si>
  <si>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</si>
  <si>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</si>
  <si>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</si>
  <si>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</si>
  <si>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</si>
  <si>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</si>
  <si>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</si>
  <si>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</si>
  <si>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</si>
  <si>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</si>
  <si>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</si>
  <si>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</si>
  <si>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</si>
  <si>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</si>
  <si>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</si>
  <si>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</si>
  <si>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</si>
  <si>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</si>
  <si>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</si>
  <si>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</si>
  <si>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</si>
  <si>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</si>
  <si>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</si>
  <si>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</si>
  <si>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</si>
  <si>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</si>
  <si>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</si>
  <si>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</si>
  <si>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</si>
  <si>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</si>
  <si>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</si>
  <si>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</si>
  <si>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</si>
  <si>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</si>
  <si>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</si>
  <si>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</si>
  <si>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</si>
  <si>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</si>
  <si>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</si>
  <si>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</si>
  <si>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</si>
  <si>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</si>
  <si>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</si>
  <si>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</si>
  <si>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</si>
  <si>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</si>
  <si>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</si>
  <si>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VIRGINIA GONZÁLEZ ORFILA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</si>
  <si>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</si>
  <si>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</si>
  <si>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</si>
  <si>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</si>
  <si>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</si>
  <si>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</si>
  <si>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</si>
  <si>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</si>
  <si>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</si>
  <si>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</si>
  <si>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</si>
  <si>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 xml:space="preserve">SALTA </t>
  </si>
  <si>
    <t>SALTA CAPITAL</t>
  </si>
  <si>
    <t>PASAJE LETT 4059 ,BARRIO ALVEAR</t>
  </si>
  <si>
    <t xml:space="preserve">SANTA FE </t>
  </si>
  <si>
    <t>09. Negro</t>
  </si>
  <si>
    <t>MANUEL BELGRANO 495 (SUCURSAL CORREO )</t>
  </si>
  <si>
    <t xml:space="preserve">ALDERETES </t>
  </si>
  <si>
    <t>GO CUOTAS</t>
  </si>
  <si>
    <t xml:space="preserve">SAN MARTIN DE LOS ANDES 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</si>
  <si>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</si>
  <si>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</si>
  <si>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</si>
  <si>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</si>
  <si>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</si>
  <si>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</si>
  <si>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</si>
  <si>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</si>
  <si>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</si>
  <si>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</si>
  <si>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</si>
  <si>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</si>
  <si>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</si>
  <si>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</si>
  <si>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</si>
  <si>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</si>
  <si>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</si>
  <si>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</si>
  <si>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</si>
  <si>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</si>
  <si>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</si>
  <si>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</si>
  <si>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</si>
  <si>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</si>
  <si>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</si>
  <si>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</si>
  <si>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</si>
  <si>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</si>
  <si>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</si>
  <si>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</si>
  <si>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</si>
  <si>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</si>
  <si>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</si>
  <si>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</si>
  <si>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</si>
  <si>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30-44455</t>
  </si>
  <si>
    <t>30-7895</t>
  </si>
  <si>
    <t>30-44456</t>
  </si>
  <si>
    <t>MALVINAS ARGENTINAS 3244 - 2° B</t>
  </si>
  <si>
    <t>21-45687</t>
  </si>
  <si>
    <t>465-654931</t>
  </si>
  <si>
    <t>9832165432165464987</t>
  </si>
  <si>
    <t>1140589810</t>
  </si>
  <si>
    <t>OCAMPO JOSE LUIS  - DNI/CUIT: 33105934 - CP 2600 - Santa Fe</t>
  </si>
  <si>
    <t xml:space="preserve">ESTAMP. </t>
  </si>
  <si>
    <t xml:space="preserve">ABR.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</si>
</sst>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left" vertical="center" wrapText="1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0</xdr:row>
          <xdr:rowOff>57150</xdr:rowOff>
        </xdr:from>
        <xdr:to>
          <xdr:col>15</xdr:col>
          <xdr:colOff>1514475</xdr:colOff>
          <xdr:row>0</xdr:row>
          <xdr:rowOff>342900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R1" zoomScaleNormal="100" workbookViewId="0">
      <pane ySplit="1" topLeftCell="A2" activePane="bottomLeft" state="frozen"/>
      <selection pane="bottomLeft" activeCell="W5" sqref="W5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1" t="s">
        <v>7925</v>
      </c>
      <c r="B1" s="221" t="s">
        <v>14146</v>
      </c>
      <c r="C1" s="221" t="s">
        <v>14144</v>
      </c>
      <c r="D1" s="222" t="s">
        <v>14197</v>
      </c>
      <c r="E1" s="221" t="s">
        <v>14193</v>
      </c>
      <c r="F1" s="221" t="s">
        <v>7696</v>
      </c>
      <c r="G1" s="221" t="s">
        <v>14194</v>
      </c>
      <c r="H1" s="221" t="s">
        <v>14196</v>
      </c>
      <c r="I1" s="221" t="s">
        <v>14195</v>
      </c>
      <c r="J1" s="221" t="s">
        <v>14198</v>
      </c>
      <c r="K1" s="221" t="s">
        <v>14199</v>
      </c>
      <c r="L1" s="221" t="s">
        <v>14200</v>
      </c>
      <c r="M1" s="221" t="s">
        <v>14201</v>
      </c>
      <c r="N1" s="171" t="s">
        <v>14204</v>
      </c>
      <c r="O1" s="171" t="s">
        <v>14203</v>
      </c>
      <c r="P1" s="218" t="s">
        <v>14202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14150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/>
      <c r="I2" s="126">
        <v>1815</v>
      </c>
      <c r="J2" s="113">
        <v>61830126369</v>
      </c>
      <c r="K2" s="196" t="s">
        <v>14206</v>
      </c>
      <c r="L2" s="118">
        <v>27571260</v>
      </c>
      <c r="M2" s="113" t="s">
        <v>13405</v>
      </c>
      <c r="N2" s="113">
        <v>3</v>
      </c>
      <c r="O2" s="219" t="s">
        <v>14186</v>
      </c>
      <c r="P2" s="219" t="s">
        <v>14185</v>
      </c>
      <c r="Q2" s="113" t="s">
        <v>14161</v>
      </c>
      <c r="R2" s="196">
        <v>3874062789</v>
      </c>
      <c r="S2" s="119">
        <v>4400</v>
      </c>
      <c r="T2" s="119" t="s">
        <v>14162</v>
      </c>
      <c r="U2" s="113" t="s">
        <v>7947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14151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/>
      <c r="I3" s="126"/>
      <c r="J3" s="113">
        <v>62189539358</v>
      </c>
      <c r="K3" s="113"/>
      <c r="L3" s="118">
        <v>35907367</v>
      </c>
      <c r="M3" s="113" t="s">
        <v>13407</v>
      </c>
      <c r="N3" s="113"/>
      <c r="O3" s="219"/>
      <c r="P3" s="219"/>
      <c r="Q3" s="113" t="s">
        <v>14163</v>
      </c>
      <c r="R3" s="113">
        <v>3413535007</v>
      </c>
      <c r="S3" s="119">
        <v>2000</v>
      </c>
      <c r="T3" s="119" t="s">
        <v>14164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14152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/>
      <c r="I4" s="126">
        <v>45900</v>
      </c>
      <c r="J4" s="113"/>
      <c r="K4" s="196"/>
      <c r="L4" s="118">
        <v>35781600</v>
      </c>
      <c r="M4" s="113" t="s">
        <v>13406</v>
      </c>
      <c r="N4" s="113"/>
      <c r="O4" s="219"/>
      <c r="P4" s="219"/>
      <c r="Q4" s="113" t="s">
        <v>14161</v>
      </c>
      <c r="R4" s="113">
        <v>3878641652</v>
      </c>
      <c r="S4" s="119">
        <v>4400</v>
      </c>
      <c r="T4" s="119" t="s">
        <v>14162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14165</v>
      </c>
      <c r="G5" s="116">
        <v>1</v>
      </c>
      <c r="H5" s="126"/>
      <c r="I5" s="126"/>
      <c r="J5" s="113"/>
      <c r="K5" s="113"/>
      <c r="L5" s="118"/>
      <c r="M5" s="113"/>
      <c r="N5" s="113"/>
      <c r="O5" s="219"/>
      <c r="P5" s="219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14153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v>6549875</v>
      </c>
      <c r="J6" s="113"/>
      <c r="K6" s="113" t="s">
        <v>14207</v>
      </c>
      <c r="L6" s="118">
        <v>33105934</v>
      </c>
      <c r="M6" s="113" t="s">
        <v>13405</v>
      </c>
      <c r="N6" s="113">
        <v>2</v>
      </c>
      <c r="O6" s="219" t="s">
        <v>14187</v>
      </c>
      <c r="P6" s="219" t="s">
        <v>14188</v>
      </c>
      <c r="Q6" s="113" t="s">
        <v>12797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7930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14215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9"/>
      <c r="P7" s="219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14214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9"/>
      <c r="P8" s="219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9"/>
      <c r="P9" s="219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14154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v>9876542</v>
      </c>
      <c r="J10" s="113">
        <v>62846263636</v>
      </c>
      <c r="K10" s="113"/>
      <c r="L10" s="118">
        <v>42288678</v>
      </c>
      <c r="M10" s="113" t="s">
        <v>13405</v>
      </c>
      <c r="N10" s="113">
        <v>4</v>
      </c>
      <c r="O10" s="219" t="s">
        <v>14190</v>
      </c>
      <c r="P10" s="219" t="s">
        <v>14189</v>
      </c>
      <c r="Q10" s="113" t="s">
        <v>14166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7930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9"/>
      <c r="P11" s="219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14155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/>
      <c r="I12" s="126">
        <v>23200</v>
      </c>
      <c r="J12" s="113">
        <v>62845147920</v>
      </c>
      <c r="K12" s="113"/>
      <c r="L12" s="118">
        <v>31030340</v>
      </c>
      <c r="M12" s="113" t="s">
        <v>13407</v>
      </c>
      <c r="N12" s="113"/>
      <c r="O12" s="219"/>
      <c r="P12" s="219"/>
      <c r="Q12" s="113" t="s">
        <v>14167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/>
      <c r="I13" s="126"/>
      <c r="J13" s="113"/>
      <c r="K13" s="113"/>
      <c r="L13" s="118"/>
      <c r="M13" s="113"/>
      <c r="N13" s="113"/>
      <c r="O13" s="219"/>
      <c r="P13" s="219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14156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/>
      <c r="G14" s="116">
        <v>1</v>
      </c>
      <c r="H14" s="126"/>
      <c r="I14" s="126">
        <v>72760</v>
      </c>
      <c r="J14" s="113">
        <v>62840205530</v>
      </c>
      <c r="K14" s="113"/>
      <c r="L14" s="118">
        <v>37642888</v>
      </c>
      <c r="M14" s="113" t="s">
        <v>13407</v>
      </c>
      <c r="N14" s="113"/>
      <c r="O14" s="219"/>
      <c r="P14" s="219"/>
      <c r="Q14" s="113" t="s">
        <v>9718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7930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/>
      <c r="I15" s="126"/>
      <c r="J15" s="113"/>
      <c r="K15" s="113"/>
      <c r="L15" s="118"/>
      <c r="M15" s="113"/>
      <c r="N15" s="113"/>
      <c r="O15" s="219"/>
      <c r="P15" s="219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 t="s">
        <v>14213</v>
      </c>
      <c r="D16" s="115" t="str">
        <f>IFERROR(VLOOKUP(C16,LINCE!$A$1:$C$12000,3,FALSE),"")</f>
        <v/>
      </c>
      <c r="E16" s="116" t="s">
        <v>7728</v>
      </c>
      <c r="F16" s="117"/>
      <c r="G16" s="116">
        <v>1</v>
      </c>
      <c r="H16" s="126"/>
      <c r="I16" s="126"/>
      <c r="J16" s="113"/>
      <c r="K16" s="113"/>
      <c r="L16" s="118"/>
      <c r="M16" s="113"/>
      <c r="N16" s="113"/>
      <c r="O16" s="219"/>
      <c r="P16" s="219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/>
      <c r="I17" s="126"/>
      <c r="J17" s="113"/>
      <c r="K17" s="113"/>
      <c r="L17" s="118"/>
      <c r="M17" s="113"/>
      <c r="N17" s="113"/>
      <c r="O17" s="219"/>
      <c r="P17" s="219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14157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14165</v>
      </c>
      <c r="G18" s="116">
        <v>1</v>
      </c>
      <c r="H18" s="126">
        <v>12456</v>
      </c>
      <c r="I18" s="126">
        <v>20900</v>
      </c>
      <c r="J18" s="113">
        <v>2162511</v>
      </c>
      <c r="K18" s="113" t="s">
        <v>14205</v>
      </c>
      <c r="L18" s="118">
        <v>42795241</v>
      </c>
      <c r="M18" s="113" t="s">
        <v>13405</v>
      </c>
      <c r="N18" s="113">
        <v>6</v>
      </c>
      <c r="O18" s="219" t="s">
        <v>14191</v>
      </c>
      <c r="P18" s="219" t="s">
        <v>14192</v>
      </c>
      <c r="Q18" s="113" t="s">
        <v>11496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7930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 t="s">
        <v>14168</v>
      </c>
      <c r="K19" s="113"/>
      <c r="L19" s="118"/>
      <c r="M19" s="113"/>
      <c r="N19" s="113"/>
      <c r="O19" s="219"/>
      <c r="P19" s="219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9"/>
      <c r="P20" s="219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14158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/>
      <c r="I21" s="126">
        <v>41900</v>
      </c>
      <c r="J21" s="113">
        <v>62831103610</v>
      </c>
      <c r="K21" s="113"/>
      <c r="L21" s="118">
        <v>40415012</v>
      </c>
      <c r="M21" s="113" t="s">
        <v>13407</v>
      </c>
      <c r="N21" s="113"/>
      <c r="O21" s="219"/>
      <c r="P21" s="219"/>
      <c r="Q21" s="113" t="s">
        <v>14169</v>
      </c>
      <c r="R21" s="113">
        <v>3764849587</v>
      </c>
      <c r="S21" s="119">
        <v>8370</v>
      </c>
      <c r="T21" s="119" t="s">
        <v>14170</v>
      </c>
      <c r="U21" s="113" t="s">
        <v>7945</v>
      </c>
      <c r="V21" s="113" t="s">
        <v>7930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/>
      <c r="I22" s="126"/>
      <c r="J22" s="113"/>
      <c r="K22" s="113"/>
      <c r="L22" s="118"/>
      <c r="M22" s="113"/>
      <c r="N22" s="113"/>
      <c r="O22" s="219"/>
      <c r="P22" s="219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14159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/>
      <c r="I23" s="126">
        <v>48400</v>
      </c>
      <c r="J23" s="113"/>
      <c r="K23" s="113"/>
      <c r="L23" s="118">
        <v>33077739</v>
      </c>
      <c r="M23" s="113" t="s">
        <v>13406</v>
      </c>
      <c r="N23" s="113"/>
      <c r="O23" s="219"/>
      <c r="P23" s="219"/>
      <c r="Q23" s="113" t="s">
        <v>14164</v>
      </c>
      <c r="R23" s="113">
        <v>3425161443</v>
      </c>
      <c r="S23" s="119">
        <v>3000</v>
      </c>
      <c r="T23" s="119" t="s">
        <v>14164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/>
      <c r="I24" s="126"/>
      <c r="J24" s="113"/>
      <c r="K24" s="113"/>
      <c r="L24" s="118"/>
      <c r="M24" s="113"/>
      <c r="N24" s="113"/>
      <c r="O24" s="219"/>
      <c r="P24" s="219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14160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>
        <v>62834061768</v>
      </c>
      <c r="K25" s="113" t="s">
        <v>14209</v>
      </c>
      <c r="L25" s="118">
        <v>21571863</v>
      </c>
      <c r="M25" s="113" t="s">
        <v>13405</v>
      </c>
      <c r="N25" s="113">
        <v>4</v>
      </c>
      <c r="O25" s="219" t="s">
        <v>14210</v>
      </c>
      <c r="P25" s="219" t="s">
        <v>14211</v>
      </c>
      <c r="Q25" s="113" t="s">
        <v>14208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9"/>
      <c r="P26" s="219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9"/>
      <c r="P27" s="219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9"/>
      <c r="P28" s="219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9"/>
      <c r="P29" s="219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9"/>
      <c r="P30" s="219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9"/>
      <c r="P31" s="219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9"/>
      <c r="P32" s="219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9"/>
      <c r="P33" s="219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20"/>
      <c r="P34" s="220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16856292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9" name="Button 60">
              <controlPr defaultSize="0" print="0" autoFill="0" autoPict="0" macro="[0]!Botón60_Haga_clic_en">
                <anchor moveWithCells="1" sizeWithCells="1">
                  <from>
                    <xdr:col>15</xdr:col>
                    <xdr:colOff>590550</xdr:colOff>
                    <xdr:row>0</xdr:row>
                    <xdr:rowOff>57150</xdr:rowOff>
                  </from>
                  <to>
                    <xdr:col>15</xdr:col>
                    <xdr:colOff>1514475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0" name="Button 147">
              <controlPr defaultSize="0" print="0" autoFill="0" autoPict="0" macro="[0]!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2" sqref="A2:G21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/>
      <c r="B2" s="208"/>
      <c r="C2" s="208"/>
      <c r="D2" s="208"/>
      <c r="E2" s="208"/>
      <c r="F2" s="208"/>
      <c r="G2" s="208"/>
    </row>
    <row r="3" spans="1:7" x14ac:dyDescent="0.25">
      <c r="A3" s="208"/>
      <c r="B3" s="208"/>
      <c r="C3" s="208"/>
      <c r="D3" s="208"/>
      <c r="E3" s="208"/>
      <c r="F3" s="208"/>
      <c r="G3" s="208"/>
    </row>
    <row r="4" spans="1:7" x14ac:dyDescent="0.25">
      <c r="A4" s="208"/>
      <c r="B4" s="208"/>
      <c r="C4" s="208"/>
      <c r="D4" s="208"/>
      <c r="E4" s="208"/>
      <c r="F4" s="208"/>
      <c r="G4" s="208"/>
    </row>
    <row r="5" spans="1:7" x14ac:dyDescent="0.25">
      <c r="A5" s="208"/>
      <c r="B5" s="208"/>
      <c r="C5" s="208"/>
      <c r="D5" s="208"/>
      <c r="E5" s="208"/>
      <c r="F5" s="208"/>
      <c r="G5" s="208"/>
    </row>
    <row r="6" spans="1:7" x14ac:dyDescent="0.25">
      <c r="A6" s="208"/>
      <c r="B6" s="208"/>
      <c r="C6" s="208"/>
      <c r="D6" s="208"/>
      <c r="E6" s="208"/>
      <c r="F6" s="208"/>
      <c r="G6" s="208"/>
    </row>
    <row r="7" spans="1:7" x14ac:dyDescent="0.25">
      <c r="A7" s="208"/>
      <c r="B7" s="208"/>
      <c r="C7" s="208"/>
      <c r="D7" s="208"/>
      <c r="E7" s="208"/>
      <c r="F7" s="208"/>
      <c r="G7" s="208"/>
    </row>
    <row r="8" spans="1:7" x14ac:dyDescent="0.25">
      <c r="A8" s="208"/>
      <c r="B8" s="208"/>
      <c r="C8" s="208"/>
      <c r="D8" s="208"/>
      <c r="E8" s="208"/>
      <c r="F8" s="208"/>
      <c r="G8" s="208"/>
    </row>
    <row r="9" spans="1:7" x14ac:dyDescent="0.25">
      <c r="A9" s="208"/>
      <c r="B9" s="208"/>
      <c r="C9" s="208"/>
      <c r="D9" s="208"/>
      <c r="E9" s="208"/>
      <c r="F9" s="208"/>
      <c r="G9" s="208"/>
    </row>
    <row r="10" spans="1:7" x14ac:dyDescent="0.25">
      <c r="A10" s="208"/>
      <c r="B10" s="208"/>
      <c r="C10" s="208"/>
      <c r="D10" s="208"/>
      <c r="E10" s="208"/>
      <c r="F10" s="208"/>
      <c r="G10" s="208"/>
    </row>
    <row r="11" spans="1:7" x14ac:dyDescent="0.25">
      <c r="A11" s="208"/>
      <c r="B11" s="208"/>
      <c r="C11" s="208"/>
      <c r="D11" s="208"/>
      <c r="E11" s="208"/>
      <c r="F11" s="208"/>
      <c r="G11" s="208"/>
    </row>
    <row r="12" spans="1:7" x14ac:dyDescent="0.25">
      <c r="A12" s="208"/>
      <c r="B12" s="208"/>
      <c r="C12" s="208"/>
      <c r="D12" s="208"/>
      <c r="E12" s="208"/>
      <c r="F12" s="208"/>
      <c r="G12" s="208"/>
    </row>
    <row r="13" spans="1:7" x14ac:dyDescent="0.25">
      <c r="A13" s="208"/>
      <c r="B13" s="208"/>
      <c r="C13" s="208"/>
      <c r="D13" s="208"/>
      <c r="E13" s="208"/>
      <c r="F13" s="208"/>
      <c r="G13" s="208"/>
    </row>
    <row r="14" spans="1:7" x14ac:dyDescent="0.25">
      <c r="A14" s="208"/>
      <c r="B14" s="208"/>
      <c r="C14" s="208"/>
      <c r="D14" s="208"/>
      <c r="E14" s="208"/>
      <c r="F14" s="208"/>
      <c r="G14" s="208"/>
    </row>
    <row r="15" spans="1:7" x14ac:dyDescent="0.25">
      <c r="A15" s="208"/>
      <c r="B15" s="208"/>
      <c r="C15" s="208"/>
      <c r="D15" s="208"/>
      <c r="E15" s="208"/>
      <c r="F15" s="208"/>
      <c r="G15" s="208"/>
    </row>
    <row r="16" spans="1:7" x14ac:dyDescent="0.25">
      <c r="A16" s="208"/>
      <c r="B16" s="208"/>
      <c r="C16" s="208"/>
      <c r="D16" s="208"/>
      <c r="E16" s="208"/>
      <c r="F16" s="208"/>
      <c r="G16" s="208"/>
    </row>
    <row r="17" spans="1:7" x14ac:dyDescent="0.25">
      <c r="A17" s="208"/>
      <c r="B17" s="208"/>
      <c r="C17" s="208"/>
      <c r="D17" s="208"/>
      <c r="E17" s="208"/>
      <c r="F17" s="208"/>
      <c r="G17" s="208"/>
    </row>
    <row r="18" spans="1:7" x14ac:dyDescent="0.25">
      <c r="A18" s="208"/>
      <c r="B18" s="208"/>
      <c r="C18" s="208"/>
      <c r="D18" s="208"/>
      <c r="E18" s="208"/>
      <c r="F18" s="208"/>
      <c r="G18" s="208"/>
    </row>
    <row r="19" spans="1:7" x14ac:dyDescent="0.25">
      <c r="A19" s="208"/>
      <c r="B19" s="208"/>
      <c r="C19" s="208"/>
      <c r="D19" s="208"/>
      <c r="E19" s="208"/>
      <c r="F19" s="208"/>
      <c r="G19" s="208"/>
    </row>
    <row r="20" spans="1:7" x14ac:dyDescent="0.25">
      <c r="A20" s="208"/>
      <c r="B20" s="208"/>
      <c r="C20" s="208"/>
      <c r="D20" s="208"/>
      <c r="E20" s="208"/>
      <c r="F20" s="208"/>
      <c r="G20" s="208"/>
    </row>
    <row r="21" spans="1:7" x14ac:dyDescent="0.25">
      <c r="A21" s="208"/>
      <c r="B21" s="208"/>
      <c r="C21" s="208"/>
      <c r="D21" s="208"/>
      <c r="E21" s="208"/>
      <c r="F21" s="208"/>
      <c r="G21" s="208"/>
    </row>
    <row r="22" spans="1:7" x14ac:dyDescent="0.25">
      <c r="A22" s="208"/>
      <c r="B22" s="208" t="str">
        <f>IFERROR(VLOOKUP(C22,LINCE!$A$1:$C$12000,3,FALSE),"")</f>
        <v/>
      </c>
      <c r="C22" s="208"/>
      <c r="D22" s="208"/>
      <c r="E22" s="208"/>
      <c r="F22" s="208"/>
      <c r="G22" s="208"/>
    </row>
    <row r="23" spans="1:7" x14ac:dyDescent="0.25">
      <c r="A23" s="208"/>
      <c r="B23" s="208" t="str">
        <f>IFERROR(VLOOKUP(C23,LINCE!$A$1:$C$12000,3,FALSE),"")</f>
        <v/>
      </c>
      <c r="C23" s="208"/>
      <c r="D23" s="208"/>
      <c r="E23" s="208"/>
      <c r="F23" s="208"/>
      <c r="G23" s="208"/>
    </row>
    <row r="24" spans="1:7" x14ac:dyDescent="0.25">
      <c r="A24" s="208"/>
      <c r="B24" s="208" t="str">
        <f>IFERROR(VLOOKUP(C24,LINCE!$A$1:$C$12000,3,FALSE),"")</f>
        <v/>
      </c>
      <c r="C24" s="208"/>
      <c r="D24" s="208"/>
      <c r="E24" s="208"/>
      <c r="F24" s="208"/>
      <c r="G24" s="208"/>
    </row>
    <row r="25" spans="1:7" x14ac:dyDescent="0.25">
      <c r="A25" s="208"/>
      <c r="B25" s="208" t="str">
        <f>IFERROR(VLOOKUP(C25,LINCE!$A$1:$C$12000,3,FALSE),"")</f>
        <v/>
      </c>
      <c r="C25" s="208"/>
      <c r="D25" s="208"/>
      <c r="E25" s="208"/>
      <c r="F25" s="208"/>
      <c r="G25" s="208"/>
    </row>
    <row r="26" spans="1:7" x14ac:dyDescent="0.25">
      <c r="A26" s="208"/>
      <c r="B26" s="208" t="str">
        <f>IFERROR(VLOOKUP(C26,LINCE!$A$1:$C$12000,3,FALSE),"")</f>
        <v/>
      </c>
      <c r="C26" s="208"/>
      <c r="D26" s="208"/>
      <c r="E26" s="208"/>
      <c r="F26" s="208"/>
      <c r="G26" s="208"/>
    </row>
    <row r="27" spans="1:7" x14ac:dyDescent="0.25">
      <c r="A27" s="208"/>
      <c r="B27" s="208" t="str">
        <f>IFERROR(VLOOKUP(C27,LINCE!$A$1:$C$12000,3,FALSE),"")</f>
        <v/>
      </c>
      <c r="C27" s="208"/>
      <c r="D27" s="208"/>
      <c r="E27" s="208"/>
      <c r="F27" s="208"/>
      <c r="G27" s="208"/>
    </row>
    <row r="28" spans="1:7" x14ac:dyDescent="0.25">
      <c r="A28" s="208"/>
      <c r="B28" s="208" t="str">
        <f>IFERROR(VLOOKUP(C28,LINCE!$A$1:$C$12000,3,FALSE),"")</f>
        <v/>
      </c>
      <c r="C28" s="208"/>
      <c r="D28" s="208"/>
      <c r="E28" s="208"/>
      <c r="F28" s="208"/>
      <c r="G28" s="208"/>
    </row>
    <row r="29" spans="1:7" x14ac:dyDescent="0.25">
      <c r="A29" s="208"/>
      <c r="B29" s="208" t="str">
        <f>IFERROR(VLOOKUP(C29,LINCE!$A$1:$C$12000,3,FALSE),"")</f>
        <v/>
      </c>
      <c r="C29" s="208"/>
      <c r="D29" s="208"/>
      <c r="E29" s="208"/>
      <c r="F29" s="208"/>
      <c r="G29" s="208"/>
    </row>
    <row r="30" spans="1:7" x14ac:dyDescent="0.25">
      <c r="A30" s="208"/>
      <c r="B30" s="208" t="str">
        <f>IFERROR(VLOOKUP(C30,LINCE!$A$1:$C$12000,3,FALSE),"")</f>
        <v/>
      </c>
      <c r="C30" s="208"/>
      <c r="D30" s="208"/>
      <c r="E30" s="208"/>
      <c r="F30" s="208"/>
      <c r="G30" s="208"/>
    </row>
    <row r="31" spans="1:7" x14ac:dyDescent="0.25">
      <c r="A31" s="208"/>
      <c r="B31" s="208" t="str">
        <f>IFERROR(VLOOKUP(C31,LINCE!$A$1:$C$12000,3,FALSE),"")</f>
        <v/>
      </c>
      <c r="C31" s="208"/>
      <c r="D31" s="208"/>
      <c r="E31" s="208"/>
      <c r="F31" s="208"/>
      <c r="G31" s="208"/>
    </row>
    <row r="32" spans="1:7" x14ac:dyDescent="0.25">
      <c r="A32" s="208"/>
      <c r="B32" s="208" t="str">
        <f>IFERROR(VLOOKUP(C32,LINCE!$A$1:$C$12000,3,FALSE),"")</f>
        <v/>
      </c>
      <c r="C32" s="208"/>
      <c r="D32" s="208"/>
      <c r="E32" s="208"/>
      <c r="F32" s="208"/>
      <c r="G32" s="208"/>
    </row>
    <row r="33" spans="1:7" x14ac:dyDescent="0.25">
      <c r="A33" s="208"/>
      <c r="B33" s="208" t="str">
        <f>IFERROR(VLOOKUP(C33,LINCE!$A$1:$C$12000,3,FALSE),"")</f>
        <v/>
      </c>
      <c r="C33" s="208"/>
      <c r="D33" s="208"/>
      <c r="E33" s="208"/>
      <c r="F33" s="208"/>
      <c r="G33" s="208"/>
    </row>
    <row r="34" spans="1:7" x14ac:dyDescent="0.25">
      <c r="A34" s="208"/>
      <c r="B34" s="208" t="str">
        <f>IFERROR(VLOOKUP(C34,LINCE!$A$1:$C$12000,3,FALSE),"")</f>
        <v/>
      </c>
      <c r="C34" s="208"/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0</v>
      </c>
      <c r="D35" s="208"/>
      <c r="E35" s="209" t="s">
        <v>13997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7"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0" t="s">
        <v>13908</v>
      </c>
      <c r="B2" s="231"/>
      <c r="C2" s="231"/>
      <c r="D2" s="231"/>
      <c r="E2" s="231"/>
      <c r="F2" s="231"/>
      <c r="G2" s="231"/>
      <c r="H2" s="231"/>
      <c r="I2" s="23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2" t="s">
        <v>13909</v>
      </c>
      <c r="B4" s="233"/>
      <c r="C4" s="233"/>
      <c r="D4" s="233"/>
      <c r="E4" s="233"/>
      <c r="F4" s="177"/>
      <c r="G4" s="238" t="s">
        <v>13910</v>
      </c>
      <c r="H4" s="239"/>
      <c r="I4" s="189">
        <f ca="1">TODAY()</f>
        <v>45182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4" t="s">
        <v>13911</v>
      </c>
      <c r="B6" s="231"/>
      <c r="C6" s="231"/>
      <c r="D6" s="231"/>
      <c r="E6" s="231"/>
      <c r="F6" s="231"/>
      <c r="G6" s="234" t="s">
        <v>13912</v>
      </c>
      <c r="H6" s="231"/>
      <c r="I6" s="235"/>
    </row>
    <row r="7" spans="1:9" ht="15" customHeight="1" x14ac:dyDescent="0.25">
      <c r="A7" s="228" t="s">
        <v>13913</v>
      </c>
      <c r="B7" s="229"/>
      <c r="C7" s="229"/>
      <c r="D7" s="229"/>
      <c r="E7" s="240" t="str">
        <f>Datos!B4 &amp; " "</f>
        <v xml:space="preserve">RERDA S.A. </v>
      </c>
      <c r="F7" s="241"/>
      <c r="G7" s="228" t="s">
        <v>13913</v>
      </c>
      <c r="H7" s="229"/>
      <c r="I7" s="236" t="s">
        <v>14160</v>
      </c>
    </row>
    <row r="8" spans="1:9" ht="15" customHeight="1" x14ac:dyDescent="0.25">
      <c r="A8" s="226" t="s">
        <v>13914</v>
      </c>
      <c r="B8" s="227"/>
      <c r="C8" s="227"/>
      <c r="D8" s="227"/>
      <c r="E8" s="242"/>
      <c r="F8" s="243"/>
      <c r="G8" s="226" t="s">
        <v>13914</v>
      </c>
      <c r="H8" s="227"/>
      <c r="I8" s="237"/>
    </row>
    <row r="9" spans="1:9" ht="15" customHeight="1" x14ac:dyDescent="0.25">
      <c r="A9" s="228" t="s">
        <v>13915</v>
      </c>
      <c r="B9" s="229"/>
      <c r="C9" s="229"/>
      <c r="D9" s="229"/>
      <c r="E9" s="240" t="str">
        <f>Datos!B6 &amp; " " &amp; Datos!B7 &amp; " "</f>
        <v xml:space="preserve">San Martín 1665 </v>
      </c>
      <c r="F9" s="241"/>
      <c r="G9" s="228" t="s">
        <v>13915</v>
      </c>
      <c r="H9" s="229"/>
      <c r="I9" s="224" t="s">
        <v>14208</v>
      </c>
    </row>
    <row r="10" spans="1:9" ht="15" customHeight="1" x14ac:dyDescent="0.25">
      <c r="A10" s="226" t="s">
        <v>13916</v>
      </c>
      <c r="B10" s="227"/>
      <c r="C10" s="227"/>
      <c r="D10" s="227"/>
      <c r="E10" s="242"/>
      <c r="F10" s="243"/>
      <c r="G10" s="226" t="s">
        <v>13916</v>
      </c>
      <c r="H10" s="227"/>
      <c r="I10" s="225"/>
    </row>
    <row r="11" spans="1:9" ht="18.75" x14ac:dyDescent="0.25">
      <c r="A11" s="228" t="s">
        <v>13931</v>
      </c>
      <c r="B11" s="229"/>
      <c r="C11" s="229"/>
      <c r="D11" s="229"/>
      <c r="E11" s="244" t="str">
        <f>Datos!B8 &amp; " "</f>
        <v xml:space="preserve">Mendoza </v>
      </c>
      <c r="F11" s="245"/>
      <c r="G11" s="228" t="s">
        <v>13931</v>
      </c>
      <c r="H11" s="229"/>
      <c r="I11" s="184" t="s">
        <v>12987</v>
      </c>
    </row>
    <row r="12" spans="1:9" ht="15.75" x14ac:dyDescent="0.25">
      <c r="A12" s="226" t="s">
        <v>13932</v>
      </c>
      <c r="B12" s="227"/>
      <c r="C12" s="227"/>
      <c r="D12" s="227"/>
      <c r="E12" s="246" t="str">
        <f>Datos!B5 &amp; " "</f>
        <v xml:space="preserve">30535195869 </v>
      </c>
      <c r="F12" s="247"/>
      <c r="G12" s="226" t="s">
        <v>13932</v>
      </c>
      <c r="H12" s="227"/>
      <c r="I12" s="197">
        <v>9420</v>
      </c>
    </row>
    <row r="13" spans="1:9" ht="19.5" customHeight="1" x14ac:dyDescent="0.25">
      <c r="A13" s="228" t="s">
        <v>13917</v>
      </c>
      <c r="B13" s="229"/>
      <c r="C13" s="229"/>
      <c r="D13" s="229"/>
      <c r="E13" s="240" t="str">
        <f>Datos!B9 &amp; " "</f>
        <v xml:space="preserve">Mendoza </v>
      </c>
      <c r="F13" s="241"/>
      <c r="G13" s="228" t="s">
        <v>13917</v>
      </c>
      <c r="H13" s="229"/>
      <c r="I13" s="252" t="s">
        <v>12984</v>
      </c>
    </row>
    <row r="14" spans="1:9" ht="15" customHeight="1" x14ac:dyDescent="0.25">
      <c r="A14" s="226" t="s">
        <v>13918</v>
      </c>
      <c r="B14" s="227"/>
      <c r="C14" s="227"/>
      <c r="D14" s="227"/>
      <c r="E14" s="242"/>
      <c r="F14" s="243"/>
      <c r="G14" s="226" t="s">
        <v>13918</v>
      </c>
      <c r="H14" s="227"/>
      <c r="I14" s="253"/>
    </row>
    <row r="15" spans="1:9" ht="15" customHeight="1" x14ac:dyDescent="0.25">
      <c r="A15" s="228" t="s">
        <v>13919</v>
      </c>
      <c r="B15" s="229"/>
      <c r="C15" s="229"/>
      <c r="D15" s="229"/>
      <c r="E15" s="240" t="s">
        <v>13920</v>
      </c>
      <c r="F15" s="241"/>
      <c r="G15" s="228" t="s">
        <v>13919</v>
      </c>
      <c r="H15" s="229"/>
      <c r="I15" s="241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42"/>
      <c r="F16" s="243"/>
      <c r="G16" s="226" t="s">
        <v>13921</v>
      </c>
      <c r="H16" s="227"/>
      <c r="I16" s="243"/>
    </row>
    <row r="17" spans="1:9" ht="20.100000000000001" customHeight="1" x14ac:dyDescent="0.25">
      <c r="A17" s="228" t="s">
        <v>13922</v>
      </c>
      <c r="B17" s="229"/>
      <c r="C17" s="229"/>
      <c r="D17" s="229"/>
      <c r="E17" s="254" t="str">
        <f>Datos!B12 &amp; " "</f>
        <v xml:space="preserve">0261-4256567 | +549 2615117948 </v>
      </c>
      <c r="F17" s="255"/>
      <c r="G17" s="228" t="s">
        <v>13922</v>
      </c>
      <c r="H17" s="229"/>
      <c r="I17" s="258" t="s">
        <v>14212</v>
      </c>
    </row>
    <row r="18" spans="1:9" ht="20.100000000000001" customHeight="1" x14ac:dyDescent="0.25">
      <c r="A18" s="226" t="s">
        <v>13923</v>
      </c>
      <c r="B18" s="227"/>
      <c r="C18" s="227"/>
      <c r="D18" s="227"/>
      <c r="E18" s="256"/>
      <c r="F18" s="257"/>
      <c r="G18" s="226" t="s">
        <v>13923</v>
      </c>
      <c r="H18" s="227"/>
      <c r="I18" s="259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1" t="s">
        <v>13926</v>
      </c>
      <c r="F20" s="251"/>
      <c r="G20" s="251"/>
      <c r="H20" s="185" t="s">
        <v>14182</v>
      </c>
      <c r="I20" s="185" t="s">
        <v>14183</v>
      </c>
    </row>
    <row r="21" spans="1:9" x14ac:dyDescent="0.25">
      <c r="A21" s="198">
        <v>2</v>
      </c>
      <c r="B21" s="198">
        <v>8205118</v>
      </c>
      <c r="C21" s="202"/>
      <c r="D21" s="202">
        <v>40</v>
      </c>
      <c r="E21" s="248" t="str">
        <f>IFERROR(VLOOKUP(B21,LINCE!$A$1:$F$12000,3,FALSE),"")</f>
        <v>BORCEGUI COMANDO RERDA ART60 CIERRE CAR</v>
      </c>
      <c r="F21" s="249"/>
      <c r="G21" s="250"/>
      <c r="H21" s="201">
        <v>68.965517241379317</v>
      </c>
      <c r="I21" s="186">
        <f>IF(A21="","",A21*H21)</f>
        <v>137.93103448275863</v>
      </c>
    </row>
    <row r="22" spans="1:9" x14ac:dyDescent="0.25">
      <c r="A22" s="199">
        <v>3</v>
      </c>
      <c r="B22" s="199">
        <v>1120858</v>
      </c>
      <c r="C22" s="203"/>
      <c r="D22" s="203">
        <v>42</v>
      </c>
      <c r="E22" s="248" t="str">
        <f>IFERROR(VLOOKUP(B22,LINCE!$A$1:$F$12000,3,FALSE),"")</f>
        <v>BOMB AMER RIP NEGRA 34/48 RER</v>
      </c>
      <c r="F22" s="249"/>
      <c r="G22" s="250"/>
      <c r="H22" s="201">
        <v>34.482758620689658</v>
      </c>
      <c r="I22" s="186">
        <f t="shared" ref="I22:I49" si="0">IF(A22="","",A22*H22)</f>
        <v>103.44827586206898</v>
      </c>
    </row>
    <row r="23" spans="1:9" x14ac:dyDescent="0.25">
      <c r="A23" s="199"/>
      <c r="B23" s="199"/>
      <c r="C23" s="203"/>
      <c r="D23" s="203"/>
      <c r="E23" s="248" t="str">
        <f>IFERROR(VLOOKUP(B23,LINCE!$A$1:$F$12000,3,FALSE),"")</f>
        <v/>
      </c>
      <c r="F23" s="249"/>
      <c r="G23" s="250"/>
      <c r="H23" s="201"/>
      <c r="I23" s="186"/>
    </row>
    <row r="24" spans="1:9" x14ac:dyDescent="0.25">
      <c r="A24" s="199"/>
      <c r="B24" s="199"/>
      <c r="C24" s="203"/>
      <c r="D24" s="203"/>
      <c r="E24" s="248" t="str">
        <f>IFERROR(VLOOKUP(B24,LINCE!$A$1:$F$12000,3,FALSE),"")</f>
        <v/>
      </c>
      <c r="F24" s="249"/>
      <c r="G24" s="250"/>
      <c r="H24" s="201"/>
      <c r="I24" s="186"/>
    </row>
    <row r="25" spans="1:9" x14ac:dyDescent="0.25">
      <c r="A25" s="199"/>
      <c r="B25" s="199"/>
      <c r="C25" s="203"/>
      <c r="D25" s="203"/>
      <c r="E25" s="248" t="str">
        <f>IFERROR(VLOOKUP(B25,LINCE!$A$1:$F$12000,3,FALSE),"")</f>
        <v/>
      </c>
      <c r="F25" s="249"/>
      <c r="G25" s="250"/>
      <c r="H25" s="201"/>
      <c r="I25" s="186"/>
    </row>
    <row r="26" spans="1:9" x14ac:dyDescent="0.25">
      <c r="A26" s="199"/>
      <c r="B26" s="199"/>
      <c r="C26" s="203"/>
      <c r="D26" s="203"/>
      <c r="E26" s="248" t="str">
        <f>IFERROR(VLOOKUP(B26,LINCE!$A$1:$F$12000,3,FALSE),"")</f>
        <v/>
      </c>
      <c r="F26" s="249"/>
      <c r="G26" s="250"/>
      <c r="H26" s="201"/>
      <c r="I26" s="186"/>
    </row>
    <row r="27" spans="1:9" x14ac:dyDescent="0.25">
      <c r="A27" s="199"/>
      <c r="B27" s="199"/>
      <c r="C27" s="203"/>
      <c r="D27" s="203"/>
      <c r="E27" s="248" t="str">
        <f>IFERROR(VLOOKUP(B27,LINCE!$A$1:$F$12000,3,FALSE),"")</f>
        <v/>
      </c>
      <c r="F27" s="249"/>
      <c r="G27" s="250"/>
      <c r="H27" s="201"/>
      <c r="I27" s="186"/>
    </row>
    <row r="28" spans="1:9" x14ac:dyDescent="0.25">
      <c r="A28" s="199"/>
      <c r="B28" s="199"/>
      <c r="C28" s="203"/>
      <c r="D28" s="203"/>
      <c r="E28" s="248" t="str">
        <f>IFERROR(VLOOKUP(B28,LINCE!$A$1:$F$12000,3,FALSE),"")</f>
        <v/>
      </c>
      <c r="F28" s="249"/>
      <c r="G28" s="250"/>
      <c r="H28" s="201"/>
      <c r="I28" s="186"/>
    </row>
    <row r="29" spans="1:9" x14ac:dyDescent="0.25">
      <c r="A29" s="199"/>
      <c r="B29" s="199"/>
      <c r="C29" s="203"/>
      <c r="D29" s="203"/>
      <c r="E29" s="248" t="str">
        <f>IFERROR(VLOOKUP(B29,LINCE!$A$1:$F$12000,3,FALSE),"")</f>
        <v/>
      </c>
      <c r="F29" s="249"/>
      <c r="G29" s="250"/>
      <c r="H29" s="201"/>
      <c r="I29" s="186"/>
    </row>
    <row r="30" spans="1:9" x14ac:dyDescent="0.25">
      <c r="A30" s="199"/>
      <c r="B30" s="199"/>
      <c r="C30" s="203"/>
      <c r="D30" s="203"/>
      <c r="E30" s="248" t="str">
        <f>IFERROR(VLOOKUP(B30,LINCE!$A$1:$F$12000,3,FALSE),"")</f>
        <v/>
      </c>
      <c r="F30" s="249"/>
      <c r="G30" s="250"/>
      <c r="H30" s="201"/>
      <c r="I30" s="186"/>
    </row>
    <row r="31" spans="1:9" x14ac:dyDescent="0.25">
      <c r="A31" s="199"/>
      <c r="B31" s="199"/>
      <c r="C31" s="203"/>
      <c r="D31" s="203"/>
      <c r="E31" s="248" t="str">
        <f>IFERROR(VLOOKUP(B31,LINCE!$A$1:$F$12000,3,FALSE),"")</f>
        <v/>
      </c>
      <c r="F31" s="249"/>
      <c r="G31" s="250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8" t="str">
        <f>IFERROR(VLOOKUP(B32,LINCE!$A$1:$F$12000,3,FALSE),"")</f>
        <v/>
      </c>
      <c r="F32" s="249"/>
      <c r="G32" s="250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8" t="str">
        <f>IFERROR(VLOOKUP(B33,LINCE!$A$1:$F$12000,3,FALSE),"")</f>
        <v/>
      </c>
      <c r="F33" s="249"/>
      <c r="G33" s="250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8" t="str">
        <f>IFERROR(VLOOKUP(B34,LINCE!$A$1:$F$12000,3,FALSE),"")</f>
        <v/>
      </c>
      <c r="F34" s="249"/>
      <c r="G34" s="250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8" t="str">
        <f>IFERROR(VLOOKUP(B35,LINCE!$A$1:$F$12000,3,FALSE),"")</f>
        <v/>
      </c>
      <c r="F35" s="249"/>
      <c r="G35" s="250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8" t="str">
        <f>IFERROR(VLOOKUP(B36,LINCE!$A$1:$F$12000,3,FALSE),"")</f>
        <v/>
      </c>
      <c r="F36" s="249"/>
      <c r="G36" s="250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8" t="str">
        <f>IFERROR(VLOOKUP(B37,LINCE!$A$1:$F$12000,3,FALSE),"")</f>
        <v/>
      </c>
      <c r="F37" s="249"/>
      <c r="G37" s="250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8" t="str">
        <f>IFERROR(VLOOKUP(B38,LINCE!$A$1:$F$12000,3,FALSE),"")</f>
        <v/>
      </c>
      <c r="F38" s="249"/>
      <c r="G38" s="250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8" t="str">
        <f>IFERROR(VLOOKUP(B39,LINCE!$A$1:$F$12000,3,FALSE),"")</f>
        <v/>
      </c>
      <c r="F39" s="249"/>
      <c r="G39" s="250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8" t="str">
        <f>IFERROR(VLOOKUP(B40,LINCE!$A$1:$F$12000,3,FALSE),"")</f>
        <v/>
      </c>
      <c r="F40" s="249"/>
      <c r="G40" s="250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8" t="str">
        <f>IFERROR(VLOOKUP(B41,LINCE!$A$1:$F$12000,3,FALSE),"")</f>
        <v/>
      </c>
      <c r="F41" s="249"/>
      <c r="G41" s="250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8" t="str">
        <f>IFERROR(VLOOKUP(B42,LINCE!$A$1:$F$12000,3,FALSE),"")</f>
        <v/>
      </c>
      <c r="F42" s="249"/>
      <c r="G42" s="250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8" t="str">
        <f>IFERROR(VLOOKUP(B43,LINCE!$A$1:$F$12000,3,FALSE),"")</f>
        <v/>
      </c>
      <c r="F43" s="249"/>
      <c r="G43" s="250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8" t="str">
        <f>IFERROR(VLOOKUP(B44,LINCE!$A$1:$F$12000,3,FALSE),"")</f>
        <v/>
      </c>
      <c r="F44" s="249"/>
      <c r="G44" s="250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8" t="str">
        <f>IFERROR(VLOOKUP(B45,LINCE!$A$1:$F$12000,3,FALSE),"")</f>
        <v/>
      </c>
      <c r="F45" s="249"/>
      <c r="G45" s="250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8" t="str">
        <f>IFERROR(VLOOKUP(B46,LINCE!$A$1:$F$12000,3,FALSE),"")</f>
        <v/>
      </c>
      <c r="F46" s="249"/>
      <c r="G46" s="250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8" t="str">
        <f>IFERROR(VLOOKUP(B47,LINCE!$A$1:$F$12000,3,FALSE),"")</f>
        <v/>
      </c>
      <c r="F47" s="249"/>
      <c r="G47" s="250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8" t="str">
        <f>IFERROR(VLOOKUP(B48,LINCE!$A$1:$F$12000,3,FALSE),"")</f>
        <v/>
      </c>
      <c r="F48" s="249"/>
      <c r="G48" s="250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8" t="str">
        <f>IFERROR(VLOOKUP(B49,LINCE!$A$1:$F$12000,3,FALSE),"")</f>
        <v/>
      </c>
      <c r="F49" s="249"/>
      <c r="G49" s="250"/>
      <c r="H49" s="201"/>
      <c r="I49" s="186" t="str">
        <f t="shared" si="0"/>
        <v/>
      </c>
    </row>
    <row r="50" spans="1:9" ht="20.100000000000001" customHeight="1" x14ac:dyDescent="0.3">
      <c r="A50" s="178">
        <f>IF(SUM(A21:A49)=0,"",SUM(A21:A49))</f>
        <v>5</v>
      </c>
      <c r="B50" s="191" t="s">
        <v>13927</v>
      </c>
      <c r="C50" s="192"/>
      <c r="D50" s="192"/>
      <c r="E50" s="187"/>
      <c r="F50" s="181"/>
      <c r="G50" s="181"/>
      <c r="H50" s="188" t="s">
        <v>14184</v>
      </c>
      <c r="I50" s="217">
        <f>IF(SUM(I21:I49)=0,"",SUM(I21:I49))</f>
        <v>241.37931034482762</v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0"/>
      <c r="B52" s="260"/>
      <c r="C52" s="260"/>
      <c r="D52" s="260"/>
      <c r="E52" s="260"/>
      <c r="F52" s="183"/>
      <c r="G52" s="183"/>
      <c r="H52" s="183"/>
      <c r="I52" s="183"/>
    </row>
    <row r="53" spans="1:9" ht="30" customHeight="1" x14ac:dyDescent="0.3">
      <c r="A53" s="260" t="s">
        <v>13928</v>
      </c>
      <c r="B53" s="260"/>
      <c r="C53" s="260"/>
      <c r="D53" s="260"/>
      <c r="E53" s="260"/>
      <c r="F53" s="262"/>
      <c r="G53" s="262"/>
      <c r="H53" s="262"/>
      <c r="I53" s="262"/>
    </row>
    <row r="54" spans="1:9" ht="30" customHeight="1" x14ac:dyDescent="0.3">
      <c r="A54" s="260" t="s">
        <v>13929</v>
      </c>
      <c r="B54" s="260"/>
      <c r="C54" s="260"/>
      <c r="D54" s="260"/>
      <c r="E54" s="260"/>
      <c r="F54" s="261"/>
      <c r="G54" s="261"/>
      <c r="H54" s="261"/>
      <c r="I54" s="261"/>
    </row>
    <row r="55" spans="1:9" ht="30" customHeight="1" x14ac:dyDescent="0.3">
      <c r="A55" s="260" t="s">
        <v>13930</v>
      </c>
      <c r="B55" s="260"/>
      <c r="C55" s="260"/>
      <c r="D55" s="260"/>
      <c r="E55" s="260"/>
      <c r="F55" s="261"/>
      <c r="G55" s="261"/>
      <c r="H55" s="261"/>
      <c r="I55" s="261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8" t="s">
        <v>13127</v>
      </c>
      <c r="B2" s="281" t="str">
        <f>+Datos!B4</f>
        <v>RERDA S.A.</v>
      </c>
      <c r="C2" s="282"/>
      <c r="D2" s="282"/>
      <c r="E2" s="282"/>
      <c r="F2" s="282"/>
      <c r="G2" s="282"/>
      <c r="H2" s="282"/>
      <c r="I2" s="4"/>
      <c r="J2" s="4"/>
      <c r="K2" s="4"/>
      <c r="L2" s="4"/>
      <c r="M2" s="4"/>
      <c r="N2" s="4"/>
      <c r="O2" s="5"/>
      <c r="P2" s="283"/>
      <c r="Q2" s="284"/>
      <c r="R2" s="284"/>
      <c r="S2" s="284"/>
      <c r="T2" s="284"/>
      <c r="U2" s="285"/>
    </row>
    <row r="3" spans="1:21" ht="14.1" customHeight="1" x14ac:dyDescent="0.25">
      <c r="A3" s="279"/>
      <c r="B3" s="292" t="str">
        <f>+Datos!B6</f>
        <v>San Martín</v>
      </c>
      <c r="C3" s="293"/>
      <c r="D3" s="293"/>
      <c r="E3" s="293"/>
      <c r="F3" s="293"/>
      <c r="G3" s="293">
        <f>+Datos!B7</f>
        <v>1665</v>
      </c>
      <c r="H3" s="293"/>
      <c r="I3" s="293"/>
      <c r="J3" s="6"/>
      <c r="K3" s="7"/>
      <c r="L3" s="8"/>
      <c r="M3" s="294" t="str">
        <f>+Datos!B8</f>
        <v>Mendoza</v>
      </c>
      <c r="N3" s="294"/>
      <c r="O3" s="295"/>
      <c r="P3" s="286"/>
      <c r="Q3" s="287"/>
      <c r="R3" s="287"/>
      <c r="S3" s="287"/>
      <c r="T3" s="287"/>
      <c r="U3" s="288"/>
    </row>
    <row r="4" spans="1:21" ht="14.1" customHeight="1" x14ac:dyDescent="0.25">
      <c r="A4" s="279"/>
      <c r="B4" s="296" t="str">
        <f>+Datos!B9</f>
        <v>Mendoza</v>
      </c>
      <c r="C4" s="294"/>
      <c r="D4" s="294"/>
      <c r="E4" s="294"/>
      <c r="F4" s="294"/>
      <c r="G4" s="294">
        <f>+Datos!B10</f>
        <v>5500</v>
      </c>
      <c r="H4" s="294"/>
      <c r="I4" s="294"/>
      <c r="J4" s="6"/>
      <c r="K4" s="6"/>
      <c r="L4" s="6"/>
      <c r="M4" s="6"/>
      <c r="N4" s="6"/>
      <c r="O4" s="9"/>
      <c r="P4" s="286"/>
      <c r="Q4" s="287"/>
      <c r="R4" s="287"/>
      <c r="S4" s="287"/>
      <c r="T4" s="287"/>
      <c r="U4" s="288"/>
    </row>
    <row r="5" spans="1:21" ht="14.1" customHeight="1" x14ac:dyDescent="0.25">
      <c r="A5" s="279"/>
      <c r="B5" s="297" t="str">
        <f>+Datos!B11</f>
        <v>ventas@rerda.com</v>
      </c>
      <c r="C5" s="298"/>
      <c r="D5" s="298"/>
      <c r="E5" s="298"/>
      <c r="F5" s="298"/>
      <c r="G5" s="298"/>
      <c r="H5" s="298"/>
      <c r="I5" s="10"/>
      <c r="J5" s="10"/>
      <c r="K5" s="11" t="s">
        <v>13128</v>
      </c>
      <c r="L5" s="299">
        <f>+Datos!B5</f>
        <v>30535195869</v>
      </c>
      <c r="M5" s="299"/>
      <c r="N5" s="299"/>
      <c r="O5" s="300"/>
      <c r="P5" s="286"/>
      <c r="Q5" s="287"/>
      <c r="R5" s="287"/>
      <c r="S5" s="287"/>
      <c r="T5" s="287"/>
      <c r="U5" s="288"/>
    </row>
    <row r="6" spans="1:21" ht="14.1" customHeight="1" x14ac:dyDescent="0.25">
      <c r="A6" s="280"/>
      <c r="B6" s="263" t="str">
        <f>+Datos!B12</f>
        <v>0261-4256567 | +549 2615117948</v>
      </c>
      <c r="C6" s="264"/>
      <c r="D6" s="264"/>
      <c r="E6" s="264"/>
      <c r="F6" s="264"/>
      <c r="G6" s="264"/>
      <c r="H6" s="264"/>
      <c r="I6" s="12"/>
      <c r="J6" s="12"/>
      <c r="K6" s="13" t="s">
        <v>13129</v>
      </c>
      <c r="L6" s="265">
        <f>+Datos!B3</f>
        <v>20355</v>
      </c>
      <c r="M6" s="265"/>
      <c r="N6" s="265"/>
      <c r="O6" s="266"/>
      <c r="P6" s="289"/>
      <c r="Q6" s="290"/>
      <c r="R6" s="290"/>
      <c r="S6" s="290"/>
      <c r="T6" s="290"/>
      <c r="U6" s="291"/>
    </row>
    <row r="7" spans="1:21" ht="14.1" customHeight="1" x14ac:dyDescent="0.25">
      <c r="A7" s="14"/>
      <c r="B7" s="267" t="s">
        <v>13130</v>
      </c>
      <c r="C7" s="267"/>
      <c r="D7" s="268" t="str">
        <f>IF(Planilla!W2="","¿…?",Planilla!W2)</f>
        <v>ELENA</v>
      </c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15"/>
    </row>
    <row r="8" spans="1:21" ht="14.1" customHeight="1" x14ac:dyDescent="0.25">
      <c r="A8" s="269" t="s">
        <v>13131</v>
      </c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270"/>
      <c r="Q8" s="270"/>
      <c r="R8" s="270"/>
      <c r="S8" s="270"/>
      <c r="T8" s="270"/>
      <c r="U8" s="271"/>
    </row>
    <row r="9" spans="1:21" ht="14.1" customHeight="1" x14ac:dyDescent="0.25">
      <c r="A9" s="272"/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4"/>
    </row>
    <row r="10" spans="1:21" ht="14.1" customHeight="1" x14ac:dyDescent="0.25">
      <c r="A10" s="275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1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3" t="s">
        <v>13133</v>
      </c>
      <c r="M15" s="303"/>
      <c r="N15" s="303"/>
      <c r="O15" s="303"/>
      <c r="P15" s="304">
        <v>21571863</v>
      </c>
      <c r="Q15" s="305"/>
      <c r="R15" s="305"/>
      <c r="S15" s="305"/>
      <c r="T15" s="305"/>
      <c r="U15" s="25"/>
    </row>
    <row r="16" spans="1:21" ht="18.95" customHeight="1" x14ac:dyDescent="0.25">
      <c r="A16" s="301"/>
      <c r="B16" s="28"/>
      <c r="C16" s="306" t="s">
        <v>14160</v>
      </c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7"/>
      <c r="S16" s="307"/>
      <c r="T16" s="307"/>
      <c r="U16" s="15"/>
    </row>
    <row r="17" spans="1:21" ht="18.95" customHeight="1" x14ac:dyDescent="0.25">
      <c r="A17" s="301"/>
      <c r="B17" s="28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15"/>
    </row>
    <row r="18" spans="1:21" ht="14.1" customHeight="1" x14ac:dyDescent="0.25">
      <c r="A18" s="301"/>
      <c r="B18" s="22"/>
      <c r="C18" s="308" t="s">
        <v>14208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15"/>
    </row>
    <row r="19" spans="1:21" ht="14.1" customHeight="1" x14ac:dyDescent="0.25">
      <c r="A19" s="301"/>
      <c r="B19" s="22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15"/>
    </row>
    <row r="20" spans="1:21" ht="14.1" customHeight="1" x14ac:dyDescent="0.25">
      <c r="A20" s="301"/>
      <c r="B20" s="22"/>
      <c r="C20" s="308"/>
      <c r="D20" s="308"/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15"/>
    </row>
    <row r="21" spans="1:21" ht="14.1" customHeight="1" x14ac:dyDescent="0.25">
      <c r="A21" s="301"/>
      <c r="B21" s="29"/>
      <c r="C21" s="309" t="s">
        <v>13134</v>
      </c>
      <c r="D21" s="309"/>
      <c r="E21" s="310">
        <v>9420</v>
      </c>
      <c r="F21" s="311"/>
      <c r="G21" s="312" t="s">
        <v>12987</v>
      </c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15"/>
    </row>
    <row r="22" spans="1:21" ht="14.1" customHeight="1" x14ac:dyDescent="0.25">
      <c r="A22" s="301"/>
      <c r="B22" s="29"/>
      <c r="C22" s="309"/>
      <c r="D22" s="309"/>
      <c r="E22" s="311"/>
      <c r="F22" s="311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15"/>
    </row>
    <row r="23" spans="1:21" ht="14.1" customHeight="1" x14ac:dyDescent="0.25">
      <c r="A23" s="301"/>
      <c r="B23" s="30"/>
      <c r="C23" s="313" t="s">
        <v>12984</v>
      </c>
      <c r="D23" s="313"/>
      <c r="E23" s="313"/>
      <c r="F23" s="313"/>
      <c r="G23" s="313"/>
      <c r="H23" s="313"/>
      <c r="I23" s="313"/>
      <c r="J23" s="313"/>
      <c r="K23" s="31"/>
      <c r="L23" s="314" t="s">
        <v>13135</v>
      </c>
      <c r="M23" s="314"/>
      <c r="N23" s="314"/>
      <c r="O23" s="314"/>
      <c r="P23" s="315">
        <v>1140589810</v>
      </c>
      <c r="Q23" s="315"/>
      <c r="R23" s="315"/>
      <c r="S23" s="315"/>
      <c r="T23" s="315"/>
      <c r="U23" s="15"/>
    </row>
    <row r="24" spans="1:21" ht="14.1" customHeight="1" x14ac:dyDescent="0.25">
      <c r="A24" s="301"/>
      <c r="B24" s="30"/>
      <c r="C24" s="313"/>
      <c r="D24" s="313"/>
      <c r="E24" s="313"/>
      <c r="F24" s="313"/>
      <c r="G24" s="313"/>
      <c r="H24" s="313"/>
      <c r="I24" s="313"/>
      <c r="J24" s="313"/>
      <c r="K24" s="31"/>
      <c r="L24" s="314"/>
      <c r="M24" s="314"/>
      <c r="N24" s="314"/>
      <c r="O24" s="314"/>
      <c r="P24" s="315"/>
      <c r="Q24" s="315"/>
      <c r="R24" s="315"/>
      <c r="S24" s="315"/>
      <c r="T24" s="315"/>
      <c r="U24" s="15"/>
    </row>
    <row r="25" spans="1:21" ht="14.1" customHeight="1" thickBot="1" x14ac:dyDescent="0.3">
      <c r="A25" s="30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363" t="str">
        <f>+Datos!B4</f>
        <v>RERDA S.A.</v>
      </c>
      <c r="D2" s="364"/>
      <c r="E2" s="364"/>
      <c r="F2" s="364"/>
      <c r="G2" s="364"/>
      <c r="H2" s="364"/>
      <c r="I2" s="364"/>
      <c r="J2" s="41"/>
      <c r="K2" s="41"/>
      <c r="L2" s="41"/>
      <c r="M2" s="41"/>
      <c r="N2" s="41"/>
      <c r="O2" s="41"/>
      <c r="P2" s="4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54"/>
    </row>
    <row r="8" spans="1:22" ht="14.1" customHeight="1" x14ac:dyDescent="0.25">
      <c r="A8" s="351" t="s">
        <v>13150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3"/>
    </row>
    <row r="9" spans="1:22" ht="14.1" customHeight="1" x14ac:dyDescent="0.25">
      <c r="A9" s="354"/>
      <c r="B9" s="355"/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5"/>
      <c r="N9" s="355"/>
      <c r="O9" s="355"/>
      <c r="P9" s="355"/>
      <c r="Q9" s="355"/>
      <c r="R9" s="355"/>
      <c r="S9" s="355"/>
      <c r="T9" s="355"/>
      <c r="U9" s="355"/>
      <c r="V9" s="356"/>
    </row>
    <row r="10" spans="1:22" ht="14.1" customHeight="1" x14ac:dyDescent="0.25">
      <c r="A10" s="357"/>
      <c r="B10" s="358"/>
      <c r="C10" s="358"/>
      <c r="D10" s="358"/>
      <c r="E10" s="358"/>
      <c r="F10" s="358"/>
      <c r="G10" s="358"/>
      <c r="H10" s="358"/>
      <c r="I10" s="358"/>
      <c r="J10" s="358"/>
      <c r="K10" s="358"/>
      <c r="L10" s="358"/>
      <c r="M10" s="358"/>
      <c r="N10" s="358"/>
      <c r="O10" s="358"/>
      <c r="P10" s="358"/>
      <c r="Q10" s="358"/>
      <c r="R10" s="358"/>
      <c r="S10" s="358"/>
      <c r="T10" s="358"/>
      <c r="U10" s="358"/>
      <c r="V10" s="35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6" t="s">
        <v>13151</v>
      </c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63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66"/>
      <c r="B13" s="67"/>
      <c r="C13" s="317"/>
      <c r="D13" s="317"/>
      <c r="E13" s="317"/>
      <c r="F13" s="317"/>
      <c r="G13" s="317"/>
      <c r="H13" s="317"/>
      <c r="I13" s="317"/>
      <c r="J13" s="317"/>
      <c r="K13" s="317"/>
      <c r="L13" s="317"/>
      <c r="M13" s="317"/>
      <c r="N13" s="68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9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0"/>
      <c r="B16" s="75"/>
      <c r="C16" s="332" t="s">
        <v>14149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336" t="s">
        <v>13133</v>
      </c>
      <c r="P16" s="336"/>
      <c r="Q16" s="336"/>
      <c r="R16" s="337">
        <v>29469192</v>
      </c>
      <c r="S16" s="338"/>
      <c r="T16" s="338"/>
      <c r="U16" s="339"/>
      <c r="V16" s="78"/>
    </row>
    <row r="17" spans="1:22" ht="14.1" customHeight="1" x14ac:dyDescent="0.25">
      <c r="A17" s="330"/>
      <c r="B17" s="75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0"/>
      <c r="B18" s="75"/>
      <c r="C18" s="340" t="s">
        <v>13153</v>
      </c>
      <c r="D18" s="341"/>
      <c r="E18" s="341"/>
      <c r="F18" s="321" t="str">
        <f>VLOOKUP(S18,Sucursales!A:B,2,FALSE)</f>
        <v>PASO DEL REY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8330</v>
      </c>
      <c r="T18" s="343"/>
      <c r="U18" s="344"/>
      <c r="V18" s="78"/>
    </row>
    <row r="19" spans="1:22" ht="14.1" customHeight="1" x14ac:dyDescent="0.25">
      <c r="A19" s="330"/>
      <c r="B19" s="75"/>
      <c r="C19" s="345" t="s">
        <v>13154</v>
      </c>
      <c r="D19" s="346"/>
      <c r="E19" s="346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78"/>
    </row>
    <row r="20" spans="1:22" ht="14.1" customHeight="1" x14ac:dyDescent="0.25">
      <c r="A20" s="330"/>
      <c r="B20" s="75"/>
      <c r="C20" s="347" t="str">
        <f>VLOOKUP(S18,Sucursales!A:G,6,FALSE)</f>
        <v>B1742ZAA</v>
      </c>
      <c r="D20" s="348"/>
      <c r="E20" s="348"/>
      <c r="F20" s="348"/>
      <c r="H20" s="318" t="str">
        <f>VLOOKUP(S18,Sucursales!A:H,7,FALSE)</f>
        <v>PASO DEL REY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78"/>
    </row>
    <row r="21" spans="1:22" ht="14.1" customHeight="1" x14ac:dyDescent="0.25">
      <c r="A21" s="330"/>
      <c r="B21" s="75"/>
      <c r="C21" s="320" t="str">
        <f>VLOOKUP(S18,Sucursales!A:H,8,FALSE)</f>
        <v>BUENOS AIRES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0"/>
      <c r="B22" s="75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25">
        <v>1164980741</v>
      </c>
      <c r="S22" s="326"/>
      <c r="T22" s="326"/>
      <c r="U22" s="327"/>
      <c r="V22" s="78"/>
    </row>
    <row r="23" spans="1:22" ht="14.1" customHeight="1" thickBot="1" x14ac:dyDescent="0.3">
      <c r="A23" s="33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409" t="str">
        <f>+Datos!B4</f>
        <v>RERDA S.A.</v>
      </c>
      <c r="D2" s="410"/>
      <c r="E2" s="410"/>
      <c r="F2" s="410"/>
      <c r="G2" s="410"/>
      <c r="H2" s="411" t="s">
        <v>13156</v>
      </c>
      <c r="I2" s="411"/>
      <c r="J2" s="411"/>
      <c r="K2" s="411"/>
      <c r="L2" s="411"/>
      <c r="M2" s="411"/>
      <c r="N2" s="411"/>
      <c r="O2" s="411"/>
      <c r="P2" s="41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268" t="str">
        <f>IF(Planilla!W2="","¿…?",Planilla!W2)</f>
        <v>ELENA</v>
      </c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54"/>
    </row>
    <row r="8" spans="1:22" ht="14.1" customHeight="1" x14ac:dyDescent="0.25">
      <c r="A8" s="400" t="s">
        <v>13157</v>
      </c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2"/>
    </row>
    <row r="9" spans="1:22" ht="14.1" customHeight="1" x14ac:dyDescent="0.25">
      <c r="A9" s="403"/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  <c r="R9" s="404"/>
      <c r="S9" s="404"/>
      <c r="T9" s="404"/>
      <c r="U9" s="404"/>
      <c r="V9" s="405"/>
    </row>
    <row r="10" spans="1:22" ht="14.1" customHeight="1" x14ac:dyDescent="0.25">
      <c r="A10" s="406"/>
      <c r="B10" s="407"/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7" t="s">
        <v>13158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8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91"/>
      <c r="B13" s="92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90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1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2"/>
      <c r="B16" s="93"/>
      <c r="C16" s="394"/>
      <c r="D16" s="395"/>
      <c r="E16" s="395"/>
      <c r="F16" s="395"/>
      <c r="G16" s="395"/>
      <c r="H16" s="395"/>
      <c r="I16" s="395"/>
      <c r="J16" s="395"/>
      <c r="K16" s="395"/>
      <c r="L16" s="395"/>
      <c r="M16" s="395"/>
      <c r="N16" s="395"/>
      <c r="O16" s="336" t="s">
        <v>13133</v>
      </c>
      <c r="P16" s="336"/>
      <c r="Q16" s="336"/>
      <c r="R16" s="398">
        <v>32456987</v>
      </c>
      <c r="S16" s="338"/>
      <c r="T16" s="338"/>
      <c r="U16" s="339"/>
      <c r="V16" s="96"/>
    </row>
    <row r="17" spans="1:22" ht="14.1" customHeight="1" x14ac:dyDescent="0.25">
      <c r="A17" s="392"/>
      <c r="B17" s="93"/>
      <c r="C17" s="396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2"/>
      <c r="B18" s="93"/>
      <c r="C18" s="320" t="s">
        <v>13159</v>
      </c>
      <c r="D18" s="321"/>
      <c r="E18" s="321"/>
      <c r="F18" s="321" t="str">
        <f>VLOOKUP(S18,Sucursales!A:B,2,FALSE)</f>
        <v>RIO GRANDE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12982</v>
      </c>
      <c r="T18" s="343"/>
      <c r="U18" s="344"/>
      <c r="V18" s="96"/>
    </row>
    <row r="19" spans="1:22" ht="14.1" customHeight="1" x14ac:dyDescent="0.25">
      <c r="A19" s="392"/>
      <c r="B19" s="93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96"/>
    </row>
    <row r="20" spans="1:22" ht="14.1" customHeight="1" x14ac:dyDescent="0.25">
      <c r="A20" s="392"/>
      <c r="B20" s="93"/>
      <c r="C20" s="347" t="str">
        <f>VLOOKUP(S18,Sucursales!A:G,6,FALSE)</f>
        <v>V9420ZAA</v>
      </c>
      <c r="D20" s="348"/>
      <c r="E20" s="348"/>
      <c r="F20" s="348"/>
      <c r="H20" s="318" t="str">
        <f>VLOOKUP(S18,Sucursales!A:H,7,FALSE)</f>
        <v>RIO GRANDE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96"/>
    </row>
    <row r="21" spans="1:22" ht="14.1" customHeight="1" x14ac:dyDescent="0.25">
      <c r="A21" s="392"/>
      <c r="B21" s="93"/>
      <c r="C21" s="320" t="str">
        <f>VLOOKUP(S18,Sucursales!A:H,8,FALSE)</f>
        <v>TIERRA DEL FUEGO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2"/>
      <c r="B22" s="93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99">
        <v>5493514882213</v>
      </c>
      <c r="S22" s="326"/>
      <c r="T22" s="326"/>
      <c r="U22" s="327"/>
      <c r="V22" s="96"/>
    </row>
    <row r="23" spans="1:22" ht="14.1" customHeight="1" thickBot="1" x14ac:dyDescent="0.3">
      <c r="A23" s="39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50" t="s">
        <v>13130</v>
      </c>
      <c r="D7" s="350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32" t="s">
        <v>13937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425" t="s">
        <v>13133</v>
      </c>
      <c r="P16" s="425"/>
      <c r="Q16" s="425"/>
      <c r="R16" s="337">
        <v>38476336</v>
      </c>
      <c r="S16" s="338"/>
      <c r="T16" s="338"/>
      <c r="U16" s="339"/>
      <c r="V16" s="164"/>
    </row>
    <row r="17" spans="1:22" ht="14.1" customHeight="1" x14ac:dyDescent="0.25">
      <c r="A17" s="423"/>
      <c r="B17" s="168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45182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25">
        <v>2613157782</v>
      </c>
      <c r="S22" s="326"/>
      <c r="T22" s="326"/>
      <c r="U22" s="327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14177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14173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14174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14178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14175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14176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14179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14180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14181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14171</v>
      </c>
    </row>
    <row r="6" spans="1:3" x14ac:dyDescent="0.25">
      <c r="A6" s="102"/>
      <c r="B6" s="102" t="s">
        <v>7935</v>
      </c>
      <c r="C6" s="102" t="s">
        <v>14172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2023-09-13T19:12:01Z</cp:lastPrinted>
  <dcterms:created xsi:type="dcterms:W3CDTF">2020-05-12T14:02:24Z</dcterms:created>
  <dcterms:modified xsi:type="dcterms:W3CDTF">2023-09-13T20:44:54Z</dcterms:modified>
</cp:coreProperties>
</file>